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model'!$A$1:$BD$720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5">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0" fontId="0" fillId="3" borderId="0" pivotButton="0" quotePrefix="0" xfId="0"/>
    <xf numFmtId="165" fontId="0" fillId="4"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3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4" customWidth="1" min="20" max="20"/>
    <col width="11" customWidth="1" min="21" max="21"/>
    <col width="11" customWidth="1" min="22" max="22"/>
    <col width="12"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hidden="1" width="11" customWidth="1" min="49" max="49"/>
    <col hidden="1" width="11" customWidth="1" min="50" max="50"/>
    <col hidden="1" width="11" customWidth="1" min="51" max="51"/>
    <col hidden="1" width="11" customWidth="1" min="52" max="52"/>
    <col hidden="1" width="11" customWidth="1" min="53" max="53"/>
    <col hidden="1" width="11" customWidth="1" min="54" max="54"/>
    <col hidden="1" width="11" customWidth="1" min="55" max="55"/>
    <col hidden="1" width="11" customWidth="1" min="56" max="56"/>
  </cols>
  <sheetData>
    <row r="1">
      <c r="A1" s="1" t="inlineStr">
        <is>
          <t>Player</t>
        </is>
      </c>
      <c r="B1" s="1" t="inlineStr">
        <is>
          <t>Team 26/27</t>
        </is>
      </c>
      <c r="C1" s="1" t="inlineStr">
        <is>
          <t>Pos</t>
        </is>
      </c>
      <c r="D1" s="1" t="inlineStr">
        <is>
          <t>Pos 25/26</t>
        </is>
      </c>
      <c r="E1" s="1" t="inlineStr">
        <is>
          <t>Draftable</t>
        </is>
      </c>
      <c r="F1" s="1" t="inlineStr">
        <is>
          <t>Price</t>
        </is>
      </c>
      <c r="G1" s="1" t="inlineStr">
        <is>
          <t>Status</t>
        </is>
      </c>
      <c r="H1" s="1" t="inlineStr">
        <is>
          <t>News</t>
        </is>
      </c>
      <c r="I1" s="1" t="inlineStr">
        <is>
          <t>Mins 25/26</t>
        </is>
      </c>
      <c r="J1" s="1" t="inlineStr">
        <is>
          <t>Pts 25/26</t>
        </is>
      </c>
      <c r="K1" s="1" t="inlineStr">
        <is>
          <t>xMins (Solio)</t>
        </is>
      </c>
      <c r="L1" s="1" t="inlineStr">
        <is>
          <t>xMins pattern</t>
        </is>
      </c>
      <c r="M1" s="1" t="inlineStr">
        <is>
          <t>xMins 26/27</t>
        </is>
      </c>
      <c r="N1" s="1" t="inlineStr">
        <is>
          <t>xMins source</t>
        </is>
      </c>
      <c r="O1" s="1" t="inlineStr">
        <is>
          <t>Mins per start</t>
        </is>
      </c>
      <c r="P1" s="1" t="inlineStr">
        <is>
          <t>Mins/start measured</t>
        </is>
      </c>
      <c r="Q1" s="1" t="inlineStr">
        <is>
          <t>Matches</t>
        </is>
      </c>
      <c r="R1" s="1" t="inlineStr">
        <is>
          <t>P(CS)</t>
        </is>
      </c>
      <c r="S1" s="1" t="inlineStr">
        <is>
          <t>xG/90</t>
        </is>
      </c>
      <c r="T1" s="1" t="inlineStr">
        <is>
          <t>xG basis</t>
        </is>
      </c>
      <c r="U1" s="1" t="inlineStr">
        <is>
          <t>Non-pen share</t>
        </is>
      </c>
      <c r="V1" s="1" t="inlineStr">
        <is>
          <t>Placement ratio</t>
        </is>
      </c>
      <c r="W1" s="1" t="inlineStr">
        <is>
          <t>Placement sample xG</t>
        </is>
      </c>
      <c r="X1" s="1" t="inlineStr">
        <is>
          <t>xA/90</t>
        </is>
      </c>
      <c r="Y1" s="1" t="inlineStr">
        <is>
          <t>DefCon actions/90</t>
        </is>
      </c>
      <c r="Z1" s="1" t="inlineStr">
        <is>
          <t>DefCon hit %</t>
        </is>
      </c>
      <c r="AA1" s="1" t="inlineStr">
        <is>
          <t>Bonus/90</t>
        </is>
      </c>
      <c r="AB1" s="1" t="inlineStr">
        <is>
          <t>App pts 25/26</t>
        </is>
      </c>
      <c r="AC1" s="1" t="inlineStr">
        <is>
          <t>Saves/match</t>
        </is>
      </c>
      <c r="AD1" s="1" t="inlineStr">
        <is>
          <t>Goals against/match</t>
        </is>
      </c>
      <c r="AE1" s="1" t="inlineStr">
        <is>
          <t>Card rate/90</t>
        </is>
      </c>
      <c r="AF1" s="1" t="inlineStr">
        <is>
          <t>Pens/season</t>
        </is>
      </c>
      <c r="AG1" s="1" t="inlineStr">
        <is>
          <t>Pen save pts</t>
        </is>
      </c>
      <c r="AH1" s="1" t="inlineStr">
        <is>
          <t>xG pts/90</t>
        </is>
      </c>
      <c r="AI1" s="1" t="inlineStr">
        <is>
          <t>xA pts/90</t>
        </is>
      </c>
      <c r="AJ1" s="1" t="inlineStr">
        <is>
          <t>CS pts/90</t>
        </is>
      </c>
      <c r="AK1" s="1" t="inlineStr">
        <is>
          <t>Bonus pts/90</t>
        </is>
      </c>
      <c r="AL1" s="1" t="inlineStr">
        <is>
          <t>Save pts/90</t>
        </is>
      </c>
      <c r="AM1" s="1" t="inlineStr">
        <is>
          <t>GC pts/90</t>
        </is>
      </c>
      <c r="AN1" s="1" t="inlineStr">
        <is>
          <t>Cards pts/90</t>
        </is>
      </c>
      <c r="AO1" s="1" t="inlineStr">
        <is>
          <t>Rate pts/90</t>
        </is>
      </c>
      <c r="AP1" s="1" t="inlineStr">
        <is>
          <t>App pts season</t>
        </is>
      </c>
      <c r="AQ1" s="1" t="inlineStr">
        <is>
          <t>DC pts season</t>
        </is>
      </c>
      <c r="AR1" s="1" t="inlineStr">
        <is>
          <t>Pen pts season</t>
        </is>
      </c>
      <c r="AS1" s="1" t="inlineStr">
        <is>
          <t>xPts season</t>
        </is>
      </c>
      <c r="AT1" s="1" t="inlineStr">
        <is>
          <t>xPts/90</t>
        </is>
      </c>
      <c r="AU1" s="1" t="inlineStr">
        <is>
          <t>VORP</t>
        </is>
      </c>
      <c r="AV1" s="1" t="inlineStr">
        <is>
          <t>VORP per £m</t>
        </is>
      </c>
      <c r="AW1" s="1" t="inlineStr">
        <is>
          <t>_pool GKP</t>
        </is>
      </c>
      <c r="AX1" s="1" t="inlineStr">
        <is>
          <t>_pool DEF</t>
        </is>
      </c>
      <c r="AY1" s="1" t="inlineStr">
        <is>
          <t>_pool MID</t>
        </is>
      </c>
      <c r="AZ1" s="1" t="inlineStr">
        <is>
          <t>_pool FWD</t>
        </is>
      </c>
      <c r="BA1" s="1" t="inlineStr">
        <is>
          <t>_app 60+</t>
        </is>
      </c>
      <c r="BB1" s="1" t="inlineStr">
        <is>
          <t>_dc pts</t>
        </is>
      </c>
      <c r="BC1" s="1" t="inlineStr">
        <is>
          <t>_cs pts</t>
        </is>
      </c>
      <c r="BD1" s="1" t="inlineStr">
        <is>
          <t>_goal pts</t>
        </is>
      </c>
    </row>
    <row r="2">
      <c r="A2" t="inlineStr">
        <is>
          <t>Erling Haaland</t>
        </is>
      </c>
      <c r="B2" t="inlineStr">
        <is>
          <t>MCI</t>
        </is>
      </c>
      <c r="C2" t="inlineStr">
        <is>
          <t>FWD</t>
        </is>
      </c>
      <c r="D2" t="inlineStr">
        <is>
          <t>FWD</t>
        </is>
      </c>
      <c r="E2" t="b">
        <v>1</v>
      </c>
      <c r="F2" s="2" t="n">
        <v>15.5</v>
      </c>
      <c r="G2" t="inlineStr">
        <is>
          <t>a</t>
        </is>
      </c>
      <c r="I2" s="2" t="n">
        <v>2953</v>
      </c>
      <c r="J2" t="n">
        <v>239</v>
      </c>
      <c r="K2" s="3" t="n">
        <v>3204</v>
      </c>
      <c r="L2" t="inlineStr">
        <is>
          <t>flat</t>
        </is>
      </c>
      <c r="M2" s="4" t="n">
        <v>3204</v>
      </c>
      <c r="N2" t="inlineStr">
        <is>
          <t>Solio</t>
        </is>
      </c>
      <c r="O2" s="5" t="n">
        <v>86.40000000000001</v>
      </c>
      <c r="P2" t="b">
        <v>1</v>
      </c>
      <c r="Q2" s="5">
        <f>IF(N(O2)&lt;=0,0,MIN(Assumptions!$B$15,N(M2)/N(O2)))</f>
        <v/>
      </c>
      <c r="R2" s="4" t="n">
        <v>0.371</v>
      </c>
      <c r="S2" s="3" t="n">
        <v>0.6655</v>
      </c>
      <c r="T2" t="inlineStr">
        <is>
          <t>adjusted xGOT</t>
        </is>
      </c>
      <c r="U2" s="3" t="n">
        <v>0.894</v>
      </c>
      <c r="V2" s="3" t="n">
        <v>0.958</v>
      </c>
      <c r="W2" s="3" t="n">
        <v>105.5</v>
      </c>
      <c r="X2" s="3" t="n">
        <v>0.1246</v>
      </c>
      <c r="Y2" s="3" t="n">
        <v>3.488</v>
      </c>
      <c r="Z2" s="3" t="n">
        <v>0.0001947961265177378</v>
      </c>
      <c r="AA2" s="3" t="n">
        <v>1.3105</v>
      </c>
      <c r="AB2" s="3" t="n">
        <v>68</v>
      </c>
      <c r="AC2" s="3" t="n">
        <v>1.9737</v>
      </c>
      <c r="AD2" s="3" t="n">
        <v>1.0365</v>
      </c>
      <c r="AE2" s="3" t="n">
        <v>-0.0908254123424939</v>
      </c>
      <c r="AF2" s="4" t="n">
        <v>6.02600782414642</v>
      </c>
      <c r="AG2" s="3" t="n">
        <v>0</v>
      </c>
      <c r="AH2" s="3" t="n">
        <v>2.662</v>
      </c>
      <c r="AI2" s="3" t="n">
        <v>0.4934160000000001</v>
      </c>
      <c r="AJ2" s="3">
        <f>N(R2)*N(BC2)</f>
        <v/>
      </c>
      <c r="AK2" s="3" t="n">
        <v>1.3105</v>
      </c>
      <c r="AL2" s="3" t="n">
        <v>0</v>
      </c>
      <c r="AM2" s="3" t="n">
        <v>-0</v>
      </c>
      <c r="AN2" s="3" t="n">
        <v>-0.0908254123424939</v>
      </c>
      <c r="AO2" s="3">
        <f>SUM(AH2:AN2)</f>
        <v/>
      </c>
      <c r="AP2" s="5">
        <f>IF(OR(N(Q2)&lt;=0,N(BA2)=0),0,N(Q2)*IF(N(M2)/N(Q2)&gt;=60,N(BA2),1))</f>
        <v/>
      </c>
      <c r="AQ2" s="5">
        <f>N(Q2)*N(Z2)*N(BB2)</f>
        <v/>
      </c>
      <c r="AR2" s="5">
        <f>N(AF2)*(Assumptions!$B$13*N(BD2)-(1-Assumptions!$B$13)*Assumptions!$B$14)+N(AG2)</f>
        <v/>
      </c>
      <c r="AS2" s="5">
        <f>N(AO2)*N(M2)/90+N(AP2)+N(AQ2)+N(AR2)</f>
        <v/>
      </c>
      <c r="AT2" s="3">
        <f>IF(N(M2)&lt;=0,0,(N(AS2)-N(AR2))*90/N(M2))</f>
        <v/>
      </c>
      <c r="AU2" s="5">
        <f>IFERROR(AS2-VLOOKUP($C2,Assumptions!$A$36:$C$39,3,FALSE),"")</f>
        <v/>
      </c>
      <c r="AV2" s="3">
        <f>IFERROR(AU2/F2,"")</f>
        <v/>
      </c>
      <c r="AW2">
        <f>IF(AND($E2=TRUE,$C2="GKP"),AS2,"")</f>
        <v/>
      </c>
      <c r="AX2">
        <f>IF(AND($E2=TRUE,$C2="DEF"),AS2,"")</f>
        <v/>
      </c>
      <c r="AY2">
        <f>IF(AND($E2=TRUE,$C2="MID"),AS2,"")</f>
        <v/>
      </c>
      <c r="AZ2">
        <f>IF(AND($E2=TRUE,$C2="FWD"),AS2,"")</f>
        <v/>
      </c>
      <c r="BA2" t="n">
        <v>2</v>
      </c>
      <c r="BB2" t="n">
        <v>2</v>
      </c>
      <c r="BC2" t="n">
        <v>0</v>
      </c>
      <c r="BD2" t="n">
        <v>4</v>
      </c>
    </row>
    <row r="3">
      <c r="A3" t="inlineStr">
        <is>
          <t>Bruno Fernandes</t>
        </is>
      </c>
      <c r="B3" t="inlineStr">
        <is>
          <t>MUN</t>
        </is>
      </c>
      <c r="C3" t="inlineStr">
        <is>
          <t>MID</t>
        </is>
      </c>
      <c r="D3" t="inlineStr">
        <is>
          <t>MID</t>
        </is>
      </c>
      <c r="E3" t="b">
        <v>1</v>
      </c>
      <c r="F3" s="2" t="n">
        <v>12</v>
      </c>
      <c r="G3" t="inlineStr">
        <is>
          <t>a</t>
        </is>
      </c>
      <c r="I3" s="2" t="n">
        <v>3065</v>
      </c>
      <c r="J3" t="n">
        <v>235</v>
      </c>
      <c r="K3" s="3" t="n">
        <v>3342</v>
      </c>
      <c r="L3" t="inlineStr">
        <is>
          <t>flat</t>
        </is>
      </c>
      <c r="M3" s="4" t="n">
        <v>3342</v>
      </c>
      <c r="N3" t="inlineStr">
        <is>
          <t>Solio</t>
        </is>
      </c>
      <c r="O3" s="5" t="n">
        <v>87.59999999999999</v>
      </c>
      <c r="P3" t="b">
        <v>1</v>
      </c>
      <c r="Q3" s="5">
        <f>IF(N(O3)&lt;=0,0,MIN(Assumptions!$B$15,N(M3)/N(O3)))</f>
        <v/>
      </c>
      <c r="R3" s="4" t="n">
        <v>0.334</v>
      </c>
      <c r="S3" s="3" t="n">
        <v>0.1866</v>
      </c>
      <c r="T3" t="inlineStr">
        <is>
          <t>adjusted xGOT</t>
        </is>
      </c>
      <c r="U3" s="3" t="n">
        <v>0.617</v>
      </c>
      <c r="V3" s="3" t="n">
        <v>0.954</v>
      </c>
      <c r="W3" s="3" t="n">
        <v>39.8</v>
      </c>
      <c r="X3" s="3" t="n">
        <v>0.441</v>
      </c>
      <c r="Y3" s="3" t="n">
        <v>8.456</v>
      </c>
      <c r="Z3" s="3" t="n">
        <v>0.1292780906965755</v>
      </c>
      <c r="AA3" s="3" t="n">
        <v>1.2626</v>
      </c>
      <c r="AB3" s="3" t="n">
        <v>69</v>
      </c>
      <c r="AC3" s="3" t="n">
        <v>2.2165</v>
      </c>
      <c r="AD3" s="3" t="n">
        <v>1.1467</v>
      </c>
      <c r="AE3" s="3" t="n">
        <v>-0.1783755058227372</v>
      </c>
      <c r="AF3" s="4" t="n">
        <v>5.864353249388292</v>
      </c>
      <c r="AG3" s="3" t="n">
        <v>0</v>
      </c>
      <c r="AH3" s="3" t="n">
        <v>0.9329999999999999</v>
      </c>
      <c r="AI3" s="3" t="n">
        <v>1.74636</v>
      </c>
      <c r="AJ3" s="3">
        <f>N(R3)*N(BC3)</f>
        <v/>
      </c>
      <c r="AK3" s="3" t="n">
        <v>1.2626</v>
      </c>
      <c r="AL3" s="3" t="n">
        <v>0</v>
      </c>
      <c r="AM3" s="3" t="n">
        <v>-0</v>
      </c>
      <c r="AN3" s="3" t="n">
        <v>-0.1783755058227372</v>
      </c>
      <c r="AO3" s="3">
        <f>SUM(AH3:AN3)</f>
        <v/>
      </c>
      <c r="AP3" s="5">
        <f>IF(OR(N(Q3)&lt;=0,N(BA3)=0),0,N(Q3)*IF(N(M3)/N(Q3)&gt;=60,N(BA3),1))</f>
        <v/>
      </c>
      <c r="AQ3" s="5">
        <f>N(Q3)*N(Z3)*N(BB3)</f>
        <v/>
      </c>
      <c r="AR3" s="5">
        <f>N(AF3)*(Assumptions!$B$13*N(BD3)-(1-Assumptions!$B$13)*Assumptions!$B$14)+N(AG3)</f>
        <v/>
      </c>
      <c r="AS3" s="5">
        <f>N(AO3)*N(M3)/90+N(AP3)+N(AQ3)+N(AR3)</f>
        <v/>
      </c>
      <c r="AT3" s="3">
        <f>IF(N(M3)&lt;=0,0,(N(AS3)-N(AR3))*90/N(M3))</f>
        <v/>
      </c>
      <c r="AU3" s="5">
        <f>IFERROR(AS3-VLOOKUP($C3,Assumptions!$A$36:$C$39,3,FALSE),"")</f>
        <v/>
      </c>
      <c r="AV3" s="3">
        <f>IFERROR(AU3/F3,"")</f>
        <v/>
      </c>
      <c r="AW3">
        <f>IF(AND($E3=TRUE,$C3="GKP"),AS3,"")</f>
        <v/>
      </c>
      <c r="AX3">
        <f>IF(AND($E3=TRUE,$C3="DEF"),AS3,"")</f>
        <v/>
      </c>
      <c r="AY3">
        <f>IF(AND($E3=TRUE,$C3="MID"),AS3,"")</f>
        <v/>
      </c>
      <c r="AZ3">
        <f>IF(AND($E3=TRUE,$C3="FWD"),AS3,"")</f>
        <v/>
      </c>
      <c r="BA3" t="n">
        <v>2</v>
      </c>
      <c r="BB3" t="n">
        <v>2</v>
      </c>
      <c r="BC3" t="n">
        <v>1</v>
      </c>
      <c r="BD3" t="n">
        <v>5</v>
      </c>
    </row>
    <row r="4">
      <c r="A4" t="inlineStr">
        <is>
          <t>Gabriel Magalhães</t>
        </is>
      </c>
      <c r="B4" t="inlineStr">
        <is>
          <t>ARS</t>
        </is>
      </c>
      <c r="C4" t="inlineStr">
        <is>
          <t>DEF</t>
        </is>
      </c>
      <c r="D4" t="inlineStr">
        <is>
          <t>DEF</t>
        </is>
      </c>
      <c r="E4" t="b">
        <v>1</v>
      </c>
      <c r="F4" s="2" t="n">
        <v>8</v>
      </c>
      <c r="G4" t="inlineStr">
        <is>
          <t>a</t>
        </is>
      </c>
      <c r="I4" s="2" t="n">
        <v>2750</v>
      </c>
      <c r="J4" t="n">
        <v>209</v>
      </c>
      <c r="K4" s="3" t="n">
        <v>3283</v>
      </c>
      <c r="L4" t="inlineStr">
        <is>
          <t>flat</t>
        </is>
      </c>
      <c r="M4" s="4" t="n">
        <v>3283</v>
      </c>
      <c r="N4" t="inlineStr">
        <is>
          <t>Solio</t>
        </is>
      </c>
      <c r="O4" s="5" t="n">
        <v>89.5</v>
      </c>
      <c r="P4" t="b">
        <v>1</v>
      </c>
      <c r="Q4" s="5">
        <f>IF(N(O4)&lt;=0,0,MIN(Assumptions!$B$15,N(M4)/N(O4)))</f>
        <v/>
      </c>
      <c r="R4" s="4" t="n">
        <v>0.391</v>
      </c>
      <c r="S4" s="3" t="n">
        <v>0.0785</v>
      </c>
      <c r="T4" t="inlineStr">
        <is>
          <t>adjusted xGOT</t>
        </is>
      </c>
      <c r="U4" s="3" t="n">
        <v>1</v>
      </c>
      <c r="V4" s="3" t="n">
        <v>0.8159999999999999</v>
      </c>
      <c r="W4" s="3" t="n">
        <v>15.2</v>
      </c>
      <c r="X4" s="3" t="n">
        <v>0.0732</v>
      </c>
      <c r="Y4" s="3" t="n">
        <v>8.779</v>
      </c>
      <c r="Z4" s="3" t="n">
        <v>0.3770963184468785</v>
      </c>
      <c r="AA4" s="3" t="n">
        <v>0.7855</v>
      </c>
      <c r="AB4" s="3" t="n">
        <v>62</v>
      </c>
      <c r="AC4" s="3" t="n">
        <v>2.067</v>
      </c>
      <c r="AD4" s="3" t="n">
        <v>0.9838</v>
      </c>
      <c r="AE4" s="3" t="n">
        <v>-0.1653812682758228</v>
      </c>
      <c r="AF4" s="4" t="n">
        <v>0</v>
      </c>
      <c r="AG4" s="3" t="n">
        <v>0</v>
      </c>
      <c r="AH4" s="3" t="n">
        <v>0.471</v>
      </c>
      <c r="AI4" s="3" t="n">
        <v>0.289872</v>
      </c>
      <c r="AJ4" s="3">
        <f>N(R4)*N(BC4)</f>
        <v/>
      </c>
      <c r="AK4" s="3" t="n">
        <v>0.7855</v>
      </c>
      <c r="AL4" s="3" t="n">
        <v>0</v>
      </c>
      <c r="AM4" s="3" t="n">
        <v>-0.2768479886568037</v>
      </c>
      <c r="AN4" s="3" t="n">
        <v>-0.1653812682758228</v>
      </c>
      <c r="AO4" s="3">
        <f>SUM(AH4:AN4)</f>
        <v/>
      </c>
      <c r="AP4" s="5">
        <f>IF(OR(N(Q4)&lt;=0,N(BA4)=0),0,N(Q4)*IF(N(M4)/N(Q4)&gt;=60,N(BA4),1))</f>
        <v/>
      </c>
      <c r="AQ4" s="5">
        <f>N(Q4)*N(Z4)*N(BB4)</f>
        <v/>
      </c>
      <c r="AR4" s="5">
        <f>N(AF4)*(Assumptions!$B$13*N(BD4)-(1-Assumptions!$B$13)*Assumptions!$B$14)+N(AG4)</f>
        <v/>
      </c>
      <c r="AS4" s="5">
        <f>N(AO4)*N(M4)/90+N(AP4)+N(AQ4)+N(AR4)</f>
        <v/>
      </c>
      <c r="AT4" s="3">
        <f>IF(N(M4)&lt;=0,0,(N(AS4)-N(AR4))*90/N(M4))</f>
        <v/>
      </c>
      <c r="AU4" s="5">
        <f>IFERROR(AS4-VLOOKUP($C4,Assumptions!$A$36:$C$39,3,FALSE),"")</f>
        <v/>
      </c>
      <c r="AV4" s="3">
        <f>IFERROR(AU4/F4,"")</f>
        <v/>
      </c>
      <c r="AW4">
        <f>IF(AND($E4=TRUE,$C4="GKP"),AS4,"")</f>
        <v/>
      </c>
      <c r="AX4">
        <f>IF(AND($E4=TRUE,$C4="DEF"),AS4,"")</f>
        <v/>
      </c>
      <c r="AY4">
        <f>IF(AND($E4=TRUE,$C4="MID"),AS4,"")</f>
        <v/>
      </c>
      <c r="AZ4">
        <f>IF(AND($E4=TRUE,$C4="FWD"),AS4,"")</f>
        <v/>
      </c>
      <c r="BA4" t="n">
        <v>2</v>
      </c>
      <c r="BB4" t="n">
        <v>2</v>
      </c>
      <c r="BC4" t="n">
        <v>4</v>
      </c>
      <c r="BD4" t="n">
        <v>6</v>
      </c>
    </row>
    <row r="5">
      <c r="A5" t="inlineStr">
        <is>
          <t>Antoine Semenyo</t>
        </is>
      </c>
      <c r="B5" t="inlineStr">
        <is>
          <t>MCI</t>
        </is>
      </c>
      <c r="C5" t="inlineStr">
        <is>
          <t>MID</t>
        </is>
      </c>
      <c r="D5" t="inlineStr">
        <is>
          <t>MID</t>
        </is>
      </c>
      <c r="E5" t="b">
        <v>1</v>
      </c>
      <c r="F5" s="2" t="n">
        <v>8.5</v>
      </c>
      <c r="G5" t="inlineStr">
        <is>
          <t>a</t>
        </is>
      </c>
      <c r="I5" s="2" t="n">
        <v>3200</v>
      </c>
      <c r="J5" t="n">
        <v>202</v>
      </c>
      <c r="K5" s="3" t="n">
        <v>3106</v>
      </c>
      <c r="L5" t="inlineStr">
        <is>
          <t>flat</t>
        </is>
      </c>
      <c r="M5" s="4" t="n">
        <v>3106</v>
      </c>
      <c r="N5" t="inlineStr">
        <is>
          <t>Solio</t>
        </is>
      </c>
      <c r="O5" s="5" t="n">
        <v>86.5</v>
      </c>
      <c r="P5" t="b">
        <v>1</v>
      </c>
      <c r="Q5" s="5">
        <f>IF(N(O5)&lt;=0,0,MIN(Assumptions!$B$15,N(M5)/N(O5)))</f>
        <v/>
      </c>
      <c r="R5" s="4" t="n">
        <v>0.371</v>
      </c>
      <c r="S5" s="3" t="n">
        <v>0.3139</v>
      </c>
      <c r="T5" t="inlineStr">
        <is>
          <t>adjusted xGOT</t>
        </is>
      </c>
      <c r="U5" s="3" t="n">
        <v>0.881</v>
      </c>
      <c r="V5" s="3" t="n">
        <v>1.141</v>
      </c>
      <c r="W5" s="3" t="n">
        <v>25.7</v>
      </c>
      <c r="X5" s="3" t="n">
        <v>0.102</v>
      </c>
      <c r="Y5" s="3" t="n">
        <v>6.994</v>
      </c>
      <c r="Z5" s="3" t="n">
        <v>0.04177192184080492</v>
      </c>
      <c r="AA5" s="3" t="n">
        <v>0.5344</v>
      </c>
      <c r="AB5" s="3" t="n">
        <v>72</v>
      </c>
      <c r="AC5" s="3" t="n">
        <v>1.9737</v>
      </c>
      <c r="AD5" s="3" t="n">
        <v>1.0365</v>
      </c>
      <c r="AE5" s="3" t="n">
        <v>-0.2354149219812201</v>
      </c>
      <c r="AF5" s="4" t="n">
        <v>0.331298897539341</v>
      </c>
      <c r="AG5" s="3" t="n">
        <v>0</v>
      </c>
      <c r="AH5" s="3" t="n">
        <v>1.5695</v>
      </c>
      <c r="AI5" s="3" t="n">
        <v>0.40392</v>
      </c>
      <c r="AJ5" s="3">
        <f>N(R5)*N(BC5)</f>
        <v/>
      </c>
      <c r="AK5" s="3" t="n">
        <v>0.5344</v>
      </c>
      <c r="AL5" s="3" t="n">
        <v>0</v>
      </c>
      <c r="AM5" s="3" t="n">
        <v>-0</v>
      </c>
      <c r="AN5" s="3" t="n">
        <v>-0.2354149219812201</v>
      </c>
      <c r="AO5" s="3">
        <f>SUM(AH5:AN5)</f>
        <v/>
      </c>
      <c r="AP5" s="5">
        <f>IF(OR(N(Q5)&lt;=0,N(BA5)=0),0,N(Q5)*IF(N(M5)/N(Q5)&gt;=60,N(BA5),1))</f>
        <v/>
      </c>
      <c r="AQ5" s="5">
        <f>N(Q5)*N(Z5)*N(BB5)</f>
        <v/>
      </c>
      <c r="AR5" s="5">
        <f>N(AF5)*(Assumptions!$B$13*N(BD5)-(1-Assumptions!$B$13)*Assumptions!$B$14)+N(AG5)</f>
        <v/>
      </c>
      <c r="AS5" s="5">
        <f>N(AO5)*N(M5)/90+N(AP5)+N(AQ5)+N(AR5)</f>
        <v/>
      </c>
      <c r="AT5" s="3">
        <f>IF(N(M5)&lt;=0,0,(N(AS5)-N(AR5))*90/N(M5))</f>
        <v/>
      </c>
      <c r="AU5" s="5">
        <f>IFERROR(AS5-VLOOKUP($C5,Assumptions!$A$36:$C$39,3,FALSE),"")</f>
        <v/>
      </c>
      <c r="AV5" s="3">
        <f>IFERROR(AU5/F5,"")</f>
        <v/>
      </c>
      <c r="AW5">
        <f>IF(AND($E5=TRUE,$C5="GKP"),AS5,"")</f>
        <v/>
      </c>
      <c r="AX5">
        <f>IF(AND($E5=TRUE,$C5="DEF"),AS5,"")</f>
        <v/>
      </c>
      <c r="AY5">
        <f>IF(AND($E5=TRUE,$C5="MID"),AS5,"")</f>
        <v/>
      </c>
      <c r="AZ5">
        <f>IF(AND($E5=TRUE,$C5="FWD"),AS5,"")</f>
        <v/>
      </c>
      <c r="BA5" t="n">
        <v>2</v>
      </c>
      <c r="BB5" t="n">
        <v>2</v>
      </c>
      <c r="BC5" t="n">
        <v>1</v>
      </c>
      <c r="BD5" t="n">
        <v>5</v>
      </c>
    </row>
    <row r="6">
      <c r="A6" t="inlineStr">
        <is>
          <t>Morgan Gibbs-White</t>
        </is>
      </c>
      <c r="B6" t="inlineStr">
        <is>
          <t>NFO</t>
        </is>
      </c>
      <c r="C6" t="inlineStr">
        <is>
          <t>MID</t>
        </is>
      </c>
      <c r="D6" t="inlineStr">
        <is>
          <t>MID</t>
        </is>
      </c>
      <c r="E6" t="b">
        <v>1</v>
      </c>
      <c r="F6" s="2" t="n">
        <v>8</v>
      </c>
      <c r="G6" t="inlineStr">
        <is>
          <t>a</t>
        </is>
      </c>
      <c r="I6" s="2" t="n">
        <v>3101</v>
      </c>
      <c r="J6" t="n">
        <v>188</v>
      </c>
      <c r="K6" s="3" t="n">
        <v>3301</v>
      </c>
      <c r="L6" t="inlineStr">
        <is>
          <t>flat</t>
        </is>
      </c>
      <c r="M6" s="4" t="n">
        <v>3301</v>
      </c>
      <c r="N6" t="inlineStr">
        <is>
          <t>Solio</t>
        </is>
      </c>
      <c r="O6" s="5" t="n">
        <v>86.7</v>
      </c>
      <c r="P6" t="b">
        <v>1</v>
      </c>
      <c r="Q6" s="5">
        <f>IF(N(O6)&lt;=0,0,MIN(Assumptions!$B$15,N(M6)/N(O6)))</f>
        <v/>
      </c>
      <c r="R6" s="4" t="n">
        <v>0.224</v>
      </c>
      <c r="S6" s="3" t="n">
        <v>0.2899</v>
      </c>
      <c r="T6" t="inlineStr">
        <is>
          <t>adjusted xGOT</t>
        </is>
      </c>
      <c r="U6" s="3" t="n">
        <v>0.9350000000000001</v>
      </c>
      <c r="V6" s="3" t="n">
        <v>0.989</v>
      </c>
      <c r="W6" s="3" t="n">
        <v>30.5</v>
      </c>
      <c r="X6" s="3" t="n">
        <v>0.1076</v>
      </c>
      <c r="Y6" s="3" t="n">
        <v>5.809</v>
      </c>
      <c r="Z6" s="3" t="n">
        <v>0.01242451637917952</v>
      </c>
      <c r="AA6" s="3" t="n">
        <v>0.5224</v>
      </c>
      <c r="AB6" s="3" t="n">
        <v>72</v>
      </c>
      <c r="AC6" s="3" t="n">
        <v>3.1134</v>
      </c>
      <c r="AD6" s="3" t="n">
        <v>1.5588</v>
      </c>
      <c r="AE6" s="3" t="n">
        <v>-0.1751960287699131</v>
      </c>
      <c r="AF6" s="4" t="n">
        <v>3.588896383734543</v>
      </c>
      <c r="AG6" s="3" t="n">
        <v>0</v>
      </c>
      <c r="AH6" s="3" t="n">
        <v>1.4495</v>
      </c>
      <c r="AI6" s="3" t="n">
        <v>0.426096</v>
      </c>
      <c r="AJ6" s="3">
        <f>N(R6)*N(BC6)</f>
        <v/>
      </c>
      <c r="AK6" s="3" t="n">
        <v>0.5224</v>
      </c>
      <c r="AL6" s="3" t="n">
        <v>0</v>
      </c>
      <c r="AM6" s="3" t="n">
        <v>-0</v>
      </c>
      <c r="AN6" s="3" t="n">
        <v>-0.1751960287699131</v>
      </c>
      <c r="AO6" s="3">
        <f>SUM(AH6:AN6)</f>
        <v/>
      </c>
      <c r="AP6" s="5">
        <f>IF(OR(N(Q6)&lt;=0,N(BA6)=0),0,N(Q6)*IF(N(M6)/N(Q6)&gt;=60,N(BA6),1))</f>
        <v/>
      </c>
      <c r="AQ6" s="5">
        <f>N(Q6)*N(Z6)*N(BB6)</f>
        <v/>
      </c>
      <c r="AR6" s="5">
        <f>N(AF6)*(Assumptions!$B$13*N(BD6)-(1-Assumptions!$B$13)*Assumptions!$B$14)+N(AG6)</f>
        <v/>
      </c>
      <c r="AS6" s="5">
        <f>N(AO6)*N(M6)/90+N(AP6)+N(AQ6)+N(AR6)</f>
        <v/>
      </c>
      <c r="AT6" s="3">
        <f>IF(N(M6)&lt;=0,0,(N(AS6)-N(AR6))*90/N(M6))</f>
        <v/>
      </c>
      <c r="AU6" s="5">
        <f>IFERROR(AS6-VLOOKUP($C6,Assumptions!$A$36:$C$39,3,FALSE),"")</f>
        <v/>
      </c>
      <c r="AV6" s="3">
        <f>IFERROR(AU6/F6,"")</f>
        <v/>
      </c>
      <c r="AW6">
        <f>IF(AND($E6=TRUE,$C6="GKP"),AS6,"")</f>
        <v/>
      </c>
      <c r="AX6">
        <f>IF(AND($E6=TRUE,$C6="DEF"),AS6,"")</f>
        <v/>
      </c>
      <c r="AY6">
        <f>IF(AND($E6=TRUE,$C6="MID"),AS6,"")</f>
        <v/>
      </c>
      <c r="AZ6">
        <f>IF(AND($E6=TRUE,$C6="FWD"),AS6,"")</f>
        <v/>
      </c>
      <c r="BA6" t="n">
        <v>2</v>
      </c>
      <c r="BB6" t="n">
        <v>2</v>
      </c>
      <c r="BC6" t="n">
        <v>1</v>
      </c>
      <c r="BD6" t="n">
        <v>5</v>
      </c>
    </row>
    <row r="7">
      <c r="A7" t="inlineStr">
        <is>
          <t>Declan Rice</t>
        </is>
      </c>
      <c r="B7" t="inlineStr">
        <is>
          <t>ARS</t>
        </is>
      </c>
      <c r="C7" t="inlineStr">
        <is>
          <t>MID</t>
        </is>
      </c>
      <c r="D7" t="inlineStr">
        <is>
          <t>MID</t>
        </is>
      </c>
      <c r="E7" t="b">
        <v>1</v>
      </c>
      <c r="F7" s="2" t="n">
        <v>7.5</v>
      </c>
      <c r="G7" t="inlineStr">
        <is>
          <t>a</t>
        </is>
      </c>
      <c r="I7" s="2" t="n">
        <v>3093</v>
      </c>
      <c r="J7" t="n">
        <v>184</v>
      </c>
      <c r="K7" s="3" t="n">
        <v>3106</v>
      </c>
      <c r="L7" t="inlineStr">
        <is>
          <t>flat</t>
        </is>
      </c>
      <c r="M7" s="4" t="n">
        <v>3106</v>
      </c>
      <c r="N7" t="inlineStr">
        <is>
          <t>Solio</t>
        </is>
      </c>
      <c r="O7" s="5" t="n">
        <v>87.7</v>
      </c>
      <c r="P7" t="b">
        <v>1</v>
      </c>
      <c r="Q7" s="5">
        <f>IF(N(O7)&lt;=0,0,MIN(Assumptions!$B$15,N(M7)/N(O7)))</f>
        <v/>
      </c>
      <c r="R7" s="4" t="n">
        <v>0.391</v>
      </c>
      <c r="S7" s="3" t="n">
        <v>0.1037</v>
      </c>
      <c r="T7" t="inlineStr">
        <is>
          <t>adjusted xGOT</t>
        </is>
      </c>
      <c r="U7" s="3" t="n">
        <v>1</v>
      </c>
      <c r="V7" s="3" t="n">
        <v>1.132</v>
      </c>
      <c r="W7" s="3" t="n">
        <v>12.6</v>
      </c>
      <c r="X7" s="3" t="n">
        <v>0.2252</v>
      </c>
      <c r="Y7" s="3" t="n">
        <v>10.494</v>
      </c>
      <c r="Z7" s="3" t="n">
        <v>0.3291758695481901</v>
      </c>
      <c r="AA7" s="3" t="n">
        <v>0.6984</v>
      </c>
      <c r="AB7" s="3" t="n">
        <v>71</v>
      </c>
      <c r="AC7" s="3" t="n">
        <v>2.067</v>
      </c>
      <c r="AD7" s="3" t="n">
        <v>0.9838</v>
      </c>
      <c r="AE7" s="3" t="n">
        <v>-0.1506210597641032</v>
      </c>
      <c r="AF7" s="4" t="n">
        <v>0</v>
      </c>
      <c r="AG7" s="3" t="n">
        <v>0</v>
      </c>
      <c r="AH7" s="3" t="n">
        <v>0.5185</v>
      </c>
      <c r="AI7" s="3" t="n">
        <v>0.891792</v>
      </c>
      <c r="AJ7" s="3">
        <f>N(R7)*N(BC7)</f>
        <v/>
      </c>
      <c r="AK7" s="3" t="n">
        <v>0.6984</v>
      </c>
      <c r="AL7" s="3" t="n">
        <v>0</v>
      </c>
      <c r="AM7" s="3" t="n">
        <v>-0</v>
      </c>
      <c r="AN7" s="3" t="n">
        <v>-0.1506210597641032</v>
      </c>
      <c r="AO7" s="3">
        <f>SUM(AH7:AN7)</f>
        <v/>
      </c>
      <c r="AP7" s="5">
        <f>IF(OR(N(Q7)&lt;=0,N(BA7)=0),0,N(Q7)*IF(N(M7)/N(Q7)&gt;=60,N(BA7),1))</f>
        <v/>
      </c>
      <c r="AQ7" s="5">
        <f>N(Q7)*N(Z7)*N(BB7)</f>
        <v/>
      </c>
      <c r="AR7" s="5">
        <f>N(AF7)*(Assumptions!$B$13*N(BD7)-(1-Assumptions!$B$13)*Assumptions!$B$14)+N(AG7)</f>
        <v/>
      </c>
      <c r="AS7" s="5">
        <f>N(AO7)*N(M7)/90+N(AP7)+N(AQ7)+N(AR7)</f>
        <v/>
      </c>
      <c r="AT7" s="3">
        <f>IF(N(M7)&lt;=0,0,(N(AS7)-N(AR7))*90/N(M7))</f>
        <v/>
      </c>
      <c r="AU7" s="5">
        <f>IFERROR(AS7-VLOOKUP($C7,Assumptions!$A$36:$C$39,3,FALSE),"")</f>
        <v/>
      </c>
      <c r="AV7" s="3">
        <f>IFERROR(AU7/F7,"")</f>
        <v/>
      </c>
      <c r="AW7">
        <f>IF(AND($E7=TRUE,$C7="GKP"),AS7,"")</f>
        <v/>
      </c>
      <c r="AX7">
        <f>IF(AND($E7=TRUE,$C7="DEF"),AS7,"")</f>
        <v/>
      </c>
      <c r="AY7">
        <f>IF(AND($E7=TRUE,$C7="MID"),AS7,"")</f>
        <v/>
      </c>
      <c r="AZ7">
        <f>IF(AND($E7=TRUE,$C7="FWD"),AS7,"")</f>
        <v/>
      </c>
      <c r="BA7" t="n">
        <v>2</v>
      </c>
      <c r="BB7" t="n">
        <v>2</v>
      </c>
      <c r="BC7" t="n">
        <v>1</v>
      </c>
      <c r="BD7" t="n">
        <v>5</v>
      </c>
    </row>
    <row r="8">
      <c r="A8" t="inlineStr">
        <is>
          <t>Igor Thiago</t>
        </is>
      </c>
      <c r="B8" t="inlineStr">
        <is>
          <t>BRE</t>
        </is>
      </c>
      <c r="C8" t="inlineStr">
        <is>
          <t>FWD</t>
        </is>
      </c>
      <c r="D8" t="inlineStr">
        <is>
          <t>FWD</t>
        </is>
      </c>
      <c r="E8" t="b">
        <v>1</v>
      </c>
      <c r="F8" s="2" t="n">
        <v>8</v>
      </c>
      <c r="G8" t="inlineStr">
        <is>
          <t>a</t>
        </is>
      </c>
      <c r="I8" s="2" t="n">
        <v>3282</v>
      </c>
      <c r="J8" t="n">
        <v>181</v>
      </c>
      <c r="K8" s="3" t="n">
        <v>3209</v>
      </c>
      <c r="L8" t="inlineStr">
        <is>
          <t>flat</t>
        </is>
      </c>
      <c r="M8" s="4" t="n">
        <v>3209</v>
      </c>
      <c r="N8" t="inlineStr">
        <is>
          <t>Solio</t>
        </is>
      </c>
      <c r="O8" s="5" t="n">
        <v>87.90000000000001</v>
      </c>
      <c r="P8" t="b">
        <v>1</v>
      </c>
      <c r="Q8" s="5">
        <f>IF(N(O8)&lt;=0,0,MIN(Assumptions!$B$15,N(M8)/N(O8)))</f>
        <v/>
      </c>
      <c r="R8" s="4" t="n">
        <v>0.228</v>
      </c>
      <c r="S8" s="3" t="n">
        <v>0.3992</v>
      </c>
      <c r="T8" t="inlineStr">
        <is>
          <t>adjusted xGOT</t>
        </is>
      </c>
      <c r="U8" s="3" t="n">
        <v>0.723</v>
      </c>
      <c r="V8" s="3" t="n">
        <v>0.978</v>
      </c>
      <c r="W8" s="3" t="n">
        <v>20.7</v>
      </c>
      <c r="X8" s="3" t="n">
        <v>0.07240000000000001</v>
      </c>
      <c r="Y8" s="3" t="n">
        <v>5.675</v>
      </c>
      <c r="Z8" s="3" t="n">
        <v>0.01160856062691873</v>
      </c>
      <c r="AA8" s="3" t="n">
        <v>0.6032999999999999</v>
      </c>
      <c r="AB8" s="3" t="n">
        <v>75</v>
      </c>
      <c r="AC8" s="3" t="n">
        <v>3.2371</v>
      </c>
      <c r="AD8" s="3" t="n">
        <v>1.5396</v>
      </c>
      <c r="AE8" s="3" t="n">
        <v>-0.1909662885404408</v>
      </c>
      <c r="AF8" s="4" t="n">
        <v>4.189117494674605</v>
      </c>
      <c r="AG8" s="3" t="n">
        <v>0</v>
      </c>
      <c r="AH8" s="3" t="n">
        <v>1.5968</v>
      </c>
      <c r="AI8" s="3" t="n">
        <v>0.286704</v>
      </c>
      <c r="AJ8" s="3">
        <f>N(R8)*N(BC8)</f>
        <v/>
      </c>
      <c r="AK8" s="3" t="n">
        <v>0.6032999999999999</v>
      </c>
      <c r="AL8" s="3" t="n">
        <v>0</v>
      </c>
      <c r="AM8" s="3" t="n">
        <v>-0</v>
      </c>
      <c r="AN8" s="3" t="n">
        <v>-0.1909662885404408</v>
      </c>
      <c r="AO8" s="3">
        <f>SUM(AH8:AN8)</f>
        <v/>
      </c>
      <c r="AP8" s="5">
        <f>IF(OR(N(Q8)&lt;=0,N(BA8)=0),0,N(Q8)*IF(N(M8)/N(Q8)&gt;=60,N(BA8),1))</f>
        <v/>
      </c>
      <c r="AQ8" s="5">
        <f>N(Q8)*N(Z8)*N(BB8)</f>
        <v/>
      </c>
      <c r="AR8" s="5">
        <f>N(AF8)*(Assumptions!$B$13*N(BD8)-(1-Assumptions!$B$13)*Assumptions!$B$14)+N(AG8)</f>
        <v/>
      </c>
      <c r="AS8" s="5">
        <f>N(AO8)*N(M8)/90+N(AP8)+N(AQ8)+N(AR8)</f>
        <v/>
      </c>
      <c r="AT8" s="3">
        <f>IF(N(M8)&lt;=0,0,(N(AS8)-N(AR8))*90/N(M8))</f>
        <v/>
      </c>
      <c r="AU8" s="5">
        <f>IFERROR(AS8-VLOOKUP($C8,Assumptions!$A$36:$C$39,3,FALSE),"")</f>
        <v/>
      </c>
      <c r="AV8" s="3">
        <f>IFERROR(AU8/F8,"")</f>
        <v/>
      </c>
      <c r="AW8">
        <f>IF(AND($E8=TRUE,$C8="GKP"),AS8,"")</f>
        <v/>
      </c>
      <c r="AX8">
        <f>IF(AND($E8=TRUE,$C8="DEF"),AS8,"")</f>
        <v/>
      </c>
      <c r="AY8">
        <f>IF(AND($E8=TRUE,$C8="MID"),AS8,"")</f>
        <v/>
      </c>
      <c r="AZ8">
        <f>IF(AND($E8=TRUE,$C8="FWD"),AS8,"")</f>
        <v/>
      </c>
      <c r="BA8" t="n">
        <v>2</v>
      </c>
      <c r="BB8" t="n">
        <v>2</v>
      </c>
      <c r="BC8" t="n">
        <v>0</v>
      </c>
      <c r="BD8" t="n">
        <v>4</v>
      </c>
    </row>
    <row r="9">
      <c r="A9" t="inlineStr">
        <is>
          <t>Elliot Anderson</t>
        </is>
      </c>
      <c r="B9" t="inlineStr">
        <is>
          <t>MCI</t>
        </is>
      </c>
      <c r="C9" t="inlineStr">
        <is>
          <t>MID</t>
        </is>
      </c>
      <c r="D9" t="inlineStr">
        <is>
          <t>MID</t>
        </is>
      </c>
      <c r="E9" t="b">
        <v>1</v>
      </c>
      <c r="F9" s="2" t="n">
        <v>6.5</v>
      </c>
      <c r="G9" t="inlineStr">
        <is>
          <t>a</t>
        </is>
      </c>
      <c r="I9" s="2" t="n">
        <v>3332</v>
      </c>
      <c r="J9" t="n">
        <v>180</v>
      </c>
      <c r="K9" s="3" t="n">
        <v>2096</v>
      </c>
      <c r="L9" t="inlineStr">
        <is>
          <t>flat</t>
        </is>
      </c>
      <c r="M9" s="4" t="n">
        <v>2096</v>
      </c>
      <c r="N9" t="inlineStr">
        <is>
          <t>Solio</t>
        </is>
      </c>
      <c r="O9" s="5" t="n">
        <v>88.8</v>
      </c>
      <c r="P9" t="b">
        <v>1</v>
      </c>
      <c r="Q9" s="5">
        <f>IF(N(O9)&lt;=0,0,MIN(Assumptions!$B$15,N(M9)/N(O9)))</f>
        <v/>
      </c>
      <c r="R9" s="4" t="n">
        <v>0.371</v>
      </c>
      <c r="S9" s="3" t="n">
        <v>0.0558</v>
      </c>
      <c r="T9" t="inlineStr">
        <is>
          <t>adjusted xGOT</t>
        </is>
      </c>
      <c r="U9" s="3" t="n">
        <v>0.779</v>
      </c>
      <c r="V9" s="3" t="n">
        <v>0.902</v>
      </c>
      <c r="W9" s="3" t="n">
        <v>7.8</v>
      </c>
      <c r="X9" s="3" t="n">
        <v>0.1301</v>
      </c>
      <c r="Y9" s="3" t="n">
        <v>12.963</v>
      </c>
      <c r="Z9" s="3" t="n">
        <v>0.6252029305488248</v>
      </c>
      <c r="AA9" s="3" t="n">
        <v>0.4862</v>
      </c>
      <c r="AB9" s="3" t="n">
        <v>75</v>
      </c>
      <c r="AC9" s="3" t="n">
        <v>1.9737</v>
      </c>
      <c r="AD9" s="3" t="n">
        <v>1.0365</v>
      </c>
      <c r="AE9" s="3" t="n">
        <v>-0.2595103024449674</v>
      </c>
      <c r="AF9" s="4" t="n">
        <v>0</v>
      </c>
      <c r="AG9" s="3" t="n">
        <v>0</v>
      </c>
      <c r="AH9" s="3" t="n">
        <v>0.279</v>
      </c>
      <c r="AI9" s="3" t="n">
        <v>0.515196</v>
      </c>
      <c r="AJ9" s="3">
        <f>N(R9)*N(BC9)</f>
        <v/>
      </c>
      <c r="AK9" s="3" t="n">
        <v>0.4862</v>
      </c>
      <c r="AL9" s="3" t="n">
        <v>0</v>
      </c>
      <c r="AM9" s="3" t="n">
        <v>-0</v>
      </c>
      <c r="AN9" s="3" t="n">
        <v>-0.2595103024449674</v>
      </c>
      <c r="AO9" s="3">
        <f>SUM(AH9:AN9)</f>
        <v/>
      </c>
      <c r="AP9" s="5">
        <f>IF(OR(N(Q9)&lt;=0,N(BA9)=0),0,N(Q9)*IF(N(M9)/N(Q9)&gt;=60,N(BA9),1))</f>
        <v/>
      </c>
      <c r="AQ9" s="5">
        <f>N(Q9)*N(Z9)*N(BB9)</f>
        <v/>
      </c>
      <c r="AR9" s="5">
        <f>N(AF9)*(Assumptions!$B$13*N(BD9)-(1-Assumptions!$B$13)*Assumptions!$B$14)+N(AG9)</f>
        <v/>
      </c>
      <c r="AS9" s="5">
        <f>N(AO9)*N(M9)/90+N(AP9)+N(AQ9)+N(AR9)</f>
        <v/>
      </c>
      <c r="AT9" s="3">
        <f>IF(N(M9)&lt;=0,0,(N(AS9)-N(AR9))*90/N(M9))</f>
        <v/>
      </c>
      <c r="AU9" s="5">
        <f>IFERROR(AS9-VLOOKUP($C9,Assumptions!$A$36:$C$39,3,FALSE),"")</f>
        <v/>
      </c>
      <c r="AV9" s="3">
        <f>IFERROR(AU9/F9,"")</f>
        <v/>
      </c>
      <c r="AW9">
        <f>IF(AND($E9=TRUE,$C9="GKP"),AS9,"")</f>
        <v/>
      </c>
      <c r="AX9">
        <f>IF(AND($E9=TRUE,$C9="DEF"),AS9,"")</f>
        <v/>
      </c>
      <c r="AY9">
        <f>IF(AND($E9=TRUE,$C9="MID"),AS9,"")</f>
        <v/>
      </c>
      <c r="AZ9">
        <f>IF(AND($E9=TRUE,$C9="FWD"),AS9,"")</f>
        <v/>
      </c>
      <c r="BA9" t="n">
        <v>2</v>
      </c>
      <c r="BB9" t="n">
        <v>2</v>
      </c>
      <c r="BC9" t="n">
        <v>1</v>
      </c>
      <c r="BD9" t="n">
        <v>5</v>
      </c>
    </row>
    <row r="10">
      <c r="A10" t="inlineStr">
        <is>
          <t>Marc Guéhi</t>
        </is>
      </c>
      <c r="B10" t="inlineStr">
        <is>
          <t>MCI</t>
        </is>
      </c>
      <c r="C10" t="inlineStr">
        <is>
          <t>DEF</t>
        </is>
      </c>
      <c r="D10" t="inlineStr">
        <is>
          <t>DEF</t>
        </is>
      </c>
      <c r="E10" t="b">
        <v>1</v>
      </c>
      <c r="F10" s="2" t="n">
        <v>6</v>
      </c>
      <c r="G10" t="inlineStr">
        <is>
          <t>a</t>
        </is>
      </c>
      <c r="I10" s="2" t="n">
        <v>3150</v>
      </c>
      <c r="J10" t="n">
        <v>179</v>
      </c>
      <c r="K10" s="3" t="n">
        <v>2611</v>
      </c>
      <c r="L10" t="inlineStr">
        <is>
          <t>flat</t>
        </is>
      </c>
      <c r="M10" s="4" t="n">
        <v>2611</v>
      </c>
      <c r="N10" t="inlineStr">
        <is>
          <t>Solio</t>
        </is>
      </c>
      <c r="O10" s="5" t="n">
        <v>90</v>
      </c>
      <c r="P10" t="b">
        <v>1</v>
      </c>
      <c r="Q10" s="5">
        <f>IF(N(O10)&lt;=0,0,MIN(Assumptions!$B$15,N(M10)/N(O10)))</f>
        <v/>
      </c>
      <c r="R10" s="4" t="n">
        <v>0.371</v>
      </c>
      <c r="S10" s="3" t="n">
        <v>0.1254</v>
      </c>
      <c r="T10" t="inlineStr">
        <is>
          <t>adjusted xGOT</t>
        </is>
      </c>
      <c r="U10" s="3" t="n">
        <v>1</v>
      </c>
      <c r="V10" s="3" t="n">
        <v>1.084</v>
      </c>
      <c r="W10" s="3" t="n">
        <v>8</v>
      </c>
      <c r="X10" s="3" t="n">
        <v>0.0728</v>
      </c>
      <c r="Y10" s="3" t="n">
        <v>7.895</v>
      </c>
      <c r="Z10" s="3" t="n">
        <v>0.270436143603298</v>
      </c>
      <c r="AA10" s="3" t="n">
        <v>0.3429</v>
      </c>
      <c r="AB10" s="3" t="n">
        <v>70</v>
      </c>
      <c r="AC10" s="3" t="n">
        <v>1.9737</v>
      </c>
      <c r="AD10" s="3" t="n">
        <v>1.0365</v>
      </c>
      <c r="AE10" s="3" t="n">
        <v>-0.1945595673769788</v>
      </c>
      <c r="AF10" s="4" t="n">
        <v>0</v>
      </c>
      <c r="AG10" s="3" t="n">
        <v>0</v>
      </c>
      <c r="AH10" s="3" t="n">
        <v>0.7524000000000001</v>
      </c>
      <c r="AI10" s="3" t="n">
        <v>0.288288</v>
      </c>
      <c r="AJ10" s="3">
        <f>N(R10)*N(BC10)</f>
        <v/>
      </c>
      <c r="AK10" s="3" t="n">
        <v>0.3429</v>
      </c>
      <c r="AL10" s="3" t="n">
        <v>0</v>
      </c>
      <c r="AM10" s="3" t="n">
        <v>-0.2997019479071323</v>
      </c>
      <c r="AN10" s="3" t="n">
        <v>-0.1945595673769788</v>
      </c>
      <c r="AO10" s="3">
        <f>SUM(AH10:AN10)</f>
        <v/>
      </c>
      <c r="AP10" s="5">
        <f>IF(OR(N(Q10)&lt;=0,N(BA10)=0),0,N(Q10)*IF(N(M10)/N(Q10)&gt;=60,N(BA10),1))</f>
        <v/>
      </c>
      <c r="AQ10" s="5">
        <f>N(Q10)*N(Z10)*N(BB10)</f>
        <v/>
      </c>
      <c r="AR10" s="5">
        <f>N(AF10)*(Assumptions!$B$13*N(BD10)-(1-Assumptions!$B$13)*Assumptions!$B$14)+N(AG10)</f>
        <v/>
      </c>
      <c r="AS10" s="5">
        <f>N(AO10)*N(M10)/90+N(AP10)+N(AQ10)+N(AR10)</f>
        <v/>
      </c>
      <c r="AT10" s="3">
        <f>IF(N(M10)&lt;=0,0,(N(AS10)-N(AR10))*90/N(M10))</f>
        <v/>
      </c>
      <c r="AU10" s="5">
        <f>IFERROR(AS10-VLOOKUP($C10,Assumptions!$A$36:$C$39,3,FALSE),"")</f>
        <v/>
      </c>
      <c r="AV10" s="3">
        <f>IFERROR(AU10/F10,"")</f>
        <v/>
      </c>
      <c r="AW10">
        <f>IF(AND($E10=TRUE,$C10="GKP"),AS10,"")</f>
        <v/>
      </c>
      <c r="AX10">
        <f>IF(AND($E10=TRUE,$C10="DEF"),AS10,"")</f>
        <v/>
      </c>
      <c r="AY10">
        <f>IF(AND($E10=TRUE,$C10="MID"),AS10,"")</f>
        <v/>
      </c>
      <c r="AZ10">
        <f>IF(AND($E10=TRUE,$C10="FWD"),AS10,"")</f>
        <v/>
      </c>
      <c r="BA10" t="n">
        <v>2</v>
      </c>
      <c r="BB10" t="n">
        <v>2</v>
      </c>
      <c r="BC10" t="n">
        <v>4</v>
      </c>
      <c r="BD10" t="n">
        <v>6</v>
      </c>
    </row>
    <row r="11">
      <c r="A11" t="inlineStr">
        <is>
          <t>João Pedro</t>
        </is>
      </c>
      <c r="B11" t="inlineStr">
        <is>
          <t>CHE</t>
        </is>
      </c>
      <c r="C11" t="inlineStr">
        <is>
          <t>FWD</t>
        </is>
      </c>
      <c r="D11" t="inlineStr">
        <is>
          <t>FWD</t>
        </is>
      </c>
      <c r="E11" t="b">
        <v>1</v>
      </c>
      <c r="F11" s="2" t="n">
        <v>7.5</v>
      </c>
      <c r="G11" t="inlineStr">
        <is>
          <t>a</t>
        </is>
      </c>
      <c r="I11" s="2" t="n">
        <v>2658</v>
      </c>
      <c r="J11" t="n">
        <v>177</v>
      </c>
      <c r="K11" s="3" t="n">
        <v>2890</v>
      </c>
      <c r="L11" t="inlineStr">
        <is>
          <t>flat</t>
        </is>
      </c>
      <c r="M11" s="4" t="n">
        <v>2890</v>
      </c>
      <c r="N11" t="inlineStr">
        <is>
          <t>Solio</t>
        </is>
      </c>
      <c r="O11" s="5" t="n">
        <v>81.90000000000001</v>
      </c>
      <c r="P11" t="b">
        <v>1</v>
      </c>
      <c r="Q11" s="5">
        <f>IF(N(O11)&lt;=0,0,MIN(Assumptions!$B$15,N(M11)/N(O11)))</f>
        <v/>
      </c>
      <c r="R11" s="4" t="n">
        <v>0.322</v>
      </c>
      <c r="S11" s="3" t="n">
        <v>0.5062</v>
      </c>
      <c r="T11" t="inlineStr">
        <is>
          <t>adjusted xGOT</t>
        </is>
      </c>
      <c r="U11" s="3" t="n">
        <v>1</v>
      </c>
      <c r="V11" s="3" t="n">
        <v>1.003</v>
      </c>
      <c r="W11" s="3" t="n">
        <v>35.9</v>
      </c>
      <c r="X11" s="3" t="n">
        <v>0.1006</v>
      </c>
      <c r="Y11" s="3" t="n">
        <v>4.698</v>
      </c>
      <c r="Z11" s="3" t="n">
        <v>0.001589182753288898</v>
      </c>
      <c r="AA11" s="3" t="n">
        <v>1.0158</v>
      </c>
      <c r="AB11" s="3" t="n">
        <v>65</v>
      </c>
      <c r="AC11" s="3" t="n">
        <v>2.4232</v>
      </c>
      <c r="AD11" s="3" t="n">
        <v>1.1851</v>
      </c>
      <c r="AE11" s="3" t="n">
        <v>-0.1716179423924405</v>
      </c>
      <c r="AF11" s="4" t="n">
        <v>0</v>
      </c>
      <c r="AG11" s="3" t="n">
        <v>0</v>
      </c>
      <c r="AH11" s="3" t="n">
        <v>2.0248</v>
      </c>
      <c r="AI11" s="3" t="n">
        <v>0.398376</v>
      </c>
      <c r="AJ11" s="3">
        <f>N(R11)*N(BC11)</f>
        <v/>
      </c>
      <c r="AK11" s="3" t="n">
        <v>1.0158</v>
      </c>
      <c r="AL11" s="3" t="n">
        <v>0</v>
      </c>
      <c r="AM11" s="3" t="n">
        <v>-0</v>
      </c>
      <c r="AN11" s="3" t="n">
        <v>-0.1716179423924405</v>
      </c>
      <c r="AO11" s="3">
        <f>SUM(AH11:AN11)</f>
        <v/>
      </c>
      <c r="AP11" s="5">
        <f>IF(OR(N(Q11)&lt;=0,N(BA11)=0),0,N(Q11)*IF(N(M11)/N(Q11)&gt;=60,N(BA11),1))</f>
        <v/>
      </c>
      <c r="AQ11" s="5">
        <f>N(Q11)*N(Z11)*N(BB11)</f>
        <v/>
      </c>
      <c r="AR11" s="5">
        <f>N(AF11)*(Assumptions!$B$13*N(BD11)-(1-Assumptions!$B$13)*Assumptions!$B$14)+N(AG11)</f>
        <v/>
      </c>
      <c r="AS11" s="5">
        <f>N(AO11)*N(M11)/90+N(AP11)+N(AQ11)+N(AR11)</f>
        <v/>
      </c>
      <c r="AT11" s="3">
        <f>IF(N(M11)&lt;=0,0,(N(AS11)-N(AR11))*90/N(M11))</f>
        <v/>
      </c>
      <c r="AU11" s="5">
        <f>IFERROR(AS11-VLOOKUP($C11,Assumptions!$A$36:$C$39,3,FALSE),"")</f>
        <v/>
      </c>
      <c r="AV11" s="3">
        <f>IFERROR(AU11/F11,"")</f>
        <v/>
      </c>
      <c r="AW11">
        <f>IF(AND($E11=TRUE,$C11="GKP"),AS11,"")</f>
        <v/>
      </c>
      <c r="AX11">
        <f>IF(AND($E11=TRUE,$C11="DEF"),AS11,"")</f>
        <v/>
      </c>
      <c r="AY11">
        <f>IF(AND($E11=TRUE,$C11="MID"),AS11,"")</f>
        <v/>
      </c>
      <c r="AZ11">
        <f>IF(AND($E11=TRUE,$C11="FWD"),AS11,"")</f>
        <v/>
      </c>
      <c r="BA11" t="n">
        <v>2</v>
      </c>
      <c r="BB11" t="n">
        <v>2</v>
      </c>
      <c r="BC11" t="n">
        <v>0</v>
      </c>
      <c r="BD11" t="n">
        <v>4</v>
      </c>
    </row>
    <row r="12">
      <c r="A12" t="inlineStr">
        <is>
          <t>Virgil van Dijk</t>
        </is>
      </c>
      <c r="B12" t="inlineStr">
        <is>
          <t>LIV</t>
        </is>
      </c>
      <c r="C12" t="inlineStr">
        <is>
          <t>DEF</t>
        </is>
      </c>
      <c r="D12" t="inlineStr">
        <is>
          <t>DEF</t>
        </is>
      </c>
      <c r="E12" t="b">
        <v>1</v>
      </c>
      <c r="F12" s="2" t="n">
        <v>6.5</v>
      </c>
      <c r="G12" t="inlineStr">
        <is>
          <t>a</t>
        </is>
      </c>
      <c r="I12" s="2" t="n">
        <v>3420</v>
      </c>
      <c r="J12" t="n">
        <v>175</v>
      </c>
      <c r="K12" s="3" t="n">
        <v>3340</v>
      </c>
      <c r="L12" t="inlineStr">
        <is>
          <t>flat</t>
        </is>
      </c>
      <c r="M12" s="4" t="n">
        <v>3340</v>
      </c>
      <c r="N12" t="inlineStr">
        <is>
          <t>Solio</t>
        </is>
      </c>
      <c r="O12" s="5" t="n">
        <v>90</v>
      </c>
      <c r="P12" t="b">
        <v>1</v>
      </c>
      <c r="Q12" s="5">
        <f>IF(N(O12)&lt;=0,0,MIN(Assumptions!$B$15,N(M12)/N(O12)))</f>
        <v/>
      </c>
      <c r="R12" s="4" t="n">
        <v>0.342</v>
      </c>
      <c r="S12" s="3" t="n">
        <v>0.0983</v>
      </c>
      <c r="T12" t="inlineStr">
        <is>
          <t>adjusted xGOT</t>
        </is>
      </c>
      <c r="U12" s="3" t="n">
        <v>1</v>
      </c>
      <c r="V12" s="3" t="n">
        <v>0.991</v>
      </c>
      <c r="W12" s="3" t="n">
        <v>11.4</v>
      </c>
      <c r="X12" s="3" t="n">
        <v>0.0233</v>
      </c>
      <c r="Y12" s="3" t="n">
        <v>8.989000000000001</v>
      </c>
      <c r="Z12" s="3" t="n">
        <v>0.4111424468774663</v>
      </c>
      <c r="AA12" s="3" t="n">
        <v>0.2368</v>
      </c>
      <c r="AB12" s="3" t="n">
        <v>76</v>
      </c>
      <c r="AC12" s="3" t="n">
        <v>2.409</v>
      </c>
      <c r="AD12" s="3" t="n">
        <v>1.1228</v>
      </c>
      <c r="AE12" s="3" t="n">
        <v>-0.1444627501042969</v>
      </c>
      <c r="AF12" s="4" t="n">
        <v>0</v>
      </c>
      <c r="AG12" s="3" t="n">
        <v>0</v>
      </c>
      <c r="AH12" s="3" t="n">
        <v>0.5898</v>
      </c>
      <c r="AI12" s="3" t="n">
        <v>0.092268</v>
      </c>
      <c r="AJ12" s="3">
        <f>N(R12)*N(BC12)</f>
        <v/>
      </c>
      <c r="AK12" s="3" t="n">
        <v>0.2368</v>
      </c>
      <c r="AL12" s="3" t="n">
        <v>0</v>
      </c>
      <c r="AM12" s="3" t="n">
        <v>-0.3378660007281162</v>
      </c>
      <c r="AN12" s="3" t="n">
        <v>-0.1444627501042969</v>
      </c>
      <c r="AO12" s="3">
        <f>SUM(AH12:AN12)</f>
        <v/>
      </c>
      <c r="AP12" s="5">
        <f>IF(OR(N(Q12)&lt;=0,N(BA12)=0),0,N(Q12)*IF(N(M12)/N(Q12)&gt;=60,N(BA12),1))</f>
        <v/>
      </c>
      <c r="AQ12" s="5">
        <f>N(Q12)*N(Z12)*N(BB12)</f>
        <v/>
      </c>
      <c r="AR12" s="5">
        <f>N(AF12)*(Assumptions!$B$13*N(BD12)-(1-Assumptions!$B$13)*Assumptions!$B$14)+N(AG12)</f>
        <v/>
      </c>
      <c r="AS12" s="5">
        <f>N(AO12)*N(M12)/90+N(AP12)+N(AQ12)+N(AR12)</f>
        <v/>
      </c>
      <c r="AT12" s="3">
        <f>IF(N(M12)&lt;=0,0,(N(AS12)-N(AR12))*90/N(M12))</f>
        <v/>
      </c>
      <c r="AU12" s="5">
        <f>IFERROR(AS12-VLOOKUP($C12,Assumptions!$A$36:$C$39,3,FALSE),"")</f>
        <v/>
      </c>
      <c r="AV12" s="3">
        <f>IFERROR(AU12/F12,"")</f>
        <v/>
      </c>
      <c r="AW12">
        <f>IF(AND($E12=TRUE,$C12="GKP"),AS12,"")</f>
        <v/>
      </c>
      <c r="AX12">
        <f>IF(AND($E12=TRUE,$C12="DEF"),AS12,"")</f>
        <v/>
      </c>
      <c r="AY12">
        <f>IF(AND($E12=TRUE,$C12="MID"),AS12,"")</f>
        <v/>
      </c>
      <c r="AZ12">
        <f>IF(AND($E12=TRUE,$C12="FWD"),AS12,"")</f>
        <v/>
      </c>
      <c r="BA12" t="n">
        <v>2</v>
      </c>
      <c r="BB12" t="n">
        <v>2</v>
      </c>
      <c r="BC12" t="n">
        <v>4</v>
      </c>
      <c r="BD12" t="n">
        <v>6</v>
      </c>
    </row>
    <row r="13">
      <c r="A13" t="inlineStr">
        <is>
          <t>Marcos Senesi</t>
        </is>
      </c>
      <c r="B13" t="inlineStr">
        <is>
          <t>TOT</t>
        </is>
      </c>
      <c r="C13" t="inlineStr">
        <is>
          <t>DEF</t>
        </is>
      </c>
      <c r="D13" t="inlineStr">
        <is>
          <t>DEF</t>
        </is>
      </c>
      <c r="E13" t="b">
        <v>1</v>
      </c>
      <c r="F13" s="2" t="n">
        <v>6</v>
      </c>
      <c r="G13" t="inlineStr">
        <is>
          <t>a</t>
        </is>
      </c>
      <c r="I13" s="2" t="n">
        <v>3288</v>
      </c>
      <c r="J13" t="n">
        <v>175</v>
      </c>
      <c r="K13" s="3" t="n">
        <v>1573</v>
      </c>
      <c r="L13" t="inlineStr">
        <is>
          <t>flat</t>
        </is>
      </c>
      <c r="M13" s="4" t="n">
        <v>1573</v>
      </c>
      <c r="N13" t="inlineStr">
        <is>
          <t>Solio</t>
        </is>
      </c>
      <c r="O13" s="5" t="n">
        <v>88.90000000000001</v>
      </c>
      <c r="P13" t="b">
        <v>1</v>
      </c>
      <c r="Q13" s="5">
        <f>IF(N(O13)&lt;=0,0,MIN(Assumptions!$B$15,N(M13)/N(O13)))</f>
        <v/>
      </c>
      <c r="R13" s="4" t="n">
        <v>0.286</v>
      </c>
      <c r="S13" s="3" t="n">
        <v>0.0335</v>
      </c>
      <c r="T13" t="inlineStr">
        <is>
          <t>adjusted xGOT</t>
        </is>
      </c>
      <c r="U13" s="3" t="n">
        <v>1</v>
      </c>
      <c r="V13" s="3" t="n">
        <v>0.799</v>
      </c>
      <c r="W13" s="3" t="n">
        <v>6</v>
      </c>
      <c r="X13" s="3" t="n">
        <v>0.1197</v>
      </c>
      <c r="Y13" s="3" t="n">
        <v>10.789</v>
      </c>
      <c r="Z13" s="3" t="n">
        <v>0.6211530613006332</v>
      </c>
      <c r="AA13" s="3" t="n">
        <v>0.3285</v>
      </c>
      <c r="AB13" s="3" t="n">
        <v>74</v>
      </c>
      <c r="AC13" s="3" t="n">
        <v>2.5739</v>
      </c>
      <c r="AD13" s="3" t="n">
        <v>1.3096</v>
      </c>
      <c r="AE13" s="3" t="n">
        <v>-0.2951650613022939</v>
      </c>
      <c r="AF13" s="4" t="n">
        <v>0</v>
      </c>
      <c r="AG13" s="3" t="n">
        <v>0</v>
      </c>
      <c r="AH13" s="3" t="n">
        <v>0.201</v>
      </c>
      <c r="AI13" s="3" t="n">
        <v>0.474012</v>
      </c>
      <c r="AJ13" s="3">
        <f>N(R13)*N(BC13)</f>
        <v/>
      </c>
      <c r="AK13" s="3" t="n">
        <v>0.3285</v>
      </c>
      <c r="AL13" s="3" t="n">
        <v>0</v>
      </c>
      <c r="AM13" s="3" t="n">
        <v>-0.4230152821052008</v>
      </c>
      <c r="AN13" s="3" t="n">
        <v>-0.2951650613022939</v>
      </c>
      <c r="AO13" s="3">
        <f>SUM(AH13:AN13)</f>
        <v/>
      </c>
      <c r="AP13" s="5">
        <f>IF(OR(N(Q13)&lt;=0,N(BA13)=0),0,N(Q13)*IF(N(M13)/N(Q13)&gt;=60,N(BA13),1))</f>
        <v/>
      </c>
      <c r="AQ13" s="5">
        <f>N(Q13)*N(Z13)*N(BB13)</f>
        <v/>
      </c>
      <c r="AR13" s="5">
        <f>N(AF13)*(Assumptions!$B$13*N(BD13)-(1-Assumptions!$B$13)*Assumptions!$B$14)+N(AG13)</f>
        <v/>
      </c>
      <c r="AS13" s="5">
        <f>N(AO13)*N(M13)/90+N(AP13)+N(AQ13)+N(AR13)</f>
        <v/>
      </c>
      <c r="AT13" s="3">
        <f>IF(N(M13)&lt;=0,0,(N(AS13)-N(AR13))*90/N(M13))</f>
        <v/>
      </c>
      <c r="AU13" s="5">
        <f>IFERROR(AS13-VLOOKUP($C13,Assumptions!$A$36:$C$39,3,FALSE),"")</f>
        <v/>
      </c>
      <c r="AV13" s="3">
        <f>IFERROR(AU13/F13,"")</f>
        <v/>
      </c>
      <c r="AW13">
        <f>IF(AND($E13=TRUE,$C13="GKP"),AS13,"")</f>
        <v/>
      </c>
      <c r="AX13">
        <f>IF(AND($E13=TRUE,$C13="DEF"),AS13,"")</f>
        <v/>
      </c>
      <c r="AY13">
        <f>IF(AND($E13=TRUE,$C13="MID"),AS13,"")</f>
        <v/>
      </c>
      <c r="AZ13">
        <f>IF(AND($E13=TRUE,$C13="FWD"),AS13,"")</f>
        <v/>
      </c>
      <c r="BA13" t="n">
        <v>2</v>
      </c>
      <c r="BB13" t="n">
        <v>2</v>
      </c>
      <c r="BC13" t="n">
        <v>4</v>
      </c>
      <c r="BD13" t="n">
        <v>6</v>
      </c>
    </row>
    <row r="14">
      <c r="A14" t="inlineStr">
        <is>
          <t>James Tarkowski</t>
        </is>
      </c>
      <c r="B14" t="inlineStr">
        <is>
          <t>EVE</t>
        </is>
      </c>
      <c r="C14" t="inlineStr">
        <is>
          <t>DEF</t>
        </is>
      </c>
      <c r="D14" t="inlineStr">
        <is>
          <t>DEF</t>
        </is>
      </c>
      <c r="E14" t="b">
        <v>1</v>
      </c>
      <c r="F14" s="2" t="n">
        <v>6</v>
      </c>
      <c r="G14" t="inlineStr">
        <is>
          <t>a</t>
        </is>
      </c>
      <c r="I14" s="2" t="n">
        <v>3330</v>
      </c>
      <c r="J14" t="n">
        <v>170</v>
      </c>
      <c r="K14" s="3" t="n">
        <v>3266</v>
      </c>
      <c r="L14" t="inlineStr">
        <is>
          <t>flat</t>
        </is>
      </c>
      <c r="M14" s="4" t="n">
        <v>3266</v>
      </c>
      <c r="N14" t="inlineStr">
        <is>
          <t>Solio</t>
        </is>
      </c>
      <c r="O14" s="5" t="n">
        <v>90</v>
      </c>
      <c r="P14" t="b">
        <v>1</v>
      </c>
      <c r="Q14" s="5">
        <f>IF(N(O14)&lt;=0,0,MIN(Assumptions!$B$15,N(M14)/N(O14)))</f>
        <v/>
      </c>
      <c r="R14" s="4" t="n">
        <v>0.231</v>
      </c>
      <c r="S14" s="3" t="n">
        <v>0.0555</v>
      </c>
      <c r="T14" t="inlineStr">
        <is>
          <t>adjusted xGOT</t>
        </is>
      </c>
      <c r="U14" s="3" t="n">
        <v>1</v>
      </c>
      <c r="V14" s="3" t="n">
        <v>0.8120000000000001</v>
      </c>
      <c r="W14" s="3" t="n">
        <v>9.4</v>
      </c>
      <c r="X14" s="3" t="n">
        <v>0.0562</v>
      </c>
      <c r="Y14" s="3" t="n">
        <v>9.722</v>
      </c>
      <c r="Z14" s="3" t="n">
        <v>0.5068434423712685</v>
      </c>
      <c r="AA14" s="3" t="n">
        <v>0.3243</v>
      </c>
      <c r="AB14" s="3" t="n">
        <v>74</v>
      </c>
      <c r="AC14" s="3" t="n">
        <v>3.0311</v>
      </c>
      <c r="AD14" s="3" t="n">
        <v>1.5252</v>
      </c>
      <c r="AE14" s="3" t="n">
        <v>-0.2371340111807672</v>
      </c>
      <c r="AF14" s="4" t="n">
        <v>0</v>
      </c>
      <c r="AG14" s="3" t="n">
        <v>0</v>
      </c>
      <c r="AH14" s="3" t="n">
        <v>0.333</v>
      </c>
      <c r="AI14" s="3" t="n">
        <v>0.222552</v>
      </c>
      <c r="AJ14" s="3">
        <f>N(R14)*N(BC14)</f>
        <v/>
      </c>
      <c r="AK14" s="3" t="n">
        <v>0.3243</v>
      </c>
      <c r="AL14" s="3" t="n">
        <v>0</v>
      </c>
      <c r="AM14" s="3" t="n">
        <v>-0.524434996152324</v>
      </c>
      <c r="AN14" s="3" t="n">
        <v>-0.2371340111807672</v>
      </c>
      <c r="AO14" s="3">
        <f>SUM(AH14:AN14)</f>
        <v/>
      </c>
      <c r="AP14" s="5">
        <f>IF(OR(N(Q14)&lt;=0,N(BA14)=0),0,N(Q14)*IF(N(M14)/N(Q14)&gt;=60,N(BA14),1))</f>
        <v/>
      </c>
      <c r="AQ14" s="5">
        <f>N(Q14)*N(Z14)*N(BB14)</f>
        <v/>
      </c>
      <c r="AR14" s="5">
        <f>N(AF14)*(Assumptions!$B$13*N(BD14)-(1-Assumptions!$B$13)*Assumptions!$B$14)+N(AG14)</f>
        <v/>
      </c>
      <c r="AS14" s="5">
        <f>N(AO14)*N(M14)/90+N(AP14)+N(AQ14)+N(AR14)</f>
        <v/>
      </c>
      <c r="AT14" s="3">
        <f>IF(N(M14)&lt;=0,0,(N(AS14)-N(AR14))*90/N(M14))</f>
        <v/>
      </c>
      <c r="AU14" s="5">
        <f>IFERROR(AS14-VLOOKUP($C14,Assumptions!$A$36:$C$39,3,FALSE),"")</f>
        <v/>
      </c>
      <c r="AV14" s="3">
        <f>IFERROR(AU14/F14,"")</f>
        <v/>
      </c>
      <c r="AW14">
        <f>IF(AND($E14=TRUE,$C14="GKP"),AS14,"")</f>
        <v/>
      </c>
      <c r="AX14">
        <f>IF(AND($E14=TRUE,$C14="DEF"),AS14,"")</f>
        <v/>
      </c>
      <c r="AY14">
        <f>IF(AND($E14=TRUE,$C14="MID"),AS14,"")</f>
        <v/>
      </c>
      <c r="AZ14">
        <f>IF(AND($E14=TRUE,$C14="FWD"),AS14,"")</f>
        <v/>
      </c>
      <c r="BA14" t="n">
        <v>2</v>
      </c>
      <c r="BB14" t="n">
        <v>2</v>
      </c>
      <c r="BC14" t="n">
        <v>4</v>
      </c>
      <c r="BD14" t="n">
        <v>6</v>
      </c>
    </row>
    <row r="15">
      <c r="A15" t="inlineStr">
        <is>
          <t>Morgan Rogers</t>
        </is>
      </c>
      <c r="B15" t="inlineStr">
        <is>
          <t>CHE</t>
        </is>
      </c>
      <c r="C15" t="inlineStr">
        <is>
          <t>MID</t>
        </is>
      </c>
      <c r="D15" t="inlineStr">
        <is>
          <t>MID</t>
        </is>
      </c>
      <c r="E15" t="b">
        <v>1</v>
      </c>
      <c r="F15" s="2" t="n">
        <v>7.5</v>
      </c>
      <c r="G15" t="inlineStr">
        <is>
          <t>a</t>
        </is>
      </c>
      <c r="I15" s="2" t="n">
        <v>3280</v>
      </c>
      <c r="J15" t="n">
        <v>169</v>
      </c>
      <c r="K15" s="3" t="n">
        <v>2890</v>
      </c>
      <c r="L15" t="inlineStr">
        <is>
          <t>flat</t>
        </is>
      </c>
      <c r="M15" s="4" t="n">
        <v>2890</v>
      </c>
      <c r="N15" t="inlineStr">
        <is>
          <t>Solio</t>
        </is>
      </c>
      <c r="O15" s="5" t="n">
        <v>88.59999999999999</v>
      </c>
      <c r="P15" t="b">
        <v>1</v>
      </c>
      <c r="Q15" s="5">
        <f>IF(N(O15)&lt;=0,0,MIN(Assumptions!$B$15,N(M15)/N(O15)))</f>
        <v/>
      </c>
      <c r="R15" s="4" t="n">
        <v>0.322</v>
      </c>
      <c r="S15" s="3" t="n">
        <v>0.2094</v>
      </c>
      <c r="T15" t="inlineStr">
        <is>
          <t>adjusted xGOT</t>
        </is>
      </c>
      <c r="U15" s="3" t="n">
        <v>1</v>
      </c>
      <c r="V15" s="3" t="n">
        <v>1.116</v>
      </c>
      <c r="W15" s="3" t="n">
        <v>14.7</v>
      </c>
      <c r="X15" s="3" t="n">
        <v>0.1618</v>
      </c>
      <c r="Y15" s="3" t="n">
        <v>6.719</v>
      </c>
      <c r="Z15" s="3" t="n">
        <v>0.03780410643309717</v>
      </c>
      <c r="AA15" s="3" t="n">
        <v>0.4665</v>
      </c>
      <c r="AB15" s="3" t="n">
        <v>74</v>
      </c>
      <c r="AC15" s="3" t="n">
        <v>2.4232</v>
      </c>
      <c r="AD15" s="3" t="n">
        <v>1.1851</v>
      </c>
      <c r="AE15" s="3" t="n">
        <v>-0.2453439170694833</v>
      </c>
      <c r="AF15" s="4" t="n">
        <v>0</v>
      </c>
      <c r="AG15" s="3" t="n">
        <v>0</v>
      </c>
      <c r="AH15" s="3" t="n">
        <v>1.047</v>
      </c>
      <c r="AI15" s="3" t="n">
        <v>0.6407280000000001</v>
      </c>
      <c r="AJ15" s="3">
        <f>N(R15)*N(BC15)</f>
        <v/>
      </c>
      <c r="AK15" s="3" t="n">
        <v>0.4665</v>
      </c>
      <c r="AL15" s="3" t="n">
        <v>0</v>
      </c>
      <c r="AM15" s="3" t="n">
        <v>-0</v>
      </c>
      <c r="AN15" s="3" t="n">
        <v>-0.2453439170694833</v>
      </c>
      <c r="AO15" s="3">
        <f>SUM(AH15:AN15)</f>
        <v/>
      </c>
      <c r="AP15" s="5">
        <f>IF(OR(N(Q15)&lt;=0,N(BA15)=0),0,N(Q15)*IF(N(M15)/N(Q15)&gt;=60,N(BA15),1))</f>
        <v/>
      </c>
      <c r="AQ15" s="5">
        <f>N(Q15)*N(Z15)*N(BB15)</f>
        <v/>
      </c>
      <c r="AR15" s="5">
        <f>N(AF15)*(Assumptions!$B$13*N(BD15)-(1-Assumptions!$B$13)*Assumptions!$B$14)+N(AG15)</f>
        <v/>
      </c>
      <c r="AS15" s="5">
        <f>N(AO15)*N(M15)/90+N(AP15)+N(AQ15)+N(AR15)</f>
        <v/>
      </c>
      <c r="AT15" s="3">
        <f>IF(N(M15)&lt;=0,0,(N(AS15)-N(AR15))*90/N(M15))</f>
        <v/>
      </c>
      <c r="AU15" s="5">
        <f>IFERROR(AS15-VLOOKUP($C15,Assumptions!$A$36:$C$39,3,FALSE),"")</f>
        <v/>
      </c>
      <c r="AV15" s="3">
        <f>IFERROR(AU15/F15,"")</f>
        <v/>
      </c>
      <c r="AW15">
        <f>IF(AND($E15=TRUE,$C15="GKP"),AS15,"")</f>
        <v/>
      </c>
      <c r="AX15">
        <f>IF(AND($E15=TRUE,$C15="DEF"),AS15,"")</f>
        <v/>
      </c>
      <c r="AY15">
        <f>IF(AND($E15=TRUE,$C15="MID"),AS15,"")</f>
        <v/>
      </c>
      <c r="AZ15">
        <f>IF(AND($E15=TRUE,$C15="FWD"),AS15,"")</f>
        <v/>
      </c>
      <c r="BA15" t="n">
        <v>2</v>
      </c>
      <c r="BB15" t="n">
        <v>2</v>
      </c>
      <c r="BC15" t="n">
        <v>1</v>
      </c>
      <c r="BD15" t="n">
        <v>5</v>
      </c>
    </row>
    <row r="16">
      <c r="A16" t="inlineStr">
        <is>
          <t>Harry Wilson</t>
        </is>
      </c>
      <c r="B16" t="inlineStr">
        <is>
          <t>LEE</t>
        </is>
      </c>
      <c r="C16" t="inlineStr">
        <is>
          <t>MID</t>
        </is>
      </c>
      <c r="D16" t="inlineStr">
        <is>
          <t>MID</t>
        </is>
      </c>
      <c r="E16" t="b">
        <v>1</v>
      </c>
      <c r="F16" s="2" t="n">
        <v>6.5</v>
      </c>
      <c r="G16" t="inlineStr">
        <is>
          <t>a</t>
        </is>
      </c>
      <c r="I16" s="2" t="n">
        <v>2674</v>
      </c>
      <c r="J16" t="n">
        <v>168</v>
      </c>
      <c r="K16" s="3" t="n">
        <v>2810</v>
      </c>
      <c r="L16" t="inlineStr">
        <is>
          <t>flat</t>
        </is>
      </c>
      <c r="M16" s="4" t="n">
        <v>2810</v>
      </c>
      <c r="N16" t="inlineStr">
        <is>
          <t>Solio</t>
        </is>
      </c>
      <c r="O16" s="5" t="n">
        <v>80.8</v>
      </c>
      <c r="P16" t="b">
        <v>1</v>
      </c>
      <c r="Q16" s="5">
        <f>IF(N(O16)&lt;=0,0,MIN(Assumptions!$B$15,N(M16)/N(O16)))</f>
        <v/>
      </c>
      <c r="R16" s="4" t="n">
        <v>0.218</v>
      </c>
      <c r="S16" s="3" t="n">
        <v>0.2446</v>
      </c>
      <c r="T16" t="inlineStr">
        <is>
          <t>adjusted xGOT</t>
        </is>
      </c>
      <c r="U16" s="3" t="n">
        <v>1</v>
      </c>
      <c r="V16" s="3" t="n">
        <v>1.236</v>
      </c>
      <c r="W16" s="3" t="n">
        <v>15.6</v>
      </c>
      <c r="X16" s="3" t="n">
        <v>0.1729</v>
      </c>
      <c r="Y16" s="3" t="n">
        <v>6.513</v>
      </c>
      <c r="Z16" s="3" t="n">
        <v>0.01686398467510031</v>
      </c>
      <c r="AA16" s="3" t="n">
        <v>0.7068</v>
      </c>
      <c r="AB16" s="3" t="n">
        <v>66</v>
      </c>
      <c r="AC16" s="3" t="n">
        <v>3.0611</v>
      </c>
      <c r="AD16" s="3" t="n">
        <v>1.5875</v>
      </c>
      <c r="AE16" s="3" t="n">
        <v>-0.2446193857303975</v>
      </c>
      <c r="AF16" s="4" t="n">
        <v>0</v>
      </c>
      <c r="AG16" s="3" t="n">
        <v>0</v>
      </c>
      <c r="AH16" s="3" t="n">
        <v>1.223</v>
      </c>
      <c r="AI16" s="3" t="n">
        <v>0.684684</v>
      </c>
      <c r="AJ16" s="3">
        <f>N(R16)*N(BC16)</f>
        <v/>
      </c>
      <c r="AK16" s="3" t="n">
        <v>0.7068</v>
      </c>
      <c r="AL16" s="3" t="n">
        <v>0</v>
      </c>
      <c r="AM16" s="3" t="n">
        <v>-0</v>
      </c>
      <c r="AN16" s="3" t="n">
        <v>-0.2446193857303975</v>
      </c>
      <c r="AO16" s="3">
        <f>SUM(AH16:AN16)</f>
        <v/>
      </c>
      <c r="AP16" s="5">
        <f>IF(OR(N(Q16)&lt;=0,N(BA16)=0),0,N(Q16)*IF(N(M16)/N(Q16)&gt;=60,N(BA16),1))</f>
        <v/>
      </c>
      <c r="AQ16" s="5">
        <f>N(Q16)*N(Z16)*N(BB16)</f>
        <v/>
      </c>
      <c r="AR16" s="5">
        <f>N(AF16)*(Assumptions!$B$13*N(BD16)-(1-Assumptions!$B$13)*Assumptions!$B$14)+N(AG16)</f>
        <v/>
      </c>
      <c r="AS16" s="5">
        <f>N(AO16)*N(M16)/90+N(AP16)+N(AQ16)+N(AR16)</f>
        <v/>
      </c>
      <c r="AT16" s="3">
        <f>IF(N(M16)&lt;=0,0,(N(AS16)-N(AR16))*90/N(M16))</f>
        <v/>
      </c>
      <c r="AU16" s="5">
        <f>IFERROR(AS16-VLOOKUP($C16,Assumptions!$A$36:$C$39,3,FALSE),"")</f>
        <v/>
      </c>
      <c r="AV16" s="3">
        <f>IFERROR(AU16/F16,"")</f>
        <v/>
      </c>
      <c r="AW16">
        <f>IF(AND($E16=TRUE,$C16="GKP"),AS16,"")</f>
        <v/>
      </c>
      <c r="AX16">
        <f>IF(AND($E16=TRUE,$C16="DEF"),AS16,"")</f>
        <v/>
      </c>
      <c r="AY16">
        <f>IF(AND($E16=TRUE,$C16="MID"),AS16,"")</f>
        <v/>
      </c>
      <c r="AZ16">
        <f>IF(AND($E16=TRUE,$C16="FWD"),AS16,"")</f>
        <v/>
      </c>
      <c r="BA16" t="n">
        <v>2</v>
      </c>
      <c r="BB16" t="n">
        <v>2</v>
      </c>
      <c r="BC16" t="n">
        <v>1</v>
      </c>
      <c r="BD16" t="n">
        <v>5</v>
      </c>
    </row>
    <row r="17">
      <c r="A17" t="inlineStr">
        <is>
          <t>Ollie Watkins</t>
        </is>
      </c>
      <c r="B17" t="inlineStr">
        <is>
          <t>AVL</t>
        </is>
      </c>
      <c r="C17" t="inlineStr">
        <is>
          <t>FWD</t>
        </is>
      </c>
      <c r="D17" t="inlineStr">
        <is>
          <t>FWD</t>
        </is>
      </c>
      <c r="E17" t="b">
        <v>1</v>
      </c>
      <c r="F17" s="2" t="n">
        <v>8</v>
      </c>
      <c r="G17" t="inlineStr">
        <is>
          <t>a</t>
        </is>
      </c>
      <c r="I17" s="2" t="n">
        <v>2833</v>
      </c>
      <c r="J17" t="n">
        <v>167</v>
      </c>
      <c r="K17" s="3" t="n">
        <v>2679</v>
      </c>
      <c r="L17" t="inlineStr">
        <is>
          <t>flat</t>
        </is>
      </c>
      <c r="M17" s="4" t="n">
        <v>2679</v>
      </c>
      <c r="N17" t="inlineStr">
        <is>
          <t>Solio</t>
        </is>
      </c>
      <c r="O17" s="5" t="n">
        <v>82</v>
      </c>
      <c r="P17" t="b">
        <v>1</v>
      </c>
      <c r="Q17" s="5">
        <f>IF(N(O17)&lt;=0,0,MIN(Assumptions!$B$15,N(M17)/N(O17)))</f>
        <v/>
      </c>
      <c r="R17" s="4" t="n">
        <v>0.273</v>
      </c>
      <c r="S17" s="3" t="n">
        <v>0.5014999999999999</v>
      </c>
      <c r="T17" t="inlineStr">
        <is>
          <t>adjusted xGOT</t>
        </is>
      </c>
      <c r="U17" s="3" t="n">
        <v>1</v>
      </c>
      <c r="V17" s="3" t="n">
        <v>1.025</v>
      </c>
      <c r="W17" s="3" t="n">
        <v>63.4</v>
      </c>
      <c r="X17" s="3" t="n">
        <v>0.0635</v>
      </c>
      <c r="Y17" s="3" t="n">
        <v>3.352</v>
      </c>
      <c r="Z17" s="3" t="n">
        <v>8.422326223833654e-05</v>
      </c>
      <c r="AA17" s="3" t="n">
        <v>0.826</v>
      </c>
      <c r="AB17" s="3" t="n">
        <v>69</v>
      </c>
      <c r="AC17" s="3" t="n">
        <v>2.7451</v>
      </c>
      <c r="AD17" s="3" t="n">
        <v>1.3575</v>
      </c>
      <c r="AE17" s="3" t="n">
        <v>-0.1306008267290482</v>
      </c>
      <c r="AF17" s="4" t="n">
        <v>0.7635839833842955</v>
      </c>
      <c r="AG17" s="3" t="n">
        <v>0</v>
      </c>
      <c r="AH17" s="3" t="n">
        <v>2.006</v>
      </c>
      <c r="AI17" s="3" t="n">
        <v>0.25146</v>
      </c>
      <c r="AJ17" s="3">
        <f>N(R17)*N(BC17)</f>
        <v/>
      </c>
      <c r="AK17" s="3" t="n">
        <v>0.826</v>
      </c>
      <c r="AL17" s="3" t="n">
        <v>0</v>
      </c>
      <c r="AM17" s="3" t="n">
        <v>-0</v>
      </c>
      <c r="AN17" s="3" t="n">
        <v>-0.1306008267290482</v>
      </c>
      <c r="AO17" s="3">
        <f>SUM(AH17:AN17)</f>
        <v/>
      </c>
      <c r="AP17" s="5">
        <f>IF(OR(N(Q17)&lt;=0,N(BA17)=0),0,N(Q17)*IF(N(M17)/N(Q17)&gt;=60,N(BA17),1))</f>
        <v/>
      </c>
      <c r="AQ17" s="5">
        <f>N(Q17)*N(Z17)*N(BB17)</f>
        <v/>
      </c>
      <c r="AR17" s="5">
        <f>N(AF17)*(Assumptions!$B$13*N(BD17)-(1-Assumptions!$B$13)*Assumptions!$B$14)+N(AG17)</f>
        <v/>
      </c>
      <c r="AS17" s="5">
        <f>N(AO17)*N(M17)/90+N(AP17)+N(AQ17)+N(AR17)</f>
        <v/>
      </c>
      <c r="AT17" s="3">
        <f>IF(N(M17)&lt;=0,0,(N(AS17)-N(AR17))*90/N(M17))</f>
        <v/>
      </c>
      <c r="AU17" s="5">
        <f>IFERROR(AS17-VLOOKUP($C17,Assumptions!$A$36:$C$39,3,FALSE),"")</f>
        <v/>
      </c>
      <c r="AV17" s="3">
        <f>IFERROR(AU17/F17,"")</f>
        <v/>
      </c>
      <c r="AW17">
        <f>IF(AND($E17=TRUE,$C17="GKP"),AS17,"")</f>
        <v/>
      </c>
      <c r="AX17">
        <f>IF(AND($E17=TRUE,$C17="DEF"),AS17,"")</f>
        <v/>
      </c>
      <c r="AY17">
        <f>IF(AND($E17=TRUE,$C17="MID"),AS17,"")</f>
        <v/>
      </c>
      <c r="AZ17">
        <f>IF(AND($E17=TRUE,$C17="FWD"),AS17,"")</f>
        <v/>
      </c>
      <c r="BA17" t="n">
        <v>2</v>
      </c>
      <c r="BB17" t="n">
        <v>2</v>
      </c>
      <c r="BC17" t="n">
        <v>0</v>
      </c>
      <c r="BD17" t="n">
        <v>4</v>
      </c>
    </row>
    <row r="18">
      <c r="A18" t="inlineStr">
        <is>
          <t>Adrien Truffert</t>
        </is>
      </c>
      <c r="B18" t="inlineStr">
        <is>
          <t>BOU</t>
        </is>
      </c>
      <c r="C18" t="inlineStr">
        <is>
          <t>DEF</t>
        </is>
      </c>
      <c r="D18" t="inlineStr">
        <is>
          <t>DEF</t>
        </is>
      </c>
      <c r="E18" t="b">
        <v>1</v>
      </c>
      <c r="F18" s="2" t="n">
        <v>5.5</v>
      </c>
      <c r="G18" t="inlineStr">
        <is>
          <t>a</t>
        </is>
      </c>
      <c r="I18" s="2" t="n">
        <v>3378</v>
      </c>
      <c r="J18" t="n">
        <v>165</v>
      </c>
      <c r="K18" s="3" t="n">
        <v>3266</v>
      </c>
      <c r="L18" t="inlineStr">
        <is>
          <t>flat</t>
        </is>
      </c>
      <c r="M18" s="4" t="n">
        <v>3266</v>
      </c>
      <c r="N18" t="inlineStr">
        <is>
          <t>Solio</t>
        </is>
      </c>
      <c r="O18" s="5" t="n">
        <v>88.90000000000001</v>
      </c>
      <c r="P18" t="b">
        <v>1</v>
      </c>
      <c r="Q18" s="5">
        <f>IF(N(O18)&lt;=0,0,MIN(Assumptions!$B$15,N(M18)/N(O18)))</f>
        <v/>
      </c>
      <c r="R18" s="4" t="n">
        <v>0.23</v>
      </c>
      <c r="S18" s="3" t="n">
        <v>0.0369</v>
      </c>
      <c r="T18" t="inlineStr">
        <is>
          <t>adjusted xGOT</t>
        </is>
      </c>
      <c r="U18" s="3" t="n">
        <v>1</v>
      </c>
      <c r="V18" s="3" t="n">
        <v>1.027</v>
      </c>
      <c r="W18" s="3" t="n">
        <v>1.4</v>
      </c>
      <c r="X18" s="3" t="n">
        <v>0.09959999999999999</v>
      </c>
      <c r="Y18" s="3" t="n">
        <v>7.961</v>
      </c>
      <c r="Z18" s="3" t="n">
        <v>0.2666145035535918</v>
      </c>
      <c r="AA18" s="3" t="n">
        <v>0.5062</v>
      </c>
      <c r="AB18" s="3" t="n">
        <v>76</v>
      </c>
      <c r="AC18" s="3" t="n">
        <v>3.0957</v>
      </c>
      <c r="AD18" s="3" t="n">
        <v>1.53</v>
      </c>
      <c r="AE18" s="3" t="n">
        <v>-0.1693904092894715</v>
      </c>
      <c r="AF18" s="4" t="n">
        <v>0</v>
      </c>
      <c r="AG18" s="3" t="n">
        <v>0</v>
      </c>
      <c r="AH18" s="3" t="n">
        <v>0.2214</v>
      </c>
      <c r="AI18" s="3" t="n">
        <v>0.3944159999999999</v>
      </c>
      <c r="AJ18" s="3">
        <f>N(R18)*N(BC18)</f>
        <v/>
      </c>
      <c r="AK18" s="3" t="n">
        <v>0.5062</v>
      </c>
      <c r="AL18" s="3" t="n">
        <v>0</v>
      </c>
      <c r="AM18" s="3" t="n">
        <v>-0.5267219238049191</v>
      </c>
      <c r="AN18" s="3" t="n">
        <v>-0.1693904092894715</v>
      </c>
      <c r="AO18" s="3">
        <f>SUM(AH18:AN18)</f>
        <v/>
      </c>
      <c r="AP18" s="5">
        <f>IF(OR(N(Q18)&lt;=0,N(BA18)=0),0,N(Q18)*IF(N(M18)/N(Q18)&gt;=60,N(BA18),1))</f>
        <v/>
      </c>
      <c r="AQ18" s="5">
        <f>N(Q18)*N(Z18)*N(BB18)</f>
        <v/>
      </c>
      <c r="AR18" s="5">
        <f>N(AF18)*(Assumptions!$B$13*N(BD18)-(1-Assumptions!$B$13)*Assumptions!$B$14)+N(AG18)</f>
        <v/>
      </c>
      <c r="AS18" s="5">
        <f>N(AO18)*N(M18)/90+N(AP18)+N(AQ18)+N(AR18)</f>
        <v/>
      </c>
      <c r="AT18" s="3">
        <f>IF(N(M18)&lt;=0,0,(N(AS18)-N(AR18))*90/N(M18))</f>
        <v/>
      </c>
      <c r="AU18" s="5">
        <f>IFERROR(AS18-VLOOKUP($C18,Assumptions!$A$36:$C$39,3,FALSE),"")</f>
        <v/>
      </c>
      <c r="AV18" s="3">
        <f>IFERROR(AU18/F18,"")</f>
        <v/>
      </c>
      <c r="AW18">
        <f>IF(AND($E18=TRUE,$C18="GKP"),AS18,"")</f>
        <v/>
      </c>
      <c r="AX18">
        <f>IF(AND($E18=TRUE,$C18="DEF"),AS18,"")</f>
        <v/>
      </c>
      <c r="AY18">
        <f>IF(AND($E18=TRUE,$C18="MID"),AS18,"")</f>
        <v/>
      </c>
      <c r="AZ18">
        <f>IF(AND($E18=TRUE,$C18="FWD"),AS18,"")</f>
        <v/>
      </c>
      <c r="BA18" t="n">
        <v>2</v>
      </c>
      <c r="BB18" t="n">
        <v>2</v>
      </c>
      <c r="BC18" t="n">
        <v>4</v>
      </c>
      <c r="BD18" t="n">
        <v>6</v>
      </c>
    </row>
    <row r="19">
      <c r="A19" t="inlineStr">
        <is>
          <t>David Raya</t>
        </is>
      </c>
      <c r="B19" t="inlineStr">
        <is>
          <t>ARS</t>
        </is>
      </c>
      <c r="C19" t="inlineStr">
        <is>
          <t>GKP</t>
        </is>
      </c>
      <c r="D19" t="inlineStr">
        <is>
          <t>GKP</t>
        </is>
      </c>
      <c r="E19" t="b">
        <v>1</v>
      </c>
      <c r="F19" s="2" t="n">
        <v>6</v>
      </c>
      <c r="G19" t="inlineStr">
        <is>
          <t>a</t>
        </is>
      </c>
      <c r="I19" s="2" t="n">
        <v>3330</v>
      </c>
      <c r="J19" t="n">
        <v>162</v>
      </c>
      <c r="K19" s="3" t="n">
        <v>3385</v>
      </c>
      <c r="L19" t="inlineStr">
        <is>
          <t>flat</t>
        </is>
      </c>
      <c r="M19" s="4" t="n">
        <v>3385</v>
      </c>
      <c r="N19" t="inlineStr">
        <is>
          <t>Solio</t>
        </is>
      </c>
      <c r="O19" s="5" t="n">
        <v>90</v>
      </c>
      <c r="P19" t="b">
        <v>1</v>
      </c>
      <c r="Q19" s="5">
        <f>IF(N(O19)&lt;=0,0,MIN(Assumptions!$B$15,N(M19)/N(O19)))</f>
        <v/>
      </c>
      <c r="R19" s="4" t="n">
        <v>0.391</v>
      </c>
      <c r="S19" s="3" t="n">
        <v>0</v>
      </c>
      <c r="T19" t="inlineStr">
        <is>
          <t>adjusted xGOT</t>
        </is>
      </c>
      <c r="U19" s="3" t="n">
        <v>1</v>
      </c>
      <c r="V19" s="3" t="n">
        <v>0.986</v>
      </c>
      <c r="W19" s="3" t="n">
        <v>0.1</v>
      </c>
      <c r="X19" s="3" t="n">
        <v>0.003</v>
      </c>
      <c r="Y19" s="3" t="n">
        <v>0</v>
      </c>
      <c r="Z19" s="3" t="n">
        <v>0</v>
      </c>
      <c r="AA19" s="3" t="n">
        <v>0.2973</v>
      </c>
      <c r="AB19" s="3" t="n">
        <v>74</v>
      </c>
      <c r="AC19" s="3" t="n">
        <v>2.067</v>
      </c>
      <c r="AD19" s="3" t="n">
        <v>0.9838</v>
      </c>
      <c r="AE19" s="3" t="n">
        <v>-0.056840824704898</v>
      </c>
      <c r="AF19" s="4" t="n">
        <v>0</v>
      </c>
      <c r="AG19" s="3" t="n">
        <v>2.07881333697145</v>
      </c>
      <c r="AH19" s="3" t="n">
        <v>0</v>
      </c>
      <c r="AI19" s="3" t="n">
        <v>0.01188</v>
      </c>
      <c r="AJ19" s="3">
        <f>N(R19)*N(BC19)</f>
        <v/>
      </c>
      <c r="AK19" s="3" t="n">
        <v>0.2973</v>
      </c>
      <c r="AL19" s="3" t="n">
        <v>0.3608597487600056</v>
      </c>
      <c r="AM19" s="3" t="n">
        <v>-0.2768479886568037</v>
      </c>
      <c r="AN19" s="3" t="n">
        <v>-0.056840824704898</v>
      </c>
      <c r="AO19" s="3">
        <f>SUM(AH19:AN19)</f>
        <v/>
      </c>
      <c r="AP19" s="5">
        <f>IF(OR(N(Q19)&lt;=0,N(BA19)=0),0,N(Q19)*IF(N(M19)/N(Q19)&gt;=60,N(BA19),1))</f>
        <v/>
      </c>
      <c r="AQ19" s="5">
        <f>N(Q19)*N(Z19)*N(BB19)</f>
        <v/>
      </c>
      <c r="AR19" s="5">
        <f>N(AF19)*(Assumptions!$B$13*N(BD19)-(1-Assumptions!$B$13)*Assumptions!$B$14)+N(AG19)</f>
        <v/>
      </c>
      <c r="AS19" s="5">
        <f>N(AO19)*N(M19)/90+N(AP19)+N(AQ19)+N(AR19)</f>
        <v/>
      </c>
      <c r="AT19" s="3">
        <f>IF(N(M19)&lt;=0,0,(N(AS19)-N(AR19))*90/N(M19))</f>
        <v/>
      </c>
      <c r="AU19" s="5">
        <f>IFERROR(AS19-VLOOKUP($C19,Assumptions!$A$36:$C$39,3,FALSE),"")</f>
        <v/>
      </c>
      <c r="AV19" s="3">
        <f>IFERROR(AU19/F19,"")</f>
        <v/>
      </c>
      <c r="AW19">
        <f>IF(AND($E19=TRUE,$C19="GKP"),AS19,"")</f>
        <v/>
      </c>
      <c r="AX19">
        <f>IF(AND($E19=TRUE,$C19="DEF"),AS19,"")</f>
        <v/>
      </c>
      <c r="AY19">
        <f>IF(AND($E19=TRUE,$C19="MID"),AS19,"")</f>
        <v/>
      </c>
      <c r="AZ19">
        <f>IF(AND($E19=TRUE,$C19="FWD"),AS19,"")</f>
        <v/>
      </c>
      <c r="BA19" t="n">
        <v>2</v>
      </c>
      <c r="BB19" t="n">
        <v>0</v>
      </c>
      <c r="BC19" t="n">
        <v>4</v>
      </c>
      <c r="BD19" t="n">
        <v>10</v>
      </c>
    </row>
    <row r="20">
      <c r="A20" t="inlineStr">
        <is>
          <t>Dominik Szoboszlai</t>
        </is>
      </c>
      <c r="B20" t="inlineStr">
        <is>
          <t>LIV</t>
        </is>
      </c>
      <c r="C20" t="inlineStr">
        <is>
          <t>MID</t>
        </is>
      </c>
      <c r="D20" t="inlineStr">
        <is>
          <t>MID</t>
        </is>
      </c>
      <c r="E20" t="b">
        <v>1</v>
      </c>
      <c r="F20" s="2" t="n">
        <v>7</v>
      </c>
      <c r="G20" t="inlineStr">
        <is>
          <t>a</t>
        </is>
      </c>
      <c r="I20" s="2" t="n">
        <v>3232</v>
      </c>
      <c r="J20" t="n">
        <v>160</v>
      </c>
      <c r="K20" s="3" t="n">
        <v>3344</v>
      </c>
      <c r="L20" t="inlineStr">
        <is>
          <t>flat</t>
        </is>
      </c>
      <c r="M20" s="4" t="n">
        <v>3344</v>
      </c>
      <c r="N20" t="inlineStr">
        <is>
          <t>Solio</t>
        </is>
      </c>
      <c r="O20" s="5" t="n">
        <v>89.8</v>
      </c>
      <c r="P20" t="b">
        <v>1</v>
      </c>
      <c r="Q20" s="5">
        <f>IF(N(O20)&lt;=0,0,MIN(Assumptions!$B$15,N(M20)/N(O20)))</f>
        <v/>
      </c>
      <c r="R20" s="4" t="n">
        <v>0.342</v>
      </c>
      <c r="S20" s="3" t="n">
        <v>0.0886</v>
      </c>
      <c r="T20" t="inlineStr">
        <is>
          <t>adjusted xGOT</t>
        </is>
      </c>
      <c r="U20" s="3" t="n">
        <v>0.839</v>
      </c>
      <c r="V20" s="3" t="n">
        <v>0.797</v>
      </c>
      <c r="W20" s="3" t="n">
        <v>15.3</v>
      </c>
      <c r="X20" s="3" t="n">
        <v>0.2181</v>
      </c>
      <c r="Y20" s="3" t="n">
        <v>9.26</v>
      </c>
      <c r="Z20" s="3" t="n">
        <v>0.220818506298012</v>
      </c>
      <c r="AA20" s="3" t="n">
        <v>0.5848</v>
      </c>
      <c r="AB20" s="3" t="n">
        <v>72</v>
      </c>
      <c r="AC20" s="3" t="n">
        <v>2.409</v>
      </c>
      <c r="AD20" s="3" t="n">
        <v>1.1228</v>
      </c>
      <c r="AE20" s="3" t="n">
        <v>-0.2118356850631689</v>
      </c>
      <c r="AF20" s="4" t="n">
        <v>2.165971915184847</v>
      </c>
      <c r="AG20" s="3" t="n">
        <v>0</v>
      </c>
      <c r="AH20" s="3" t="n">
        <v>0.443</v>
      </c>
      <c r="AI20" s="3" t="n">
        <v>0.863676</v>
      </c>
      <c r="AJ20" s="3">
        <f>N(R20)*N(BC20)</f>
        <v/>
      </c>
      <c r="AK20" s="3" t="n">
        <v>0.5848</v>
      </c>
      <c r="AL20" s="3" t="n">
        <v>0</v>
      </c>
      <c r="AM20" s="3" t="n">
        <v>-0</v>
      </c>
      <c r="AN20" s="3" t="n">
        <v>-0.2118356850631689</v>
      </c>
      <c r="AO20" s="3">
        <f>SUM(AH20:AN20)</f>
        <v/>
      </c>
      <c r="AP20" s="5">
        <f>IF(OR(N(Q20)&lt;=0,N(BA20)=0),0,N(Q20)*IF(N(M20)/N(Q20)&gt;=60,N(BA20),1))</f>
        <v/>
      </c>
      <c r="AQ20" s="5">
        <f>N(Q20)*N(Z20)*N(BB20)</f>
        <v/>
      </c>
      <c r="AR20" s="5">
        <f>N(AF20)*(Assumptions!$B$13*N(BD20)-(1-Assumptions!$B$13)*Assumptions!$B$14)+N(AG20)</f>
        <v/>
      </c>
      <c r="AS20" s="5">
        <f>N(AO20)*N(M20)/90+N(AP20)+N(AQ20)+N(AR20)</f>
        <v/>
      </c>
      <c r="AT20" s="3">
        <f>IF(N(M20)&lt;=0,0,(N(AS20)-N(AR20))*90/N(M20))</f>
        <v/>
      </c>
      <c r="AU20" s="5">
        <f>IFERROR(AS20-VLOOKUP($C20,Assumptions!$A$36:$C$39,3,FALSE),"")</f>
        <v/>
      </c>
      <c r="AV20" s="3">
        <f>IFERROR(AU20/F20,"")</f>
        <v/>
      </c>
      <c r="AW20">
        <f>IF(AND($E20=TRUE,$C20="GKP"),AS20,"")</f>
        <v/>
      </c>
      <c r="AX20">
        <f>IF(AND($E20=TRUE,$C20="DEF"),AS20,"")</f>
        <v/>
      </c>
      <c r="AY20">
        <f>IF(AND($E20=TRUE,$C20="MID"),AS20,"")</f>
        <v/>
      </c>
      <c r="AZ20">
        <f>IF(AND($E20=TRUE,$C20="FWD"),AS20,"")</f>
        <v/>
      </c>
      <c r="BA20" t="n">
        <v>2</v>
      </c>
      <c r="BB20" t="n">
        <v>2</v>
      </c>
      <c r="BC20" t="n">
        <v>1</v>
      </c>
      <c r="BD20" t="n">
        <v>5</v>
      </c>
    </row>
    <row r="21">
      <c r="A21" t="inlineStr">
        <is>
          <t>Nico O'Reilly</t>
        </is>
      </c>
      <c r="B21" t="inlineStr">
        <is>
          <t>MCI</t>
        </is>
      </c>
      <c r="C21" t="inlineStr">
        <is>
          <t>DEF</t>
        </is>
      </c>
      <c r="D21" t="inlineStr">
        <is>
          <t>DEF</t>
        </is>
      </c>
      <c r="E21" t="b">
        <v>1</v>
      </c>
      <c r="F21" s="2" t="n">
        <v>6.5</v>
      </c>
      <c r="G21" t="inlineStr">
        <is>
          <t>a</t>
        </is>
      </c>
      <c r="I21" s="2" t="n">
        <v>2643</v>
      </c>
      <c r="J21" t="n">
        <v>160</v>
      </c>
      <c r="K21" s="3" t="n">
        <v>2753</v>
      </c>
      <c r="L21" t="inlineStr">
        <is>
          <t>flat</t>
        </is>
      </c>
      <c r="M21" s="4" t="n">
        <v>2753</v>
      </c>
      <c r="N21" t="inlineStr">
        <is>
          <t>Solio</t>
        </is>
      </c>
      <c r="O21" s="5" t="n">
        <v>86.59999999999999</v>
      </c>
      <c r="P21" t="b">
        <v>1</v>
      </c>
      <c r="Q21" s="5">
        <f>IF(N(O21)&lt;=0,0,MIN(Assumptions!$B$15,N(M21)/N(O21)))</f>
        <v/>
      </c>
      <c r="R21" s="4" t="n">
        <v>0.371</v>
      </c>
      <c r="S21" s="3" t="n">
        <v>0.2165</v>
      </c>
      <c r="T21" t="inlineStr">
        <is>
          <t>adjusted xGOT</t>
        </is>
      </c>
      <c r="U21" s="3" t="n">
        <v>1</v>
      </c>
      <c r="V21" s="3" t="n">
        <v>1.039</v>
      </c>
      <c r="W21" s="3" t="n">
        <v>7.4</v>
      </c>
      <c r="X21" s="3" t="n">
        <v>0.111</v>
      </c>
      <c r="Y21" s="3" t="n">
        <v>6.248</v>
      </c>
      <c r="Z21" s="3" t="n">
        <v>0.08475009478442286</v>
      </c>
      <c r="AA21" s="3" t="n">
        <v>0.3746</v>
      </c>
      <c r="AB21" s="3" t="n">
        <v>62</v>
      </c>
      <c r="AC21" s="3" t="n">
        <v>1.9737</v>
      </c>
      <c r="AD21" s="3" t="n">
        <v>1.0365</v>
      </c>
      <c r="AE21" s="3" t="n">
        <v>-0.1835423809503319</v>
      </c>
      <c r="AF21" s="4" t="n">
        <v>0</v>
      </c>
      <c r="AG21" s="3" t="n">
        <v>0</v>
      </c>
      <c r="AH21" s="3" t="n">
        <v>1.299</v>
      </c>
      <c r="AI21" s="3" t="n">
        <v>0.4395600000000001</v>
      </c>
      <c r="AJ21" s="3">
        <f>N(R21)*N(BC21)</f>
        <v/>
      </c>
      <c r="AK21" s="3" t="n">
        <v>0.3746</v>
      </c>
      <c r="AL21" s="3" t="n">
        <v>0</v>
      </c>
      <c r="AM21" s="3" t="n">
        <v>-0.2997019479071323</v>
      </c>
      <c r="AN21" s="3" t="n">
        <v>-0.1835423809503319</v>
      </c>
      <c r="AO21" s="3">
        <f>SUM(AH21:AN21)</f>
        <v/>
      </c>
      <c r="AP21" s="5">
        <f>IF(OR(N(Q21)&lt;=0,N(BA21)=0),0,N(Q21)*IF(N(M21)/N(Q21)&gt;=60,N(BA21),1))</f>
        <v/>
      </c>
      <c r="AQ21" s="5">
        <f>N(Q21)*N(Z21)*N(BB21)</f>
        <v/>
      </c>
      <c r="AR21" s="5">
        <f>N(AF21)*(Assumptions!$B$13*N(BD21)-(1-Assumptions!$B$13)*Assumptions!$B$14)+N(AG21)</f>
        <v/>
      </c>
      <c r="AS21" s="5">
        <f>N(AO21)*N(M21)/90+N(AP21)+N(AQ21)+N(AR21)</f>
        <v/>
      </c>
      <c r="AT21" s="3">
        <f>IF(N(M21)&lt;=0,0,(N(AS21)-N(AR21))*90/N(M21))</f>
        <v/>
      </c>
      <c r="AU21" s="5">
        <f>IFERROR(AS21-VLOOKUP($C21,Assumptions!$A$36:$C$39,3,FALSE),"")</f>
        <v/>
      </c>
      <c r="AV21" s="3">
        <f>IFERROR(AU21/F21,"")</f>
        <v/>
      </c>
      <c r="AW21">
        <f>IF(AND($E21=TRUE,$C21="GKP"),AS21,"")</f>
        <v/>
      </c>
      <c r="AX21">
        <f>IF(AND($E21=TRUE,$C21="DEF"),AS21,"")</f>
        <v/>
      </c>
      <c r="AY21">
        <f>IF(AND($E21=TRUE,$C21="MID"),AS21,"")</f>
        <v/>
      </c>
      <c r="AZ21">
        <f>IF(AND($E21=TRUE,$C21="FWD"),AS21,"")</f>
        <v/>
      </c>
      <c r="BA21" t="n">
        <v>2</v>
      </c>
      <c r="BB21" t="n">
        <v>2</v>
      </c>
      <c r="BC21" t="n">
        <v>4</v>
      </c>
      <c r="BD21" t="n">
        <v>6</v>
      </c>
    </row>
    <row r="22">
      <c r="A22" t="inlineStr">
        <is>
          <t>James Garner</t>
        </is>
      </c>
      <c r="B22" t="inlineStr">
        <is>
          <t>EVE</t>
        </is>
      </c>
      <c r="C22" t="inlineStr">
        <is>
          <t>MID</t>
        </is>
      </c>
      <c r="D22" t="inlineStr">
        <is>
          <t>MID</t>
        </is>
      </c>
      <c r="E22" t="b">
        <v>1</v>
      </c>
      <c r="F22" s="2" t="n">
        <v>6</v>
      </c>
      <c r="G22" t="inlineStr">
        <is>
          <t>i</t>
        </is>
      </c>
      <c r="H22" t="inlineStr">
        <is>
          <t>Groin injury - Expected back 22 Aug</t>
        </is>
      </c>
      <c r="I22" s="2" t="n">
        <v>3413</v>
      </c>
      <c r="J22" t="n">
        <v>159</v>
      </c>
      <c r="K22" s="3" t="n">
        <v>3310</v>
      </c>
      <c r="L22" t="inlineStr">
        <is>
          <t>flat</t>
        </is>
      </c>
      <c r="M22" s="4" t="n">
        <v>3310</v>
      </c>
      <c r="N22" t="inlineStr">
        <is>
          <t>Solio</t>
        </is>
      </c>
      <c r="O22" s="5" t="n">
        <v>89.8</v>
      </c>
      <c r="P22" t="b">
        <v>1</v>
      </c>
      <c r="Q22" s="5">
        <f>IF(N(O22)&lt;=0,0,MIN(Assumptions!$B$15,N(M22)/N(O22)))</f>
        <v/>
      </c>
      <c r="R22" s="4" t="n">
        <v>0.231</v>
      </c>
      <c r="S22" s="3" t="n">
        <v>0.0507</v>
      </c>
      <c r="T22" t="inlineStr">
        <is>
          <t>adjusted xGOT</t>
        </is>
      </c>
      <c r="U22" s="3" t="n">
        <v>1</v>
      </c>
      <c r="V22" s="3" t="n">
        <v>0.916</v>
      </c>
      <c r="W22" s="3" t="n">
        <v>6.1</v>
      </c>
      <c r="X22" s="3" t="n">
        <v>0.1615</v>
      </c>
      <c r="Y22" s="3" t="n">
        <v>11.468</v>
      </c>
      <c r="Z22" s="3" t="n">
        <v>0.4734066288200607</v>
      </c>
      <c r="AA22" s="3" t="n">
        <v>0.3164</v>
      </c>
      <c r="AB22" s="3" t="n">
        <v>76</v>
      </c>
      <c r="AC22" s="3" t="n">
        <v>3.0311</v>
      </c>
      <c r="AD22" s="3" t="n">
        <v>1.5252</v>
      </c>
      <c r="AE22" s="3" t="n">
        <v>-0.2862280811763025</v>
      </c>
      <c r="AF22" s="4" t="n">
        <v>0.07930555085420241</v>
      </c>
      <c r="AG22" s="3" t="n">
        <v>0</v>
      </c>
      <c r="AH22" s="3" t="n">
        <v>0.2535</v>
      </c>
      <c r="AI22" s="3" t="n">
        <v>0.6395400000000001</v>
      </c>
      <c r="AJ22" s="3">
        <f>N(R22)*N(BC22)</f>
        <v/>
      </c>
      <c r="AK22" s="3" t="n">
        <v>0.3164</v>
      </c>
      <c r="AL22" s="3" t="n">
        <v>0</v>
      </c>
      <c r="AM22" s="3" t="n">
        <v>-0</v>
      </c>
      <c r="AN22" s="3" t="n">
        <v>-0.2862280811763025</v>
      </c>
      <c r="AO22" s="3">
        <f>SUM(AH22:AN22)</f>
        <v/>
      </c>
      <c r="AP22" s="5">
        <f>IF(OR(N(Q22)&lt;=0,N(BA22)=0),0,N(Q22)*IF(N(M22)/N(Q22)&gt;=60,N(BA22),1))</f>
        <v/>
      </c>
      <c r="AQ22" s="5">
        <f>N(Q22)*N(Z22)*N(BB22)</f>
        <v/>
      </c>
      <c r="AR22" s="5">
        <f>N(AF22)*(Assumptions!$B$13*N(BD22)-(1-Assumptions!$B$13)*Assumptions!$B$14)+N(AG22)</f>
        <v/>
      </c>
      <c r="AS22" s="5">
        <f>N(AO22)*N(M22)/90+N(AP22)+N(AQ22)+N(AR22)</f>
        <v/>
      </c>
      <c r="AT22" s="3">
        <f>IF(N(M22)&lt;=0,0,(N(AS22)-N(AR22))*90/N(M22))</f>
        <v/>
      </c>
      <c r="AU22" s="5">
        <f>IFERROR(AS22-VLOOKUP($C22,Assumptions!$A$36:$C$39,3,FALSE),"")</f>
        <v/>
      </c>
      <c r="AV22" s="3">
        <f>IFERROR(AU22/F22,"")</f>
        <v/>
      </c>
      <c r="AW22">
        <f>IF(AND($E22=TRUE,$C22="GKP"),AS22,"")</f>
        <v/>
      </c>
      <c r="AX22">
        <f>IF(AND($E22=TRUE,$C22="DEF"),AS22,"")</f>
        <v/>
      </c>
      <c r="AY22">
        <f>IF(AND($E22=TRUE,$C22="MID"),AS22,"")</f>
        <v/>
      </c>
      <c r="AZ22">
        <f>IF(AND($E22=TRUE,$C22="FWD"),AS22,"")</f>
        <v/>
      </c>
      <c r="BA22" t="n">
        <v>2</v>
      </c>
      <c r="BB22" t="n">
        <v>2</v>
      </c>
      <c r="BC22" t="n">
        <v>1</v>
      </c>
      <c r="BD22" t="n">
        <v>5</v>
      </c>
    </row>
    <row r="23">
      <c r="A23" t="inlineStr">
        <is>
          <t>Enzo Fernández</t>
        </is>
      </c>
      <c r="B23" t="inlineStr">
        <is>
          <t>CHE</t>
        </is>
      </c>
      <c r="C23" t="inlineStr">
        <is>
          <t>MID</t>
        </is>
      </c>
      <c r="D23" t="inlineStr">
        <is>
          <t>MID</t>
        </is>
      </c>
      <c r="E23" t="b">
        <v>1</v>
      </c>
      <c r="F23" s="2" t="n">
        <v>7</v>
      </c>
      <c r="G23" t="inlineStr">
        <is>
          <t>a</t>
        </is>
      </c>
      <c r="I23" s="2" t="n">
        <v>3114</v>
      </c>
      <c r="J23" t="n">
        <v>157</v>
      </c>
      <c r="K23" s="3" t="n">
        <v>3146</v>
      </c>
      <c r="L23" t="inlineStr">
        <is>
          <t>flat</t>
        </is>
      </c>
      <c r="M23" s="4" t="n">
        <v>3146</v>
      </c>
      <c r="N23" t="inlineStr">
        <is>
          <t>Solio</t>
        </is>
      </c>
      <c r="O23" s="5" t="n">
        <v>87.90000000000001</v>
      </c>
      <c r="P23" t="b">
        <v>1</v>
      </c>
      <c r="Q23" s="5">
        <f>IF(N(O23)&lt;=0,0,MIN(Assumptions!$B$15,N(M23)/N(O23)))</f>
        <v/>
      </c>
      <c r="R23" s="4" t="n">
        <v>0.322</v>
      </c>
      <c r="S23" s="3" t="n">
        <v>0.3008</v>
      </c>
      <c r="T23" t="inlineStr">
        <is>
          <t>adjusted xGOT</t>
        </is>
      </c>
      <c r="U23" s="3" t="n">
        <v>0.872</v>
      </c>
      <c r="V23" s="3" t="n">
        <v>1.06</v>
      </c>
      <c r="W23" s="3" t="n">
        <v>24</v>
      </c>
      <c r="X23" s="3" t="n">
        <v>0.233</v>
      </c>
      <c r="Y23" s="3" t="n">
        <v>7.338</v>
      </c>
      <c r="Z23" s="3" t="n">
        <v>0.06124562570533676</v>
      </c>
      <c r="AA23" s="3" t="n">
        <v>0.5491</v>
      </c>
      <c r="AB23" s="3" t="n">
        <v>71</v>
      </c>
      <c r="AC23" s="3" t="n">
        <v>2.4232</v>
      </c>
      <c r="AD23" s="3" t="n">
        <v>1.1851</v>
      </c>
      <c r="AE23" s="3" t="n">
        <v>-0.2764082197869656</v>
      </c>
      <c r="AF23" s="4" t="n">
        <v>0.8435822915217317</v>
      </c>
      <c r="AG23" s="3" t="n">
        <v>0</v>
      </c>
      <c r="AH23" s="3" t="n">
        <v>1.504</v>
      </c>
      <c r="AI23" s="3" t="n">
        <v>0.9226800000000002</v>
      </c>
      <c r="AJ23" s="3">
        <f>N(R23)*N(BC23)</f>
        <v/>
      </c>
      <c r="AK23" s="3" t="n">
        <v>0.5491</v>
      </c>
      <c r="AL23" s="3" t="n">
        <v>0</v>
      </c>
      <c r="AM23" s="3" t="n">
        <v>-0</v>
      </c>
      <c r="AN23" s="3" t="n">
        <v>-0.2764082197869656</v>
      </c>
      <c r="AO23" s="3">
        <f>SUM(AH23:AN23)</f>
        <v/>
      </c>
      <c r="AP23" s="5">
        <f>IF(OR(N(Q23)&lt;=0,N(BA23)=0),0,N(Q23)*IF(N(M23)/N(Q23)&gt;=60,N(BA23),1))</f>
        <v/>
      </c>
      <c r="AQ23" s="5">
        <f>N(Q23)*N(Z23)*N(BB23)</f>
        <v/>
      </c>
      <c r="AR23" s="5">
        <f>N(AF23)*(Assumptions!$B$13*N(BD23)-(1-Assumptions!$B$13)*Assumptions!$B$14)+N(AG23)</f>
        <v/>
      </c>
      <c r="AS23" s="5">
        <f>N(AO23)*N(M23)/90+N(AP23)+N(AQ23)+N(AR23)</f>
        <v/>
      </c>
      <c r="AT23" s="3">
        <f>IF(N(M23)&lt;=0,0,(N(AS23)-N(AR23))*90/N(M23))</f>
        <v/>
      </c>
      <c r="AU23" s="5">
        <f>IFERROR(AS23-VLOOKUP($C23,Assumptions!$A$36:$C$39,3,FALSE),"")</f>
        <v/>
      </c>
      <c r="AV23" s="3">
        <f>IFERROR(AU23/F23,"")</f>
        <v/>
      </c>
      <c r="AW23">
        <f>IF(AND($E23=TRUE,$C23="GKP"),AS23,"")</f>
        <v/>
      </c>
      <c r="AX23">
        <f>IF(AND($E23=TRUE,$C23="DEF"),AS23,"")</f>
        <v/>
      </c>
      <c r="AY23">
        <f>IF(AND($E23=TRUE,$C23="MID"),AS23,"")</f>
        <v/>
      </c>
      <c r="AZ23">
        <f>IF(AND($E23=TRUE,$C23="FWD"),AS23,"")</f>
        <v/>
      </c>
      <c r="BA23" t="n">
        <v>2</v>
      </c>
      <c r="BB23" t="n">
        <v>2</v>
      </c>
      <c r="BC23" t="n">
        <v>1</v>
      </c>
      <c r="BD23" t="n">
        <v>5</v>
      </c>
    </row>
    <row r="24">
      <c r="A24" t="inlineStr">
        <is>
          <t>Bukayo Saka</t>
        </is>
      </c>
      <c r="B24" t="inlineStr">
        <is>
          <t>ARS</t>
        </is>
      </c>
      <c r="C24" t="inlineStr">
        <is>
          <t>MID</t>
        </is>
      </c>
      <c r="D24" t="inlineStr">
        <is>
          <t>MID</t>
        </is>
      </c>
      <c r="E24" t="b">
        <v>1</v>
      </c>
      <c r="F24" s="2" t="n">
        <v>9.5</v>
      </c>
      <c r="G24" t="inlineStr">
        <is>
          <t>a</t>
        </is>
      </c>
      <c r="I24" s="2" t="n">
        <v>2218</v>
      </c>
      <c r="J24" t="n">
        <v>157</v>
      </c>
      <c r="K24" s="3" t="n">
        <v>2827</v>
      </c>
      <c r="L24" t="inlineStr">
        <is>
          <t>flat</t>
        </is>
      </c>
      <c r="M24" s="4" t="n">
        <v>2827</v>
      </c>
      <c r="N24" t="inlineStr">
        <is>
          <t>Solio</t>
        </is>
      </c>
      <c r="O24" s="5" t="n">
        <v>82.40000000000001</v>
      </c>
      <c r="P24" t="b">
        <v>1</v>
      </c>
      <c r="Q24" s="5">
        <f>IF(N(O24)&lt;=0,0,MIN(Assumptions!$B$15,N(M24)/N(O24)))</f>
        <v/>
      </c>
      <c r="R24" s="4" t="n">
        <v>0.391</v>
      </c>
      <c r="S24" s="3" t="n">
        <v>0.2699</v>
      </c>
      <c r="T24" t="inlineStr">
        <is>
          <t>adjusted xGOT</t>
        </is>
      </c>
      <c r="U24" s="3" t="n">
        <v>0.913</v>
      </c>
      <c r="V24" s="3" t="n">
        <v>0.963</v>
      </c>
      <c r="W24" s="3" t="n">
        <v>41.3</v>
      </c>
      <c r="X24" s="3" t="n">
        <v>0.3188</v>
      </c>
      <c r="Y24" s="3" t="n">
        <v>7.738</v>
      </c>
      <c r="Z24" s="3" t="n">
        <v>0.05726245324873003</v>
      </c>
      <c r="AA24" s="3" t="n">
        <v>0.6492</v>
      </c>
      <c r="AB24" s="3" t="n">
        <v>54</v>
      </c>
      <c r="AC24" s="3" t="n">
        <v>2.067</v>
      </c>
      <c r="AD24" s="3" t="n">
        <v>0.9838</v>
      </c>
      <c r="AE24" s="3" t="n">
        <v>-0.1485443152936058</v>
      </c>
      <c r="AF24" s="4" t="n">
        <v>5.487350807519032</v>
      </c>
      <c r="AG24" s="3" t="n">
        <v>0</v>
      </c>
      <c r="AH24" s="3" t="n">
        <v>1.3495</v>
      </c>
      <c r="AI24" s="3" t="n">
        <v>1.262448</v>
      </c>
      <c r="AJ24" s="3">
        <f>N(R24)*N(BC24)</f>
        <v/>
      </c>
      <c r="AK24" s="3" t="n">
        <v>0.6492</v>
      </c>
      <c r="AL24" s="3" t="n">
        <v>0</v>
      </c>
      <c r="AM24" s="3" t="n">
        <v>-0</v>
      </c>
      <c r="AN24" s="3" t="n">
        <v>-0.1485443152936058</v>
      </c>
      <c r="AO24" s="3">
        <f>SUM(AH24:AN24)</f>
        <v/>
      </c>
      <c r="AP24" s="5">
        <f>IF(OR(N(Q24)&lt;=0,N(BA24)=0),0,N(Q24)*IF(N(M24)/N(Q24)&gt;=60,N(BA24),1))</f>
        <v/>
      </c>
      <c r="AQ24" s="5">
        <f>N(Q24)*N(Z24)*N(BB24)</f>
        <v/>
      </c>
      <c r="AR24" s="5">
        <f>N(AF24)*(Assumptions!$B$13*N(BD24)-(1-Assumptions!$B$13)*Assumptions!$B$14)+N(AG24)</f>
        <v/>
      </c>
      <c r="AS24" s="5">
        <f>N(AO24)*N(M24)/90+N(AP24)+N(AQ24)+N(AR24)</f>
        <v/>
      </c>
      <c r="AT24" s="3">
        <f>IF(N(M24)&lt;=0,0,(N(AS24)-N(AR24))*90/N(M24))</f>
        <v/>
      </c>
      <c r="AU24" s="5">
        <f>IFERROR(AS24-VLOOKUP($C24,Assumptions!$A$36:$C$39,3,FALSE),"")</f>
        <v/>
      </c>
      <c r="AV24" s="3">
        <f>IFERROR(AU24/F24,"")</f>
        <v/>
      </c>
      <c r="AW24">
        <f>IF(AND($E24=TRUE,$C24="GKP"),AS24,"")</f>
        <v/>
      </c>
      <c r="AX24">
        <f>IF(AND($E24=TRUE,$C24="DEF"),AS24,"")</f>
        <v/>
      </c>
      <c r="AY24">
        <f>IF(AND($E24=TRUE,$C24="MID"),AS24,"")</f>
        <v/>
      </c>
      <c r="AZ24">
        <f>IF(AND($E24=TRUE,$C24="FWD"),AS24,"")</f>
        <v/>
      </c>
      <c r="BA24" t="n">
        <v>2</v>
      </c>
      <c r="BB24" t="n">
        <v>2</v>
      </c>
      <c r="BC24" t="n">
        <v>1</v>
      </c>
      <c r="BD24" t="n">
        <v>5</v>
      </c>
    </row>
    <row r="25">
      <c r="A25" t="inlineStr">
        <is>
          <t>Maxence Lacroix</t>
        </is>
      </c>
      <c r="B25" t="inlineStr">
        <is>
          <t>CHE</t>
        </is>
      </c>
      <c r="C25" t="inlineStr">
        <is>
          <t>DEF</t>
        </is>
      </c>
      <c r="D25" t="inlineStr">
        <is>
          <t>DEF</t>
        </is>
      </c>
      <c r="E25" t="b">
        <v>1</v>
      </c>
      <c r="F25" s="2" t="n">
        <v>6</v>
      </c>
      <c r="G25" t="inlineStr">
        <is>
          <t>a</t>
        </is>
      </c>
      <c r="I25" s="2" t="n">
        <v>3085</v>
      </c>
      <c r="J25" t="n">
        <v>154</v>
      </c>
      <c r="K25" s="3" t="n">
        <v>2189</v>
      </c>
      <c r="L25" t="inlineStr">
        <is>
          <t>flat</t>
        </is>
      </c>
      <c r="M25" s="4" t="n">
        <v>2189</v>
      </c>
      <c r="N25" t="inlineStr">
        <is>
          <t>Solio</t>
        </is>
      </c>
      <c r="O25" s="5" t="n">
        <v>88.09999999999999</v>
      </c>
      <c r="P25" t="b">
        <v>1</v>
      </c>
      <c r="Q25" s="5">
        <f>IF(N(O25)&lt;=0,0,MIN(Assumptions!$B$15,N(M25)/N(O25)))</f>
        <v/>
      </c>
      <c r="R25" s="4" t="n">
        <v>0.322</v>
      </c>
      <c r="S25" s="3" t="n">
        <v>0.0574</v>
      </c>
      <c r="T25" t="inlineStr">
        <is>
          <t>adjusted xGOT</t>
        </is>
      </c>
      <c r="U25" s="3" t="n">
        <v>1</v>
      </c>
      <c r="V25" s="3" t="n">
        <v>0.803</v>
      </c>
      <c r="W25" s="3" t="n">
        <v>6</v>
      </c>
      <c r="X25" s="3" t="n">
        <v>0.0309</v>
      </c>
      <c r="Y25" s="3" t="n">
        <v>10.206</v>
      </c>
      <c r="Z25" s="3" t="n">
        <v>0.5408861861894254</v>
      </c>
      <c r="AA25" s="3" t="n">
        <v>0.3501</v>
      </c>
      <c r="AB25" s="3" t="n">
        <v>69</v>
      </c>
      <c r="AC25" s="3" t="n">
        <v>2.4232</v>
      </c>
      <c r="AD25" s="3" t="n">
        <v>1.1851</v>
      </c>
      <c r="AE25" s="3" t="n">
        <v>-0.1610023163996321</v>
      </c>
      <c r="AF25" s="4" t="n">
        <v>0</v>
      </c>
      <c r="AG25" s="3" t="n">
        <v>0</v>
      </c>
      <c r="AH25" s="3" t="n">
        <v>0.3444</v>
      </c>
      <c r="AI25" s="3" t="n">
        <v>0.122364</v>
      </c>
      <c r="AJ25" s="3">
        <f>N(R25)*N(BC25)</f>
        <v/>
      </c>
      <c r="AK25" s="3" t="n">
        <v>0.3501</v>
      </c>
      <c r="AL25" s="3" t="n">
        <v>0</v>
      </c>
      <c r="AM25" s="3" t="n">
        <v>-0.365915508000572</v>
      </c>
      <c r="AN25" s="3" t="n">
        <v>-0.1610023163996321</v>
      </c>
      <c r="AO25" s="3">
        <f>SUM(AH25:AN25)</f>
        <v/>
      </c>
      <c r="AP25" s="5">
        <f>IF(OR(N(Q25)&lt;=0,N(BA25)=0),0,N(Q25)*IF(N(M25)/N(Q25)&gt;=60,N(BA25),1))</f>
        <v/>
      </c>
      <c r="AQ25" s="5">
        <f>N(Q25)*N(Z25)*N(BB25)</f>
        <v/>
      </c>
      <c r="AR25" s="5">
        <f>N(AF25)*(Assumptions!$B$13*N(BD25)-(1-Assumptions!$B$13)*Assumptions!$B$14)+N(AG25)</f>
        <v/>
      </c>
      <c r="AS25" s="5">
        <f>N(AO25)*N(M25)/90+N(AP25)+N(AQ25)+N(AR25)</f>
        <v/>
      </c>
      <c r="AT25" s="3">
        <f>IF(N(M25)&lt;=0,0,(N(AS25)-N(AR25))*90/N(M25))</f>
        <v/>
      </c>
      <c r="AU25" s="5">
        <f>IFERROR(AS25-VLOOKUP($C25,Assumptions!$A$36:$C$39,3,FALSE),"")</f>
        <v/>
      </c>
      <c r="AV25" s="3">
        <f>IFERROR(AU25/F25,"")</f>
        <v/>
      </c>
      <c r="AW25">
        <f>IF(AND($E25=TRUE,$C25="GKP"),AS25,"")</f>
        <v/>
      </c>
      <c r="AX25">
        <f>IF(AND($E25=TRUE,$C25="DEF"),AS25,"")</f>
        <v/>
      </c>
      <c r="AY25">
        <f>IF(AND($E25=TRUE,$C25="MID"),AS25,"")</f>
        <v/>
      </c>
      <c r="AZ25">
        <f>IF(AND($E25=TRUE,$C25="FWD"),AS25,"")</f>
        <v/>
      </c>
      <c r="BA25" t="n">
        <v>2</v>
      </c>
      <c r="BB25" t="n">
        <v>2</v>
      </c>
      <c r="BC25" t="n">
        <v>4</v>
      </c>
      <c r="BD25" t="n">
        <v>6</v>
      </c>
    </row>
    <row r="26">
      <c r="A26" t="inlineStr">
        <is>
          <t>Bruno Guimarães</t>
        </is>
      </c>
      <c r="B26" t="inlineStr">
        <is>
          <t>ARS</t>
        </is>
      </c>
      <c r="C26" t="inlineStr">
        <is>
          <t>MID</t>
        </is>
      </c>
      <c r="D26" t="inlineStr">
        <is>
          <t>MID</t>
        </is>
      </c>
      <c r="E26" t="b">
        <v>1</v>
      </c>
      <c r="F26" s="2" t="n">
        <v>7</v>
      </c>
      <c r="G26" t="inlineStr">
        <is>
          <t>a</t>
        </is>
      </c>
      <c r="I26" s="2" t="n">
        <v>2456</v>
      </c>
      <c r="J26" t="n">
        <v>154</v>
      </c>
      <c r="K26" s="3" t="n">
        <v>2816</v>
      </c>
      <c r="L26" t="inlineStr">
        <is>
          <t>flat</t>
        </is>
      </c>
      <c r="M26" s="4" t="n">
        <v>2816</v>
      </c>
      <c r="N26" t="inlineStr">
        <is>
          <t>Solio</t>
        </is>
      </c>
      <c r="O26" s="5" t="n">
        <v>88.3</v>
      </c>
      <c r="P26" t="b">
        <v>1</v>
      </c>
      <c r="Q26" s="5">
        <f>IF(N(O26)&lt;=0,0,MIN(Assumptions!$B$15,N(M26)/N(O26)))</f>
        <v/>
      </c>
      <c r="R26" s="4" t="n">
        <v>0.391</v>
      </c>
      <c r="S26" s="3" t="n">
        <v>0.1744</v>
      </c>
      <c r="T26" t="inlineStr">
        <is>
          <t>adjusted xGOT</t>
        </is>
      </c>
      <c r="U26" s="3" t="n">
        <v>0.769</v>
      </c>
      <c r="V26" s="3" t="n">
        <v>1.107</v>
      </c>
      <c r="W26" s="3" t="n">
        <v>17.7</v>
      </c>
      <c r="X26" s="3" t="n">
        <v>0.1618</v>
      </c>
      <c r="Y26" s="3" t="n">
        <v>9.057</v>
      </c>
      <c r="Z26" s="3" t="n">
        <v>0.1860662178069724</v>
      </c>
      <c r="AA26" s="3" t="n">
        <v>0.8062</v>
      </c>
      <c r="AB26" s="3" t="n">
        <v>56</v>
      </c>
      <c r="AC26" s="3" t="n">
        <v>2.067</v>
      </c>
      <c r="AD26" s="3" t="n">
        <v>0.9838</v>
      </c>
      <c r="AE26" s="3" t="n">
        <v>-0.2250178554833891</v>
      </c>
      <c r="AF26" s="4" t="n">
        <v>0</v>
      </c>
      <c r="AG26" s="3" t="n">
        <v>0</v>
      </c>
      <c r="AH26" s="3" t="n">
        <v>0.872</v>
      </c>
      <c r="AI26" s="3" t="n">
        <v>0.6407280000000001</v>
      </c>
      <c r="AJ26" s="3">
        <f>N(R26)*N(BC26)</f>
        <v/>
      </c>
      <c r="AK26" s="3" t="n">
        <v>0.8062</v>
      </c>
      <c r="AL26" s="3" t="n">
        <v>0</v>
      </c>
      <c r="AM26" s="3" t="n">
        <v>-0</v>
      </c>
      <c r="AN26" s="3" t="n">
        <v>-0.2250178554833891</v>
      </c>
      <c r="AO26" s="3">
        <f>SUM(AH26:AN26)</f>
        <v/>
      </c>
      <c r="AP26" s="5">
        <f>IF(OR(N(Q26)&lt;=0,N(BA26)=0),0,N(Q26)*IF(N(M26)/N(Q26)&gt;=60,N(BA26),1))</f>
        <v/>
      </c>
      <c r="AQ26" s="5">
        <f>N(Q26)*N(Z26)*N(BB26)</f>
        <v/>
      </c>
      <c r="AR26" s="5">
        <f>N(AF26)*(Assumptions!$B$13*N(BD26)-(1-Assumptions!$B$13)*Assumptions!$B$14)+N(AG26)</f>
        <v/>
      </c>
      <c r="AS26" s="5">
        <f>N(AO26)*N(M26)/90+N(AP26)+N(AQ26)+N(AR26)</f>
        <v/>
      </c>
      <c r="AT26" s="3">
        <f>IF(N(M26)&lt;=0,0,(N(AS26)-N(AR26))*90/N(M26))</f>
        <v/>
      </c>
      <c r="AU26" s="5">
        <f>IFERROR(AS26-VLOOKUP($C26,Assumptions!$A$36:$C$39,3,FALSE),"")</f>
        <v/>
      </c>
      <c r="AV26" s="3">
        <f>IFERROR(AU26/F26,"")</f>
        <v/>
      </c>
      <c r="AW26">
        <f>IF(AND($E26=TRUE,$C26="GKP"),AS26,"")</f>
        <v/>
      </c>
      <c r="AX26">
        <f>IF(AND($E26=TRUE,$C26="DEF"),AS26,"")</f>
        <v/>
      </c>
      <c r="AY26">
        <f>IF(AND($E26=TRUE,$C26="MID"),AS26,"")</f>
        <v/>
      </c>
      <c r="AZ26">
        <f>IF(AND($E26=TRUE,$C26="FWD"),AS26,"")</f>
        <v/>
      </c>
      <c r="BA26" t="n">
        <v>2</v>
      </c>
      <c r="BB26" t="n">
        <v>2</v>
      </c>
      <c r="BC26" t="n">
        <v>1</v>
      </c>
      <c r="BD26" t="n">
        <v>5</v>
      </c>
    </row>
    <row r="27">
      <c r="A27" t="inlineStr">
        <is>
          <t>Matheus Nunes</t>
        </is>
      </c>
      <c r="B27" t="inlineStr">
        <is>
          <t>MCI</t>
        </is>
      </c>
      <c r="C27" t="inlineStr">
        <is>
          <t>DEF</t>
        </is>
      </c>
      <c r="D27" t="inlineStr">
        <is>
          <t>DEF</t>
        </is>
      </c>
      <c r="E27" t="b">
        <v>1</v>
      </c>
      <c r="F27" s="2" t="n">
        <v>6</v>
      </c>
      <c r="G27" t="inlineStr">
        <is>
          <t>a</t>
        </is>
      </c>
      <c r="I27" s="2" t="n">
        <v>2861</v>
      </c>
      <c r="J27" t="n">
        <v>154</v>
      </c>
      <c r="K27" s="3" t="n">
        <v>2896</v>
      </c>
      <c r="L27" t="inlineStr">
        <is>
          <t>flat</t>
        </is>
      </c>
      <c r="M27" s="4" t="n">
        <v>2896</v>
      </c>
      <c r="N27" t="inlineStr">
        <is>
          <t>Solio</t>
        </is>
      </c>
      <c r="O27" s="5" t="n">
        <v>87.2</v>
      </c>
      <c r="P27" t="b">
        <v>1</v>
      </c>
      <c r="Q27" s="5">
        <f>IF(N(O27)&lt;=0,0,MIN(Assumptions!$B$15,N(M27)/N(O27)))</f>
        <v/>
      </c>
      <c r="R27" s="4" t="n">
        <v>0.371</v>
      </c>
      <c r="S27" s="3" t="n">
        <v>0.0105</v>
      </c>
      <c r="T27" t="inlineStr">
        <is>
          <t>adjusted xGOT</t>
        </is>
      </c>
      <c r="U27" s="3" t="n">
        <v>1</v>
      </c>
      <c r="V27" s="3" t="n">
        <v>0.98</v>
      </c>
      <c r="W27" s="3" t="n">
        <v>4.8</v>
      </c>
      <c r="X27" s="3" t="n">
        <v>0.0838</v>
      </c>
      <c r="Y27" s="3" t="n">
        <v>6.446</v>
      </c>
      <c r="Z27" s="3" t="n">
        <v>0.1018560980155994</v>
      </c>
      <c r="AA27" s="3" t="n">
        <v>0.5033</v>
      </c>
      <c r="AB27" s="3" t="n">
        <v>64</v>
      </c>
      <c r="AC27" s="3" t="n">
        <v>1.9737</v>
      </c>
      <c r="AD27" s="3" t="n">
        <v>1.0365</v>
      </c>
      <c r="AE27" s="3" t="n">
        <v>-0.1862247745547449</v>
      </c>
      <c r="AF27" s="4" t="n">
        <v>0.0076126736796148</v>
      </c>
      <c r="AG27" s="3" t="n">
        <v>0</v>
      </c>
      <c r="AH27" s="3" t="n">
        <v>0.063</v>
      </c>
      <c r="AI27" s="3" t="n">
        <v>0.331848</v>
      </c>
      <c r="AJ27" s="3">
        <f>N(R27)*N(BC27)</f>
        <v/>
      </c>
      <c r="AK27" s="3" t="n">
        <v>0.5033</v>
      </c>
      <c r="AL27" s="3" t="n">
        <v>0</v>
      </c>
      <c r="AM27" s="3" t="n">
        <v>-0.2997019479071323</v>
      </c>
      <c r="AN27" s="3" t="n">
        <v>-0.1862247745547449</v>
      </c>
      <c r="AO27" s="3">
        <f>SUM(AH27:AN27)</f>
        <v/>
      </c>
      <c r="AP27" s="5">
        <f>IF(OR(N(Q27)&lt;=0,N(BA27)=0),0,N(Q27)*IF(N(M27)/N(Q27)&gt;=60,N(BA27),1))</f>
        <v/>
      </c>
      <c r="AQ27" s="5">
        <f>N(Q27)*N(Z27)*N(BB27)</f>
        <v/>
      </c>
      <c r="AR27" s="5">
        <f>N(AF27)*(Assumptions!$B$13*N(BD27)-(1-Assumptions!$B$13)*Assumptions!$B$14)+N(AG27)</f>
        <v/>
      </c>
      <c r="AS27" s="5">
        <f>N(AO27)*N(M27)/90+N(AP27)+N(AQ27)+N(AR27)</f>
        <v/>
      </c>
      <c r="AT27" s="3">
        <f>IF(N(M27)&lt;=0,0,(N(AS27)-N(AR27))*90/N(M27))</f>
        <v/>
      </c>
      <c r="AU27" s="5">
        <f>IFERROR(AS27-VLOOKUP($C27,Assumptions!$A$36:$C$39,3,FALSE),"")</f>
        <v/>
      </c>
      <c r="AV27" s="3">
        <f>IFERROR(AU27/F27,"")</f>
        <v/>
      </c>
      <c r="AW27">
        <f>IF(AND($E27=TRUE,$C27="GKP"),AS27,"")</f>
        <v/>
      </c>
      <c r="AX27">
        <f>IF(AND($E27=TRUE,$C27="DEF"),AS27,"")</f>
        <v/>
      </c>
      <c r="AY27">
        <f>IF(AND($E27=TRUE,$C27="MID"),AS27,"")</f>
        <v/>
      </c>
      <c r="AZ27">
        <f>IF(AND($E27=TRUE,$C27="FWD"),AS27,"")</f>
        <v/>
      </c>
      <c r="BA27" t="n">
        <v>2</v>
      </c>
      <c r="BB27" t="n">
        <v>2</v>
      </c>
      <c r="BC27" t="n">
        <v>4</v>
      </c>
      <c r="BD27" t="n">
        <v>6</v>
      </c>
    </row>
    <row r="28">
      <c r="A28" t="inlineStr">
        <is>
          <t>Nordi Mukiele</t>
        </is>
      </c>
      <c r="B28" t="inlineStr">
        <is>
          <t>SUN</t>
        </is>
      </c>
      <c r="C28" t="inlineStr">
        <is>
          <t>DEF</t>
        </is>
      </c>
      <c r="D28" t="inlineStr">
        <is>
          <t>DEF</t>
        </is>
      </c>
      <c r="E28" t="b">
        <v>1</v>
      </c>
      <c r="F28" s="2" t="n">
        <v>5.5</v>
      </c>
      <c r="G28" t="inlineStr">
        <is>
          <t>d</t>
        </is>
      </c>
      <c r="H28" t="inlineStr">
        <is>
          <t>Knock - 75% chance of playing</t>
        </is>
      </c>
      <c r="I28" s="2" t="n">
        <v>2784</v>
      </c>
      <c r="J28" t="n">
        <v>151</v>
      </c>
      <c r="K28" s="3" t="n">
        <v>3312</v>
      </c>
      <c r="L28" t="inlineStr">
        <is>
          <t>flat</t>
        </is>
      </c>
      <c r="M28" s="4" t="n">
        <v>3312</v>
      </c>
      <c r="N28" t="inlineStr">
        <is>
          <t>Solio</t>
        </is>
      </c>
      <c r="O28" s="5" t="n">
        <v>87</v>
      </c>
      <c r="P28" t="b">
        <v>1</v>
      </c>
      <c r="Q28" s="5">
        <f>IF(N(O28)&lt;=0,0,MIN(Assumptions!$B$15,N(M28)/N(O28)))</f>
        <v/>
      </c>
      <c r="R28" s="4" t="n">
        <v>0.204</v>
      </c>
      <c r="S28" s="3" t="n">
        <v>0.0506</v>
      </c>
      <c r="T28" t="inlineStr">
        <is>
          <t>adjusted xGOT</t>
        </is>
      </c>
      <c r="U28" s="3" t="n">
        <v>1</v>
      </c>
      <c r="V28" s="3" t="n">
        <v>0.967</v>
      </c>
      <c r="W28" s="3" t="n">
        <v>1.6</v>
      </c>
      <c r="X28" s="3" t="n">
        <v>0.0873</v>
      </c>
      <c r="Y28" s="3" t="n">
        <v>8.590999999999999</v>
      </c>
      <c r="Z28" s="3" t="n">
        <v>0.3218197268330737</v>
      </c>
      <c r="AA28" s="3" t="n">
        <v>0.3556</v>
      </c>
      <c r="AB28" s="3" t="n">
        <v>63</v>
      </c>
      <c r="AC28" s="3" t="n">
        <v>3.3348</v>
      </c>
      <c r="AD28" s="3" t="n">
        <v>1.6498</v>
      </c>
      <c r="AE28" s="3" t="n">
        <v>-0.1902298193445376</v>
      </c>
      <c r="AF28" s="4" t="n">
        <v>0</v>
      </c>
      <c r="AG28" s="3" t="n">
        <v>0</v>
      </c>
      <c r="AH28" s="3" t="n">
        <v>0.3036</v>
      </c>
      <c r="AI28" s="3" t="n">
        <v>0.3457080000000001</v>
      </c>
      <c r="AJ28" s="3">
        <f>N(R28)*N(BC28)</f>
        <v/>
      </c>
      <c r="AK28" s="3" t="n">
        <v>0.3556</v>
      </c>
      <c r="AL28" s="3" t="n">
        <v>0</v>
      </c>
      <c r="AM28" s="3" t="n">
        <v>-0.5841244809045405</v>
      </c>
      <c r="AN28" s="3" t="n">
        <v>-0.1902298193445376</v>
      </c>
      <c r="AO28" s="3">
        <f>SUM(AH28:AN28)</f>
        <v/>
      </c>
      <c r="AP28" s="5">
        <f>IF(OR(N(Q28)&lt;=0,N(BA28)=0),0,N(Q28)*IF(N(M28)/N(Q28)&gt;=60,N(BA28),1))</f>
        <v/>
      </c>
      <c r="AQ28" s="5">
        <f>N(Q28)*N(Z28)*N(BB28)</f>
        <v/>
      </c>
      <c r="AR28" s="5">
        <f>N(AF28)*(Assumptions!$B$13*N(BD28)-(1-Assumptions!$B$13)*Assumptions!$B$14)+N(AG28)</f>
        <v/>
      </c>
      <c r="AS28" s="5">
        <f>N(AO28)*N(M28)/90+N(AP28)+N(AQ28)+N(AR28)</f>
        <v/>
      </c>
      <c r="AT28" s="3">
        <f>IF(N(M28)&lt;=0,0,(N(AS28)-N(AR28))*90/N(M28))</f>
        <v/>
      </c>
      <c r="AU28" s="5">
        <f>IFERROR(AS28-VLOOKUP($C28,Assumptions!$A$36:$C$39,3,FALSE),"")</f>
        <v/>
      </c>
      <c r="AV28" s="3">
        <f>IFERROR(AU28/F28,"")</f>
        <v/>
      </c>
      <c r="AW28">
        <f>IF(AND($E28=TRUE,$C28="GKP"),AS28,"")</f>
        <v/>
      </c>
      <c r="AX28">
        <f>IF(AND($E28=TRUE,$C28="DEF"),AS28,"")</f>
        <v/>
      </c>
      <c r="AY28">
        <f>IF(AND($E28=TRUE,$C28="MID"),AS28,"")</f>
        <v/>
      </c>
      <c r="AZ28">
        <f>IF(AND($E28=TRUE,$C28="FWD"),AS28,"")</f>
        <v/>
      </c>
      <c r="BA28" t="n">
        <v>2</v>
      </c>
      <c r="BB28" t="n">
        <v>2</v>
      </c>
      <c r="BC28" t="n">
        <v>4</v>
      </c>
      <c r="BD28" t="n">
        <v>6</v>
      </c>
    </row>
    <row r="29">
      <c r="A29" t="inlineStr">
        <is>
          <t>Kiernan Dewsbury-Hall</t>
        </is>
      </c>
      <c r="B29" t="inlineStr">
        <is>
          <t>EVE</t>
        </is>
      </c>
      <c r="C29" t="inlineStr">
        <is>
          <t>MID</t>
        </is>
      </c>
      <c r="D29" t="inlineStr">
        <is>
          <t>MID</t>
        </is>
      </c>
      <c r="E29" t="b">
        <v>1</v>
      </c>
      <c r="F29" s="2" t="n">
        <v>6.5</v>
      </c>
      <c r="G29" t="inlineStr">
        <is>
          <t>a</t>
        </is>
      </c>
      <c r="I29" s="2" t="n">
        <v>2629</v>
      </c>
      <c r="J29" t="n">
        <v>151</v>
      </c>
      <c r="K29" s="3" t="n">
        <v>3152</v>
      </c>
      <c r="L29" t="inlineStr">
        <is>
          <t>flat</t>
        </is>
      </c>
      <c r="M29" s="4" t="n">
        <v>3152</v>
      </c>
      <c r="N29" t="inlineStr">
        <is>
          <t>Solio</t>
        </is>
      </c>
      <c r="O29" s="5" t="n">
        <v>86.09999999999999</v>
      </c>
      <c r="P29" t="b">
        <v>1</v>
      </c>
      <c r="Q29" s="5">
        <f>IF(N(O29)&lt;=0,0,MIN(Assumptions!$B$15,N(M29)/N(O29)))</f>
        <v/>
      </c>
      <c r="R29" s="4" t="n">
        <v>0.231</v>
      </c>
      <c r="S29" s="3" t="n">
        <v>0.1525</v>
      </c>
      <c r="T29" t="inlineStr">
        <is>
          <t>adjusted xGOT</t>
        </is>
      </c>
      <c r="U29" s="3" t="n">
        <v>1</v>
      </c>
      <c r="V29" s="3" t="n">
        <v>1.024</v>
      </c>
      <c r="W29" s="3" t="n">
        <v>6.7</v>
      </c>
      <c r="X29" s="3" t="n">
        <v>0.2039</v>
      </c>
      <c r="Y29" s="3" t="n">
        <v>8.025</v>
      </c>
      <c r="Z29" s="3" t="n">
        <v>0.09004402323185678</v>
      </c>
      <c r="AA29" s="3" t="n">
        <v>0.6162</v>
      </c>
      <c r="AB29" s="3" t="n">
        <v>60</v>
      </c>
      <c r="AC29" s="3" t="n">
        <v>3.0311</v>
      </c>
      <c r="AD29" s="3" t="n">
        <v>1.5252</v>
      </c>
      <c r="AE29" s="3" t="n">
        <v>-0.2124929604617916</v>
      </c>
      <c r="AF29" s="4" t="n">
        <v>0</v>
      </c>
      <c r="AG29" s="3" t="n">
        <v>0</v>
      </c>
      <c r="AH29" s="3" t="n">
        <v>0.7625</v>
      </c>
      <c r="AI29" s="3" t="n">
        <v>0.8074440000000001</v>
      </c>
      <c r="AJ29" s="3">
        <f>N(R29)*N(BC29)</f>
        <v/>
      </c>
      <c r="AK29" s="3" t="n">
        <v>0.6162</v>
      </c>
      <c r="AL29" s="3" t="n">
        <v>0</v>
      </c>
      <c r="AM29" s="3" t="n">
        <v>-0</v>
      </c>
      <c r="AN29" s="3" t="n">
        <v>-0.2124929604617916</v>
      </c>
      <c r="AO29" s="3">
        <f>SUM(AH29:AN29)</f>
        <v/>
      </c>
      <c r="AP29" s="5">
        <f>IF(OR(N(Q29)&lt;=0,N(BA29)=0),0,N(Q29)*IF(N(M29)/N(Q29)&gt;=60,N(BA29),1))</f>
        <v/>
      </c>
      <c r="AQ29" s="5">
        <f>N(Q29)*N(Z29)*N(BB29)</f>
        <v/>
      </c>
      <c r="AR29" s="5">
        <f>N(AF29)*(Assumptions!$B$13*N(BD29)-(1-Assumptions!$B$13)*Assumptions!$B$14)+N(AG29)</f>
        <v/>
      </c>
      <c r="AS29" s="5">
        <f>N(AO29)*N(M29)/90+N(AP29)+N(AQ29)+N(AR29)</f>
        <v/>
      </c>
      <c r="AT29" s="3">
        <f>IF(N(M29)&lt;=0,0,(N(AS29)-N(AR29))*90/N(M29))</f>
        <v/>
      </c>
      <c r="AU29" s="5">
        <f>IFERROR(AS29-VLOOKUP($C29,Assumptions!$A$36:$C$39,3,FALSE),"")</f>
        <v/>
      </c>
      <c r="AV29" s="3">
        <f>IFERROR(AU29/F29,"")</f>
        <v/>
      </c>
      <c r="AW29">
        <f>IF(AND($E29=TRUE,$C29="GKP"),AS29,"")</f>
        <v/>
      </c>
      <c r="AX29">
        <f>IF(AND($E29=TRUE,$C29="DEF"),AS29,"")</f>
        <v/>
      </c>
      <c r="AY29">
        <f>IF(AND($E29=TRUE,$C29="MID"),AS29,"")</f>
        <v/>
      </c>
      <c r="AZ29">
        <f>IF(AND($E29=TRUE,$C29="FWD"),AS29,"")</f>
        <v/>
      </c>
      <c r="BA29" t="n">
        <v>2</v>
      </c>
      <c r="BB29" t="n">
        <v>2</v>
      </c>
      <c r="BC29" t="n">
        <v>1</v>
      </c>
      <c r="BD29" t="n">
        <v>5</v>
      </c>
    </row>
    <row r="30">
      <c r="A30" t="inlineStr">
        <is>
          <t>Jurriën Timber</t>
        </is>
      </c>
      <c r="B30" t="inlineStr">
        <is>
          <t>ARS</t>
        </is>
      </c>
      <c r="C30" t="inlineStr">
        <is>
          <t>DEF</t>
        </is>
      </c>
      <c r="D30" t="inlineStr">
        <is>
          <t>DEF</t>
        </is>
      </c>
      <c r="E30" t="b">
        <v>1</v>
      </c>
      <c r="F30" s="2" t="n">
        <v>6.5</v>
      </c>
      <c r="G30" t="inlineStr">
        <is>
          <t>i</t>
        </is>
      </c>
      <c r="H30" t="inlineStr">
        <is>
          <t>Groin injury - Unknown return date</t>
        </is>
      </c>
      <c r="I30" s="2" t="n">
        <v>2452</v>
      </c>
      <c r="J30" t="n">
        <v>149</v>
      </c>
      <c r="K30" s="3" t="n">
        <v>2878</v>
      </c>
      <c r="L30" t="inlineStr">
        <is>
          <t>flat</t>
        </is>
      </c>
      <c r="M30" s="4" t="n">
        <v>2878</v>
      </c>
      <c r="N30" t="inlineStr">
        <is>
          <t>Solio</t>
        </is>
      </c>
      <c r="O30" s="5" t="n">
        <v>85.2</v>
      </c>
      <c r="P30" t="b">
        <v>1</v>
      </c>
      <c r="Q30" s="5">
        <f>IF(N(O30)&lt;=0,0,MIN(Assumptions!$B$15,N(M30)/N(O30)))</f>
        <v/>
      </c>
      <c r="R30" s="4" t="n">
        <v>0.391</v>
      </c>
      <c r="S30" s="3" t="n">
        <v>0.1612</v>
      </c>
      <c r="T30" t="inlineStr">
        <is>
          <t>adjusted xGOT</t>
        </is>
      </c>
      <c r="U30" s="3" t="n">
        <v>1</v>
      </c>
      <c r="V30" s="3" t="n">
        <v>0.9330000000000001</v>
      </c>
      <c r="W30" s="3" t="n">
        <v>5.9</v>
      </c>
      <c r="X30" s="3" t="n">
        <v>0.0756</v>
      </c>
      <c r="Y30" s="3" t="n">
        <v>5.944</v>
      </c>
      <c r="Z30" s="3" t="n">
        <v>0.06063164573828816</v>
      </c>
      <c r="AA30" s="3" t="n">
        <v>0.367</v>
      </c>
      <c r="AB30" s="3" t="n">
        <v>56</v>
      </c>
      <c r="AC30" s="3" t="n">
        <v>2.067</v>
      </c>
      <c r="AD30" s="3" t="n">
        <v>0.9838</v>
      </c>
      <c r="AE30" s="3" t="n">
        <v>-0.2379965855651725</v>
      </c>
      <c r="AF30" s="4" t="n">
        <v>0</v>
      </c>
      <c r="AG30" s="3" t="n">
        <v>0</v>
      </c>
      <c r="AH30" s="3" t="n">
        <v>0.9672000000000001</v>
      </c>
      <c r="AI30" s="3" t="n">
        <v>0.299376</v>
      </c>
      <c r="AJ30" s="3">
        <f>N(R30)*N(BC30)</f>
        <v/>
      </c>
      <c r="AK30" s="3" t="n">
        <v>0.367</v>
      </c>
      <c r="AL30" s="3" t="n">
        <v>0</v>
      </c>
      <c r="AM30" s="3" t="n">
        <v>-0.2768479886568037</v>
      </c>
      <c r="AN30" s="3" t="n">
        <v>-0.2379965855651725</v>
      </c>
      <c r="AO30" s="3">
        <f>SUM(AH30:AN30)</f>
        <v/>
      </c>
      <c r="AP30" s="5">
        <f>IF(OR(N(Q30)&lt;=0,N(BA30)=0),0,N(Q30)*IF(N(M30)/N(Q30)&gt;=60,N(BA30),1))</f>
        <v/>
      </c>
      <c r="AQ30" s="5">
        <f>N(Q30)*N(Z30)*N(BB30)</f>
        <v/>
      </c>
      <c r="AR30" s="5">
        <f>N(AF30)*(Assumptions!$B$13*N(BD30)-(1-Assumptions!$B$13)*Assumptions!$B$14)+N(AG30)</f>
        <v/>
      </c>
      <c r="AS30" s="5">
        <f>N(AO30)*N(M30)/90+N(AP30)+N(AQ30)+N(AR30)</f>
        <v/>
      </c>
      <c r="AT30" s="3">
        <f>IF(N(M30)&lt;=0,0,(N(AS30)-N(AR30))*90/N(M30))</f>
        <v/>
      </c>
      <c r="AU30" s="5">
        <f>IFERROR(AS30-VLOOKUP($C30,Assumptions!$A$36:$C$39,3,FALSE),"")</f>
        <v/>
      </c>
      <c r="AV30" s="3">
        <f>IFERROR(AU30/F30,"")</f>
        <v/>
      </c>
      <c r="AW30">
        <f>IF(AND($E30=TRUE,$C30="GKP"),AS30,"")</f>
        <v/>
      </c>
      <c r="AX30">
        <f>IF(AND($E30=TRUE,$C30="DEF"),AS30,"")</f>
        <v/>
      </c>
      <c r="AY30">
        <f>IF(AND($E30=TRUE,$C30="MID"),AS30,"")</f>
        <v/>
      </c>
      <c r="AZ30">
        <f>IF(AND($E30=TRUE,$C30="FWD"),AS30,"")</f>
        <v/>
      </c>
      <c r="BA30" t="n">
        <v>2</v>
      </c>
      <c r="BB30" t="n">
        <v>2</v>
      </c>
      <c r="BC30" t="n">
        <v>4</v>
      </c>
      <c r="BD30" t="n">
        <v>6</v>
      </c>
    </row>
    <row r="31">
      <c r="A31" t="inlineStr">
        <is>
          <t>Bryan Mbeumo</t>
        </is>
      </c>
      <c r="B31" t="inlineStr">
        <is>
          <t>MUN</t>
        </is>
      </c>
      <c r="C31" t="inlineStr">
        <is>
          <t>MID</t>
        </is>
      </c>
      <c r="D31" t="inlineStr">
        <is>
          <t>MID</t>
        </is>
      </c>
      <c r="E31" t="b">
        <v>1</v>
      </c>
      <c r="F31" s="2" t="n">
        <v>8</v>
      </c>
      <c r="G31" t="inlineStr">
        <is>
          <t>a</t>
        </is>
      </c>
      <c r="I31" s="2" t="n">
        <v>2611</v>
      </c>
      <c r="J31" t="n">
        <v>148</v>
      </c>
      <c r="K31" s="3" t="n">
        <v>2822</v>
      </c>
      <c r="L31" t="inlineStr">
        <is>
          <t>flat</t>
        </is>
      </c>
      <c r="M31" s="4" t="n">
        <v>2822</v>
      </c>
      <c r="N31" t="inlineStr">
        <is>
          <t>Solio</t>
        </is>
      </c>
      <c r="O31" s="5" t="n">
        <v>83.09999999999999</v>
      </c>
      <c r="P31" t="b">
        <v>1</v>
      </c>
      <c r="Q31" s="5">
        <f>IF(N(O31)&lt;=0,0,MIN(Assumptions!$B$15,N(M31)/N(O31)))</f>
        <v/>
      </c>
      <c r="R31" s="4" t="n">
        <v>0.334</v>
      </c>
      <c r="S31" s="3" t="n">
        <v>0.4251</v>
      </c>
      <c r="T31" t="inlineStr">
        <is>
          <t>adjusted xGOT</t>
        </is>
      </c>
      <c r="U31" s="3" t="n">
        <v>1</v>
      </c>
      <c r="V31" s="3" t="n">
        <v>1.029</v>
      </c>
      <c r="W31" s="3" t="n">
        <v>43.7</v>
      </c>
      <c r="X31" s="3" t="n">
        <v>0.1737</v>
      </c>
      <c r="Y31" s="3" t="n">
        <v>5.61</v>
      </c>
      <c r="Z31" s="3" t="n">
        <v>0.007104017150834196</v>
      </c>
      <c r="AA31" s="3" t="n">
        <v>0.586</v>
      </c>
      <c r="AB31" s="3" t="n">
        <v>64</v>
      </c>
      <c r="AC31" s="3" t="n">
        <v>2.2165</v>
      </c>
      <c r="AD31" s="3" t="n">
        <v>1.1467</v>
      </c>
      <c r="AE31" s="3" t="n">
        <v>-0.1446565307742253</v>
      </c>
      <c r="AF31" s="4" t="n">
        <v>0.1129377635553132</v>
      </c>
      <c r="AG31" s="3" t="n">
        <v>0</v>
      </c>
      <c r="AH31" s="3" t="n">
        <v>2.1255</v>
      </c>
      <c r="AI31" s="3" t="n">
        <v>0.687852</v>
      </c>
      <c r="AJ31" s="3">
        <f>N(R31)*N(BC31)</f>
        <v/>
      </c>
      <c r="AK31" s="3" t="n">
        <v>0.586</v>
      </c>
      <c r="AL31" s="3" t="n">
        <v>0</v>
      </c>
      <c r="AM31" s="3" t="n">
        <v>-0</v>
      </c>
      <c r="AN31" s="3" t="n">
        <v>-0.1446565307742253</v>
      </c>
      <c r="AO31" s="3">
        <f>SUM(AH31:AN31)</f>
        <v/>
      </c>
      <c r="AP31" s="5">
        <f>IF(OR(N(Q31)&lt;=0,N(BA31)=0),0,N(Q31)*IF(N(M31)/N(Q31)&gt;=60,N(BA31),1))</f>
        <v/>
      </c>
      <c r="AQ31" s="5">
        <f>N(Q31)*N(Z31)*N(BB31)</f>
        <v/>
      </c>
      <c r="AR31" s="5">
        <f>N(AF31)*(Assumptions!$B$13*N(BD31)-(1-Assumptions!$B$13)*Assumptions!$B$14)+N(AG31)</f>
        <v/>
      </c>
      <c r="AS31" s="5">
        <f>N(AO31)*N(M31)/90+N(AP31)+N(AQ31)+N(AR31)</f>
        <v/>
      </c>
      <c r="AT31" s="3">
        <f>IF(N(M31)&lt;=0,0,(N(AS31)-N(AR31))*90/N(M31))</f>
        <v/>
      </c>
      <c r="AU31" s="5">
        <f>IFERROR(AS31-VLOOKUP($C31,Assumptions!$A$36:$C$39,3,FALSE),"")</f>
        <v/>
      </c>
      <c r="AV31" s="3">
        <f>IFERROR(AU31/F31,"")</f>
        <v/>
      </c>
      <c r="AW31">
        <f>IF(AND($E31=TRUE,$C31="GKP"),AS31,"")</f>
        <v/>
      </c>
      <c r="AX31">
        <f>IF(AND($E31=TRUE,$C31="DEF"),AS31,"")</f>
        <v/>
      </c>
      <c r="AY31">
        <f>IF(AND($E31=TRUE,$C31="MID"),AS31,"")</f>
        <v/>
      </c>
      <c r="AZ31">
        <f>IF(AND($E31=TRUE,$C31="FWD"),AS31,"")</f>
        <v/>
      </c>
      <c r="BA31" t="n">
        <v>2</v>
      </c>
      <c r="BB31" t="n">
        <v>2</v>
      </c>
      <c r="BC31" t="n">
        <v>1</v>
      </c>
      <c r="BD31" t="n">
        <v>5</v>
      </c>
    </row>
    <row r="32">
      <c r="A32" t="inlineStr">
        <is>
          <t>Jan Paul van Hecke</t>
        </is>
      </c>
      <c r="B32" t="inlineStr">
        <is>
          <t>TOT</t>
        </is>
      </c>
      <c r="C32" t="inlineStr">
        <is>
          <t>DEF</t>
        </is>
      </c>
      <c r="D32" t="inlineStr">
        <is>
          <t>DEF</t>
        </is>
      </c>
      <c r="E32" t="b">
        <v>1</v>
      </c>
      <c r="F32" s="2" t="n">
        <v>5</v>
      </c>
      <c r="G32" t="inlineStr">
        <is>
          <t>a</t>
        </is>
      </c>
      <c r="I32" s="2" t="n">
        <v>3210</v>
      </c>
      <c r="J32" t="n">
        <v>148</v>
      </c>
      <c r="K32" s="3" t="n">
        <v>3181</v>
      </c>
      <c r="L32" t="inlineStr">
        <is>
          <t>flat</t>
        </is>
      </c>
      <c r="M32" s="4" t="n">
        <v>3181</v>
      </c>
      <c r="N32" t="inlineStr">
        <is>
          <t>Solio</t>
        </is>
      </c>
      <c r="O32" s="5" t="n">
        <v>89.2</v>
      </c>
      <c r="P32" t="b">
        <v>1</v>
      </c>
      <c r="Q32" s="5">
        <f>IF(N(O32)&lt;=0,0,MIN(Assumptions!$B$15,N(M32)/N(O32)))</f>
        <v/>
      </c>
      <c r="R32" s="4" t="n">
        <v>0.286</v>
      </c>
      <c r="S32" s="3" t="n">
        <v>0.09030000000000001</v>
      </c>
      <c r="T32" t="inlineStr">
        <is>
          <t>adjusted xGOT</t>
        </is>
      </c>
      <c r="U32" s="3" t="n">
        <v>1</v>
      </c>
      <c r="V32" s="3" t="n">
        <v>0.973</v>
      </c>
      <c r="W32" s="3" t="n">
        <v>6.6</v>
      </c>
      <c r="X32" s="3" t="n">
        <v>0.0364</v>
      </c>
      <c r="Y32" s="3" t="n">
        <v>8.667</v>
      </c>
      <c r="Z32" s="3" t="n">
        <v>0.3587383286754755</v>
      </c>
      <c r="AA32" s="3" t="n">
        <v>0.1963</v>
      </c>
      <c r="AB32" s="3" t="n">
        <v>72</v>
      </c>
      <c r="AC32" s="3" t="n">
        <v>2.5739</v>
      </c>
      <c r="AD32" s="3" t="n">
        <v>1.3096</v>
      </c>
      <c r="AE32" s="3" t="n">
        <v>-0.2303329357267622</v>
      </c>
      <c r="AF32" s="4" t="n">
        <v>0</v>
      </c>
      <c r="AG32" s="3" t="n">
        <v>0</v>
      </c>
      <c r="AH32" s="3" t="n">
        <v>0.5418000000000001</v>
      </c>
      <c r="AI32" s="3" t="n">
        <v>0.144144</v>
      </c>
      <c r="AJ32" s="3">
        <f>N(R32)*N(BC32)</f>
        <v/>
      </c>
      <c r="AK32" s="3" t="n">
        <v>0.1963</v>
      </c>
      <c r="AL32" s="3" t="n">
        <v>0</v>
      </c>
      <c r="AM32" s="3" t="n">
        <v>-0.4230152821052008</v>
      </c>
      <c r="AN32" s="3" t="n">
        <v>-0.2303329357267622</v>
      </c>
      <c r="AO32" s="3">
        <f>SUM(AH32:AN32)</f>
        <v/>
      </c>
      <c r="AP32" s="5">
        <f>IF(OR(N(Q32)&lt;=0,N(BA32)=0),0,N(Q32)*IF(N(M32)/N(Q32)&gt;=60,N(BA32),1))</f>
        <v/>
      </c>
      <c r="AQ32" s="5">
        <f>N(Q32)*N(Z32)*N(BB32)</f>
        <v/>
      </c>
      <c r="AR32" s="5">
        <f>N(AF32)*(Assumptions!$B$13*N(BD32)-(1-Assumptions!$B$13)*Assumptions!$B$14)+N(AG32)</f>
        <v/>
      </c>
      <c r="AS32" s="5">
        <f>N(AO32)*N(M32)/90+N(AP32)+N(AQ32)+N(AR32)</f>
        <v/>
      </c>
      <c r="AT32" s="3">
        <f>IF(N(M32)&lt;=0,0,(N(AS32)-N(AR32))*90/N(M32))</f>
        <v/>
      </c>
      <c r="AU32" s="5">
        <f>IFERROR(AS32-VLOOKUP($C32,Assumptions!$A$36:$C$39,3,FALSE),"")</f>
        <v/>
      </c>
      <c r="AV32" s="3">
        <f>IFERROR(AU32/F32,"")</f>
        <v/>
      </c>
      <c r="AW32">
        <f>IF(AND($E32=TRUE,$C32="GKP"),AS32,"")</f>
        <v/>
      </c>
      <c r="AX32">
        <f>IF(AND($E32=TRUE,$C32="DEF"),AS32,"")</f>
        <v/>
      </c>
      <c r="AY32">
        <f>IF(AND($E32=TRUE,$C32="MID"),AS32,"")</f>
        <v/>
      </c>
      <c r="AZ32">
        <f>IF(AND($E32=TRUE,$C32="FWD"),AS32,"")</f>
        <v/>
      </c>
      <c r="BA32" t="n">
        <v>2</v>
      </c>
      <c r="BB32" t="n">
        <v>2</v>
      </c>
      <c r="BC32" t="n">
        <v>4</v>
      </c>
      <c r="BD32" t="n">
        <v>6</v>
      </c>
    </row>
    <row r="33">
      <c r="A33" t="inlineStr">
        <is>
          <t>Enzo Le Fée</t>
        </is>
      </c>
      <c r="B33" t="inlineStr">
        <is>
          <t>SUN</t>
        </is>
      </c>
      <c r="C33" t="inlineStr">
        <is>
          <t>MID</t>
        </is>
      </c>
      <c r="D33" t="inlineStr">
        <is>
          <t>MID</t>
        </is>
      </c>
      <c r="E33" t="b">
        <v>1</v>
      </c>
      <c r="F33" s="2" t="n">
        <v>6</v>
      </c>
      <c r="G33" t="inlineStr">
        <is>
          <t>a</t>
        </is>
      </c>
      <c r="I33" s="2" t="n">
        <v>2930</v>
      </c>
      <c r="J33" t="n">
        <v>147</v>
      </c>
      <c r="K33" s="3" t="n">
        <v>3324</v>
      </c>
      <c r="L33" t="inlineStr">
        <is>
          <t>flat</t>
        </is>
      </c>
      <c r="M33" s="4" t="n">
        <v>3324</v>
      </c>
      <c r="N33" t="inlineStr">
        <is>
          <t>Solio</t>
        </is>
      </c>
      <c r="O33" s="5" t="n">
        <v>87.40000000000001</v>
      </c>
      <c r="P33" t="b">
        <v>1</v>
      </c>
      <c r="Q33" s="5">
        <f>IF(N(O33)&lt;=0,0,MIN(Assumptions!$B$15,N(M33)/N(O33)))</f>
        <v/>
      </c>
      <c r="R33" s="4" t="n">
        <v>0.204</v>
      </c>
      <c r="S33" s="3" t="n">
        <v>0.06610000000000001</v>
      </c>
      <c r="T33" t="inlineStr">
        <is>
          <t>adjusted xGOT</t>
        </is>
      </c>
      <c r="U33" s="3" t="n">
        <v>0.422</v>
      </c>
      <c r="V33" s="3" t="n">
        <v>0.976</v>
      </c>
      <c r="W33" s="3" t="n">
        <v>5.2</v>
      </c>
      <c r="X33" s="3" t="n">
        <v>0.2073</v>
      </c>
      <c r="Y33" s="3" t="n">
        <v>9.558</v>
      </c>
      <c r="Z33" s="3" t="n">
        <v>0.2251636643898534</v>
      </c>
      <c r="AA33" s="3" t="n">
        <v>0.4608</v>
      </c>
      <c r="AB33" s="3" t="n">
        <v>69</v>
      </c>
      <c r="AC33" s="3" t="n">
        <v>3.3348</v>
      </c>
      <c r="AD33" s="3" t="n">
        <v>1.6498</v>
      </c>
      <c r="AE33" s="3" t="n">
        <v>-0.185318592085168</v>
      </c>
      <c r="AF33" s="4" t="n">
        <v>2.083953488716728</v>
      </c>
      <c r="AG33" s="3" t="n">
        <v>0</v>
      </c>
      <c r="AH33" s="3" t="n">
        <v>0.3305</v>
      </c>
      <c r="AI33" s="3" t="n">
        <v>0.8209080000000001</v>
      </c>
      <c r="AJ33" s="3">
        <f>N(R33)*N(BC33)</f>
        <v/>
      </c>
      <c r="AK33" s="3" t="n">
        <v>0.4608</v>
      </c>
      <c r="AL33" s="3" t="n">
        <v>0</v>
      </c>
      <c r="AM33" s="3" t="n">
        <v>-0</v>
      </c>
      <c r="AN33" s="3" t="n">
        <v>-0.185318592085168</v>
      </c>
      <c r="AO33" s="3">
        <f>SUM(AH33:AN33)</f>
        <v/>
      </c>
      <c r="AP33" s="5">
        <f>IF(OR(N(Q33)&lt;=0,N(BA33)=0),0,N(Q33)*IF(N(M33)/N(Q33)&gt;=60,N(BA33),1))</f>
        <v/>
      </c>
      <c r="AQ33" s="5">
        <f>N(Q33)*N(Z33)*N(BB33)</f>
        <v/>
      </c>
      <c r="AR33" s="5">
        <f>N(AF33)*(Assumptions!$B$13*N(BD33)-(1-Assumptions!$B$13)*Assumptions!$B$14)+N(AG33)</f>
        <v/>
      </c>
      <c r="AS33" s="5">
        <f>N(AO33)*N(M33)/90+N(AP33)+N(AQ33)+N(AR33)</f>
        <v/>
      </c>
      <c r="AT33" s="3">
        <f>IF(N(M33)&lt;=0,0,(N(AS33)-N(AR33))*90/N(M33))</f>
        <v/>
      </c>
      <c r="AU33" s="5">
        <f>IFERROR(AS33-VLOOKUP($C33,Assumptions!$A$36:$C$39,3,FALSE),"")</f>
        <v/>
      </c>
      <c r="AV33" s="3">
        <f>IFERROR(AU33/F33,"")</f>
        <v/>
      </c>
      <c r="AW33">
        <f>IF(AND($E33=TRUE,$C33="GKP"),AS33,"")</f>
        <v/>
      </c>
      <c r="AX33">
        <f>IF(AND($E33=TRUE,$C33="DEF"),AS33,"")</f>
        <v/>
      </c>
      <c r="AY33">
        <f>IF(AND($E33=TRUE,$C33="MID"),AS33,"")</f>
        <v/>
      </c>
      <c r="AZ33">
        <f>IF(AND($E33=TRUE,$C33="FWD"),AS33,"")</f>
        <v/>
      </c>
      <c r="BA33" t="n">
        <v>2</v>
      </c>
      <c r="BB33" t="n">
        <v>2</v>
      </c>
      <c r="BC33" t="n">
        <v>1</v>
      </c>
      <c r="BD33" t="n">
        <v>5</v>
      </c>
    </row>
    <row r="34">
      <c r="A34" t="inlineStr">
        <is>
          <t>Ryan Gravenberch</t>
        </is>
      </c>
      <c r="B34" t="inlineStr">
        <is>
          <t>LIV</t>
        </is>
      </c>
      <c r="C34" t="inlineStr">
        <is>
          <t>MID</t>
        </is>
      </c>
      <c r="D34" t="inlineStr">
        <is>
          <t>MID</t>
        </is>
      </c>
      <c r="E34" t="b">
        <v>1</v>
      </c>
      <c r="F34" s="2" t="n">
        <v>6</v>
      </c>
      <c r="G34" t="inlineStr">
        <is>
          <t>a</t>
        </is>
      </c>
      <c r="I34" s="2" t="n">
        <v>2991</v>
      </c>
      <c r="J34" t="n">
        <v>144</v>
      </c>
      <c r="K34" s="3" t="n">
        <v>2964</v>
      </c>
      <c r="L34" t="inlineStr">
        <is>
          <t>flat</t>
        </is>
      </c>
      <c r="M34" s="4" t="n">
        <v>2964</v>
      </c>
      <c r="N34" t="inlineStr">
        <is>
          <t>Solio</t>
        </is>
      </c>
      <c r="O34" s="5" t="n">
        <v>86.3</v>
      </c>
      <c r="P34" t="b">
        <v>1</v>
      </c>
      <c r="Q34" s="5">
        <f>IF(N(O34)&lt;=0,0,MIN(Assumptions!$B$15,N(M34)/N(O34)))</f>
        <v/>
      </c>
      <c r="R34" s="4" t="n">
        <v>0.342</v>
      </c>
      <c r="S34" s="3" t="n">
        <v>0.056</v>
      </c>
      <c r="T34" t="inlineStr">
        <is>
          <t>adjusted xGOT</t>
        </is>
      </c>
      <c r="U34" s="3" t="n">
        <v>1</v>
      </c>
      <c r="V34" s="3" t="n">
        <v>0.985</v>
      </c>
      <c r="W34" s="3" t="n">
        <v>5.1</v>
      </c>
      <c r="X34" s="3" t="n">
        <v>0.0696</v>
      </c>
      <c r="Y34" s="3" t="n">
        <v>8.891</v>
      </c>
      <c r="Z34" s="3" t="n">
        <v>0.1535196242150106</v>
      </c>
      <c r="AA34" s="3" t="n">
        <v>0.5115</v>
      </c>
      <c r="AB34" s="3" t="n">
        <v>69</v>
      </c>
      <c r="AC34" s="3" t="n">
        <v>2.409</v>
      </c>
      <c r="AD34" s="3" t="n">
        <v>1.1228</v>
      </c>
      <c r="AE34" s="3" t="n">
        <v>-0.1653791475997056</v>
      </c>
      <c r="AF34" s="4" t="n">
        <v>0</v>
      </c>
      <c r="AG34" s="3" t="n">
        <v>0</v>
      </c>
      <c r="AH34" s="3" t="n">
        <v>0.28</v>
      </c>
      <c r="AI34" s="3" t="n">
        <v>0.275616</v>
      </c>
      <c r="AJ34" s="3">
        <f>N(R34)*N(BC34)</f>
        <v/>
      </c>
      <c r="AK34" s="3" t="n">
        <v>0.5115</v>
      </c>
      <c r="AL34" s="3" t="n">
        <v>0</v>
      </c>
      <c r="AM34" s="3" t="n">
        <v>-0</v>
      </c>
      <c r="AN34" s="3" t="n">
        <v>-0.1653791475997056</v>
      </c>
      <c r="AO34" s="3">
        <f>SUM(AH34:AN34)</f>
        <v/>
      </c>
      <c r="AP34" s="5">
        <f>IF(OR(N(Q34)&lt;=0,N(BA34)=0),0,N(Q34)*IF(N(M34)/N(Q34)&gt;=60,N(BA34),1))</f>
        <v/>
      </c>
      <c r="AQ34" s="5">
        <f>N(Q34)*N(Z34)*N(BB34)</f>
        <v/>
      </c>
      <c r="AR34" s="5">
        <f>N(AF34)*(Assumptions!$B$13*N(BD34)-(1-Assumptions!$B$13)*Assumptions!$B$14)+N(AG34)</f>
        <v/>
      </c>
      <c r="AS34" s="5">
        <f>N(AO34)*N(M34)/90+N(AP34)+N(AQ34)+N(AR34)</f>
        <v/>
      </c>
      <c r="AT34" s="3">
        <f>IF(N(M34)&lt;=0,0,(N(AS34)-N(AR34))*90/N(M34))</f>
        <v/>
      </c>
      <c r="AU34" s="5">
        <f>IFERROR(AS34-VLOOKUP($C34,Assumptions!$A$36:$C$39,3,FALSE),"")</f>
        <v/>
      </c>
      <c r="AV34" s="3">
        <f>IFERROR(AU34/F34,"")</f>
        <v/>
      </c>
      <c r="AW34">
        <f>IF(AND($E34=TRUE,$C34="GKP"),AS34,"")</f>
        <v/>
      </c>
      <c r="AX34">
        <f>IF(AND($E34=TRUE,$C34="DEF"),AS34,"")</f>
        <v/>
      </c>
      <c r="AY34">
        <f>IF(AND($E34=TRUE,$C34="MID"),AS34,"")</f>
        <v/>
      </c>
      <c r="AZ34">
        <f>IF(AND($E34=TRUE,$C34="FWD"),AS34,"")</f>
        <v/>
      </c>
      <c r="BA34" t="n">
        <v>2</v>
      </c>
      <c r="BB34" t="n">
        <v>2</v>
      </c>
      <c r="BC34" t="n">
        <v>1</v>
      </c>
      <c r="BD34" t="n">
        <v>5</v>
      </c>
    </row>
    <row r="35">
      <c r="A35" t="inlineStr">
        <is>
          <t>Matheus Cunha</t>
        </is>
      </c>
      <c r="B35" t="inlineStr">
        <is>
          <t>MUN</t>
        </is>
      </c>
      <c r="C35" t="inlineStr">
        <is>
          <t>MID</t>
        </is>
      </c>
      <c r="D35" t="inlineStr">
        <is>
          <t>MID</t>
        </is>
      </c>
      <c r="E35" t="b">
        <v>1</v>
      </c>
      <c r="F35" s="2" t="n">
        <v>8</v>
      </c>
      <c r="G35" t="inlineStr">
        <is>
          <t>a</t>
        </is>
      </c>
      <c r="I35" s="2" t="n">
        <v>2493</v>
      </c>
      <c r="J35" t="n">
        <v>143</v>
      </c>
      <c r="K35" s="3" t="n">
        <v>2616</v>
      </c>
      <c r="L35" t="inlineStr">
        <is>
          <t>flat</t>
        </is>
      </c>
      <c r="M35" s="4" t="n">
        <v>2616</v>
      </c>
      <c r="N35" t="inlineStr">
        <is>
          <t>Solio</t>
        </is>
      </c>
      <c r="O35" s="5" t="n">
        <v>82.8</v>
      </c>
      <c r="P35" t="b">
        <v>1</v>
      </c>
      <c r="Q35" s="5">
        <f>IF(N(O35)&lt;=0,0,MIN(Assumptions!$B$15,N(M35)/N(O35)))</f>
        <v/>
      </c>
      <c r="R35" s="4" t="n">
        <v>0.334</v>
      </c>
      <c r="S35" s="3" t="n">
        <v>0.2624</v>
      </c>
      <c r="T35" t="inlineStr">
        <is>
          <t>adjusted xGOT</t>
        </is>
      </c>
      <c r="U35" s="3" t="n">
        <v>1</v>
      </c>
      <c r="V35" s="3" t="n">
        <v>1.053</v>
      </c>
      <c r="W35" s="3" t="n">
        <v>26.8</v>
      </c>
      <c r="X35" s="3" t="n">
        <v>0.1274</v>
      </c>
      <c r="Y35" s="3" t="n">
        <v>7.832</v>
      </c>
      <c r="Z35" s="3" t="n">
        <v>0.06318049903395007</v>
      </c>
      <c r="AA35" s="3" t="n">
        <v>0.5415</v>
      </c>
      <c r="AB35" s="3" t="n">
        <v>61</v>
      </c>
      <c r="AC35" s="3" t="n">
        <v>2.2165</v>
      </c>
      <c r="AD35" s="3" t="n">
        <v>1.1467</v>
      </c>
      <c r="AE35" s="3" t="n">
        <v>-0.2002389947220909</v>
      </c>
      <c r="AF35" s="4" t="n">
        <v>0</v>
      </c>
      <c r="AG35" s="3" t="n">
        <v>0</v>
      </c>
      <c r="AH35" s="3" t="n">
        <v>1.312</v>
      </c>
      <c r="AI35" s="3" t="n">
        <v>0.5045040000000001</v>
      </c>
      <c r="AJ35" s="3">
        <f>N(R35)*N(BC35)</f>
        <v/>
      </c>
      <c r="AK35" s="3" t="n">
        <v>0.5415</v>
      </c>
      <c r="AL35" s="3" t="n">
        <v>0</v>
      </c>
      <c r="AM35" s="3" t="n">
        <v>-0</v>
      </c>
      <c r="AN35" s="3" t="n">
        <v>-0.2002389947220909</v>
      </c>
      <c r="AO35" s="3">
        <f>SUM(AH35:AN35)</f>
        <v/>
      </c>
      <c r="AP35" s="5">
        <f>IF(OR(N(Q35)&lt;=0,N(BA35)=0),0,N(Q35)*IF(N(M35)/N(Q35)&gt;=60,N(BA35),1))</f>
        <v/>
      </c>
      <c r="AQ35" s="5">
        <f>N(Q35)*N(Z35)*N(BB35)</f>
        <v/>
      </c>
      <c r="AR35" s="5">
        <f>N(AF35)*(Assumptions!$B$13*N(BD35)-(1-Assumptions!$B$13)*Assumptions!$B$14)+N(AG35)</f>
        <v/>
      </c>
      <c r="AS35" s="5">
        <f>N(AO35)*N(M35)/90+N(AP35)+N(AQ35)+N(AR35)</f>
        <v/>
      </c>
      <c r="AT35" s="3">
        <f>IF(N(M35)&lt;=0,0,(N(AS35)-N(AR35))*90/N(M35))</f>
        <v/>
      </c>
      <c r="AU35" s="5">
        <f>IFERROR(AS35-VLOOKUP($C35,Assumptions!$A$36:$C$39,3,FALSE),"")</f>
        <v/>
      </c>
      <c r="AV35" s="3">
        <f>IFERROR(AU35/F35,"")</f>
        <v/>
      </c>
      <c r="AW35">
        <f>IF(AND($E35=TRUE,$C35="GKP"),AS35,"")</f>
        <v/>
      </c>
      <c r="AX35">
        <f>IF(AND($E35=TRUE,$C35="DEF"),AS35,"")</f>
        <v/>
      </c>
      <c r="AY35">
        <f>IF(AND($E35=TRUE,$C35="MID"),AS35,"")</f>
        <v/>
      </c>
      <c r="AZ35">
        <f>IF(AND($E35=TRUE,$C35="FWD"),AS35,"")</f>
        <v/>
      </c>
      <c r="BA35" t="n">
        <v>2</v>
      </c>
      <c r="BB35" t="n">
        <v>2</v>
      </c>
      <c r="BC35" t="n">
        <v>1</v>
      </c>
      <c r="BD35" t="n">
        <v>5</v>
      </c>
    </row>
    <row r="36">
      <c r="A36" t="inlineStr">
        <is>
          <t>Caoimhín Kelleher</t>
        </is>
      </c>
      <c r="B36" t="inlineStr">
        <is>
          <t>BRE</t>
        </is>
      </c>
      <c r="C36" t="inlineStr">
        <is>
          <t>GKP</t>
        </is>
      </c>
      <c r="D36" t="inlineStr">
        <is>
          <t>GKP</t>
        </is>
      </c>
      <c r="E36" t="b">
        <v>1</v>
      </c>
      <c r="F36" s="2" t="n">
        <v>5</v>
      </c>
      <c r="G36" t="inlineStr">
        <is>
          <t>a</t>
        </is>
      </c>
      <c r="I36" s="2" t="n">
        <v>3330</v>
      </c>
      <c r="J36" t="n">
        <v>143</v>
      </c>
      <c r="K36" s="3" t="n">
        <v>3385</v>
      </c>
      <c r="L36" t="inlineStr">
        <is>
          <t>flat</t>
        </is>
      </c>
      <c r="M36" s="4" t="n">
        <v>3385</v>
      </c>
      <c r="N36" t="inlineStr">
        <is>
          <t>Solio</t>
        </is>
      </c>
      <c r="O36" s="5" t="n">
        <v>90</v>
      </c>
      <c r="P36" t="b">
        <v>1</v>
      </c>
      <c r="Q36" s="5">
        <f>IF(N(O36)&lt;=0,0,MIN(Assumptions!$B$15,N(M36)/N(O36)))</f>
        <v/>
      </c>
      <c r="R36" s="4" t="n">
        <v>0.228</v>
      </c>
      <c r="S36" s="3" t="n">
        <v>0</v>
      </c>
      <c r="T36" t="inlineStr">
        <is>
          <t>blended xG</t>
        </is>
      </c>
      <c r="U36" s="3" t="n">
        <v>1</v>
      </c>
      <c r="V36" s="3" t="n">
        <v>1</v>
      </c>
      <c r="W36" s="3" t="n">
        <v>0</v>
      </c>
      <c r="X36" s="3" t="n">
        <v>0.0044</v>
      </c>
      <c r="Y36" s="3" t="n">
        <v>0</v>
      </c>
      <c r="Z36" s="3" t="n">
        <v>0</v>
      </c>
      <c r="AA36" s="3" t="n">
        <v>0.3784</v>
      </c>
      <c r="AB36" s="3" t="n">
        <v>74</v>
      </c>
      <c r="AC36" s="3" t="n">
        <v>3.2371</v>
      </c>
      <c r="AD36" s="3" t="n">
        <v>1.5396</v>
      </c>
      <c r="AE36" s="3" t="n">
        <v>-0.0374651075801383</v>
      </c>
      <c r="AF36" s="4" t="n">
        <v>0</v>
      </c>
      <c r="AG36" s="3" t="n">
        <v>3.253202468356684</v>
      </c>
      <c r="AH36" s="3" t="n">
        <v>0</v>
      </c>
      <c r="AI36" s="3" t="n">
        <v>0.017424</v>
      </c>
      <c r="AJ36" s="3">
        <f>N(R36)*N(BC36)</f>
        <v/>
      </c>
      <c r="AK36" s="3" t="n">
        <v>0.3784</v>
      </c>
      <c r="AL36" s="3" t="n">
        <v>0.7437492341118994</v>
      </c>
      <c r="AM36" s="3" t="n">
        <v>-0.5312990096912251</v>
      </c>
      <c r="AN36" s="3" t="n">
        <v>-0.0374651075801383</v>
      </c>
      <c r="AO36" s="3">
        <f>SUM(AH36:AN36)</f>
        <v/>
      </c>
      <c r="AP36" s="5">
        <f>IF(OR(N(Q36)&lt;=0,N(BA36)=0),0,N(Q36)*IF(N(M36)/N(Q36)&gt;=60,N(BA36),1))</f>
        <v/>
      </c>
      <c r="AQ36" s="5">
        <f>N(Q36)*N(Z36)*N(BB36)</f>
        <v/>
      </c>
      <c r="AR36" s="5">
        <f>N(AF36)*(Assumptions!$B$13*N(BD36)-(1-Assumptions!$B$13)*Assumptions!$B$14)+N(AG36)</f>
        <v/>
      </c>
      <c r="AS36" s="5">
        <f>N(AO36)*N(M36)/90+N(AP36)+N(AQ36)+N(AR36)</f>
        <v/>
      </c>
      <c r="AT36" s="3">
        <f>IF(N(M36)&lt;=0,0,(N(AS36)-N(AR36))*90/N(M36))</f>
        <v/>
      </c>
      <c r="AU36" s="5">
        <f>IFERROR(AS36-VLOOKUP($C36,Assumptions!$A$36:$C$39,3,FALSE),"")</f>
        <v/>
      </c>
      <c r="AV36" s="3">
        <f>IFERROR(AU36/F36,"")</f>
        <v/>
      </c>
      <c r="AW36">
        <f>IF(AND($E36=TRUE,$C36="GKP"),AS36,"")</f>
        <v/>
      </c>
      <c r="AX36">
        <f>IF(AND($E36=TRUE,$C36="DEF"),AS36,"")</f>
        <v/>
      </c>
      <c r="AY36">
        <f>IF(AND($E36=TRUE,$C36="MID"),AS36,"")</f>
        <v/>
      </c>
      <c r="AZ36">
        <f>IF(AND($E36=TRUE,$C36="FWD"),AS36,"")</f>
        <v/>
      </c>
      <c r="BA36" t="n">
        <v>2</v>
      </c>
      <c r="BB36" t="n">
        <v>0</v>
      </c>
      <c r="BC36" t="n">
        <v>4</v>
      </c>
      <c r="BD36" t="n">
        <v>10</v>
      </c>
    </row>
    <row r="37">
      <c r="A37" t="inlineStr">
        <is>
          <t>Dominic Calvert-Lewin</t>
        </is>
      </c>
      <c r="B37" t="inlineStr">
        <is>
          <t>LEE</t>
        </is>
      </c>
      <c r="C37" t="inlineStr">
        <is>
          <t>FWD</t>
        </is>
      </c>
      <c r="D37" t="inlineStr">
        <is>
          <t>FWD</t>
        </is>
      </c>
      <c r="E37" t="b">
        <v>1</v>
      </c>
      <c r="F37" s="2" t="n">
        <v>6</v>
      </c>
      <c r="G37" t="inlineStr">
        <is>
          <t>a</t>
        </is>
      </c>
      <c r="I37" s="2" t="n">
        <v>2721</v>
      </c>
      <c r="J37" t="n">
        <v>142</v>
      </c>
      <c r="K37" s="3" t="n">
        <v>3084</v>
      </c>
      <c r="L37" t="inlineStr">
        <is>
          <t>flat</t>
        </is>
      </c>
      <c r="M37" s="4" t="n">
        <v>3084</v>
      </c>
      <c r="N37" t="inlineStr">
        <is>
          <t>Solio</t>
        </is>
      </c>
      <c r="O37" s="5" t="n">
        <v>86.7</v>
      </c>
      <c r="P37" t="b">
        <v>1</v>
      </c>
      <c r="Q37" s="5">
        <f>IF(N(O37)&lt;=0,0,MIN(Assumptions!$B$15,N(M37)/N(O37)))</f>
        <v/>
      </c>
      <c r="R37" s="4" t="n">
        <v>0.218</v>
      </c>
      <c r="S37" s="3" t="n">
        <v>0.3558</v>
      </c>
      <c r="T37" t="inlineStr">
        <is>
          <t>adjusted xGOT</t>
        </is>
      </c>
      <c r="U37" s="3" t="n">
        <v>0.796</v>
      </c>
      <c r="V37" s="3" t="n">
        <v>0.868</v>
      </c>
      <c r="W37" s="3" t="n">
        <v>40.9</v>
      </c>
      <c r="X37" s="3" t="n">
        <v>0.0431</v>
      </c>
      <c r="Y37" s="3" t="n">
        <v>3.749</v>
      </c>
      <c r="Z37" s="3" t="n">
        <v>0.0003808402003303568</v>
      </c>
      <c r="AA37" s="3" t="n">
        <v>0.6615</v>
      </c>
      <c r="AB37" s="3" t="n">
        <v>65</v>
      </c>
      <c r="AC37" s="3" t="n">
        <v>3.0611</v>
      </c>
      <c r="AD37" s="3" t="n">
        <v>1.5875</v>
      </c>
      <c r="AE37" s="3" t="n">
        <v>-0.1259791020661446</v>
      </c>
      <c r="AF37" s="4" t="n">
        <v>3.856888360752881</v>
      </c>
      <c r="AG37" s="3" t="n">
        <v>0</v>
      </c>
      <c r="AH37" s="3" t="n">
        <v>1.4232</v>
      </c>
      <c r="AI37" s="3" t="n">
        <v>0.170676</v>
      </c>
      <c r="AJ37" s="3">
        <f>N(R37)*N(BC37)</f>
        <v/>
      </c>
      <c r="AK37" s="3" t="n">
        <v>0.6615</v>
      </c>
      <c r="AL37" s="3" t="n">
        <v>0</v>
      </c>
      <c r="AM37" s="3" t="n">
        <v>-0</v>
      </c>
      <c r="AN37" s="3" t="n">
        <v>-0.1259791020661446</v>
      </c>
      <c r="AO37" s="3">
        <f>SUM(AH37:AN37)</f>
        <v/>
      </c>
      <c r="AP37" s="5">
        <f>IF(OR(N(Q37)&lt;=0,N(BA37)=0),0,N(Q37)*IF(N(M37)/N(Q37)&gt;=60,N(BA37),1))</f>
        <v/>
      </c>
      <c r="AQ37" s="5">
        <f>N(Q37)*N(Z37)*N(BB37)</f>
        <v/>
      </c>
      <c r="AR37" s="5">
        <f>N(AF37)*(Assumptions!$B$13*N(BD37)-(1-Assumptions!$B$13)*Assumptions!$B$14)+N(AG37)</f>
        <v/>
      </c>
      <c r="AS37" s="5">
        <f>N(AO37)*N(M37)/90+N(AP37)+N(AQ37)+N(AR37)</f>
        <v/>
      </c>
      <c r="AT37" s="3">
        <f>IF(N(M37)&lt;=0,0,(N(AS37)-N(AR37))*90/N(M37))</f>
        <v/>
      </c>
      <c r="AU37" s="5">
        <f>IFERROR(AS37-VLOOKUP($C37,Assumptions!$A$36:$C$39,3,FALSE),"")</f>
        <v/>
      </c>
      <c r="AV37" s="3">
        <f>IFERROR(AU37/F37,"")</f>
        <v/>
      </c>
      <c r="AW37">
        <f>IF(AND($E37=TRUE,$C37="GKP"),AS37,"")</f>
        <v/>
      </c>
      <c r="AX37">
        <f>IF(AND($E37=TRUE,$C37="DEF"),AS37,"")</f>
        <v/>
      </c>
      <c r="AY37">
        <f>IF(AND($E37=TRUE,$C37="MID"),AS37,"")</f>
        <v/>
      </c>
      <c r="AZ37">
        <f>IF(AND($E37=TRUE,$C37="FWD"),AS37,"")</f>
        <v/>
      </c>
      <c r="BA37" t="n">
        <v>2</v>
      </c>
      <c r="BB37" t="n">
        <v>2</v>
      </c>
      <c r="BC37" t="n">
        <v>0</v>
      </c>
      <c r="BD37" t="n">
        <v>4</v>
      </c>
    </row>
    <row r="38">
      <c r="A38" t="inlineStr">
        <is>
          <t>Marcus Tavernier</t>
        </is>
      </c>
      <c r="B38" t="inlineStr">
        <is>
          <t>BOU</t>
        </is>
      </c>
      <c r="C38" t="inlineStr">
        <is>
          <t>MID</t>
        </is>
      </c>
      <c r="D38" t="inlineStr">
        <is>
          <t>MID</t>
        </is>
      </c>
      <c r="E38" t="b">
        <v>1</v>
      </c>
      <c r="F38" s="2" t="n">
        <v>6</v>
      </c>
      <c r="G38" t="inlineStr">
        <is>
          <t>a</t>
        </is>
      </c>
      <c r="I38" s="2" t="n">
        <v>2732</v>
      </c>
      <c r="J38" t="n">
        <v>137</v>
      </c>
      <c r="K38" s="3" t="n">
        <v>3061</v>
      </c>
      <c r="L38" t="inlineStr">
        <is>
          <t>flat</t>
        </is>
      </c>
      <c r="M38" s="4" t="n">
        <v>3061</v>
      </c>
      <c r="N38" t="inlineStr">
        <is>
          <t>Solio</t>
        </is>
      </c>
      <c r="O38" s="5" t="n">
        <v>85.90000000000001</v>
      </c>
      <c r="P38" t="b">
        <v>1</v>
      </c>
      <c r="Q38" s="5">
        <f>IF(N(O38)&lt;=0,0,MIN(Assumptions!$B$15,N(M38)/N(O38)))</f>
        <v/>
      </c>
      <c r="R38" s="4" t="n">
        <v>0.23</v>
      </c>
      <c r="S38" s="3" t="n">
        <v>0.2232</v>
      </c>
      <c r="T38" t="inlineStr">
        <is>
          <t>adjusted xGOT</t>
        </is>
      </c>
      <c r="U38" s="3" t="n">
        <v>0.838</v>
      </c>
      <c r="V38" s="3" t="n">
        <v>0.892</v>
      </c>
      <c r="W38" s="3" t="n">
        <v>21.6</v>
      </c>
      <c r="X38" s="3" t="n">
        <v>0.1772</v>
      </c>
      <c r="Y38" s="3" t="n">
        <v>8.333</v>
      </c>
      <c r="Z38" s="3" t="n">
        <v>0.1085883430777298</v>
      </c>
      <c r="AA38" s="3" t="n">
        <v>0.4612</v>
      </c>
      <c r="AB38" s="3" t="n">
        <v>65</v>
      </c>
      <c r="AC38" s="3" t="n">
        <v>3.0957</v>
      </c>
      <c r="AD38" s="3" t="n">
        <v>1.53</v>
      </c>
      <c r="AE38" s="3" t="n">
        <v>-0.220433198522874</v>
      </c>
      <c r="AF38" s="4" t="n">
        <v>0.7071243305185803</v>
      </c>
      <c r="AG38" s="3" t="n">
        <v>0</v>
      </c>
      <c r="AH38" s="3" t="n">
        <v>1.116</v>
      </c>
      <c r="AI38" s="3" t="n">
        <v>0.701712</v>
      </c>
      <c r="AJ38" s="3">
        <f>N(R38)*N(BC38)</f>
        <v/>
      </c>
      <c r="AK38" s="3" t="n">
        <v>0.4612</v>
      </c>
      <c r="AL38" s="3" t="n">
        <v>0</v>
      </c>
      <c r="AM38" s="3" t="n">
        <v>-0</v>
      </c>
      <c r="AN38" s="3" t="n">
        <v>-0.220433198522874</v>
      </c>
      <c r="AO38" s="3">
        <f>SUM(AH38:AN38)</f>
        <v/>
      </c>
      <c r="AP38" s="5">
        <f>IF(OR(N(Q38)&lt;=0,N(BA38)=0),0,N(Q38)*IF(N(M38)/N(Q38)&gt;=60,N(BA38),1))</f>
        <v/>
      </c>
      <c r="AQ38" s="5">
        <f>N(Q38)*N(Z38)*N(BB38)</f>
        <v/>
      </c>
      <c r="AR38" s="5">
        <f>N(AF38)*(Assumptions!$B$13*N(BD38)-(1-Assumptions!$B$13)*Assumptions!$B$14)+N(AG38)</f>
        <v/>
      </c>
      <c r="AS38" s="5">
        <f>N(AO38)*N(M38)/90+N(AP38)+N(AQ38)+N(AR38)</f>
        <v/>
      </c>
      <c r="AT38" s="3">
        <f>IF(N(M38)&lt;=0,0,(N(AS38)-N(AR38))*90/N(M38))</f>
        <v/>
      </c>
      <c r="AU38" s="5">
        <f>IFERROR(AS38-VLOOKUP($C38,Assumptions!$A$36:$C$39,3,FALSE),"")</f>
        <v/>
      </c>
      <c r="AV38" s="3">
        <f>IFERROR(AU38/F38,"")</f>
        <v/>
      </c>
      <c r="AW38">
        <f>IF(AND($E38=TRUE,$C38="GKP"),AS38,"")</f>
        <v/>
      </c>
      <c r="AX38">
        <f>IF(AND($E38=TRUE,$C38="DEF"),AS38,"")</f>
        <v/>
      </c>
      <c r="AY38">
        <f>IF(AND($E38=TRUE,$C38="MID"),AS38,"")</f>
        <v/>
      </c>
      <c r="AZ38">
        <f>IF(AND($E38=TRUE,$C38="FWD"),AS38,"")</f>
        <v/>
      </c>
      <c r="BA38" t="n">
        <v>2</v>
      </c>
      <c r="BB38" t="n">
        <v>2</v>
      </c>
      <c r="BC38" t="n">
        <v>1</v>
      </c>
      <c r="BD38" t="n">
        <v>5</v>
      </c>
    </row>
    <row r="39">
      <c r="A39" t="inlineStr">
        <is>
          <t>William Saliba</t>
        </is>
      </c>
      <c r="B39" t="inlineStr">
        <is>
          <t>ARS</t>
        </is>
      </c>
      <c r="C39" t="inlineStr">
        <is>
          <t>DEF</t>
        </is>
      </c>
      <c r="D39" t="inlineStr">
        <is>
          <t>DEF</t>
        </is>
      </c>
      <c r="E39" t="b">
        <v>1</v>
      </c>
      <c r="F39" s="2" t="n">
        <v>6</v>
      </c>
      <c r="G39" t="inlineStr">
        <is>
          <t>i</t>
        </is>
      </c>
      <c r="H39" t="inlineStr">
        <is>
          <t>Back injury - Unknown return date</t>
        </is>
      </c>
      <c r="I39" s="2" t="n">
        <v>2614</v>
      </c>
      <c r="J39" t="n">
        <v>137</v>
      </c>
      <c r="K39" s="3" t="n">
        <v>3278</v>
      </c>
      <c r="L39" t="inlineStr">
        <is>
          <t>ramp-up (injury / late WC return)</t>
        </is>
      </c>
      <c r="M39" s="4" t="n">
        <v>3278</v>
      </c>
      <c r="N39" t="inlineStr">
        <is>
          <t>Solio</t>
        </is>
      </c>
      <c r="O39" s="5" t="n">
        <v>85.59999999999999</v>
      </c>
      <c r="P39" t="b">
        <v>1</v>
      </c>
      <c r="Q39" s="5">
        <f>IF(N(O39)&lt;=0,0,MIN(Assumptions!$B$15,N(M39)/N(O39)))</f>
        <v/>
      </c>
      <c r="R39" s="4" t="n">
        <v>0.391</v>
      </c>
      <c r="S39" s="3" t="n">
        <v>0.0287</v>
      </c>
      <c r="T39" t="inlineStr">
        <is>
          <t>adjusted xGOT</t>
        </is>
      </c>
      <c r="U39" s="3" t="n">
        <v>1</v>
      </c>
      <c r="V39" s="3" t="n">
        <v>0.949</v>
      </c>
      <c r="W39" s="3" t="n">
        <v>5.9</v>
      </c>
      <c r="X39" s="3" t="n">
        <v>0.0433</v>
      </c>
      <c r="Y39" s="3" t="n">
        <v>6.87</v>
      </c>
      <c r="Z39" s="3" t="n">
        <v>0.1255641554707737</v>
      </c>
      <c r="AA39" s="3" t="n">
        <v>0.3787</v>
      </c>
      <c r="AB39" s="3" t="n">
        <v>59</v>
      </c>
      <c r="AC39" s="3" t="n">
        <v>2.067</v>
      </c>
      <c r="AD39" s="3" t="n">
        <v>0.9838</v>
      </c>
      <c r="AE39" s="3" t="n">
        <v>-0.1172580621154681</v>
      </c>
      <c r="AF39" s="4" t="n">
        <v>0</v>
      </c>
      <c r="AG39" s="3" t="n">
        <v>0</v>
      </c>
      <c r="AH39" s="3" t="n">
        <v>0.1722</v>
      </c>
      <c r="AI39" s="3" t="n">
        <v>0.171468</v>
      </c>
      <c r="AJ39" s="3">
        <f>N(R39)*N(BC39)</f>
        <v/>
      </c>
      <c r="AK39" s="3" t="n">
        <v>0.3787</v>
      </c>
      <c r="AL39" s="3" t="n">
        <v>0</v>
      </c>
      <c r="AM39" s="3" t="n">
        <v>-0.2768479886568037</v>
      </c>
      <c r="AN39" s="3" t="n">
        <v>-0.1172580621154681</v>
      </c>
      <c r="AO39" s="3">
        <f>SUM(AH39:AN39)</f>
        <v/>
      </c>
      <c r="AP39" s="5">
        <f>IF(OR(N(Q39)&lt;=0,N(BA39)=0),0,N(Q39)*IF(N(M39)/N(Q39)&gt;=60,N(BA39),1))</f>
        <v/>
      </c>
      <c r="AQ39" s="5">
        <f>N(Q39)*N(Z39)*N(BB39)</f>
        <v/>
      </c>
      <c r="AR39" s="5">
        <f>N(AF39)*(Assumptions!$B$13*N(BD39)-(1-Assumptions!$B$13)*Assumptions!$B$14)+N(AG39)</f>
        <v/>
      </c>
      <c r="AS39" s="5">
        <f>N(AO39)*N(M39)/90+N(AP39)+N(AQ39)+N(AR39)</f>
        <v/>
      </c>
      <c r="AT39" s="3">
        <f>IF(N(M39)&lt;=0,0,(N(AS39)-N(AR39))*90/N(M39))</f>
        <v/>
      </c>
      <c r="AU39" s="5">
        <f>IFERROR(AS39-VLOOKUP($C39,Assumptions!$A$36:$C$39,3,FALSE),"")</f>
        <v/>
      </c>
      <c r="AV39" s="3">
        <f>IFERROR(AU39/F39,"")</f>
        <v/>
      </c>
      <c r="AW39">
        <f>IF(AND($E39=TRUE,$C39="GKP"),AS39,"")</f>
        <v/>
      </c>
      <c r="AX39">
        <f>IF(AND($E39=TRUE,$C39="DEF"),AS39,"")</f>
        <v/>
      </c>
      <c r="AY39">
        <f>IF(AND($E39=TRUE,$C39="MID"),AS39,"")</f>
        <v/>
      </c>
      <c r="AZ39">
        <f>IF(AND($E39=TRUE,$C39="FWD"),AS39,"")</f>
        <v/>
      </c>
      <c r="BA39" t="n">
        <v>2</v>
      </c>
      <c r="BB39" t="n">
        <v>2</v>
      </c>
      <c r="BC39" t="n">
        <v>4</v>
      </c>
      <c r="BD39" t="n">
        <v>6</v>
      </c>
    </row>
    <row r="40">
      <c r="A40" t="inlineStr">
        <is>
          <t>Anton Stach</t>
        </is>
      </c>
      <c r="B40" t="inlineStr">
        <is>
          <t>LEE</t>
        </is>
      </c>
      <c r="C40" t="inlineStr">
        <is>
          <t>MID</t>
        </is>
      </c>
      <c r="D40" t="inlineStr">
        <is>
          <t>MID</t>
        </is>
      </c>
      <c r="E40" t="b">
        <v>1</v>
      </c>
      <c r="F40" s="2" t="n">
        <v>6</v>
      </c>
      <c r="G40" t="inlineStr">
        <is>
          <t>a</t>
        </is>
      </c>
      <c r="I40" s="2" t="n">
        <v>2369</v>
      </c>
      <c r="J40" t="n">
        <v>137</v>
      </c>
      <c r="K40" s="3" t="n">
        <v>2964</v>
      </c>
      <c r="L40" t="inlineStr">
        <is>
          <t>flat</t>
        </is>
      </c>
      <c r="M40" s="4" t="n">
        <v>2964</v>
      </c>
      <c r="N40" t="inlineStr">
        <is>
          <t>Solio</t>
        </is>
      </c>
      <c r="O40" s="5" t="n">
        <v>83.5</v>
      </c>
      <c r="P40" t="b">
        <v>1</v>
      </c>
      <c r="Q40" s="5">
        <f>IF(N(O40)&lt;=0,0,MIN(Assumptions!$B$15,N(M40)/N(O40)))</f>
        <v/>
      </c>
      <c r="R40" s="4" t="n">
        <v>0.218</v>
      </c>
      <c r="S40" s="3" t="n">
        <v>0.1096</v>
      </c>
      <c r="T40" t="inlineStr">
        <is>
          <t>adjusted xGOT</t>
        </is>
      </c>
      <c r="U40" s="3" t="n">
        <v>1</v>
      </c>
      <c r="V40" s="3" t="n">
        <v>1.002</v>
      </c>
      <c r="W40" s="3" t="n">
        <v>2.9</v>
      </c>
      <c r="X40" s="3" t="n">
        <v>0.1981</v>
      </c>
      <c r="Y40" s="3" t="n">
        <v>9.749000000000001</v>
      </c>
      <c r="Z40" s="3" t="n">
        <v>0.2013699678979427</v>
      </c>
      <c r="AA40" s="3" t="n">
        <v>0.5319</v>
      </c>
      <c r="AB40" s="3" t="n">
        <v>56</v>
      </c>
      <c r="AC40" s="3" t="n">
        <v>3.0611</v>
      </c>
      <c r="AD40" s="3" t="n">
        <v>1.5875</v>
      </c>
      <c r="AE40" s="3" t="n">
        <v>-0.162906319216979</v>
      </c>
      <c r="AF40" s="4" t="n">
        <v>0</v>
      </c>
      <c r="AG40" s="3" t="n">
        <v>0</v>
      </c>
      <c r="AH40" s="3" t="n">
        <v>0.548</v>
      </c>
      <c r="AI40" s="3" t="n">
        <v>0.7844760000000001</v>
      </c>
      <c r="AJ40" s="3">
        <f>N(R40)*N(BC40)</f>
        <v/>
      </c>
      <c r="AK40" s="3" t="n">
        <v>0.5319</v>
      </c>
      <c r="AL40" s="3" t="n">
        <v>0</v>
      </c>
      <c r="AM40" s="3" t="n">
        <v>-0</v>
      </c>
      <c r="AN40" s="3" t="n">
        <v>-0.162906319216979</v>
      </c>
      <c r="AO40" s="3">
        <f>SUM(AH40:AN40)</f>
        <v/>
      </c>
      <c r="AP40" s="5">
        <f>IF(OR(N(Q40)&lt;=0,N(BA40)=0),0,N(Q40)*IF(N(M40)/N(Q40)&gt;=60,N(BA40),1))</f>
        <v/>
      </c>
      <c r="AQ40" s="5">
        <f>N(Q40)*N(Z40)*N(BB40)</f>
        <v/>
      </c>
      <c r="AR40" s="5">
        <f>N(AF40)*(Assumptions!$B$13*N(BD40)-(1-Assumptions!$B$13)*Assumptions!$B$14)+N(AG40)</f>
        <v/>
      </c>
      <c r="AS40" s="5">
        <f>N(AO40)*N(M40)/90+N(AP40)+N(AQ40)+N(AR40)</f>
        <v/>
      </c>
      <c r="AT40" s="3">
        <f>IF(N(M40)&lt;=0,0,(N(AS40)-N(AR40))*90/N(M40))</f>
        <v/>
      </c>
      <c r="AU40" s="5">
        <f>IFERROR(AS40-VLOOKUP($C40,Assumptions!$A$36:$C$39,3,FALSE),"")</f>
        <v/>
      </c>
      <c r="AV40" s="3">
        <f>IFERROR(AU40/F40,"")</f>
        <v/>
      </c>
      <c r="AW40">
        <f>IF(AND($E40=TRUE,$C40="GKP"),AS40,"")</f>
        <v/>
      </c>
      <c r="AX40">
        <f>IF(AND($E40=TRUE,$C40="DEF"),AS40,"")</f>
        <v/>
      </c>
      <c r="AY40">
        <f>IF(AND($E40=TRUE,$C40="MID"),AS40,"")</f>
        <v/>
      </c>
      <c r="AZ40">
        <f>IF(AND($E40=TRUE,$C40="FWD"),AS40,"")</f>
        <v/>
      </c>
      <c r="BA40" t="n">
        <v>2</v>
      </c>
      <c r="BB40" t="n">
        <v>2</v>
      </c>
      <c r="BC40" t="n">
        <v>1</v>
      </c>
      <c r="BD40" t="n">
        <v>5</v>
      </c>
    </row>
    <row r="41">
      <c r="A41" t="inlineStr">
        <is>
          <t>Daniel Muñoz</t>
        </is>
      </c>
      <c r="B41" t="inlineStr">
        <is>
          <t>CRY</t>
        </is>
      </c>
      <c r="C41" t="inlineStr">
        <is>
          <t>DEF</t>
        </is>
      </c>
      <c r="D41" t="inlineStr">
        <is>
          <t>DEF</t>
        </is>
      </c>
      <c r="E41" t="b">
        <v>1</v>
      </c>
      <c r="F41" s="2" t="n">
        <v>5.5</v>
      </c>
      <c r="G41" t="inlineStr">
        <is>
          <t>a</t>
        </is>
      </c>
      <c r="I41" s="2" t="n">
        <v>2400</v>
      </c>
      <c r="J41" t="n">
        <v>136</v>
      </c>
      <c r="K41" s="3" t="n">
        <v>3055</v>
      </c>
      <c r="L41" t="inlineStr">
        <is>
          <t>flat</t>
        </is>
      </c>
      <c r="M41" s="4" t="n">
        <v>3055</v>
      </c>
      <c r="N41" t="inlineStr">
        <is>
          <t>Solio</t>
        </is>
      </c>
      <c r="O41" s="5" t="n">
        <v>82.8</v>
      </c>
      <c r="P41" t="b">
        <v>1</v>
      </c>
      <c r="Q41" s="5">
        <f>IF(N(O41)&lt;=0,0,MIN(Assumptions!$B$15,N(M41)/N(O41)))</f>
        <v/>
      </c>
      <c r="R41" s="4" t="n">
        <v>0.216</v>
      </c>
      <c r="S41" s="3" t="n">
        <v>0.08119999999999999</v>
      </c>
      <c r="T41" t="inlineStr">
        <is>
          <t>adjusted xGOT</t>
        </is>
      </c>
      <c r="U41" s="3" t="n">
        <v>1</v>
      </c>
      <c r="V41" s="3" t="n">
        <v>0.884</v>
      </c>
      <c r="W41" s="3" t="n">
        <v>8.6</v>
      </c>
      <c r="X41" s="3" t="n">
        <v>0.1689</v>
      </c>
      <c r="Y41" s="3" t="n">
        <v>7.427</v>
      </c>
      <c r="Z41" s="3" t="n">
        <v>0.1529658233329639</v>
      </c>
      <c r="AA41" s="3" t="n">
        <v>0.3375</v>
      </c>
      <c r="AB41" s="3" t="n">
        <v>55</v>
      </c>
      <c r="AC41" s="3" t="n">
        <v>3.2035</v>
      </c>
      <c r="AD41" s="3" t="n">
        <v>1.5923</v>
      </c>
      <c r="AE41" s="3" t="n">
        <v>-0.269567792305615</v>
      </c>
      <c r="AF41" s="4" t="n">
        <v>0</v>
      </c>
      <c r="AG41" s="3" t="n">
        <v>0</v>
      </c>
      <c r="AH41" s="3" t="n">
        <v>0.4872</v>
      </c>
      <c r="AI41" s="3" t="n">
        <v>0.6688439999999999</v>
      </c>
      <c r="AJ41" s="3">
        <f>N(R41)*N(BC41)</f>
        <v/>
      </c>
      <c r="AK41" s="3" t="n">
        <v>0.3375</v>
      </c>
      <c r="AL41" s="3" t="n">
        <v>0</v>
      </c>
      <c r="AM41" s="3" t="n">
        <v>-0.5564987001023466</v>
      </c>
      <c r="AN41" s="3" t="n">
        <v>-0.269567792305615</v>
      </c>
      <c r="AO41" s="3">
        <f>SUM(AH41:AN41)</f>
        <v/>
      </c>
      <c r="AP41" s="5">
        <f>IF(OR(N(Q41)&lt;=0,N(BA41)=0),0,N(Q41)*IF(N(M41)/N(Q41)&gt;=60,N(BA41),1))</f>
        <v/>
      </c>
      <c r="AQ41" s="5">
        <f>N(Q41)*N(Z41)*N(BB41)</f>
        <v/>
      </c>
      <c r="AR41" s="5">
        <f>N(AF41)*(Assumptions!$B$13*N(BD41)-(1-Assumptions!$B$13)*Assumptions!$B$14)+N(AG41)</f>
        <v/>
      </c>
      <c r="AS41" s="5">
        <f>N(AO41)*N(M41)/90+N(AP41)+N(AQ41)+N(AR41)</f>
        <v/>
      </c>
      <c r="AT41" s="3">
        <f>IF(N(M41)&lt;=0,0,(N(AS41)-N(AR41))*90/N(M41))</f>
        <v/>
      </c>
      <c r="AU41" s="5">
        <f>IFERROR(AS41-VLOOKUP($C41,Assumptions!$A$36:$C$39,3,FALSE),"")</f>
        <v/>
      </c>
      <c r="AV41" s="3">
        <f>IFERROR(AU41/F41,"")</f>
        <v/>
      </c>
      <c r="AW41">
        <f>IF(AND($E41=TRUE,$C41="GKP"),AS41,"")</f>
        <v/>
      </c>
      <c r="AX41">
        <f>IF(AND($E41=TRUE,$C41="DEF"),AS41,"")</f>
        <v/>
      </c>
      <c r="AY41">
        <f>IF(AND($E41=TRUE,$C41="MID"),AS41,"")</f>
        <v/>
      </c>
      <c r="AZ41">
        <f>IF(AND($E41=TRUE,$C41="FWD"),AS41,"")</f>
        <v/>
      </c>
      <c r="BA41" t="n">
        <v>2</v>
      </c>
      <c r="BB41" t="n">
        <v>2</v>
      </c>
      <c r="BC41" t="n">
        <v>4</v>
      </c>
      <c r="BD41" t="n">
        <v>6</v>
      </c>
    </row>
    <row r="42">
      <c r="A42" t="inlineStr">
        <is>
          <t>Trevoh Chalobah</t>
        </is>
      </c>
      <c r="B42" t="inlineStr">
        <is>
          <t>CHE</t>
        </is>
      </c>
      <c r="C42" t="inlineStr">
        <is>
          <t>DEF</t>
        </is>
      </c>
      <c r="D42" t="inlineStr">
        <is>
          <t>DEF</t>
        </is>
      </c>
      <c r="E42" t="b">
        <v>1</v>
      </c>
      <c r="F42" s="2" t="n">
        <v>5.5</v>
      </c>
      <c r="G42" t="inlineStr">
        <is>
          <t>u</t>
        </is>
      </c>
      <c r="H42" t="inlineStr">
        <is>
          <t>Has joined Como permanently</t>
        </is>
      </c>
      <c r="I42" s="2" t="n">
        <v>2780</v>
      </c>
      <c r="J42" t="n">
        <v>136</v>
      </c>
      <c r="K42" s="3" t="n"/>
      <c r="M42" s="4" t="n">
        <v>2780</v>
      </c>
      <c r="N42" t="inlineStr">
        <is>
          <t>25/26 actual</t>
        </is>
      </c>
      <c r="O42" s="5" t="n">
        <v>88.09999999999999</v>
      </c>
      <c r="P42" t="b">
        <v>1</v>
      </c>
      <c r="Q42" s="5">
        <f>IF(N(O42)&lt;=0,0,MIN(Assumptions!$B$15,N(M42)/N(O42)))</f>
        <v/>
      </c>
      <c r="R42" s="4" t="n">
        <v>0.322</v>
      </c>
      <c r="S42" s="3" t="n">
        <v>0.0555</v>
      </c>
      <c r="T42" t="inlineStr">
        <is>
          <t>adjusted xGOT</t>
        </is>
      </c>
      <c r="U42" s="3" t="n">
        <v>1</v>
      </c>
      <c r="V42" s="3" t="n">
        <v>1.19</v>
      </c>
      <c r="W42" s="3" t="n">
        <v>4.4</v>
      </c>
      <c r="X42" s="3" t="n">
        <v>0.0269</v>
      </c>
      <c r="Y42" s="3" t="n">
        <v>8.395</v>
      </c>
      <c r="Z42" s="3" t="n">
        <v>0.3107371641432889</v>
      </c>
      <c r="AA42" s="3" t="n">
        <v>0.1942</v>
      </c>
      <c r="AB42" s="3" t="n">
        <v>64</v>
      </c>
      <c r="AC42" s="3" t="n">
        <v>2.4232</v>
      </c>
      <c r="AD42" s="3" t="n">
        <v>1.1851</v>
      </c>
      <c r="AE42" s="3" t="n">
        <v>-0.1478183144863072</v>
      </c>
      <c r="AF42" s="4" t="n">
        <v>0</v>
      </c>
      <c r="AG42" s="3" t="n">
        <v>0</v>
      </c>
      <c r="AH42" s="3" t="n">
        <v>0.333</v>
      </c>
      <c r="AI42" s="3" t="n">
        <v>0.106524</v>
      </c>
      <c r="AJ42" s="3">
        <f>N(R42)*N(BC42)</f>
        <v/>
      </c>
      <c r="AK42" s="3" t="n">
        <v>0.1942</v>
      </c>
      <c r="AL42" s="3" t="n">
        <v>0</v>
      </c>
      <c r="AM42" s="3" t="n">
        <v>-0.365915508000572</v>
      </c>
      <c r="AN42" s="3" t="n">
        <v>-0.1478183144863072</v>
      </c>
      <c r="AO42" s="3">
        <f>SUM(AH42:AN42)</f>
        <v/>
      </c>
      <c r="AP42" s="5">
        <f>IF(OR(N(Q42)&lt;=0,N(BA42)=0),0,N(Q42)*IF(N(M42)/N(Q42)&gt;=60,N(BA42),1))</f>
        <v/>
      </c>
      <c r="AQ42" s="5">
        <f>N(Q42)*N(Z42)*N(BB42)</f>
        <v/>
      </c>
      <c r="AR42" s="5">
        <f>N(AF42)*(Assumptions!$B$13*N(BD42)-(1-Assumptions!$B$13)*Assumptions!$B$14)+N(AG42)</f>
        <v/>
      </c>
      <c r="AS42" s="5">
        <f>N(AO42)*N(M42)/90+N(AP42)+N(AQ42)+N(AR42)</f>
        <v/>
      </c>
      <c r="AT42" s="3">
        <f>IF(N(M42)&lt;=0,0,(N(AS42)-N(AR42))*90/N(M42))</f>
        <v/>
      </c>
      <c r="AU42" s="5">
        <f>IFERROR(AS42-VLOOKUP($C42,Assumptions!$A$36:$C$39,3,FALSE),"")</f>
        <v/>
      </c>
      <c r="AV42" s="3">
        <f>IFERROR(AU42/F42,"")</f>
        <v/>
      </c>
      <c r="AW42">
        <f>IF(AND($E42=TRUE,$C42="GKP"),AS42,"")</f>
        <v/>
      </c>
      <c r="AX42">
        <f>IF(AND($E42=TRUE,$C42="DEF"),AS42,"")</f>
        <v/>
      </c>
      <c r="AY42">
        <f>IF(AND($E42=TRUE,$C42="MID"),AS42,"")</f>
        <v/>
      </c>
      <c r="AZ42">
        <f>IF(AND($E42=TRUE,$C42="FWD"),AS42,"")</f>
        <v/>
      </c>
      <c r="BA42" t="n">
        <v>2</v>
      </c>
      <c r="BB42" t="n">
        <v>2</v>
      </c>
      <c r="BC42" t="n">
        <v>4</v>
      </c>
      <c r="BD42" t="n">
        <v>6</v>
      </c>
    </row>
    <row r="43">
      <c r="A43" t="inlineStr">
        <is>
          <t>Robin Roefs</t>
        </is>
      </c>
      <c r="B43" t="inlineStr">
        <is>
          <t>SUN</t>
        </is>
      </c>
      <c r="C43" t="inlineStr">
        <is>
          <t>GKP</t>
        </is>
      </c>
      <c r="D43" t="inlineStr">
        <is>
          <t>GKP</t>
        </is>
      </c>
      <c r="E43" t="b">
        <v>1</v>
      </c>
      <c r="F43" s="2" t="n">
        <v>5</v>
      </c>
      <c r="G43" t="inlineStr">
        <is>
          <t>a</t>
        </is>
      </c>
      <c r="I43" s="2" t="n">
        <v>3150</v>
      </c>
      <c r="J43" t="n">
        <v>136</v>
      </c>
      <c r="K43" s="3" t="n">
        <v>3420</v>
      </c>
      <c r="L43" t="inlineStr">
        <is>
          <t>flat</t>
        </is>
      </c>
      <c r="M43" s="4" t="n">
        <v>3420</v>
      </c>
      <c r="N43" t="inlineStr">
        <is>
          <t>Solio</t>
        </is>
      </c>
      <c r="O43" s="5" t="n">
        <v>90</v>
      </c>
      <c r="P43" t="b">
        <v>1</v>
      </c>
      <c r="Q43" s="5">
        <f>IF(N(O43)&lt;=0,0,MIN(Assumptions!$B$15,N(M43)/N(O43)))</f>
        <v/>
      </c>
      <c r="R43" s="4" t="n">
        <v>0.204</v>
      </c>
      <c r="S43" s="3" t="n">
        <v>0</v>
      </c>
      <c r="T43" t="inlineStr">
        <is>
          <t>blended xG</t>
        </is>
      </c>
      <c r="U43" s="3" t="n">
        <v>1</v>
      </c>
      <c r="V43" s="3" t="n">
        <v>1</v>
      </c>
      <c r="W43" s="3" t="n">
        <v>0</v>
      </c>
      <c r="X43" s="3" t="n">
        <v>0.0115</v>
      </c>
      <c r="Y43" s="3" t="n">
        <v>0</v>
      </c>
      <c r="Z43" s="3" t="n">
        <v>0</v>
      </c>
      <c r="AA43" s="3" t="n">
        <v>0.3429</v>
      </c>
      <c r="AB43" s="3" t="n">
        <v>70</v>
      </c>
      <c r="AC43" s="3" t="n">
        <v>3.3348</v>
      </c>
      <c r="AD43" s="3" t="n">
        <v>1.6498</v>
      </c>
      <c r="AE43" s="3" t="n">
        <v>-0.1044073085244976</v>
      </c>
      <c r="AF43" s="4" t="n">
        <v>0</v>
      </c>
      <c r="AG43" s="3" t="n">
        <v>3.522067439248842</v>
      </c>
      <c r="AH43" s="3" t="n">
        <v>0</v>
      </c>
      <c r="AI43" s="3" t="n">
        <v>0.04554</v>
      </c>
      <c r="AJ43" s="3">
        <f>N(R43)*N(BC43)</f>
        <v/>
      </c>
      <c r="AK43" s="3" t="n">
        <v>0.3429</v>
      </c>
      <c r="AL43" s="3" t="n">
        <v>0.7764218657798218</v>
      </c>
      <c r="AM43" s="3" t="n">
        <v>-0.5841244809045405</v>
      </c>
      <c r="AN43" s="3" t="n">
        <v>-0.1044073085244976</v>
      </c>
      <c r="AO43" s="3">
        <f>SUM(AH43:AN43)</f>
        <v/>
      </c>
      <c r="AP43" s="5">
        <f>IF(OR(N(Q43)&lt;=0,N(BA43)=0),0,N(Q43)*IF(N(M43)/N(Q43)&gt;=60,N(BA43),1))</f>
        <v/>
      </c>
      <c r="AQ43" s="5">
        <f>N(Q43)*N(Z43)*N(BB43)</f>
        <v/>
      </c>
      <c r="AR43" s="5">
        <f>N(AF43)*(Assumptions!$B$13*N(BD43)-(1-Assumptions!$B$13)*Assumptions!$B$14)+N(AG43)</f>
        <v/>
      </c>
      <c r="AS43" s="5">
        <f>N(AO43)*N(M43)/90+N(AP43)+N(AQ43)+N(AR43)</f>
        <v/>
      </c>
      <c r="AT43" s="3">
        <f>IF(N(M43)&lt;=0,0,(N(AS43)-N(AR43))*90/N(M43))</f>
        <v/>
      </c>
      <c r="AU43" s="5">
        <f>IFERROR(AS43-VLOOKUP($C43,Assumptions!$A$36:$C$39,3,FALSE),"")</f>
        <v/>
      </c>
      <c r="AV43" s="3">
        <f>IFERROR(AU43/F43,"")</f>
        <v/>
      </c>
      <c r="AW43">
        <f>IF(AND($E43=TRUE,$C43="GKP"),AS43,"")</f>
        <v/>
      </c>
      <c r="AX43">
        <f>IF(AND($E43=TRUE,$C43="DEF"),AS43,"")</f>
        <v/>
      </c>
      <c r="AY43">
        <f>IF(AND($E43=TRUE,$C43="MID"),AS43,"")</f>
        <v/>
      </c>
      <c r="AZ43">
        <f>IF(AND($E43=TRUE,$C43="FWD"),AS43,"")</f>
        <v/>
      </c>
      <c r="BA43" t="n">
        <v>2</v>
      </c>
      <c r="BB43" t="n">
        <v>0</v>
      </c>
      <c r="BC43" t="n">
        <v>4</v>
      </c>
      <c r="BD43" t="n">
        <v>10</v>
      </c>
    </row>
    <row r="44">
      <c r="A44" t="inlineStr">
        <is>
          <t>Dango Ouattara</t>
        </is>
      </c>
      <c r="B44" t="inlineStr">
        <is>
          <t>BRE</t>
        </is>
      </c>
      <c r="C44" t="inlineStr">
        <is>
          <t>MID</t>
        </is>
      </c>
      <c r="D44" t="inlineStr">
        <is>
          <t>MID</t>
        </is>
      </c>
      <c r="E44" t="b">
        <v>1</v>
      </c>
      <c r="F44" s="2" t="n">
        <v>6.5</v>
      </c>
      <c r="G44" t="inlineStr">
        <is>
          <t>a</t>
        </is>
      </c>
      <c r="I44" s="2" t="n">
        <v>2271</v>
      </c>
      <c r="J44" t="n">
        <v>136</v>
      </c>
      <c r="K44" s="3" t="n">
        <v>2878</v>
      </c>
      <c r="L44" t="inlineStr">
        <is>
          <t>flat</t>
        </is>
      </c>
      <c r="M44" s="4" t="n">
        <v>2878</v>
      </c>
      <c r="N44" t="inlineStr">
        <is>
          <t>Solio</t>
        </is>
      </c>
      <c r="O44" s="5" t="n">
        <v>84.2</v>
      </c>
      <c r="P44" t="b">
        <v>1</v>
      </c>
      <c r="Q44" s="5">
        <f>IF(N(O44)&lt;=0,0,MIN(Assumptions!$B$15,N(M44)/N(O44)))</f>
        <v/>
      </c>
      <c r="R44" s="4" t="n">
        <v>0.228</v>
      </c>
      <c r="S44" s="3" t="n">
        <v>0.2639</v>
      </c>
      <c r="T44" t="inlineStr">
        <is>
          <t>adjusted xGOT</t>
        </is>
      </c>
      <c r="U44" s="3" t="n">
        <v>1</v>
      </c>
      <c r="V44" s="3" t="n">
        <v>0.838</v>
      </c>
      <c r="W44" s="3" t="n">
        <v>22.5</v>
      </c>
      <c r="X44" s="3" t="n">
        <v>0.1978</v>
      </c>
      <c r="Y44" s="3" t="n">
        <v>7.631</v>
      </c>
      <c r="Z44" s="3" t="n">
        <v>0.0598906951425997</v>
      </c>
      <c r="AA44" s="3" t="n">
        <v>0.6341</v>
      </c>
      <c r="AB44" s="3" t="n">
        <v>56</v>
      </c>
      <c r="AC44" s="3" t="n">
        <v>3.2371</v>
      </c>
      <c r="AD44" s="3" t="n">
        <v>1.5396</v>
      </c>
      <c r="AE44" s="3" t="n">
        <v>-0.203302718715831</v>
      </c>
      <c r="AF44" s="4" t="n">
        <v>0</v>
      </c>
      <c r="AG44" s="3" t="n">
        <v>0</v>
      </c>
      <c r="AH44" s="3" t="n">
        <v>1.3195</v>
      </c>
      <c r="AI44" s="3" t="n">
        <v>0.7832880000000001</v>
      </c>
      <c r="AJ44" s="3">
        <f>N(R44)*N(BC44)</f>
        <v/>
      </c>
      <c r="AK44" s="3" t="n">
        <v>0.6341</v>
      </c>
      <c r="AL44" s="3" t="n">
        <v>0</v>
      </c>
      <c r="AM44" s="3" t="n">
        <v>-0</v>
      </c>
      <c r="AN44" s="3" t="n">
        <v>-0.203302718715831</v>
      </c>
      <c r="AO44" s="3">
        <f>SUM(AH44:AN44)</f>
        <v/>
      </c>
      <c r="AP44" s="5">
        <f>IF(OR(N(Q44)&lt;=0,N(BA44)=0),0,N(Q44)*IF(N(M44)/N(Q44)&gt;=60,N(BA44),1))</f>
        <v/>
      </c>
      <c r="AQ44" s="5">
        <f>N(Q44)*N(Z44)*N(BB44)</f>
        <v/>
      </c>
      <c r="AR44" s="5">
        <f>N(AF44)*(Assumptions!$B$13*N(BD44)-(1-Assumptions!$B$13)*Assumptions!$B$14)+N(AG44)</f>
        <v/>
      </c>
      <c r="AS44" s="5">
        <f>N(AO44)*N(M44)/90+N(AP44)+N(AQ44)+N(AR44)</f>
        <v/>
      </c>
      <c r="AT44" s="3">
        <f>IF(N(M44)&lt;=0,0,(N(AS44)-N(AR44))*90/N(M44))</f>
        <v/>
      </c>
      <c r="AU44" s="5">
        <f>IFERROR(AS44-VLOOKUP($C44,Assumptions!$A$36:$C$39,3,FALSE),"")</f>
        <v/>
      </c>
      <c r="AV44" s="3">
        <f>IFERROR(AU44/F44,"")</f>
        <v/>
      </c>
      <c r="AW44">
        <f>IF(AND($E44=TRUE,$C44="GKP"),AS44,"")</f>
        <v/>
      </c>
      <c r="AX44">
        <f>IF(AND($E44=TRUE,$C44="DEF"),AS44,"")</f>
        <v/>
      </c>
      <c r="AY44">
        <f>IF(AND($E44=TRUE,$C44="MID"),AS44,"")</f>
        <v/>
      </c>
      <c r="AZ44">
        <f>IF(AND($E44=TRUE,$C44="FWD"),AS44,"")</f>
        <v/>
      </c>
      <c r="BA44" t="n">
        <v>2</v>
      </c>
      <c r="BB44" t="n">
        <v>2</v>
      </c>
      <c r="BC44" t="n">
        <v>1</v>
      </c>
      <c r="BD44" t="n">
        <v>5</v>
      </c>
    </row>
    <row r="45">
      <c r="A45" t="inlineStr">
        <is>
          <t>Alex Scott</t>
        </is>
      </c>
      <c r="B45" t="inlineStr">
        <is>
          <t>BOU</t>
        </is>
      </c>
      <c r="C45" t="inlineStr">
        <is>
          <t>MID</t>
        </is>
      </c>
      <c r="D45" t="inlineStr">
        <is>
          <t>MID</t>
        </is>
      </c>
      <c r="E45" t="b">
        <v>1</v>
      </c>
      <c r="F45" s="2" t="n">
        <v>6</v>
      </c>
      <c r="G45" t="inlineStr">
        <is>
          <t>a</t>
        </is>
      </c>
      <c r="I45" s="2" t="n">
        <v>2848</v>
      </c>
      <c r="J45" t="n">
        <v>136</v>
      </c>
      <c r="K45" s="3" t="n">
        <v>3175</v>
      </c>
      <c r="L45" t="inlineStr">
        <is>
          <t>flat</t>
        </is>
      </c>
      <c r="M45" s="4" t="n">
        <v>3175</v>
      </c>
      <c r="N45" t="inlineStr">
        <is>
          <t>Solio</t>
        </is>
      </c>
      <c r="O45" s="5" t="n">
        <v>80.40000000000001</v>
      </c>
      <c r="P45" t="b">
        <v>1</v>
      </c>
      <c r="Q45" s="5">
        <f>IF(N(O45)&lt;=0,0,MIN(Assumptions!$B$15,N(M45)/N(O45)))</f>
        <v/>
      </c>
      <c r="R45" s="4" t="n">
        <v>0.23</v>
      </c>
      <c r="S45" s="3" t="n">
        <v>0.116</v>
      </c>
      <c r="T45" t="inlineStr">
        <is>
          <t>adjusted xGOT</t>
        </is>
      </c>
      <c r="U45" s="3" t="n">
        <v>1</v>
      </c>
      <c r="V45" s="3" t="n">
        <v>0.966</v>
      </c>
      <c r="W45" s="3" t="n">
        <v>5.4</v>
      </c>
      <c r="X45" s="3" t="n">
        <v>0.0921</v>
      </c>
      <c r="Y45" s="3" t="n">
        <v>11.467</v>
      </c>
      <c r="Z45" s="3" t="n">
        <v>0.3312693875490436</v>
      </c>
      <c r="AA45" s="3" t="n">
        <v>0.2844</v>
      </c>
      <c r="AB45" s="3" t="n">
        <v>70</v>
      </c>
      <c r="AC45" s="3" t="n">
        <v>3.0957</v>
      </c>
      <c r="AD45" s="3" t="n">
        <v>1.53</v>
      </c>
      <c r="AE45" s="3" t="n">
        <v>-0.2127229798922649</v>
      </c>
      <c r="AF45" s="4" t="n">
        <v>0</v>
      </c>
      <c r="AG45" s="3" t="n">
        <v>0</v>
      </c>
      <c r="AH45" s="3" t="n">
        <v>0.5800000000000001</v>
      </c>
      <c r="AI45" s="3" t="n">
        <v>0.364716</v>
      </c>
      <c r="AJ45" s="3">
        <f>N(R45)*N(BC45)</f>
        <v/>
      </c>
      <c r="AK45" s="3" t="n">
        <v>0.2844</v>
      </c>
      <c r="AL45" s="3" t="n">
        <v>0</v>
      </c>
      <c r="AM45" s="3" t="n">
        <v>-0</v>
      </c>
      <c r="AN45" s="3" t="n">
        <v>-0.2127229798922649</v>
      </c>
      <c r="AO45" s="3">
        <f>SUM(AH45:AN45)</f>
        <v/>
      </c>
      <c r="AP45" s="5">
        <f>IF(OR(N(Q45)&lt;=0,N(BA45)=0),0,N(Q45)*IF(N(M45)/N(Q45)&gt;=60,N(BA45),1))</f>
        <v/>
      </c>
      <c r="AQ45" s="5">
        <f>N(Q45)*N(Z45)*N(BB45)</f>
        <v/>
      </c>
      <c r="AR45" s="5">
        <f>N(AF45)*(Assumptions!$B$13*N(BD45)-(1-Assumptions!$B$13)*Assumptions!$B$14)+N(AG45)</f>
        <v/>
      </c>
      <c r="AS45" s="5">
        <f>N(AO45)*N(M45)/90+N(AP45)+N(AQ45)+N(AR45)</f>
        <v/>
      </c>
      <c r="AT45" s="3">
        <f>IF(N(M45)&lt;=0,0,(N(AS45)-N(AR45))*90/N(M45))</f>
        <v/>
      </c>
      <c r="AU45" s="5">
        <f>IFERROR(AS45-VLOOKUP($C45,Assumptions!$A$36:$C$39,3,FALSE),"")</f>
        <v/>
      </c>
      <c r="AV45" s="3">
        <f>IFERROR(AU45/F45,"")</f>
        <v/>
      </c>
      <c r="AW45">
        <f>IF(AND($E45=TRUE,$C45="GKP"),AS45,"")</f>
        <v/>
      </c>
      <c r="AX45">
        <f>IF(AND($E45=TRUE,$C45="DEF"),AS45,"")</f>
        <v/>
      </c>
      <c r="AY45">
        <f>IF(AND($E45=TRUE,$C45="MID"),AS45,"")</f>
        <v/>
      </c>
      <c r="AZ45">
        <f>IF(AND($E45=TRUE,$C45="FWD"),AS45,"")</f>
        <v/>
      </c>
      <c r="BA45" t="n">
        <v>2</v>
      </c>
      <c r="BB45" t="n">
        <v>2</v>
      </c>
      <c r="BC45" t="n">
        <v>1</v>
      </c>
      <c r="BD45" t="n">
        <v>5</v>
      </c>
    </row>
    <row r="46">
      <c r="A46" t="inlineStr">
        <is>
          <t>Mateus Fernandes</t>
        </is>
      </c>
      <c r="B46" t="inlineStr">
        <is>
          <t>TOT</t>
        </is>
      </c>
      <c r="C46" t="inlineStr">
        <is>
          <t>MID</t>
        </is>
      </c>
      <c r="D46" t="inlineStr">
        <is>
          <t>MID</t>
        </is>
      </c>
      <c r="E46" t="b">
        <v>1</v>
      </c>
      <c r="F46" s="2" t="n">
        <v>6</v>
      </c>
      <c r="G46" t="inlineStr">
        <is>
          <t>a</t>
        </is>
      </c>
      <c r="I46" s="2" t="n">
        <v>3017</v>
      </c>
      <c r="J46" t="n">
        <v>135</v>
      </c>
      <c r="K46" s="3" t="n">
        <v>3089</v>
      </c>
      <c r="L46" t="inlineStr">
        <is>
          <t>flat</t>
        </is>
      </c>
      <c r="M46" s="4" t="n">
        <v>3089</v>
      </c>
      <c r="N46" t="inlineStr">
        <is>
          <t>Solio</t>
        </is>
      </c>
      <c r="O46" s="5" t="n">
        <v>85.5</v>
      </c>
      <c r="P46" t="b">
        <v>1</v>
      </c>
      <c r="Q46" s="5">
        <f>IF(N(O46)&lt;=0,0,MIN(Assumptions!$B$15,N(M46)/N(O46)))</f>
        <v/>
      </c>
      <c r="R46" s="4" t="n">
        <v>0.286</v>
      </c>
      <c r="S46" s="3" t="n">
        <v>0.0501</v>
      </c>
      <c r="T46" t="inlineStr">
        <is>
          <t>adjusted xGOT</t>
        </is>
      </c>
      <c r="U46" s="3" t="n">
        <v>1</v>
      </c>
      <c r="V46" s="3" t="n">
        <v>0.843</v>
      </c>
      <c r="W46" s="3" t="n">
        <v>6.1</v>
      </c>
      <c r="X46" s="3" t="n">
        <v>0.0939</v>
      </c>
      <c r="Y46" s="3" t="n">
        <v>10.539</v>
      </c>
      <c r="Z46" s="3" t="n">
        <v>0.3045951996927577</v>
      </c>
      <c r="AA46" s="3" t="n">
        <v>0.179</v>
      </c>
      <c r="AB46" s="3" t="n">
        <v>70</v>
      </c>
      <c r="AC46" s="3" t="n">
        <v>2.5739</v>
      </c>
      <c r="AD46" s="3" t="n">
        <v>1.3096</v>
      </c>
      <c r="AE46" s="3" t="n">
        <v>-0.2341130422141206</v>
      </c>
      <c r="AF46" s="4" t="n">
        <v>0</v>
      </c>
      <c r="AG46" s="3" t="n">
        <v>0</v>
      </c>
      <c r="AH46" s="3" t="n">
        <v>0.2505</v>
      </c>
      <c r="AI46" s="3" t="n">
        <v>0.371844</v>
      </c>
      <c r="AJ46" s="3">
        <f>N(R46)*N(BC46)</f>
        <v/>
      </c>
      <c r="AK46" s="3" t="n">
        <v>0.179</v>
      </c>
      <c r="AL46" s="3" t="n">
        <v>0</v>
      </c>
      <c r="AM46" s="3" t="n">
        <v>-0</v>
      </c>
      <c r="AN46" s="3" t="n">
        <v>-0.2341130422141206</v>
      </c>
      <c r="AO46" s="3">
        <f>SUM(AH46:AN46)</f>
        <v/>
      </c>
      <c r="AP46" s="5">
        <f>IF(OR(N(Q46)&lt;=0,N(BA46)=0),0,N(Q46)*IF(N(M46)/N(Q46)&gt;=60,N(BA46),1))</f>
        <v/>
      </c>
      <c r="AQ46" s="5">
        <f>N(Q46)*N(Z46)*N(BB46)</f>
        <v/>
      </c>
      <c r="AR46" s="5">
        <f>N(AF46)*(Assumptions!$B$13*N(BD46)-(1-Assumptions!$B$13)*Assumptions!$B$14)+N(AG46)</f>
        <v/>
      </c>
      <c r="AS46" s="5">
        <f>N(AO46)*N(M46)/90+N(AP46)+N(AQ46)+N(AR46)</f>
        <v/>
      </c>
      <c r="AT46" s="3">
        <f>IF(N(M46)&lt;=0,0,(N(AS46)-N(AR46))*90/N(M46))</f>
        <v/>
      </c>
      <c r="AU46" s="5">
        <f>IFERROR(AS46-VLOOKUP($C46,Assumptions!$A$36:$C$39,3,FALSE),"")</f>
        <v/>
      </c>
      <c r="AV46" s="3">
        <f>IFERROR(AU46/F46,"")</f>
        <v/>
      </c>
      <c r="AW46">
        <f>IF(AND($E46=TRUE,$C46="GKP"),AS46,"")</f>
        <v/>
      </c>
      <c r="AX46">
        <f>IF(AND($E46=TRUE,$C46="DEF"),AS46,"")</f>
        <v/>
      </c>
      <c r="AY46">
        <f>IF(AND($E46=TRUE,$C46="MID"),AS46,"")</f>
        <v/>
      </c>
      <c r="AZ46">
        <f>IF(AND($E46=TRUE,$C46="FWD"),AS46,"")</f>
        <v/>
      </c>
      <c r="BA46" t="n">
        <v>2</v>
      </c>
      <c r="BB46" t="n">
        <v>2</v>
      </c>
      <c r="BC46" t="n">
        <v>1</v>
      </c>
      <c r="BD46" t="n">
        <v>5</v>
      </c>
    </row>
    <row r="47">
      <c r="A47" t="inlineStr">
        <is>
          <t>Rayan Cherki</t>
        </is>
      </c>
      <c r="B47" t="inlineStr">
        <is>
          <t>MCI</t>
        </is>
      </c>
      <c r="C47" t="inlineStr">
        <is>
          <t>MID</t>
        </is>
      </c>
      <c r="D47" t="inlineStr">
        <is>
          <t>MID</t>
        </is>
      </c>
      <c r="E47" t="b">
        <v>1</v>
      </c>
      <c r="F47" s="2" t="n">
        <v>7.5</v>
      </c>
      <c r="G47" t="inlineStr">
        <is>
          <t>a</t>
        </is>
      </c>
      <c r="I47" s="2" t="n">
        <v>1772</v>
      </c>
      <c r="J47" t="n">
        <v>135</v>
      </c>
      <c r="K47" s="3" t="n">
        <v>1796</v>
      </c>
      <c r="L47" t="inlineStr">
        <is>
          <t>flat</t>
        </is>
      </c>
      <c r="M47" s="4" t="n">
        <v>1796</v>
      </c>
      <c r="N47" t="inlineStr">
        <is>
          <t>Solio</t>
        </is>
      </c>
      <c r="O47" s="5" t="n">
        <v>77.09999999999999</v>
      </c>
      <c r="P47" t="b">
        <v>1</v>
      </c>
      <c r="Q47" s="5">
        <f>IF(N(O47)&lt;=0,0,MIN(Assumptions!$B$15,N(M47)/N(O47)))</f>
        <v/>
      </c>
      <c r="R47" s="4" t="n">
        <v>0.371</v>
      </c>
      <c r="S47" s="3" t="n">
        <v>0.2231</v>
      </c>
      <c r="T47" t="inlineStr">
        <is>
          <t>adjusted xGOT</t>
        </is>
      </c>
      <c r="U47" s="3" t="n">
        <v>1</v>
      </c>
      <c r="V47" s="3" t="n">
        <v>1.026</v>
      </c>
      <c r="W47" s="3" t="n">
        <v>4.3</v>
      </c>
      <c r="X47" s="3" t="n">
        <v>0.4991</v>
      </c>
      <c r="Y47" s="3" t="n">
        <v>7.354</v>
      </c>
      <c r="Z47" s="3" t="n">
        <v>0.02773208556110485</v>
      </c>
      <c r="AA47" s="3" t="n">
        <v>0.8126</v>
      </c>
      <c r="AB47" s="3" t="n">
        <v>49</v>
      </c>
      <c r="AC47" s="3" t="n">
        <v>1.9737</v>
      </c>
      <c r="AD47" s="3" t="n">
        <v>1.0365</v>
      </c>
      <c r="AE47" s="3" t="n">
        <v>-0.1340533133526679</v>
      </c>
      <c r="AF47" s="4" t="n">
        <v>0</v>
      </c>
      <c r="AG47" s="3" t="n">
        <v>0</v>
      </c>
      <c r="AH47" s="3" t="n">
        <v>1.1155</v>
      </c>
      <c r="AI47" s="3" t="n">
        <v>1.976436</v>
      </c>
      <c r="AJ47" s="3">
        <f>N(R47)*N(BC47)</f>
        <v/>
      </c>
      <c r="AK47" s="3" t="n">
        <v>0.8126</v>
      </c>
      <c r="AL47" s="3" t="n">
        <v>0</v>
      </c>
      <c r="AM47" s="3" t="n">
        <v>-0</v>
      </c>
      <c r="AN47" s="3" t="n">
        <v>-0.1340533133526679</v>
      </c>
      <c r="AO47" s="3">
        <f>SUM(AH47:AN47)</f>
        <v/>
      </c>
      <c r="AP47" s="5">
        <f>IF(OR(N(Q47)&lt;=0,N(BA47)=0),0,N(Q47)*IF(N(M47)/N(Q47)&gt;=60,N(BA47),1))</f>
        <v/>
      </c>
      <c r="AQ47" s="5">
        <f>N(Q47)*N(Z47)*N(BB47)</f>
        <v/>
      </c>
      <c r="AR47" s="5">
        <f>N(AF47)*(Assumptions!$B$13*N(BD47)-(1-Assumptions!$B$13)*Assumptions!$B$14)+N(AG47)</f>
        <v/>
      </c>
      <c r="AS47" s="5">
        <f>N(AO47)*N(M47)/90+N(AP47)+N(AQ47)+N(AR47)</f>
        <v/>
      </c>
      <c r="AT47" s="3">
        <f>IF(N(M47)&lt;=0,0,(N(AS47)-N(AR47))*90/N(M47))</f>
        <v/>
      </c>
      <c r="AU47" s="5">
        <f>IFERROR(AS47-VLOOKUP($C47,Assumptions!$A$36:$C$39,3,FALSE),"")</f>
        <v/>
      </c>
      <c r="AV47" s="3">
        <f>IFERROR(AU47/F47,"")</f>
        <v/>
      </c>
      <c r="AW47">
        <f>IF(AND($E47=TRUE,$C47="GKP"),AS47,"")</f>
        <v/>
      </c>
      <c r="AX47">
        <f>IF(AND($E47=TRUE,$C47="DEF"),AS47,"")</f>
        <v/>
      </c>
      <c r="AY47">
        <f>IF(AND($E47=TRUE,$C47="MID"),AS47,"")</f>
        <v/>
      </c>
      <c r="AZ47">
        <f>IF(AND($E47=TRUE,$C47="FWD"),AS47,"")</f>
        <v/>
      </c>
      <c r="BA47" t="n">
        <v>2</v>
      </c>
      <c r="BB47" t="n">
        <v>2</v>
      </c>
      <c r="BC47" t="n">
        <v>1</v>
      </c>
      <c r="BD47" t="n">
        <v>5</v>
      </c>
    </row>
    <row r="48">
      <c r="A48" t="inlineStr">
        <is>
          <t>Jordan Pickford</t>
        </is>
      </c>
      <c r="B48" t="inlineStr">
        <is>
          <t>EVE</t>
        </is>
      </c>
      <c r="C48" t="inlineStr">
        <is>
          <t>GKP</t>
        </is>
      </c>
      <c r="D48" t="inlineStr">
        <is>
          <t>GKP</t>
        </is>
      </c>
      <c r="E48" t="b">
        <v>1</v>
      </c>
      <c r="F48" s="2" t="n">
        <v>5.5</v>
      </c>
      <c r="G48" t="inlineStr">
        <is>
          <t>a</t>
        </is>
      </c>
      <c r="I48" s="2" t="n">
        <v>3420</v>
      </c>
      <c r="J48" t="n">
        <v>135</v>
      </c>
      <c r="K48" s="3" t="n">
        <v>3385</v>
      </c>
      <c r="L48" t="inlineStr">
        <is>
          <t>flat</t>
        </is>
      </c>
      <c r="M48" s="4" t="n">
        <v>3385</v>
      </c>
      <c r="N48" t="inlineStr">
        <is>
          <t>Solio</t>
        </is>
      </c>
      <c r="O48" s="5" t="n">
        <v>90</v>
      </c>
      <c r="P48" t="b">
        <v>1</v>
      </c>
      <c r="Q48" s="5">
        <f>IF(N(O48)&lt;=0,0,MIN(Assumptions!$B$15,N(M48)/N(O48)))</f>
        <v/>
      </c>
      <c r="R48" s="4" t="n">
        <v>0.231</v>
      </c>
      <c r="S48" s="3" t="n">
        <v>0</v>
      </c>
      <c r="T48" t="inlineStr">
        <is>
          <t>blended xG</t>
        </is>
      </c>
      <c r="U48" s="3" t="n">
        <v>1</v>
      </c>
      <c r="V48" s="3" t="n">
        <v>1</v>
      </c>
      <c r="W48" s="3" t="n">
        <v>0</v>
      </c>
      <c r="X48" s="3" t="n">
        <v>0.0057</v>
      </c>
      <c r="Y48" s="3" t="n">
        <v>0</v>
      </c>
      <c r="Z48" s="3" t="n">
        <v>0</v>
      </c>
      <c r="AA48" s="3" t="n">
        <v>0.3947</v>
      </c>
      <c r="AB48" s="3" t="n">
        <v>76</v>
      </c>
      <c r="AC48" s="3" t="n">
        <v>3.0311</v>
      </c>
      <c r="AD48" s="3" t="n">
        <v>1.5252</v>
      </c>
      <c r="AE48" s="3" t="n">
        <v>-0.1265887351193527</v>
      </c>
      <c r="AF48" s="4" t="n">
        <v>0</v>
      </c>
      <c r="AG48" s="3" t="n">
        <v>3.222841840244168</v>
      </c>
      <c r="AH48" s="3" t="n">
        <v>0</v>
      </c>
      <c r="AI48" s="3" t="n">
        <v>0.022572</v>
      </c>
      <c r="AJ48" s="3">
        <f>N(R48)*N(BC48)</f>
        <v/>
      </c>
      <c r="AK48" s="3" t="n">
        <v>0.3947</v>
      </c>
      <c r="AL48" s="3" t="n">
        <v>0.67496810501903</v>
      </c>
      <c r="AM48" s="3" t="n">
        <v>-0.524434996152324</v>
      </c>
      <c r="AN48" s="3" t="n">
        <v>-0.1265887351193527</v>
      </c>
      <c r="AO48" s="3">
        <f>SUM(AH48:AN48)</f>
        <v/>
      </c>
      <c r="AP48" s="5">
        <f>IF(OR(N(Q48)&lt;=0,N(BA48)=0),0,N(Q48)*IF(N(M48)/N(Q48)&gt;=60,N(BA48),1))</f>
        <v/>
      </c>
      <c r="AQ48" s="5">
        <f>N(Q48)*N(Z48)*N(BB48)</f>
        <v/>
      </c>
      <c r="AR48" s="5">
        <f>N(AF48)*(Assumptions!$B$13*N(BD48)-(1-Assumptions!$B$13)*Assumptions!$B$14)+N(AG48)</f>
        <v/>
      </c>
      <c r="AS48" s="5">
        <f>N(AO48)*N(M48)/90+N(AP48)+N(AQ48)+N(AR48)</f>
        <v/>
      </c>
      <c r="AT48" s="3">
        <f>IF(N(M48)&lt;=0,0,(N(AS48)-N(AR48))*90/N(M48))</f>
        <v/>
      </c>
      <c r="AU48" s="5">
        <f>IFERROR(AS48-VLOOKUP($C48,Assumptions!$A$36:$C$39,3,FALSE),"")</f>
        <v/>
      </c>
      <c r="AV48" s="3">
        <f>IFERROR(AU48/F48,"")</f>
        <v/>
      </c>
      <c r="AW48">
        <f>IF(AND($E48=TRUE,$C48="GKP"),AS48,"")</f>
        <v/>
      </c>
      <c r="AX48">
        <f>IF(AND($E48=TRUE,$C48="DEF"),AS48,"")</f>
        <v/>
      </c>
      <c r="AY48">
        <f>IF(AND($E48=TRUE,$C48="MID"),AS48,"")</f>
        <v/>
      </c>
      <c r="AZ48">
        <f>IF(AND($E48=TRUE,$C48="FWD"),AS48,"")</f>
        <v/>
      </c>
      <c r="BA48" t="n">
        <v>2</v>
      </c>
      <c r="BB48" t="n">
        <v>0</v>
      </c>
      <c r="BC48" t="n">
        <v>4</v>
      </c>
      <c r="BD48" t="n">
        <v>10</v>
      </c>
    </row>
    <row r="49">
      <c r="A49" t="inlineStr">
        <is>
          <t>Gianluigi Donnarumma</t>
        </is>
      </c>
      <c r="B49" t="inlineStr">
        <is>
          <t>MCI</t>
        </is>
      </c>
      <c r="C49" t="inlineStr">
        <is>
          <t>GKP</t>
        </is>
      </c>
      <c r="D49" t="inlineStr">
        <is>
          <t>GKP</t>
        </is>
      </c>
      <c r="E49" t="b">
        <v>1</v>
      </c>
      <c r="F49" s="2" t="n">
        <v>5.5</v>
      </c>
      <c r="G49" t="inlineStr">
        <is>
          <t>a</t>
        </is>
      </c>
      <c r="I49" s="2" t="n">
        <v>3060</v>
      </c>
      <c r="J49" t="n">
        <v>135</v>
      </c>
      <c r="K49" s="3" t="n">
        <v>3420</v>
      </c>
      <c r="L49" t="inlineStr">
        <is>
          <t>flat</t>
        </is>
      </c>
      <c r="M49" s="4" t="n">
        <v>3420</v>
      </c>
      <c r="N49" t="inlineStr">
        <is>
          <t>Solio</t>
        </is>
      </c>
      <c r="O49" s="5" t="n">
        <v>90</v>
      </c>
      <c r="P49" t="b">
        <v>1</v>
      </c>
      <c r="Q49" s="5">
        <f>IF(N(O49)&lt;=0,0,MIN(Assumptions!$B$15,N(M49)/N(O49)))</f>
        <v/>
      </c>
      <c r="R49" s="4" t="n">
        <v>0.371</v>
      </c>
      <c r="S49" s="3" t="n">
        <v>0</v>
      </c>
      <c r="T49" t="inlineStr">
        <is>
          <t>blended xG</t>
        </is>
      </c>
      <c r="U49" s="3" t="n">
        <v>1</v>
      </c>
      <c r="V49" s="3" t="n">
        <v>1</v>
      </c>
      <c r="W49" s="3" t="n">
        <v>0</v>
      </c>
      <c r="X49" s="3" t="n">
        <v>0.0019</v>
      </c>
      <c r="Y49" s="3" t="n">
        <v>0</v>
      </c>
      <c r="Z49" s="3" t="n">
        <v>0</v>
      </c>
      <c r="AA49" s="3" t="n">
        <v>0.1765</v>
      </c>
      <c r="AB49" s="3" t="n">
        <v>68</v>
      </c>
      <c r="AC49" s="3" t="n">
        <v>1.9737</v>
      </c>
      <c r="AD49" s="3" t="n">
        <v>1.0365</v>
      </c>
      <c r="AE49" s="3" t="n">
        <v>-0.1864362396236553</v>
      </c>
      <c r="AF49" s="4" t="n">
        <v>0</v>
      </c>
      <c r="AG49" s="3" t="n">
        <v>2.212837240750548</v>
      </c>
      <c r="AH49" s="3" t="n">
        <v>0</v>
      </c>
      <c r="AI49" s="3" t="n">
        <v>0.007524</v>
      </c>
      <c r="AJ49" s="3">
        <f>N(R49)*N(BC49)</f>
        <v/>
      </c>
      <c r="AK49" s="3" t="n">
        <v>0.1765</v>
      </c>
      <c r="AL49" s="3" t="n">
        <v>0.3320553475083804</v>
      </c>
      <c r="AM49" s="3" t="n">
        <v>-0.2997019479071323</v>
      </c>
      <c r="AN49" s="3" t="n">
        <v>-0.1864362396236553</v>
      </c>
      <c r="AO49" s="3">
        <f>SUM(AH49:AN49)</f>
        <v/>
      </c>
      <c r="AP49" s="5">
        <f>IF(OR(N(Q49)&lt;=0,N(BA49)=0),0,N(Q49)*IF(N(M49)/N(Q49)&gt;=60,N(BA49),1))</f>
        <v/>
      </c>
      <c r="AQ49" s="5">
        <f>N(Q49)*N(Z49)*N(BB49)</f>
        <v/>
      </c>
      <c r="AR49" s="5">
        <f>N(AF49)*(Assumptions!$B$13*N(BD49)-(1-Assumptions!$B$13)*Assumptions!$B$14)+N(AG49)</f>
        <v/>
      </c>
      <c r="AS49" s="5">
        <f>N(AO49)*N(M49)/90+N(AP49)+N(AQ49)+N(AR49)</f>
        <v/>
      </c>
      <c r="AT49" s="3">
        <f>IF(N(M49)&lt;=0,0,(N(AS49)-N(AR49))*90/N(M49))</f>
        <v/>
      </c>
      <c r="AU49" s="5">
        <f>IFERROR(AS49-VLOOKUP($C49,Assumptions!$A$36:$C$39,3,FALSE),"")</f>
        <v/>
      </c>
      <c r="AV49" s="3">
        <f>IFERROR(AU49/F49,"")</f>
        <v/>
      </c>
      <c r="AW49">
        <f>IF(AND($E49=TRUE,$C49="GKP"),AS49,"")</f>
        <v/>
      </c>
      <c r="AX49">
        <f>IF(AND($E49=TRUE,$C49="DEF"),AS49,"")</f>
        <v/>
      </c>
      <c r="AY49">
        <f>IF(AND($E49=TRUE,$C49="MID"),AS49,"")</f>
        <v/>
      </c>
      <c r="AZ49">
        <f>IF(AND($E49=TRUE,$C49="FWD"),AS49,"")</f>
        <v/>
      </c>
      <c r="BA49" t="n">
        <v>2</v>
      </c>
      <c r="BB49" t="n">
        <v>0</v>
      </c>
      <c r="BC49" t="n">
        <v>4</v>
      </c>
      <c r="BD49" t="n">
        <v>10</v>
      </c>
    </row>
    <row r="50">
      <c r="A50" t="inlineStr">
        <is>
          <t>Tyrick Mitchell</t>
        </is>
      </c>
      <c r="B50" t="inlineStr">
        <is>
          <t>CRY</t>
        </is>
      </c>
      <c r="C50" t="inlineStr">
        <is>
          <t>DEF</t>
        </is>
      </c>
      <c r="D50" t="inlineStr">
        <is>
          <t>DEF</t>
        </is>
      </c>
      <c r="E50" t="b">
        <v>1</v>
      </c>
      <c r="F50" s="2" t="n">
        <v>4.5</v>
      </c>
      <c r="G50" t="inlineStr">
        <is>
          <t>a</t>
        </is>
      </c>
      <c r="I50" s="2" t="n">
        <v>3253</v>
      </c>
      <c r="J50" t="n">
        <v>135</v>
      </c>
      <c r="K50" s="3" t="n">
        <v>2554</v>
      </c>
      <c r="L50" t="inlineStr">
        <is>
          <t>flat</t>
        </is>
      </c>
      <c r="M50" s="4" t="n">
        <v>2554</v>
      </c>
      <c r="N50" t="inlineStr">
        <is>
          <t>Solio</t>
        </is>
      </c>
      <c r="O50" s="5" t="n">
        <v>87.90000000000001</v>
      </c>
      <c r="P50" t="b">
        <v>1</v>
      </c>
      <c r="Q50" s="5">
        <f>IF(N(O50)&lt;=0,0,MIN(Assumptions!$B$15,N(M50)/N(O50)))</f>
        <v/>
      </c>
      <c r="R50" s="4" t="n">
        <v>0.216</v>
      </c>
      <c r="S50" s="3" t="n">
        <v>0.0427</v>
      </c>
      <c r="T50" t="inlineStr">
        <is>
          <t>adjusted xGOT</t>
        </is>
      </c>
      <c r="U50" s="3" t="n">
        <v>1</v>
      </c>
      <c r="V50" s="3" t="n">
        <v>0.97</v>
      </c>
      <c r="W50" s="3" t="n">
        <v>4.8</v>
      </c>
      <c r="X50" s="3" t="n">
        <v>0.077</v>
      </c>
      <c r="Y50" s="3" t="n">
        <v>6.943</v>
      </c>
      <c r="Z50" s="3" t="n">
        <v>0.1480082028639541</v>
      </c>
      <c r="AA50" s="3" t="n">
        <v>0.2213</v>
      </c>
      <c r="AB50" s="3" t="n">
        <v>73</v>
      </c>
      <c r="AC50" s="3" t="n">
        <v>3.2035</v>
      </c>
      <c r="AD50" s="3" t="n">
        <v>1.5923</v>
      </c>
      <c r="AE50" s="3" t="n">
        <v>-0.1652843226846004</v>
      </c>
      <c r="AF50" s="4" t="n">
        <v>0</v>
      </c>
      <c r="AG50" s="3" t="n">
        <v>0</v>
      </c>
      <c r="AH50" s="3" t="n">
        <v>0.2562</v>
      </c>
      <c r="AI50" s="3" t="n">
        <v>0.30492</v>
      </c>
      <c r="AJ50" s="3">
        <f>N(R50)*N(BC50)</f>
        <v/>
      </c>
      <c r="AK50" s="3" t="n">
        <v>0.2213</v>
      </c>
      <c r="AL50" s="3" t="n">
        <v>0</v>
      </c>
      <c r="AM50" s="3" t="n">
        <v>-0.5564987001023466</v>
      </c>
      <c r="AN50" s="3" t="n">
        <v>-0.1652843226846004</v>
      </c>
      <c r="AO50" s="3">
        <f>SUM(AH50:AN50)</f>
        <v/>
      </c>
      <c r="AP50" s="5">
        <f>IF(OR(N(Q50)&lt;=0,N(BA50)=0),0,N(Q50)*IF(N(M50)/N(Q50)&gt;=60,N(BA50),1))</f>
        <v/>
      </c>
      <c r="AQ50" s="5">
        <f>N(Q50)*N(Z50)*N(BB50)</f>
        <v/>
      </c>
      <c r="AR50" s="5">
        <f>N(AF50)*(Assumptions!$B$13*N(BD50)-(1-Assumptions!$B$13)*Assumptions!$B$14)+N(AG50)</f>
        <v/>
      </c>
      <c r="AS50" s="5">
        <f>N(AO50)*N(M50)/90+N(AP50)+N(AQ50)+N(AR50)</f>
        <v/>
      </c>
      <c r="AT50" s="3">
        <f>IF(N(M50)&lt;=0,0,(N(AS50)-N(AR50))*90/N(M50))</f>
        <v/>
      </c>
      <c r="AU50" s="5">
        <f>IFERROR(AS50-VLOOKUP($C50,Assumptions!$A$36:$C$39,3,FALSE),"")</f>
        <v/>
      </c>
      <c r="AV50" s="3">
        <f>IFERROR(AU50/F50,"")</f>
        <v/>
      </c>
      <c r="AW50">
        <f>IF(AND($E50=TRUE,$C50="GKP"),AS50,"")</f>
        <v/>
      </c>
      <c r="AX50">
        <f>IF(AND($E50=TRUE,$C50="DEF"),AS50,"")</f>
        <v/>
      </c>
      <c r="AY50">
        <f>IF(AND($E50=TRUE,$C50="MID"),AS50,"")</f>
        <v/>
      </c>
      <c r="AZ50">
        <f>IF(AND($E50=TRUE,$C50="FWD"),AS50,"")</f>
        <v/>
      </c>
      <c r="BA50" t="n">
        <v>2</v>
      </c>
      <c r="BB50" t="n">
        <v>2</v>
      </c>
      <c r="BC50" t="n">
        <v>4</v>
      </c>
      <c r="BD50" t="n">
        <v>6</v>
      </c>
    </row>
    <row r="51">
      <c r="A51" t="inlineStr">
        <is>
          <t>Ethan Ampadu</t>
        </is>
      </c>
      <c r="B51" t="inlineStr">
        <is>
          <t>LEE</t>
        </is>
      </c>
      <c r="C51" t="inlineStr">
        <is>
          <t>MID</t>
        </is>
      </c>
      <c r="D51" t="inlineStr">
        <is>
          <t>MID</t>
        </is>
      </c>
      <c r="E51" t="b">
        <v>1</v>
      </c>
      <c r="F51" s="2" t="n">
        <v>5.5</v>
      </c>
      <c r="G51" t="inlineStr">
        <is>
          <t>a</t>
        </is>
      </c>
      <c r="I51" s="2" t="n">
        <v>3119</v>
      </c>
      <c r="J51" t="n">
        <v>134</v>
      </c>
      <c r="K51" s="3" t="n">
        <v>3207</v>
      </c>
      <c r="L51" t="inlineStr">
        <is>
          <t>flat</t>
        </is>
      </c>
      <c r="M51" s="4" t="n">
        <v>3207</v>
      </c>
      <c r="N51" t="inlineStr">
        <is>
          <t>Solio</t>
        </is>
      </c>
      <c r="O51" s="5" t="n">
        <v>89.09999999999999</v>
      </c>
      <c r="P51" t="b">
        <v>1</v>
      </c>
      <c r="Q51" s="5">
        <f>IF(N(O51)&lt;=0,0,MIN(Assumptions!$B$15,N(M51)/N(O51)))</f>
        <v/>
      </c>
      <c r="R51" s="4" t="n">
        <v>0.218</v>
      </c>
      <c r="S51" s="3" t="n">
        <v>0.0688</v>
      </c>
      <c r="T51" t="inlineStr">
        <is>
          <t>adjusted xGOT</t>
        </is>
      </c>
      <c r="U51" s="3" t="n">
        <v>1</v>
      </c>
      <c r="V51" s="3" t="n">
        <v>0.965</v>
      </c>
      <c r="W51" s="3" t="n">
        <v>2.5</v>
      </c>
      <c r="X51" s="3" t="n">
        <v>0.0487</v>
      </c>
      <c r="Y51" s="3" t="n">
        <v>11.361</v>
      </c>
      <c r="Z51" s="3" t="n">
        <v>0.4502391156406644</v>
      </c>
      <c r="AA51" s="3" t="n">
        <v>0.3174</v>
      </c>
      <c r="AB51" s="3" t="n">
        <v>70</v>
      </c>
      <c r="AC51" s="3" t="n">
        <v>3.0611</v>
      </c>
      <c r="AD51" s="3" t="n">
        <v>1.5875</v>
      </c>
      <c r="AE51" s="3" t="n">
        <v>-0.2770314124491431</v>
      </c>
      <c r="AF51" s="4" t="n">
        <v>0</v>
      </c>
      <c r="AG51" s="3" t="n">
        <v>0</v>
      </c>
      <c r="AH51" s="3" t="n">
        <v>0.344</v>
      </c>
      <c r="AI51" s="3" t="n">
        <v>0.192852</v>
      </c>
      <c r="AJ51" s="3">
        <f>N(R51)*N(BC51)</f>
        <v/>
      </c>
      <c r="AK51" s="3" t="n">
        <v>0.3174</v>
      </c>
      <c r="AL51" s="3" t="n">
        <v>0</v>
      </c>
      <c r="AM51" s="3" t="n">
        <v>-0</v>
      </c>
      <c r="AN51" s="3" t="n">
        <v>-0.2770314124491431</v>
      </c>
      <c r="AO51" s="3">
        <f>SUM(AH51:AN51)</f>
        <v/>
      </c>
      <c r="AP51" s="5">
        <f>IF(OR(N(Q51)&lt;=0,N(BA51)=0),0,N(Q51)*IF(N(M51)/N(Q51)&gt;=60,N(BA51),1))</f>
        <v/>
      </c>
      <c r="AQ51" s="5">
        <f>N(Q51)*N(Z51)*N(BB51)</f>
        <v/>
      </c>
      <c r="AR51" s="5">
        <f>N(AF51)*(Assumptions!$B$13*N(BD51)-(1-Assumptions!$B$13)*Assumptions!$B$14)+N(AG51)</f>
        <v/>
      </c>
      <c r="AS51" s="5">
        <f>N(AO51)*N(M51)/90+N(AP51)+N(AQ51)+N(AR51)</f>
        <v/>
      </c>
      <c r="AT51" s="3">
        <f>IF(N(M51)&lt;=0,0,(N(AS51)-N(AR51))*90/N(M51))</f>
        <v/>
      </c>
      <c r="AU51" s="5">
        <f>IFERROR(AS51-VLOOKUP($C51,Assumptions!$A$36:$C$39,3,FALSE),"")</f>
        <v/>
      </c>
      <c r="AV51" s="3">
        <f>IFERROR(AU51/F51,"")</f>
        <v/>
      </c>
      <c r="AW51">
        <f>IF(AND($E51=TRUE,$C51="GKP"),AS51,"")</f>
        <v/>
      </c>
      <c r="AX51">
        <f>IF(AND($E51=TRUE,$C51="DEF"),AS51,"")</f>
        <v/>
      </c>
      <c r="AY51">
        <f>IF(AND($E51=TRUE,$C51="MID"),AS51,"")</f>
        <v/>
      </c>
      <c r="AZ51">
        <f>IF(AND($E51=TRUE,$C51="FWD"),AS51,"")</f>
        <v/>
      </c>
      <c r="BA51" t="n">
        <v>2</v>
      </c>
      <c r="BB51" t="n">
        <v>2</v>
      </c>
      <c r="BC51" t="n">
        <v>1</v>
      </c>
      <c r="BD51" t="n">
        <v>5</v>
      </c>
    </row>
    <row r="52">
      <c r="A52" t="inlineStr">
        <is>
          <t>Martín Zubimendi</t>
        </is>
      </c>
      <c r="B52" t="inlineStr">
        <is>
          <t>ARS</t>
        </is>
      </c>
      <c r="C52" t="inlineStr">
        <is>
          <t>MID</t>
        </is>
      </c>
      <c r="D52" t="inlineStr">
        <is>
          <t>MID</t>
        </is>
      </c>
      <c r="E52" t="b">
        <v>1</v>
      </c>
      <c r="F52" s="2" t="n">
        <v>5.5</v>
      </c>
      <c r="G52" t="inlineStr">
        <is>
          <t>a</t>
        </is>
      </c>
      <c r="I52" s="2" t="n">
        <v>2991</v>
      </c>
      <c r="J52" t="n">
        <v>133</v>
      </c>
      <c r="K52" s="3" t="n">
        <v>891</v>
      </c>
      <c r="L52" t="inlineStr">
        <is>
          <t>fade (losing his place)</t>
        </is>
      </c>
      <c r="M52" s="4" t="n">
        <v>891</v>
      </c>
      <c r="N52" t="inlineStr">
        <is>
          <t>Solio</t>
        </is>
      </c>
      <c r="O52" s="5" t="n">
        <v>84.3</v>
      </c>
      <c r="P52" t="b">
        <v>1</v>
      </c>
      <c r="Q52" s="5">
        <f>IF(N(O52)&lt;=0,0,MIN(Assumptions!$B$15,N(M52)/N(O52)))</f>
        <v/>
      </c>
      <c r="R52" s="4" t="n">
        <v>0.391</v>
      </c>
      <c r="S52" s="3" t="n">
        <v>0.0914</v>
      </c>
      <c r="T52" t="inlineStr">
        <is>
          <t>adjusted xGOT</t>
        </is>
      </c>
      <c r="U52" s="3" t="n">
        <v>1</v>
      </c>
      <c r="V52" s="3" t="n">
        <v>1.07</v>
      </c>
      <c r="W52" s="3" t="n">
        <v>2.8</v>
      </c>
      <c r="X52" s="3" t="n">
        <v>0.0505</v>
      </c>
      <c r="Y52" s="3" t="n">
        <v>9.109999999999999</v>
      </c>
      <c r="Z52" s="3" t="n">
        <v>0.1541693542713408</v>
      </c>
      <c r="AA52" s="3" t="n">
        <v>0.2708</v>
      </c>
      <c r="AB52" s="3" t="n">
        <v>70</v>
      </c>
      <c r="AC52" s="3" t="n">
        <v>2.067</v>
      </c>
      <c r="AD52" s="3" t="n">
        <v>0.9838</v>
      </c>
      <c r="AE52" s="3" t="n">
        <v>-0.1626849391306963</v>
      </c>
      <c r="AF52" s="4" t="n">
        <v>0</v>
      </c>
      <c r="AG52" s="3" t="n">
        <v>0</v>
      </c>
      <c r="AH52" s="3" t="n">
        <v>0.457</v>
      </c>
      <c r="AI52" s="3" t="n">
        <v>0.19998</v>
      </c>
      <c r="AJ52" s="3">
        <f>N(R52)*N(BC52)</f>
        <v/>
      </c>
      <c r="AK52" s="3" t="n">
        <v>0.2708</v>
      </c>
      <c r="AL52" s="3" t="n">
        <v>0</v>
      </c>
      <c r="AM52" s="3" t="n">
        <v>-0</v>
      </c>
      <c r="AN52" s="3" t="n">
        <v>-0.1626849391306963</v>
      </c>
      <c r="AO52" s="3">
        <f>SUM(AH52:AN52)</f>
        <v/>
      </c>
      <c r="AP52" s="5">
        <f>IF(OR(N(Q52)&lt;=0,N(BA52)=0),0,N(Q52)*IF(N(M52)/N(Q52)&gt;=60,N(BA52),1))</f>
        <v/>
      </c>
      <c r="AQ52" s="5">
        <f>N(Q52)*N(Z52)*N(BB52)</f>
        <v/>
      </c>
      <c r="AR52" s="5">
        <f>N(AF52)*(Assumptions!$B$13*N(BD52)-(1-Assumptions!$B$13)*Assumptions!$B$14)+N(AG52)</f>
        <v/>
      </c>
      <c r="AS52" s="5">
        <f>N(AO52)*N(M52)/90+N(AP52)+N(AQ52)+N(AR52)</f>
        <v/>
      </c>
      <c r="AT52" s="3">
        <f>IF(N(M52)&lt;=0,0,(N(AS52)-N(AR52))*90/N(M52))</f>
        <v/>
      </c>
      <c r="AU52" s="5">
        <f>IFERROR(AS52-VLOOKUP($C52,Assumptions!$A$36:$C$39,3,FALSE),"")</f>
        <v/>
      </c>
      <c r="AV52" s="3">
        <f>IFERROR(AU52/F52,"")</f>
        <v/>
      </c>
      <c r="AW52">
        <f>IF(AND($E52=TRUE,$C52="GKP"),AS52,"")</f>
        <v/>
      </c>
      <c r="AX52">
        <f>IF(AND($E52=TRUE,$C52="DEF"),AS52,"")</f>
        <v/>
      </c>
      <c r="AY52">
        <f>IF(AND($E52=TRUE,$C52="MID"),AS52,"")</f>
        <v/>
      </c>
      <c r="AZ52">
        <f>IF(AND($E52=TRUE,$C52="FWD"),AS52,"")</f>
        <v/>
      </c>
      <c r="BA52" t="n">
        <v>2</v>
      </c>
      <c r="BB52" t="n">
        <v>2</v>
      </c>
      <c r="BC52" t="n">
        <v>1</v>
      </c>
      <c r="BD52" t="n">
        <v>5</v>
      </c>
    </row>
    <row r="53">
      <c r="A53" t="inlineStr">
        <is>
          <t>Cody Gakpo</t>
        </is>
      </c>
      <c r="B53" t="inlineStr">
        <is>
          <t>LIV</t>
        </is>
      </c>
      <c r="C53" t="inlineStr">
        <is>
          <t>MID</t>
        </is>
      </c>
      <c r="D53" t="inlineStr">
        <is>
          <t>MID</t>
        </is>
      </c>
      <c r="E53" t="b">
        <v>1</v>
      </c>
      <c r="F53" s="2" t="n">
        <v>7</v>
      </c>
      <c r="G53" t="inlineStr">
        <is>
          <t>a</t>
        </is>
      </c>
      <c r="I53" s="2" t="n">
        <v>2736</v>
      </c>
      <c r="J53" t="n">
        <v>131</v>
      </c>
      <c r="K53" s="3" t="n">
        <v>2457</v>
      </c>
      <c r="L53" t="inlineStr">
        <is>
          <t>flat</t>
        </is>
      </c>
      <c r="M53" s="4" t="n">
        <v>2457</v>
      </c>
      <c r="N53" t="inlineStr">
        <is>
          <t>Solio</t>
        </is>
      </c>
      <c r="O53" s="5" t="n">
        <v>82.2</v>
      </c>
      <c r="P53" t="b">
        <v>1</v>
      </c>
      <c r="Q53" s="5">
        <f>IF(N(O53)&lt;=0,0,MIN(Assumptions!$B$15,N(M53)/N(O53)))</f>
        <v/>
      </c>
      <c r="R53" s="4" t="n">
        <v>0.342</v>
      </c>
      <c r="S53" s="3" t="n">
        <v>0.2404</v>
      </c>
      <c r="T53" t="inlineStr">
        <is>
          <t>adjusted xGOT</t>
        </is>
      </c>
      <c r="U53" s="3" t="n">
        <v>1</v>
      </c>
      <c r="V53" s="3" t="n">
        <v>0.875</v>
      </c>
      <c r="W53" s="3" t="n">
        <v>31</v>
      </c>
      <c r="X53" s="3" t="n">
        <v>0.1852</v>
      </c>
      <c r="Y53" s="3" t="n">
        <v>5.745</v>
      </c>
      <c r="Z53" s="3" t="n">
        <v>0.007812794808035317</v>
      </c>
      <c r="AA53" s="3" t="n">
        <v>0.1645</v>
      </c>
      <c r="AB53" s="3" t="n">
        <v>67</v>
      </c>
      <c r="AC53" s="3" t="n">
        <v>2.409</v>
      </c>
      <c r="AD53" s="3" t="n">
        <v>1.1228</v>
      </c>
      <c r="AE53" s="3" t="n">
        <v>-0.1609305038523113</v>
      </c>
      <c r="AF53" s="4" t="n">
        <v>0.0353654505290349</v>
      </c>
      <c r="AG53" s="3" t="n">
        <v>0</v>
      </c>
      <c r="AH53" s="3" t="n">
        <v>1.202</v>
      </c>
      <c r="AI53" s="3" t="n">
        <v>0.733392</v>
      </c>
      <c r="AJ53" s="3">
        <f>N(R53)*N(BC53)</f>
        <v/>
      </c>
      <c r="AK53" s="3" t="n">
        <v>0.1645</v>
      </c>
      <c r="AL53" s="3" t="n">
        <v>0</v>
      </c>
      <c r="AM53" s="3" t="n">
        <v>-0</v>
      </c>
      <c r="AN53" s="3" t="n">
        <v>-0.1609305038523113</v>
      </c>
      <c r="AO53" s="3">
        <f>SUM(AH53:AN53)</f>
        <v/>
      </c>
      <c r="AP53" s="5">
        <f>IF(OR(N(Q53)&lt;=0,N(BA53)=0),0,N(Q53)*IF(N(M53)/N(Q53)&gt;=60,N(BA53),1))</f>
        <v/>
      </c>
      <c r="AQ53" s="5">
        <f>N(Q53)*N(Z53)*N(BB53)</f>
        <v/>
      </c>
      <c r="AR53" s="5">
        <f>N(AF53)*(Assumptions!$B$13*N(BD53)-(1-Assumptions!$B$13)*Assumptions!$B$14)+N(AG53)</f>
        <v/>
      </c>
      <c r="AS53" s="5">
        <f>N(AO53)*N(M53)/90+N(AP53)+N(AQ53)+N(AR53)</f>
        <v/>
      </c>
      <c r="AT53" s="3">
        <f>IF(N(M53)&lt;=0,0,(N(AS53)-N(AR53))*90/N(M53))</f>
        <v/>
      </c>
      <c r="AU53" s="5">
        <f>IFERROR(AS53-VLOOKUP($C53,Assumptions!$A$36:$C$39,3,FALSE),"")</f>
        <v/>
      </c>
      <c r="AV53" s="3">
        <f>IFERROR(AU53/F53,"")</f>
        <v/>
      </c>
      <c r="AW53">
        <f>IF(AND($E53=TRUE,$C53="GKP"),AS53,"")</f>
        <v/>
      </c>
      <c r="AX53">
        <f>IF(AND($E53=TRUE,$C53="DEF"),AS53,"")</f>
        <v/>
      </c>
      <c r="AY53">
        <f>IF(AND($E53=TRUE,$C53="MID"),AS53,"")</f>
        <v/>
      </c>
      <c r="AZ53">
        <f>IF(AND($E53=TRUE,$C53="FWD"),AS53,"")</f>
        <v/>
      </c>
      <c r="BA53" t="n">
        <v>2</v>
      </c>
      <c r="BB53" t="n">
        <v>2</v>
      </c>
      <c r="BC53" t="n">
        <v>1</v>
      </c>
      <c r="BD53" t="n">
        <v>5</v>
      </c>
    </row>
    <row r="54">
      <c r="A54" t="inlineStr">
        <is>
          <t>Dean Henderson</t>
        </is>
      </c>
      <c r="B54" t="inlineStr">
        <is>
          <t>CRY</t>
        </is>
      </c>
      <c r="C54" t="inlineStr">
        <is>
          <t>GKP</t>
        </is>
      </c>
      <c r="D54" t="inlineStr">
        <is>
          <t>GKP</t>
        </is>
      </c>
      <c r="E54" t="b">
        <v>1</v>
      </c>
      <c r="F54" s="2" t="n">
        <v>5</v>
      </c>
      <c r="G54" t="inlineStr">
        <is>
          <t>a</t>
        </is>
      </c>
      <c r="I54" s="2" t="n">
        <v>3330</v>
      </c>
      <c r="J54" t="n">
        <v>131</v>
      </c>
      <c r="K54" s="3" t="n">
        <v>3385</v>
      </c>
      <c r="L54" t="inlineStr">
        <is>
          <t>flat</t>
        </is>
      </c>
      <c r="M54" s="4" t="n">
        <v>3385</v>
      </c>
      <c r="N54" t="inlineStr">
        <is>
          <t>Solio</t>
        </is>
      </c>
      <c r="O54" s="5" t="n">
        <v>90</v>
      </c>
      <c r="P54" t="b">
        <v>1</v>
      </c>
      <c r="Q54" s="5">
        <f>IF(N(O54)&lt;=0,0,MIN(Assumptions!$B$15,N(M54)/N(O54)))</f>
        <v/>
      </c>
      <c r="R54" s="4" t="n">
        <v>0.216</v>
      </c>
      <c r="S54" s="3" t="n">
        <v>0</v>
      </c>
      <c r="T54" t="inlineStr">
        <is>
          <t>adjusted xGOT</t>
        </is>
      </c>
      <c r="U54" s="3" t="n">
        <v>1</v>
      </c>
      <c r="V54" s="3" t="n">
        <v>0.999</v>
      </c>
      <c r="W54" s="3" t="n">
        <v>0</v>
      </c>
      <c r="X54" s="3" t="n">
        <v>0.0017</v>
      </c>
      <c r="Y54" s="3" t="n">
        <v>0</v>
      </c>
      <c r="Z54" s="3" t="n">
        <v>0</v>
      </c>
      <c r="AA54" s="3" t="n">
        <v>0.1892</v>
      </c>
      <c r="AB54" s="3" t="n">
        <v>74</v>
      </c>
      <c r="AC54" s="3" t="n">
        <v>3.2035</v>
      </c>
      <c r="AD54" s="3" t="n">
        <v>1.5923</v>
      </c>
      <c r="AE54" s="3" t="n">
        <v>-0.1086688776973607</v>
      </c>
      <c r="AF54" s="4" t="n">
        <v>0</v>
      </c>
      <c r="AG54" s="3" t="n">
        <v>3.364580376981904</v>
      </c>
      <c r="AH54" s="3" t="n">
        <v>0</v>
      </c>
      <c r="AI54" s="3" t="n">
        <v>0.006731999999999999</v>
      </c>
      <c r="AJ54" s="3">
        <f>N(R54)*N(BC54)</f>
        <v/>
      </c>
      <c r="AK54" s="3" t="n">
        <v>0.1892</v>
      </c>
      <c r="AL54" s="3" t="n">
        <v>0.7325188478059661</v>
      </c>
      <c r="AM54" s="3" t="n">
        <v>-0.5564987001023466</v>
      </c>
      <c r="AN54" s="3" t="n">
        <v>-0.1086688776973607</v>
      </c>
      <c r="AO54" s="3">
        <f>SUM(AH54:AN54)</f>
        <v/>
      </c>
      <c r="AP54" s="5">
        <f>IF(OR(N(Q54)&lt;=0,N(BA54)=0),0,N(Q54)*IF(N(M54)/N(Q54)&gt;=60,N(BA54),1))</f>
        <v/>
      </c>
      <c r="AQ54" s="5">
        <f>N(Q54)*N(Z54)*N(BB54)</f>
        <v/>
      </c>
      <c r="AR54" s="5">
        <f>N(AF54)*(Assumptions!$B$13*N(BD54)-(1-Assumptions!$B$13)*Assumptions!$B$14)+N(AG54)</f>
        <v/>
      </c>
      <c r="AS54" s="5">
        <f>N(AO54)*N(M54)/90+N(AP54)+N(AQ54)+N(AR54)</f>
        <v/>
      </c>
      <c r="AT54" s="3">
        <f>IF(N(M54)&lt;=0,0,(N(AS54)-N(AR54))*90/N(M54))</f>
        <v/>
      </c>
      <c r="AU54" s="5">
        <f>IFERROR(AS54-VLOOKUP($C54,Assumptions!$A$36:$C$39,3,FALSE),"")</f>
        <v/>
      </c>
      <c r="AV54" s="3">
        <f>IFERROR(AU54/F54,"")</f>
        <v/>
      </c>
      <c r="AW54">
        <f>IF(AND($E54=TRUE,$C54="GKP"),AS54,"")</f>
        <v/>
      </c>
      <c r="AX54">
        <f>IF(AND($E54=TRUE,$C54="DEF"),AS54,"")</f>
        <v/>
      </c>
      <c r="AY54">
        <f>IF(AND($E54=TRUE,$C54="MID"),AS54,"")</f>
        <v/>
      </c>
      <c r="AZ54">
        <f>IF(AND($E54=TRUE,$C54="FWD"),AS54,"")</f>
        <v/>
      </c>
      <c r="BA54" t="n">
        <v>2</v>
      </c>
      <c r="BB54" t="n">
        <v>0</v>
      </c>
      <c r="BC54" t="n">
        <v>4</v>
      </c>
      <c r="BD54" t="n">
        <v>10</v>
      </c>
    </row>
    <row r="55">
      <c r="A55" t="inlineStr">
        <is>
          <t>Michael Keane</t>
        </is>
      </c>
      <c r="B55" t="inlineStr">
        <is>
          <t>EVE</t>
        </is>
      </c>
      <c r="C55" t="inlineStr">
        <is>
          <t>DEF</t>
        </is>
      </c>
      <c r="D55" t="inlineStr">
        <is>
          <t>DEF</t>
        </is>
      </c>
      <c r="E55" t="b">
        <v>1</v>
      </c>
      <c r="F55" s="2" t="n">
        <v>5</v>
      </c>
      <c r="G55" t="inlineStr">
        <is>
          <t>a</t>
        </is>
      </c>
      <c r="I55" s="2" t="n">
        <v>2588</v>
      </c>
      <c r="J55" t="n">
        <v>131</v>
      </c>
      <c r="K55" s="3" t="n">
        <v>623</v>
      </c>
      <c r="L55" t="inlineStr">
        <is>
          <t>flat</t>
        </is>
      </c>
      <c r="M55" s="4" t="n">
        <v>623</v>
      </c>
      <c r="N55" t="inlineStr">
        <is>
          <t>Solio</t>
        </is>
      </c>
      <c r="O55" s="5" t="n">
        <v>88.8</v>
      </c>
      <c r="P55" t="b">
        <v>1</v>
      </c>
      <c r="Q55" s="5">
        <f>IF(N(O55)&lt;=0,0,MIN(Assumptions!$B$15,N(M55)/N(O55)))</f>
        <v/>
      </c>
      <c r="R55" s="4" t="n">
        <v>0.231</v>
      </c>
      <c r="S55" s="3" t="n">
        <v>0.08400000000000001</v>
      </c>
      <c r="T55" t="inlineStr">
        <is>
          <t>adjusted xGOT</t>
        </is>
      </c>
      <c r="U55" s="3" t="n">
        <v>1</v>
      </c>
      <c r="V55" s="3" t="n">
        <v>1.05</v>
      </c>
      <c r="W55" s="3" t="n">
        <v>4.8</v>
      </c>
      <c r="X55" s="3" t="n">
        <v>0.0108</v>
      </c>
      <c r="Y55" s="3" t="n">
        <v>9.888999999999999</v>
      </c>
      <c r="Z55" s="3" t="n">
        <v>0.5113426449746412</v>
      </c>
      <c r="AA55" s="3" t="n">
        <v>0.313</v>
      </c>
      <c r="AB55" s="3" t="n">
        <v>62</v>
      </c>
      <c r="AC55" s="3" t="n">
        <v>3.0311</v>
      </c>
      <c r="AD55" s="3" t="n">
        <v>1.5252</v>
      </c>
      <c r="AE55" s="3" t="n">
        <v>-0.1652835914547465</v>
      </c>
      <c r="AF55" s="4" t="n">
        <v>0</v>
      </c>
      <c r="AG55" s="3" t="n">
        <v>0</v>
      </c>
      <c r="AH55" s="3" t="n">
        <v>0.504</v>
      </c>
      <c r="AI55" s="3" t="n">
        <v>0.042768</v>
      </c>
      <c r="AJ55" s="3">
        <f>N(R55)*N(BC55)</f>
        <v/>
      </c>
      <c r="AK55" s="3" t="n">
        <v>0.313</v>
      </c>
      <c r="AL55" s="3" t="n">
        <v>0</v>
      </c>
      <c r="AM55" s="3" t="n">
        <v>-0.524434996152324</v>
      </c>
      <c r="AN55" s="3" t="n">
        <v>-0.1652835914547465</v>
      </c>
      <c r="AO55" s="3">
        <f>SUM(AH55:AN55)</f>
        <v/>
      </c>
      <c r="AP55" s="5">
        <f>IF(OR(N(Q55)&lt;=0,N(BA55)=0),0,N(Q55)*IF(N(M55)/N(Q55)&gt;=60,N(BA55),1))</f>
        <v/>
      </c>
      <c r="AQ55" s="5">
        <f>N(Q55)*N(Z55)*N(BB55)</f>
        <v/>
      </c>
      <c r="AR55" s="5">
        <f>N(AF55)*(Assumptions!$B$13*N(BD55)-(1-Assumptions!$B$13)*Assumptions!$B$14)+N(AG55)</f>
        <v/>
      </c>
      <c r="AS55" s="5">
        <f>N(AO55)*N(M55)/90+N(AP55)+N(AQ55)+N(AR55)</f>
        <v/>
      </c>
      <c r="AT55" s="3">
        <f>IF(N(M55)&lt;=0,0,(N(AS55)-N(AR55))*90/N(M55))</f>
        <v/>
      </c>
      <c r="AU55" s="5">
        <f>IFERROR(AS55-VLOOKUP($C55,Assumptions!$A$36:$C$39,3,FALSE),"")</f>
        <v/>
      </c>
      <c r="AV55" s="3">
        <f>IFERROR(AU55/F55,"")</f>
        <v/>
      </c>
      <c r="AW55">
        <f>IF(AND($E55=TRUE,$C55="GKP"),AS55,"")</f>
        <v/>
      </c>
      <c r="AX55">
        <f>IF(AND($E55=TRUE,$C55="DEF"),AS55,"")</f>
        <v/>
      </c>
      <c r="AY55">
        <f>IF(AND($E55=TRUE,$C55="MID"),AS55,"")</f>
        <v/>
      </c>
      <c r="AZ55">
        <f>IF(AND($E55=TRUE,$C55="FWD"),AS55,"")</f>
        <v/>
      </c>
      <c r="BA55" t="n">
        <v>2</v>
      </c>
      <c r="BB55" t="n">
        <v>2</v>
      </c>
      <c r="BC55" t="n">
        <v>4</v>
      </c>
      <c r="BD55" t="n">
        <v>6</v>
      </c>
    </row>
    <row r="56">
      <c r="A56" t="inlineStr">
        <is>
          <t>Phil Foden</t>
        </is>
      </c>
      <c r="B56" t="inlineStr">
        <is>
          <t>MCI</t>
        </is>
      </c>
      <c r="C56" t="inlineStr">
        <is>
          <t>MID</t>
        </is>
      </c>
      <c r="D56" t="inlineStr">
        <is>
          <t>MID</t>
        </is>
      </c>
      <c r="E56" t="b">
        <v>1</v>
      </c>
      <c r="F56" s="2" t="n">
        <v>7</v>
      </c>
      <c r="G56" t="inlineStr">
        <is>
          <t>a</t>
        </is>
      </c>
      <c r="I56" s="2" t="n">
        <v>2078</v>
      </c>
      <c r="J56" t="n">
        <v>131</v>
      </c>
      <c r="K56" s="3" t="n">
        <v>2063</v>
      </c>
      <c r="L56" t="inlineStr">
        <is>
          <t>flat</t>
        </is>
      </c>
      <c r="M56" s="4" t="n">
        <v>2063</v>
      </c>
      <c r="N56" t="inlineStr">
        <is>
          <t>Solio</t>
        </is>
      </c>
      <c r="O56" s="5" t="n">
        <v>83.2</v>
      </c>
      <c r="P56" t="b">
        <v>1</v>
      </c>
      <c r="Q56" s="5">
        <f>IF(N(O56)&lt;=0,0,MIN(Assumptions!$B$15,N(M56)/N(O56)))</f>
        <v/>
      </c>
      <c r="R56" s="4" t="n">
        <v>0.371</v>
      </c>
      <c r="S56" s="3" t="n">
        <v>0.3272</v>
      </c>
      <c r="T56" t="inlineStr">
        <is>
          <t>adjusted xGOT</t>
        </is>
      </c>
      <c r="U56" s="3" t="n">
        <v>1</v>
      </c>
      <c r="V56" s="3" t="n">
        <v>1.253</v>
      </c>
      <c r="W56" s="3" t="n">
        <v>27.1</v>
      </c>
      <c r="X56" s="3" t="n">
        <v>0.2353</v>
      </c>
      <c r="Y56" s="3" t="n">
        <v>7.354</v>
      </c>
      <c r="Z56" s="3" t="n">
        <v>0.04475952212542589</v>
      </c>
      <c r="AA56" s="3" t="n">
        <v>0.5629999999999999</v>
      </c>
      <c r="AB56" s="3" t="n">
        <v>55</v>
      </c>
      <c r="AC56" s="3" t="n">
        <v>1.9737</v>
      </c>
      <c r="AD56" s="3" t="n">
        <v>1.0365</v>
      </c>
      <c r="AE56" s="3" t="n">
        <v>-0.1611249062197476</v>
      </c>
      <c r="AF56" s="4" t="n">
        <v>0</v>
      </c>
      <c r="AG56" s="3" t="n">
        <v>0</v>
      </c>
      <c r="AH56" s="3" t="n">
        <v>1.636</v>
      </c>
      <c r="AI56" s="3" t="n">
        <v>0.9317880000000001</v>
      </c>
      <c r="AJ56" s="3">
        <f>N(R56)*N(BC56)</f>
        <v/>
      </c>
      <c r="AK56" s="3" t="n">
        <v>0.5629999999999999</v>
      </c>
      <c r="AL56" s="3" t="n">
        <v>0</v>
      </c>
      <c r="AM56" s="3" t="n">
        <v>-0</v>
      </c>
      <c r="AN56" s="3" t="n">
        <v>-0.1611249062197476</v>
      </c>
      <c r="AO56" s="3">
        <f>SUM(AH56:AN56)</f>
        <v/>
      </c>
      <c r="AP56" s="5">
        <f>IF(OR(N(Q56)&lt;=0,N(BA56)=0),0,N(Q56)*IF(N(M56)/N(Q56)&gt;=60,N(BA56),1))</f>
        <v/>
      </c>
      <c r="AQ56" s="5">
        <f>N(Q56)*N(Z56)*N(BB56)</f>
        <v/>
      </c>
      <c r="AR56" s="5">
        <f>N(AF56)*(Assumptions!$B$13*N(BD56)-(1-Assumptions!$B$13)*Assumptions!$B$14)+N(AG56)</f>
        <v/>
      </c>
      <c r="AS56" s="5">
        <f>N(AO56)*N(M56)/90+N(AP56)+N(AQ56)+N(AR56)</f>
        <v/>
      </c>
      <c r="AT56" s="3">
        <f>IF(N(M56)&lt;=0,0,(N(AS56)-N(AR56))*90/N(M56))</f>
        <v/>
      </c>
      <c r="AU56" s="5">
        <f>IFERROR(AS56-VLOOKUP($C56,Assumptions!$A$36:$C$39,3,FALSE),"")</f>
        <v/>
      </c>
      <c r="AV56" s="3">
        <f>IFERROR(AU56/F56,"")</f>
        <v/>
      </c>
      <c r="AW56">
        <f>IF(AND($E56=TRUE,$C56="GKP"),AS56,"")</f>
        <v/>
      </c>
      <c r="AX56">
        <f>IF(AND($E56=TRUE,$C56="DEF"),AS56,"")</f>
        <v/>
      </c>
      <c r="AY56">
        <f>IF(AND($E56=TRUE,$C56="MID"),AS56,"")</f>
        <v/>
      </c>
      <c r="AZ56">
        <f>IF(AND($E56=TRUE,$C56="FWD"),AS56,"")</f>
        <v/>
      </c>
      <c r="BA56" t="n">
        <v>2</v>
      </c>
      <c r="BB56" t="n">
        <v>2</v>
      </c>
      <c r="BC56" t="n">
        <v>1</v>
      </c>
      <c r="BD56" t="n">
        <v>5</v>
      </c>
    </row>
    <row r="57">
      <c r="A57" t="inlineStr">
        <is>
          <t>Bart Verbruggen</t>
        </is>
      </c>
      <c r="B57" t="inlineStr">
        <is>
          <t>BHA</t>
        </is>
      </c>
      <c r="C57" t="inlineStr">
        <is>
          <t>GKP</t>
        </is>
      </c>
      <c r="D57" t="inlineStr">
        <is>
          <t>GKP</t>
        </is>
      </c>
      <c r="E57" t="b">
        <v>1</v>
      </c>
      <c r="F57" s="2" t="n">
        <v>4.5</v>
      </c>
      <c r="G57" t="inlineStr">
        <is>
          <t>a</t>
        </is>
      </c>
      <c r="I57" s="2" t="n">
        <v>3420</v>
      </c>
      <c r="J57" t="n">
        <v>130</v>
      </c>
      <c r="K57" s="3" t="n">
        <v>3385</v>
      </c>
      <c r="L57" t="inlineStr">
        <is>
          <t>flat</t>
        </is>
      </c>
      <c r="M57" s="4" t="n">
        <v>3385</v>
      </c>
      <c r="N57" t="inlineStr">
        <is>
          <t>Solio</t>
        </is>
      </c>
      <c r="O57" s="5" t="n">
        <v>90</v>
      </c>
      <c r="P57" t="b">
        <v>1</v>
      </c>
      <c r="Q57" s="5">
        <f>IF(N(O57)&lt;=0,0,MIN(Assumptions!$B$15,N(M57)/N(O57)))</f>
        <v/>
      </c>
      <c r="R57" s="4" t="n">
        <v>0.252</v>
      </c>
      <c r="S57" s="3" t="n">
        <v>0</v>
      </c>
      <c r="T57" t="inlineStr">
        <is>
          <t>blended xG</t>
        </is>
      </c>
      <c r="U57" s="3" t="n">
        <v>1</v>
      </c>
      <c r="V57" s="3" t="n">
        <v>1</v>
      </c>
      <c r="W57" s="3" t="n">
        <v>0</v>
      </c>
      <c r="X57" s="3" t="n">
        <v>0.0018</v>
      </c>
      <c r="Y57" s="3" t="n">
        <v>0</v>
      </c>
      <c r="Z57" s="3" t="n">
        <v>0</v>
      </c>
      <c r="AA57" s="3" t="n">
        <v>0.2895</v>
      </c>
      <c r="AB57" s="3" t="n">
        <v>76</v>
      </c>
      <c r="AC57" s="3" t="n">
        <v>2.8404</v>
      </c>
      <c r="AD57" s="3" t="n">
        <v>1.439</v>
      </c>
      <c r="AE57" s="3" t="n">
        <v>-0.1026485428862804</v>
      </c>
      <c r="AF57" s="4" t="n">
        <v>0</v>
      </c>
      <c r="AG57" s="3" t="n">
        <v>3.040566860477085</v>
      </c>
      <c r="AH57" s="3" t="n">
        <v>0</v>
      </c>
      <c r="AI57" s="3" t="n">
        <v>0.007128000000000001</v>
      </c>
      <c r="AJ57" s="3">
        <f>N(R57)*N(BC57)</f>
        <v/>
      </c>
      <c r="AK57" s="3" t="n">
        <v>0.2895</v>
      </c>
      <c r="AL57" s="3" t="n">
        <v>0.6115252178851747</v>
      </c>
      <c r="AM57" s="3" t="n">
        <v>-0.4835617861760246</v>
      </c>
      <c r="AN57" s="3" t="n">
        <v>-0.1026485428862804</v>
      </c>
      <c r="AO57" s="3">
        <f>SUM(AH57:AN57)</f>
        <v/>
      </c>
      <c r="AP57" s="5">
        <f>IF(OR(N(Q57)&lt;=0,N(BA57)=0),0,N(Q57)*IF(N(M57)/N(Q57)&gt;=60,N(BA57),1))</f>
        <v/>
      </c>
      <c r="AQ57" s="5">
        <f>N(Q57)*N(Z57)*N(BB57)</f>
        <v/>
      </c>
      <c r="AR57" s="5">
        <f>N(AF57)*(Assumptions!$B$13*N(BD57)-(1-Assumptions!$B$13)*Assumptions!$B$14)+N(AG57)</f>
        <v/>
      </c>
      <c r="AS57" s="5">
        <f>N(AO57)*N(M57)/90+N(AP57)+N(AQ57)+N(AR57)</f>
        <v/>
      </c>
      <c r="AT57" s="3">
        <f>IF(N(M57)&lt;=0,0,(N(AS57)-N(AR57))*90/N(M57))</f>
        <v/>
      </c>
      <c r="AU57" s="5">
        <f>IFERROR(AS57-VLOOKUP($C57,Assumptions!$A$36:$C$39,3,FALSE),"")</f>
        <v/>
      </c>
      <c r="AV57" s="3">
        <f>IFERROR(AU57/F57,"")</f>
        <v/>
      </c>
      <c r="AW57">
        <f>IF(AND($E57=TRUE,$C57="GKP"),AS57,"")</f>
        <v/>
      </c>
      <c r="AX57">
        <f>IF(AND($E57=TRUE,$C57="DEF"),AS57,"")</f>
        <v/>
      </c>
      <c r="AY57">
        <f>IF(AND($E57=TRUE,$C57="MID"),AS57,"")</f>
        <v/>
      </c>
      <c r="AZ57">
        <f>IF(AND($E57=TRUE,$C57="FWD"),AS57,"")</f>
        <v/>
      </c>
      <c r="BA57" t="n">
        <v>2</v>
      </c>
      <c r="BB57" t="n">
        <v>0</v>
      </c>
      <c r="BC57" t="n">
        <v>4</v>
      </c>
      <c r="BD57" t="n">
        <v>10</v>
      </c>
    </row>
    <row r="58">
      <c r="A58" t="inlineStr">
        <is>
          <t>Nathan Collins</t>
        </is>
      </c>
      <c r="B58" t="inlineStr">
        <is>
          <t>BRE</t>
        </is>
      </c>
      <c r="C58" t="inlineStr">
        <is>
          <t>DEF</t>
        </is>
      </c>
      <c r="D58" t="inlineStr">
        <is>
          <t>DEF</t>
        </is>
      </c>
      <c r="E58" t="b">
        <v>1</v>
      </c>
      <c r="F58" s="2" t="n">
        <v>5.5</v>
      </c>
      <c r="G58" t="inlineStr">
        <is>
          <t>a</t>
        </is>
      </c>
      <c r="I58" s="2" t="n">
        <v>2971</v>
      </c>
      <c r="J58" t="n">
        <v>129</v>
      </c>
      <c r="K58" s="3" t="n">
        <v>3044</v>
      </c>
      <c r="L58" t="inlineStr">
        <is>
          <t>flat</t>
        </is>
      </c>
      <c r="M58" s="4" t="n">
        <v>3044</v>
      </c>
      <c r="N58" t="inlineStr">
        <is>
          <t>Solio</t>
        </is>
      </c>
      <c r="O58" s="5" t="n">
        <v>90</v>
      </c>
      <c r="P58" t="b">
        <v>1</v>
      </c>
      <c r="Q58" s="5">
        <f>IF(N(O58)&lt;=0,0,MIN(Assumptions!$B$15,N(M58)/N(O58)))</f>
        <v/>
      </c>
      <c r="R58" s="4" t="n">
        <v>0.228</v>
      </c>
      <c r="S58" s="3" t="n">
        <v>0.06320000000000001</v>
      </c>
      <c r="T58" t="inlineStr">
        <is>
          <t>adjusted xGOT</t>
        </is>
      </c>
      <c r="U58" s="3" t="n">
        <v>1</v>
      </c>
      <c r="V58" s="3" t="n">
        <v>0.931</v>
      </c>
      <c r="W58" s="3" t="n">
        <v>6.5</v>
      </c>
      <c r="X58" s="3" t="n">
        <v>0.06270000000000001</v>
      </c>
      <c r="Y58" s="3" t="n">
        <v>9.276999999999999</v>
      </c>
      <c r="Z58" s="3" t="n">
        <v>0.4490370577124032</v>
      </c>
      <c r="AA58" s="3" t="n">
        <v>0.1818</v>
      </c>
      <c r="AB58" s="3" t="n">
        <v>67</v>
      </c>
      <c r="AC58" s="3" t="n">
        <v>3.2371</v>
      </c>
      <c r="AD58" s="3" t="n">
        <v>1.5396</v>
      </c>
      <c r="AE58" s="3" t="n">
        <v>-0.1902876584699316</v>
      </c>
      <c r="AF58" s="4" t="n">
        <v>0</v>
      </c>
      <c r="AG58" s="3" t="n">
        <v>0</v>
      </c>
      <c r="AH58" s="3" t="n">
        <v>0.3792</v>
      </c>
      <c r="AI58" s="3" t="n">
        <v>0.248292</v>
      </c>
      <c r="AJ58" s="3">
        <f>N(R58)*N(BC58)</f>
        <v/>
      </c>
      <c r="AK58" s="3" t="n">
        <v>0.1818</v>
      </c>
      <c r="AL58" s="3" t="n">
        <v>0</v>
      </c>
      <c r="AM58" s="3" t="n">
        <v>-0.5312990096912251</v>
      </c>
      <c r="AN58" s="3" t="n">
        <v>-0.1902876584699316</v>
      </c>
      <c r="AO58" s="3">
        <f>SUM(AH58:AN58)</f>
        <v/>
      </c>
      <c r="AP58" s="5">
        <f>IF(OR(N(Q58)&lt;=0,N(BA58)=0),0,N(Q58)*IF(N(M58)/N(Q58)&gt;=60,N(BA58),1))</f>
        <v/>
      </c>
      <c r="AQ58" s="5">
        <f>N(Q58)*N(Z58)*N(BB58)</f>
        <v/>
      </c>
      <c r="AR58" s="5">
        <f>N(AF58)*(Assumptions!$B$13*N(BD58)-(1-Assumptions!$B$13)*Assumptions!$B$14)+N(AG58)</f>
        <v/>
      </c>
      <c r="AS58" s="5">
        <f>N(AO58)*N(M58)/90+N(AP58)+N(AQ58)+N(AR58)</f>
        <v/>
      </c>
      <c r="AT58" s="3">
        <f>IF(N(M58)&lt;=0,0,(N(AS58)-N(AR58))*90/N(M58))</f>
        <v/>
      </c>
      <c r="AU58" s="5">
        <f>IFERROR(AS58-VLOOKUP($C58,Assumptions!$A$36:$C$39,3,FALSE),"")</f>
        <v/>
      </c>
      <c r="AV58" s="3">
        <f>IFERROR(AU58/F58,"")</f>
        <v/>
      </c>
      <c r="AW58">
        <f>IF(AND($E58=TRUE,$C58="GKP"),AS58,"")</f>
        <v/>
      </c>
      <c r="AX58">
        <f>IF(AND($E58=TRUE,$C58="DEF"),AS58,"")</f>
        <v/>
      </c>
      <c r="AY58">
        <f>IF(AND($E58=TRUE,$C58="MID"),AS58,"")</f>
        <v/>
      </c>
      <c r="AZ58">
        <f>IF(AND($E58=TRUE,$C58="FWD"),AS58,"")</f>
        <v/>
      </c>
      <c r="BA58" t="n">
        <v>2</v>
      </c>
      <c r="BB58" t="n">
        <v>2</v>
      </c>
      <c r="BC58" t="n">
        <v>4</v>
      </c>
      <c r="BD58" t="n">
        <v>6</v>
      </c>
    </row>
    <row r="59">
      <c r="A59" t="inlineStr">
        <is>
          <t>Neco Williams</t>
        </is>
      </c>
      <c r="B59" t="inlineStr">
        <is>
          <t>NFO</t>
        </is>
      </c>
      <c r="C59" t="inlineStr">
        <is>
          <t>DEF</t>
        </is>
      </c>
      <c r="D59" t="inlineStr">
        <is>
          <t>DEF</t>
        </is>
      </c>
      <c r="E59" t="b">
        <v>1</v>
      </c>
      <c r="F59" s="2" t="n">
        <v>5</v>
      </c>
      <c r="G59" t="inlineStr">
        <is>
          <t>a</t>
        </is>
      </c>
      <c r="I59" s="2" t="n">
        <v>3203</v>
      </c>
      <c r="J59" t="n">
        <v>128</v>
      </c>
      <c r="K59" s="3" t="n">
        <v>3331</v>
      </c>
      <c r="L59" t="inlineStr">
        <is>
          <t>flat</t>
        </is>
      </c>
      <c r="M59" s="4" t="n">
        <v>3331</v>
      </c>
      <c r="N59" t="inlineStr">
        <is>
          <t>Solio</t>
        </is>
      </c>
      <c r="O59" s="5" t="n">
        <v>87.7</v>
      </c>
      <c r="P59" t="b">
        <v>1</v>
      </c>
      <c r="Q59" s="5">
        <f>IF(N(O59)&lt;=0,0,MIN(Assumptions!$B$15,N(M59)/N(O59)))</f>
        <v/>
      </c>
      <c r="R59" s="4" t="n">
        <v>0.224</v>
      </c>
      <c r="S59" s="3" t="n">
        <v>0.0581</v>
      </c>
      <c r="T59" t="inlineStr">
        <is>
          <t>adjusted xGOT</t>
        </is>
      </c>
      <c r="U59" s="3" t="n">
        <v>1</v>
      </c>
      <c r="V59" s="3" t="n">
        <v>1.029</v>
      </c>
      <c r="W59" s="3" t="n">
        <v>6.3</v>
      </c>
      <c r="X59" s="3" t="n">
        <v>0.1175</v>
      </c>
      <c r="Y59" s="3" t="n">
        <v>7.077</v>
      </c>
      <c r="Z59" s="3" t="n">
        <v>0.1591306561216514</v>
      </c>
      <c r="AA59" s="3" t="n">
        <v>0.4215</v>
      </c>
      <c r="AB59" s="3" t="n">
        <v>71</v>
      </c>
      <c r="AC59" s="3" t="n">
        <v>3.1134</v>
      </c>
      <c r="AD59" s="3" t="n">
        <v>1.5588</v>
      </c>
      <c r="AE59" s="3" t="n">
        <v>-0.2148358336121983</v>
      </c>
      <c r="AF59" s="4" t="n">
        <v>0</v>
      </c>
      <c r="AG59" s="3" t="n">
        <v>0</v>
      </c>
      <c r="AH59" s="3" t="n">
        <v>0.3486</v>
      </c>
      <c r="AI59" s="3" t="n">
        <v>0.4653</v>
      </c>
      <c r="AJ59" s="3">
        <f>N(R59)*N(BC59)</f>
        <v/>
      </c>
      <c r="AK59" s="3" t="n">
        <v>0.4215</v>
      </c>
      <c r="AL59" s="3" t="n">
        <v>0</v>
      </c>
      <c r="AM59" s="3" t="n">
        <v>-0.5404658182244797</v>
      </c>
      <c r="AN59" s="3" t="n">
        <v>-0.2148358336121983</v>
      </c>
      <c r="AO59" s="3">
        <f>SUM(AH59:AN59)</f>
        <v/>
      </c>
      <c r="AP59" s="5">
        <f>IF(OR(N(Q59)&lt;=0,N(BA59)=0),0,N(Q59)*IF(N(M59)/N(Q59)&gt;=60,N(BA59),1))</f>
        <v/>
      </c>
      <c r="AQ59" s="5">
        <f>N(Q59)*N(Z59)*N(BB59)</f>
        <v/>
      </c>
      <c r="AR59" s="5">
        <f>N(AF59)*(Assumptions!$B$13*N(BD59)-(1-Assumptions!$B$13)*Assumptions!$B$14)+N(AG59)</f>
        <v/>
      </c>
      <c r="AS59" s="5">
        <f>N(AO59)*N(M59)/90+N(AP59)+N(AQ59)+N(AR59)</f>
        <v/>
      </c>
      <c r="AT59" s="3">
        <f>IF(N(M59)&lt;=0,0,(N(AS59)-N(AR59))*90/N(M59))</f>
        <v/>
      </c>
      <c r="AU59" s="5">
        <f>IFERROR(AS59-VLOOKUP($C59,Assumptions!$A$36:$C$39,3,FALSE),"")</f>
        <v/>
      </c>
      <c r="AV59" s="3">
        <f>IFERROR(AU59/F59,"")</f>
        <v/>
      </c>
      <c r="AW59">
        <f>IF(AND($E59=TRUE,$C59="GKP"),AS59,"")</f>
        <v/>
      </c>
      <c r="AX59">
        <f>IF(AND($E59=TRUE,$C59="DEF"),AS59,"")</f>
        <v/>
      </c>
      <c r="AY59">
        <f>IF(AND($E59=TRUE,$C59="MID"),AS59,"")</f>
        <v/>
      </c>
      <c r="AZ59">
        <f>IF(AND($E59=TRUE,$C59="FWD"),AS59,"")</f>
        <v/>
      </c>
      <c r="BA59" t="n">
        <v>2</v>
      </c>
      <c r="BB59" t="n">
        <v>2</v>
      </c>
      <c r="BC59" t="n">
        <v>4</v>
      </c>
      <c r="BD59" t="n">
        <v>6</v>
      </c>
    </row>
    <row r="60">
      <c r="A60" t="inlineStr">
        <is>
          <t>Viktor Gyökeres</t>
        </is>
      </c>
      <c r="B60" t="inlineStr">
        <is>
          <t>ARS</t>
        </is>
      </c>
      <c r="C60" t="inlineStr">
        <is>
          <t>FWD</t>
        </is>
      </c>
      <c r="D60" t="inlineStr">
        <is>
          <t>FWD</t>
        </is>
      </c>
      <c r="E60" t="b">
        <v>1</v>
      </c>
      <c r="F60" s="2" t="n">
        <v>7.5</v>
      </c>
      <c r="G60" t="inlineStr">
        <is>
          <t>a</t>
        </is>
      </c>
      <c r="I60" s="2" t="n">
        <v>2217</v>
      </c>
      <c r="J60" t="n">
        <v>128</v>
      </c>
      <c r="K60" s="3" t="n">
        <v>1459</v>
      </c>
      <c r="L60" t="inlineStr">
        <is>
          <t>flat</t>
        </is>
      </c>
      <c r="M60" s="4" t="n">
        <v>1459</v>
      </c>
      <c r="N60" t="inlineStr">
        <is>
          <t>Solio</t>
        </is>
      </c>
      <c r="O60" s="5" t="n">
        <v>75.8</v>
      </c>
      <c r="P60" t="b">
        <v>1</v>
      </c>
      <c r="Q60" s="5">
        <f>IF(N(O60)&lt;=0,0,MIN(Assumptions!$B$15,N(M60)/N(O60)))</f>
        <v/>
      </c>
      <c r="R60" s="4" t="n">
        <v>0.391</v>
      </c>
      <c r="S60" s="3" t="n">
        <v>0.3571</v>
      </c>
      <c r="T60" t="inlineStr">
        <is>
          <t>adjusted xGOT</t>
        </is>
      </c>
      <c r="U60" s="3" t="n">
        <v>0.835</v>
      </c>
      <c r="V60" s="3" t="n">
        <v>0.859</v>
      </c>
      <c r="W60" s="3" t="n">
        <v>12.3</v>
      </c>
      <c r="X60" s="3" t="n">
        <v>0.09320000000000001</v>
      </c>
      <c r="Y60" s="3" t="n">
        <v>3.78</v>
      </c>
      <c r="Z60" s="3" t="n">
        <v>0.0001233346698613635</v>
      </c>
      <c r="AA60" s="3" t="n">
        <v>0.6495</v>
      </c>
      <c r="AB60" s="3" t="n">
        <v>58</v>
      </c>
      <c r="AC60" s="3" t="n">
        <v>2.067</v>
      </c>
      <c r="AD60" s="3" t="n">
        <v>0.9838</v>
      </c>
      <c r="AE60" s="3" t="n">
        <v>-0.1988872775556141</v>
      </c>
      <c r="AF60" s="4" t="n">
        <v>0.4910444381460489</v>
      </c>
      <c r="AG60" s="3" t="n">
        <v>0</v>
      </c>
      <c r="AH60" s="3" t="n">
        <v>1.4284</v>
      </c>
      <c r="AI60" s="3" t="n">
        <v>0.369072</v>
      </c>
      <c r="AJ60" s="3">
        <f>N(R60)*N(BC60)</f>
        <v/>
      </c>
      <c r="AK60" s="3" t="n">
        <v>0.6495</v>
      </c>
      <c r="AL60" s="3" t="n">
        <v>0</v>
      </c>
      <c r="AM60" s="3" t="n">
        <v>-0</v>
      </c>
      <c r="AN60" s="3" t="n">
        <v>-0.1988872775556141</v>
      </c>
      <c r="AO60" s="3">
        <f>SUM(AH60:AN60)</f>
        <v/>
      </c>
      <c r="AP60" s="5">
        <f>IF(OR(N(Q60)&lt;=0,N(BA60)=0),0,N(Q60)*IF(N(M60)/N(Q60)&gt;=60,N(BA60),1))</f>
        <v/>
      </c>
      <c r="AQ60" s="5">
        <f>N(Q60)*N(Z60)*N(BB60)</f>
        <v/>
      </c>
      <c r="AR60" s="5">
        <f>N(AF60)*(Assumptions!$B$13*N(BD60)-(1-Assumptions!$B$13)*Assumptions!$B$14)+N(AG60)</f>
        <v/>
      </c>
      <c r="AS60" s="5">
        <f>N(AO60)*N(M60)/90+N(AP60)+N(AQ60)+N(AR60)</f>
        <v/>
      </c>
      <c r="AT60" s="3">
        <f>IF(N(M60)&lt;=0,0,(N(AS60)-N(AR60))*90/N(M60))</f>
        <v/>
      </c>
      <c r="AU60" s="5">
        <f>IFERROR(AS60-VLOOKUP($C60,Assumptions!$A$36:$C$39,3,FALSE),"")</f>
        <v/>
      </c>
      <c r="AV60" s="3">
        <f>IFERROR(AU60/F60,"")</f>
        <v/>
      </c>
      <c r="AW60">
        <f>IF(AND($E60=TRUE,$C60="GKP"),AS60,"")</f>
        <v/>
      </c>
      <c r="AX60">
        <f>IF(AND($E60=TRUE,$C60="DEF"),AS60,"")</f>
        <v/>
      </c>
      <c r="AY60">
        <f>IF(AND($E60=TRUE,$C60="MID"),AS60,"")</f>
        <v/>
      </c>
      <c r="AZ60">
        <f>IF(AND($E60=TRUE,$C60="FWD"),AS60,"")</f>
        <v/>
      </c>
      <c r="BA60" t="n">
        <v>2</v>
      </c>
      <c r="BB60" t="n">
        <v>2</v>
      </c>
      <c r="BC60" t="n">
        <v>0</v>
      </c>
      <c r="BD60" t="n">
        <v>4</v>
      </c>
    </row>
    <row r="61">
      <c r="A61" t="inlineStr">
        <is>
          <t>Iliman Ndiaye</t>
        </is>
      </c>
      <c r="B61" t="inlineStr">
        <is>
          <t>EVE</t>
        </is>
      </c>
      <c r="C61" t="inlineStr">
        <is>
          <t>MID</t>
        </is>
      </c>
      <c r="D61" t="inlineStr">
        <is>
          <t>MID</t>
        </is>
      </c>
      <c r="E61" t="b">
        <v>1</v>
      </c>
      <c r="F61" s="2" t="n">
        <v>6</v>
      </c>
      <c r="G61" t="inlineStr">
        <is>
          <t>a</t>
        </is>
      </c>
      <c r="I61" s="2" t="n">
        <v>2781</v>
      </c>
      <c r="J61" t="n">
        <v>128</v>
      </c>
      <c r="K61" s="3" t="n">
        <v>3186</v>
      </c>
      <c r="L61" t="inlineStr">
        <is>
          <t>flat</t>
        </is>
      </c>
      <c r="M61" s="4" t="n">
        <v>3186</v>
      </c>
      <c r="N61" t="inlineStr">
        <is>
          <t>Solio</t>
        </is>
      </c>
      <c r="O61" s="5" t="n">
        <v>86.90000000000001</v>
      </c>
      <c r="P61" t="b">
        <v>1</v>
      </c>
      <c r="Q61" s="5">
        <f>IF(N(O61)&lt;=0,0,MIN(Assumptions!$B$15,N(M61)/N(O61)))</f>
        <v/>
      </c>
      <c r="R61" s="4" t="n">
        <v>0.231</v>
      </c>
      <c r="S61" s="3" t="n">
        <v>0.1929</v>
      </c>
      <c r="T61" t="inlineStr">
        <is>
          <t>adjusted xGOT</t>
        </is>
      </c>
      <c r="U61" s="3" t="n">
        <v>0.752</v>
      </c>
      <c r="V61" s="3" t="n">
        <v>1.186</v>
      </c>
      <c r="W61" s="3" t="n">
        <v>12.9</v>
      </c>
      <c r="X61" s="3" t="n">
        <v>0.1435</v>
      </c>
      <c r="Y61" s="3" t="n">
        <v>9.039</v>
      </c>
      <c r="Z61" s="3" t="n">
        <v>0.1713955016988157</v>
      </c>
      <c r="AA61" s="3" t="n">
        <v>0.2589</v>
      </c>
      <c r="AB61" s="3" t="n">
        <v>64</v>
      </c>
      <c r="AC61" s="3" t="n">
        <v>3.0311</v>
      </c>
      <c r="AD61" s="3" t="n">
        <v>1.5252</v>
      </c>
      <c r="AE61" s="3" t="n">
        <v>-0.1274666475742953</v>
      </c>
      <c r="AF61" s="4" t="n">
        <v>4.211429362823602</v>
      </c>
      <c r="AG61" s="3" t="n">
        <v>0</v>
      </c>
      <c r="AH61" s="3" t="n">
        <v>0.9644999999999999</v>
      </c>
      <c r="AI61" s="3" t="n">
        <v>0.56826</v>
      </c>
      <c r="AJ61" s="3">
        <f>N(R61)*N(BC61)</f>
        <v/>
      </c>
      <c r="AK61" s="3" t="n">
        <v>0.2589</v>
      </c>
      <c r="AL61" s="3" t="n">
        <v>0</v>
      </c>
      <c r="AM61" s="3" t="n">
        <v>-0</v>
      </c>
      <c r="AN61" s="3" t="n">
        <v>-0.1274666475742953</v>
      </c>
      <c r="AO61" s="3">
        <f>SUM(AH61:AN61)</f>
        <v/>
      </c>
      <c r="AP61" s="5">
        <f>IF(OR(N(Q61)&lt;=0,N(BA61)=0),0,N(Q61)*IF(N(M61)/N(Q61)&gt;=60,N(BA61),1))</f>
        <v/>
      </c>
      <c r="AQ61" s="5">
        <f>N(Q61)*N(Z61)*N(BB61)</f>
        <v/>
      </c>
      <c r="AR61" s="5">
        <f>N(AF61)*(Assumptions!$B$13*N(BD61)-(1-Assumptions!$B$13)*Assumptions!$B$14)+N(AG61)</f>
        <v/>
      </c>
      <c r="AS61" s="5">
        <f>N(AO61)*N(M61)/90+N(AP61)+N(AQ61)+N(AR61)</f>
        <v/>
      </c>
      <c r="AT61" s="3">
        <f>IF(N(M61)&lt;=0,0,(N(AS61)-N(AR61))*90/N(M61))</f>
        <v/>
      </c>
      <c r="AU61" s="5">
        <f>IFERROR(AS61-VLOOKUP($C61,Assumptions!$A$36:$C$39,3,FALSE),"")</f>
        <v/>
      </c>
      <c r="AV61" s="3">
        <f>IFERROR(AU61/F61,"")</f>
        <v/>
      </c>
      <c r="AW61">
        <f>IF(AND($E61=TRUE,$C61="GKP"),AS61,"")</f>
        <v/>
      </c>
      <c r="AX61">
        <f>IF(AND($E61=TRUE,$C61="DEF"),AS61,"")</f>
        <v/>
      </c>
      <c r="AY61">
        <f>IF(AND($E61=TRUE,$C61="MID"),AS61,"")</f>
        <v/>
      </c>
      <c r="AZ61">
        <f>IF(AND($E61=TRUE,$C61="FWD"),AS61,"")</f>
        <v/>
      </c>
      <c r="BA61" t="n">
        <v>2</v>
      </c>
      <c r="BB61" t="n">
        <v>2</v>
      </c>
      <c r="BC61" t="n">
        <v>1</v>
      </c>
      <c r="BD61" t="n">
        <v>5</v>
      </c>
    </row>
    <row r="62">
      <c r="A62" t="inlineStr">
        <is>
          <t>Chris Richards</t>
        </is>
      </c>
      <c r="B62" t="inlineStr">
        <is>
          <t>CRY</t>
        </is>
      </c>
      <c r="C62" t="inlineStr">
        <is>
          <t>DEF</t>
        </is>
      </c>
      <c r="D62" t="inlineStr">
        <is>
          <t>DEF</t>
        </is>
      </c>
      <c r="E62" t="b">
        <v>1</v>
      </c>
      <c r="F62" s="2" t="n">
        <v>5</v>
      </c>
      <c r="G62" t="inlineStr">
        <is>
          <t>a</t>
        </is>
      </c>
      <c r="I62" s="2" t="n">
        <v>2825</v>
      </c>
      <c r="J62" t="n">
        <v>128</v>
      </c>
      <c r="K62" s="3" t="n">
        <v>3283</v>
      </c>
      <c r="L62" t="inlineStr">
        <is>
          <t>flat</t>
        </is>
      </c>
      <c r="M62" s="4" t="n">
        <v>3283</v>
      </c>
      <c r="N62" t="inlineStr">
        <is>
          <t>Solio</t>
        </is>
      </c>
      <c r="O62" s="5" t="n">
        <v>89.7</v>
      </c>
      <c r="P62" t="b">
        <v>1</v>
      </c>
      <c r="Q62" s="5">
        <f>IF(N(O62)&lt;=0,0,MIN(Assumptions!$B$15,N(M62)/N(O62)))</f>
        <v/>
      </c>
      <c r="R62" s="4" t="n">
        <v>0.216</v>
      </c>
      <c r="S62" s="3" t="n">
        <v>0.07199999999999999</v>
      </c>
      <c r="T62" t="inlineStr">
        <is>
          <t>adjusted xGOT</t>
        </is>
      </c>
      <c r="U62" s="3" t="n">
        <v>1</v>
      </c>
      <c r="V62" s="3" t="n">
        <v>0.9340000000000001</v>
      </c>
      <c r="W62" s="3" t="n">
        <v>5.1</v>
      </c>
      <c r="X62" s="3" t="n">
        <v>0.0326</v>
      </c>
      <c r="Y62" s="3" t="n">
        <v>9.456</v>
      </c>
      <c r="Z62" s="3" t="n">
        <v>0.4683375855862368</v>
      </c>
      <c r="AA62" s="3" t="n">
        <v>0.1593</v>
      </c>
      <c r="AB62" s="3" t="n">
        <v>64</v>
      </c>
      <c r="AC62" s="3" t="n">
        <v>3.2035</v>
      </c>
      <c r="AD62" s="3" t="n">
        <v>1.5923</v>
      </c>
      <c r="AE62" s="3" t="n">
        <v>-0.1555108452468891</v>
      </c>
      <c r="AF62" s="4" t="n">
        <v>0</v>
      </c>
      <c r="AG62" s="3" t="n">
        <v>0</v>
      </c>
      <c r="AH62" s="3" t="n">
        <v>0.4319999999999999</v>
      </c>
      <c r="AI62" s="3" t="n">
        <v>0.129096</v>
      </c>
      <c r="AJ62" s="3">
        <f>N(R62)*N(BC62)</f>
        <v/>
      </c>
      <c r="AK62" s="3" t="n">
        <v>0.1593</v>
      </c>
      <c r="AL62" s="3" t="n">
        <v>0</v>
      </c>
      <c r="AM62" s="3" t="n">
        <v>-0.5564987001023466</v>
      </c>
      <c r="AN62" s="3" t="n">
        <v>-0.1555108452468891</v>
      </c>
      <c r="AO62" s="3">
        <f>SUM(AH62:AN62)</f>
        <v/>
      </c>
      <c r="AP62" s="5">
        <f>IF(OR(N(Q62)&lt;=0,N(BA62)=0),0,N(Q62)*IF(N(M62)/N(Q62)&gt;=60,N(BA62),1))</f>
        <v/>
      </c>
      <c r="AQ62" s="5">
        <f>N(Q62)*N(Z62)*N(BB62)</f>
        <v/>
      </c>
      <c r="AR62" s="5">
        <f>N(AF62)*(Assumptions!$B$13*N(BD62)-(1-Assumptions!$B$13)*Assumptions!$B$14)+N(AG62)</f>
        <v/>
      </c>
      <c r="AS62" s="5">
        <f>N(AO62)*N(M62)/90+N(AP62)+N(AQ62)+N(AR62)</f>
        <v/>
      </c>
      <c r="AT62" s="3">
        <f>IF(N(M62)&lt;=0,0,(N(AS62)-N(AR62))*90/N(M62))</f>
        <v/>
      </c>
      <c r="AU62" s="5">
        <f>IFERROR(AS62-VLOOKUP($C62,Assumptions!$A$36:$C$39,3,FALSE),"")</f>
        <v/>
      </c>
      <c r="AV62" s="3">
        <f>IFERROR(AU62/F62,"")</f>
        <v/>
      </c>
      <c r="AW62">
        <f>IF(AND($E62=TRUE,$C62="GKP"),AS62,"")</f>
        <v/>
      </c>
      <c r="AX62">
        <f>IF(AND($E62=TRUE,$C62="DEF"),AS62,"")</f>
        <v/>
      </c>
      <c r="AY62">
        <f>IF(AND($E62=TRUE,$C62="MID"),AS62,"")</f>
        <v/>
      </c>
      <c r="AZ62">
        <f>IF(AND($E62=TRUE,$C62="FWD"),AS62,"")</f>
        <v/>
      </c>
      <c r="BA62" t="n">
        <v>2</v>
      </c>
      <c r="BB62" t="n">
        <v>2</v>
      </c>
      <c r="BC62" t="n">
        <v>4</v>
      </c>
      <c r="BD62" t="n">
        <v>6</v>
      </c>
    </row>
    <row r="63">
      <c r="A63" t="inlineStr">
        <is>
          <t>Jaidon Anthony</t>
        </is>
      </c>
      <c r="B63" t="inlineStr">
        <is>
          <t>BRE</t>
        </is>
      </c>
      <c r="C63" t="inlineStr">
        <is>
          <t>MID</t>
        </is>
      </c>
      <c r="D63" t="inlineStr">
        <is>
          <t>MID</t>
        </is>
      </c>
      <c r="E63" t="b">
        <v>1</v>
      </c>
      <c r="F63" s="2" t="n">
        <v>6</v>
      </c>
      <c r="G63" t="inlineStr">
        <is>
          <t>a</t>
        </is>
      </c>
      <c r="I63" s="2" t="n">
        <v>2717</v>
      </c>
      <c r="J63" t="n">
        <v>127</v>
      </c>
      <c r="K63" s="3" t="n">
        <v>716</v>
      </c>
      <c r="L63" t="inlineStr">
        <is>
          <t>flat</t>
        </is>
      </c>
      <c r="M63" s="4" t="n">
        <v>716</v>
      </c>
      <c r="N63" t="inlineStr">
        <is>
          <t>Solio</t>
        </is>
      </c>
      <c r="O63" s="5" t="n">
        <v>82.40000000000001</v>
      </c>
      <c r="P63" t="b">
        <v>1</v>
      </c>
      <c r="Q63" s="5">
        <f>IF(N(O63)&lt;=0,0,MIN(Assumptions!$B$15,N(M63)/N(O63)))</f>
        <v/>
      </c>
      <c r="R63" s="4" t="n">
        <v>0.228</v>
      </c>
      <c r="S63" s="3" t="n">
        <v>0.2106</v>
      </c>
      <c r="T63" t="inlineStr">
        <is>
          <t>adjusted xGOT</t>
        </is>
      </c>
      <c r="U63" s="3" t="n">
        <v>1</v>
      </c>
      <c r="V63" s="3" t="n">
        <v>1.244</v>
      </c>
      <c r="W63" s="3" t="n">
        <v>6.9</v>
      </c>
      <c r="X63" s="3" t="n">
        <v>0.1197</v>
      </c>
      <c r="Y63" s="3" t="n">
        <v>7.872</v>
      </c>
      <c r="Z63" s="3" t="n">
        <v>0.06327222916049757</v>
      </c>
      <c r="AA63" s="3" t="n">
        <v>0.1987</v>
      </c>
      <c r="AB63" s="3" t="n">
        <v>67</v>
      </c>
      <c r="AC63" s="3" t="n">
        <v>3.2371</v>
      </c>
      <c r="AD63" s="3" t="n">
        <v>1.5396</v>
      </c>
      <c r="AE63" s="3" t="n">
        <v>-0.1786180559706048</v>
      </c>
      <c r="AF63" s="4" t="n">
        <v>0</v>
      </c>
      <c r="AG63" s="3" t="n">
        <v>0</v>
      </c>
      <c r="AH63" s="3" t="n">
        <v>1.053</v>
      </c>
      <c r="AI63" s="3" t="n">
        <v>0.474012</v>
      </c>
      <c r="AJ63" s="3">
        <f>N(R63)*N(BC63)</f>
        <v/>
      </c>
      <c r="AK63" s="3" t="n">
        <v>0.1987</v>
      </c>
      <c r="AL63" s="3" t="n">
        <v>0</v>
      </c>
      <c r="AM63" s="3" t="n">
        <v>-0</v>
      </c>
      <c r="AN63" s="3" t="n">
        <v>-0.1786180559706048</v>
      </c>
      <c r="AO63" s="3">
        <f>SUM(AH63:AN63)</f>
        <v/>
      </c>
      <c r="AP63" s="5">
        <f>IF(OR(N(Q63)&lt;=0,N(BA63)=0),0,N(Q63)*IF(N(M63)/N(Q63)&gt;=60,N(BA63),1))</f>
        <v/>
      </c>
      <c r="AQ63" s="5">
        <f>N(Q63)*N(Z63)*N(BB63)</f>
        <v/>
      </c>
      <c r="AR63" s="5">
        <f>N(AF63)*(Assumptions!$B$13*N(BD63)-(1-Assumptions!$B$13)*Assumptions!$B$14)+N(AG63)</f>
        <v/>
      </c>
      <c r="AS63" s="5">
        <f>N(AO63)*N(M63)/90+N(AP63)+N(AQ63)+N(AR63)</f>
        <v/>
      </c>
      <c r="AT63" s="3">
        <f>IF(N(M63)&lt;=0,0,(N(AS63)-N(AR63))*90/N(M63))</f>
        <v/>
      </c>
      <c r="AU63" s="5">
        <f>IFERROR(AS63-VLOOKUP($C63,Assumptions!$A$36:$C$39,3,FALSE),"")</f>
        <v/>
      </c>
      <c r="AV63" s="3">
        <f>IFERROR(AU63/F63,"")</f>
        <v/>
      </c>
      <c r="AW63">
        <f>IF(AND($E63=TRUE,$C63="GKP"),AS63,"")</f>
        <v/>
      </c>
      <c r="AX63">
        <f>IF(AND($E63=TRUE,$C63="DEF"),AS63,"")</f>
        <v/>
      </c>
      <c r="AY63">
        <f>IF(AND($E63=TRUE,$C63="MID"),AS63,"")</f>
        <v/>
      </c>
      <c r="AZ63">
        <f>IF(AND($E63=TRUE,$C63="FWD"),AS63,"")</f>
        <v/>
      </c>
      <c r="BA63" t="n">
        <v>2</v>
      </c>
      <c r="BB63" t="n">
        <v>2</v>
      </c>
      <c r="BC63" t="n">
        <v>1</v>
      </c>
      <c r="BD63" t="n">
        <v>5</v>
      </c>
    </row>
    <row r="64">
      <c r="A64" t="inlineStr">
        <is>
          <t>Malick Thiaw</t>
        </is>
      </c>
      <c r="B64" t="inlineStr">
        <is>
          <t>NEW</t>
        </is>
      </c>
      <c r="C64" t="inlineStr">
        <is>
          <t>DEF</t>
        </is>
      </c>
      <c r="D64" t="inlineStr">
        <is>
          <t>DEF</t>
        </is>
      </c>
      <c r="E64" t="b">
        <v>1</v>
      </c>
      <c r="F64" s="2" t="n">
        <v>5</v>
      </c>
      <c r="G64" t="inlineStr">
        <is>
          <t>a</t>
        </is>
      </c>
      <c r="I64" s="2" t="n">
        <v>2963</v>
      </c>
      <c r="J64" t="n">
        <v>126</v>
      </c>
      <c r="K64" s="3" t="n">
        <v>3243</v>
      </c>
      <c r="L64" t="inlineStr">
        <is>
          <t>flat</t>
        </is>
      </c>
      <c r="M64" s="4" t="n">
        <v>3243</v>
      </c>
      <c r="N64" t="inlineStr">
        <is>
          <t>Solio</t>
        </is>
      </c>
      <c r="O64" s="5" t="n">
        <v>88.40000000000001</v>
      </c>
      <c r="P64" t="b">
        <v>1</v>
      </c>
      <c r="Q64" s="5">
        <f>IF(N(O64)&lt;=0,0,MIN(Assumptions!$B$15,N(M64)/N(O64)))</f>
        <v/>
      </c>
      <c r="R64" s="4" t="n">
        <v>0.248</v>
      </c>
      <c r="S64" s="3" t="n">
        <v>0.1515</v>
      </c>
      <c r="T64" t="inlineStr">
        <is>
          <t>adjusted xGOT</t>
        </is>
      </c>
      <c r="U64" s="3" t="n">
        <v>1</v>
      </c>
      <c r="V64" s="3" t="n">
        <v>1.039</v>
      </c>
      <c r="W64" s="3" t="n">
        <v>4.8</v>
      </c>
      <c r="X64" s="3" t="n">
        <v>0.0271</v>
      </c>
      <c r="Y64" s="3" t="n">
        <v>8.638</v>
      </c>
      <c r="Z64" s="3" t="n">
        <v>0.3450059443343254</v>
      </c>
      <c r="AA64" s="3" t="n">
        <v>0.2734</v>
      </c>
      <c r="AB64" s="3" t="n">
        <v>67</v>
      </c>
      <c r="AC64" s="3" t="n">
        <v>3.0912</v>
      </c>
      <c r="AD64" s="3" t="n">
        <v>1.4534</v>
      </c>
      <c r="AE64" s="3" t="n">
        <v>-0.1629174169121166</v>
      </c>
      <c r="AF64" s="4" t="n">
        <v>0</v>
      </c>
      <c r="AG64" s="3" t="n">
        <v>0</v>
      </c>
      <c r="AH64" s="3" t="n">
        <v>0.909</v>
      </c>
      <c r="AI64" s="3" t="n">
        <v>0.107316</v>
      </c>
      <c r="AJ64" s="3">
        <f>N(R64)*N(BC64)</f>
        <v/>
      </c>
      <c r="AK64" s="3" t="n">
        <v>0.2734</v>
      </c>
      <c r="AL64" s="3" t="n">
        <v>0</v>
      </c>
      <c r="AM64" s="3" t="n">
        <v>-0.4903625828545308</v>
      </c>
      <c r="AN64" s="3" t="n">
        <v>-0.1629174169121166</v>
      </c>
      <c r="AO64" s="3">
        <f>SUM(AH64:AN64)</f>
        <v/>
      </c>
      <c r="AP64" s="5">
        <f>IF(OR(N(Q64)&lt;=0,N(BA64)=0),0,N(Q64)*IF(N(M64)/N(Q64)&gt;=60,N(BA64),1))</f>
        <v/>
      </c>
      <c r="AQ64" s="5">
        <f>N(Q64)*N(Z64)*N(BB64)</f>
        <v/>
      </c>
      <c r="AR64" s="5">
        <f>N(AF64)*(Assumptions!$B$13*N(BD64)-(1-Assumptions!$B$13)*Assumptions!$B$14)+N(AG64)</f>
        <v/>
      </c>
      <c r="AS64" s="5">
        <f>N(AO64)*N(M64)/90+N(AP64)+N(AQ64)+N(AR64)</f>
        <v/>
      </c>
      <c r="AT64" s="3">
        <f>IF(N(M64)&lt;=0,0,(N(AS64)-N(AR64))*90/N(M64))</f>
        <v/>
      </c>
      <c r="AU64" s="5">
        <f>IFERROR(AS64-VLOOKUP($C64,Assumptions!$A$36:$C$39,3,FALSE),"")</f>
        <v/>
      </c>
      <c r="AV64" s="3">
        <f>IFERROR(AU64/F64,"")</f>
        <v/>
      </c>
      <c r="AW64">
        <f>IF(AND($E64=TRUE,$C64="GKP"),AS64,"")</f>
        <v/>
      </c>
      <c r="AX64">
        <f>IF(AND($E64=TRUE,$C64="DEF"),AS64,"")</f>
        <v/>
      </c>
      <c r="AY64">
        <f>IF(AND($E64=TRUE,$C64="MID"),AS64,"")</f>
        <v/>
      </c>
      <c r="AZ64">
        <f>IF(AND($E64=TRUE,$C64="FWD"),AS64,"")</f>
        <v/>
      </c>
      <c r="BA64" t="n">
        <v>2</v>
      </c>
      <c r="BB64" t="n">
        <v>2</v>
      </c>
      <c r="BC64" t="n">
        <v>4</v>
      </c>
      <c r="BD64" t="n">
        <v>6</v>
      </c>
    </row>
    <row r="65">
      <c r="A65" t="inlineStr">
        <is>
          <t>Brenden Aaronson</t>
        </is>
      </c>
      <c r="B65" t="inlineStr">
        <is>
          <t>LEE</t>
        </is>
      </c>
      <c r="C65" t="inlineStr">
        <is>
          <t>MID</t>
        </is>
      </c>
      <c r="D65" t="inlineStr">
        <is>
          <t>MID</t>
        </is>
      </c>
      <c r="E65" t="b">
        <v>1</v>
      </c>
      <c r="F65" s="2" t="n">
        <v>5.5</v>
      </c>
      <c r="G65" t="inlineStr">
        <is>
          <t>a</t>
        </is>
      </c>
      <c r="I65" s="2" t="n">
        <v>2449</v>
      </c>
      <c r="J65" t="n">
        <v>126</v>
      </c>
      <c r="K65" s="3" t="n">
        <v>1035</v>
      </c>
      <c r="L65" t="inlineStr">
        <is>
          <t>flat</t>
        </is>
      </c>
      <c r="M65" s="4" t="n">
        <v>1035</v>
      </c>
      <c r="N65" t="inlineStr">
        <is>
          <t>Solio</t>
        </is>
      </c>
      <c r="O65" s="5" t="n">
        <v>77</v>
      </c>
      <c r="P65" t="b">
        <v>1</v>
      </c>
      <c r="Q65" s="5">
        <f>IF(N(O65)&lt;=0,0,MIN(Assumptions!$B$15,N(M65)/N(O65)))</f>
        <v/>
      </c>
      <c r="R65" s="4" t="n">
        <v>0.218</v>
      </c>
      <c r="S65" s="3" t="n">
        <v>0.1593</v>
      </c>
      <c r="T65" t="inlineStr">
        <is>
          <t>adjusted xGOT</t>
        </is>
      </c>
      <c r="U65" s="3" t="n">
        <v>1</v>
      </c>
      <c r="V65" s="3" t="n">
        <v>0.957</v>
      </c>
      <c r="W65" s="3" t="n">
        <v>8.5</v>
      </c>
      <c r="X65" s="3" t="n">
        <v>0.1702</v>
      </c>
      <c r="Y65" s="3" t="n">
        <v>8.083</v>
      </c>
      <c r="Z65" s="3" t="n">
        <v>0.04962242394899308</v>
      </c>
      <c r="AA65" s="3" t="n">
        <v>0.2205</v>
      </c>
      <c r="AB65" s="3" t="n">
        <v>65</v>
      </c>
      <c r="AC65" s="3" t="n">
        <v>3.0611</v>
      </c>
      <c r="AD65" s="3" t="n">
        <v>1.5875</v>
      </c>
      <c r="AE65" s="3" t="n">
        <v>-0.1598973894162195</v>
      </c>
      <c r="AF65" s="4" t="n">
        <v>0</v>
      </c>
      <c r="AG65" s="3" t="n">
        <v>0</v>
      </c>
      <c r="AH65" s="3" t="n">
        <v>0.7965</v>
      </c>
      <c r="AI65" s="3" t="n">
        <v>0.6739919999999999</v>
      </c>
      <c r="AJ65" s="3">
        <f>N(R65)*N(BC65)</f>
        <v/>
      </c>
      <c r="AK65" s="3" t="n">
        <v>0.2205</v>
      </c>
      <c r="AL65" s="3" t="n">
        <v>0</v>
      </c>
      <c r="AM65" s="3" t="n">
        <v>-0</v>
      </c>
      <c r="AN65" s="3" t="n">
        <v>-0.1598973894162195</v>
      </c>
      <c r="AO65" s="3">
        <f>SUM(AH65:AN65)</f>
        <v/>
      </c>
      <c r="AP65" s="5">
        <f>IF(OR(N(Q65)&lt;=0,N(BA65)=0),0,N(Q65)*IF(N(M65)/N(Q65)&gt;=60,N(BA65),1))</f>
        <v/>
      </c>
      <c r="AQ65" s="5">
        <f>N(Q65)*N(Z65)*N(BB65)</f>
        <v/>
      </c>
      <c r="AR65" s="5">
        <f>N(AF65)*(Assumptions!$B$13*N(BD65)-(1-Assumptions!$B$13)*Assumptions!$B$14)+N(AG65)</f>
        <v/>
      </c>
      <c r="AS65" s="5">
        <f>N(AO65)*N(M65)/90+N(AP65)+N(AQ65)+N(AR65)</f>
        <v/>
      </c>
      <c r="AT65" s="3">
        <f>IF(N(M65)&lt;=0,0,(N(AS65)-N(AR65))*90/N(M65))</f>
        <v/>
      </c>
      <c r="AU65" s="5">
        <f>IFERROR(AS65-VLOOKUP($C65,Assumptions!$A$36:$C$39,3,FALSE),"")</f>
        <v/>
      </c>
      <c r="AV65" s="3">
        <f>IFERROR(AU65/F65,"")</f>
        <v/>
      </c>
      <c r="AW65">
        <f>IF(AND($E65=TRUE,$C65="GKP"),AS65,"")</f>
        <v/>
      </c>
      <c r="AX65">
        <f>IF(AND($E65=TRUE,$C65="DEF"),AS65,"")</f>
        <v/>
      </c>
      <c r="AY65">
        <f>IF(AND($E65=TRUE,$C65="MID"),AS65,"")</f>
        <v/>
      </c>
      <c r="AZ65">
        <f>IF(AND($E65=TRUE,$C65="FWD"),AS65,"")</f>
        <v/>
      </c>
      <c r="BA65" t="n">
        <v>2</v>
      </c>
      <c r="BB65" t="n">
        <v>2</v>
      </c>
      <c r="BC65" t="n">
        <v>1</v>
      </c>
      <c r="BD65" t="n">
        <v>5</v>
      </c>
    </row>
    <row r="66">
      <c r="A66" t="inlineStr">
        <is>
          <t>Danny Welbeck</t>
        </is>
      </c>
      <c r="B66" t="inlineStr">
        <is>
          <t>CHE</t>
        </is>
      </c>
      <c r="C66" t="inlineStr">
        <is>
          <t>FWD</t>
        </is>
      </c>
      <c r="D66" t="inlineStr">
        <is>
          <t>FWD</t>
        </is>
      </c>
      <c r="E66" t="b">
        <v>1</v>
      </c>
      <c r="F66" s="2" t="n">
        <v>6</v>
      </c>
      <c r="G66" t="inlineStr">
        <is>
          <t>a</t>
        </is>
      </c>
      <c r="I66" s="2" t="n">
        <v>2249</v>
      </c>
      <c r="J66" t="n">
        <v>126</v>
      </c>
      <c r="K66" s="3" t="n">
        <v>586</v>
      </c>
      <c r="L66" t="inlineStr">
        <is>
          <t>flat</t>
        </is>
      </c>
      <c r="M66" s="4" t="n">
        <v>586</v>
      </c>
      <c r="N66" t="inlineStr">
        <is>
          <t>Solio</t>
        </is>
      </c>
      <c r="O66" s="5" t="n">
        <v>79.40000000000001</v>
      </c>
      <c r="P66" t="b">
        <v>1</v>
      </c>
      <c r="Q66" s="5">
        <f>IF(N(O66)&lt;=0,0,MIN(Assumptions!$B$15,N(M66)/N(O66)))</f>
        <v/>
      </c>
      <c r="R66" s="4" t="n">
        <v>0.322</v>
      </c>
      <c r="S66" s="3" t="n">
        <v>0.4</v>
      </c>
      <c r="T66" t="inlineStr">
        <is>
          <t>adjusted xGOT</t>
        </is>
      </c>
      <c r="U66" s="3" t="n">
        <v>0.82</v>
      </c>
      <c r="V66" s="3" t="n">
        <v>0.986</v>
      </c>
      <c r="W66" s="3" t="n">
        <v>35.6</v>
      </c>
      <c r="X66" s="3" t="n">
        <v>0.0733</v>
      </c>
      <c r="Y66" s="3" t="n">
        <v>4.557</v>
      </c>
      <c r="Z66" s="3" t="n">
        <v>0.0009549710118331722</v>
      </c>
      <c r="AA66" s="3" t="n">
        <v>0.7203000000000001</v>
      </c>
      <c r="AB66" s="3" t="n">
        <v>62</v>
      </c>
      <c r="AC66" s="3" t="n">
        <v>2.4232</v>
      </c>
      <c r="AD66" s="3" t="n">
        <v>1.1851</v>
      </c>
      <c r="AE66" s="3" t="n">
        <v>-0.206825124339262</v>
      </c>
      <c r="AF66" s="4" t="n">
        <v>0</v>
      </c>
      <c r="AG66" s="3" t="n">
        <v>0</v>
      </c>
      <c r="AH66" s="3" t="n">
        <v>1.6</v>
      </c>
      <c r="AI66" s="3" t="n">
        <v>0.290268</v>
      </c>
      <c r="AJ66" s="3">
        <f>N(R66)*N(BC66)</f>
        <v/>
      </c>
      <c r="AK66" s="3" t="n">
        <v>0.7203000000000001</v>
      </c>
      <c r="AL66" s="3" t="n">
        <v>0</v>
      </c>
      <c r="AM66" s="3" t="n">
        <v>-0</v>
      </c>
      <c r="AN66" s="3" t="n">
        <v>-0.206825124339262</v>
      </c>
      <c r="AO66" s="3">
        <f>SUM(AH66:AN66)</f>
        <v/>
      </c>
      <c r="AP66" s="5">
        <f>IF(OR(N(Q66)&lt;=0,N(BA66)=0),0,N(Q66)*IF(N(M66)/N(Q66)&gt;=60,N(BA66),1))</f>
        <v/>
      </c>
      <c r="AQ66" s="5">
        <f>N(Q66)*N(Z66)*N(BB66)</f>
        <v/>
      </c>
      <c r="AR66" s="5">
        <f>N(AF66)*(Assumptions!$B$13*N(BD66)-(1-Assumptions!$B$13)*Assumptions!$B$14)+N(AG66)</f>
        <v/>
      </c>
      <c r="AS66" s="5">
        <f>N(AO66)*N(M66)/90+N(AP66)+N(AQ66)+N(AR66)</f>
        <v/>
      </c>
      <c r="AT66" s="3">
        <f>IF(N(M66)&lt;=0,0,(N(AS66)-N(AR66))*90/N(M66))</f>
        <v/>
      </c>
      <c r="AU66" s="5">
        <f>IFERROR(AS66-VLOOKUP($C66,Assumptions!$A$36:$C$39,3,FALSE),"")</f>
        <v/>
      </c>
      <c r="AV66" s="3">
        <f>IFERROR(AU66/F66,"")</f>
        <v/>
      </c>
      <c r="AW66">
        <f>IF(AND($E66=TRUE,$C66="GKP"),AS66,"")</f>
        <v/>
      </c>
      <c r="AX66">
        <f>IF(AND($E66=TRUE,$C66="DEF"),AS66,"")</f>
        <v/>
      </c>
      <c r="AY66">
        <f>IF(AND($E66=TRUE,$C66="MID"),AS66,"")</f>
        <v/>
      </c>
      <c r="AZ66">
        <f>IF(AND($E66=TRUE,$C66="FWD"),AS66,"")</f>
        <v/>
      </c>
      <c r="BA66" t="n">
        <v>2</v>
      </c>
      <c r="BB66" t="n">
        <v>2</v>
      </c>
      <c r="BC66" t="n">
        <v>0</v>
      </c>
      <c r="BD66" t="n">
        <v>4</v>
      </c>
    </row>
    <row r="67">
      <c r="A67" t="inlineStr">
        <is>
          <t>Florian Wirtz</t>
        </is>
      </c>
      <c r="B67" t="inlineStr">
        <is>
          <t>LIV</t>
        </is>
      </c>
      <c r="C67" t="inlineStr">
        <is>
          <t>MID</t>
        </is>
      </c>
      <c r="D67" t="inlineStr">
        <is>
          <t>MID</t>
        </is>
      </c>
      <c r="E67" t="b">
        <v>1</v>
      </c>
      <c r="F67" s="2" t="n">
        <v>7.5</v>
      </c>
      <c r="G67" t="inlineStr">
        <is>
          <t>a</t>
        </is>
      </c>
      <c r="I67" s="2" t="n">
        <v>2374</v>
      </c>
      <c r="J67" t="n">
        <v>125</v>
      </c>
      <c r="K67" s="3" t="n">
        <v>2902</v>
      </c>
      <c r="L67" t="inlineStr">
        <is>
          <t>flat</t>
        </is>
      </c>
      <c r="M67" s="4" t="n">
        <v>2902</v>
      </c>
      <c r="N67" t="inlineStr">
        <is>
          <t>Solio</t>
        </is>
      </c>
      <c r="O67" s="5" t="n">
        <v>82.09999999999999</v>
      </c>
      <c r="P67" t="b">
        <v>1</v>
      </c>
      <c r="Q67" s="5">
        <f>IF(N(O67)&lt;=0,0,MIN(Assumptions!$B$15,N(M67)/N(O67)))</f>
        <v/>
      </c>
      <c r="R67" s="4" t="n">
        <v>0.342</v>
      </c>
      <c r="S67" s="3" t="n">
        <v>0.2532</v>
      </c>
      <c r="T67" t="inlineStr">
        <is>
          <t>adjusted xGOT</t>
        </is>
      </c>
      <c r="U67" s="3" t="n">
        <v>1</v>
      </c>
      <c r="V67" s="3" t="n">
        <v>0.978</v>
      </c>
      <c r="W67" s="3" t="n">
        <v>6.8</v>
      </c>
      <c r="X67" s="3" t="n">
        <v>0.1995</v>
      </c>
      <c r="Y67" s="3" t="n">
        <v>7.116</v>
      </c>
      <c r="Z67" s="3" t="n">
        <v>0.0335960790362767</v>
      </c>
      <c r="AA67" s="3" t="n">
        <v>0.6445</v>
      </c>
      <c r="AB67" s="3" t="n">
        <v>60</v>
      </c>
      <c r="AC67" s="3" t="n">
        <v>2.409</v>
      </c>
      <c r="AD67" s="3" t="n">
        <v>1.1228</v>
      </c>
      <c r="AE67" s="3" t="n">
        <v>-0.1155200166475775</v>
      </c>
      <c r="AF67" s="4" t="n">
        <v>0.0117617414321838</v>
      </c>
      <c r="AG67" s="3" t="n">
        <v>0</v>
      </c>
      <c r="AH67" s="3" t="n">
        <v>1.266</v>
      </c>
      <c r="AI67" s="3" t="n">
        <v>0.7900200000000001</v>
      </c>
      <c r="AJ67" s="3">
        <f>N(R67)*N(BC67)</f>
        <v/>
      </c>
      <c r="AK67" s="3" t="n">
        <v>0.6445</v>
      </c>
      <c r="AL67" s="3" t="n">
        <v>0</v>
      </c>
      <c r="AM67" s="3" t="n">
        <v>-0</v>
      </c>
      <c r="AN67" s="3" t="n">
        <v>-0.1155200166475775</v>
      </c>
      <c r="AO67" s="3">
        <f>SUM(AH67:AN67)</f>
        <v/>
      </c>
      <c r="AP67" s="5">
        <f>IF(OR(N(Q67)&lt;=0,N(BA67)=0),0,N(Q67)*IF(N(M67)/N(Q67)&gt;=60,N(BA67),1))</f>
        <v/>
      </c>
      <c r="AQ67" s="5">
        <f>N(Q67)*N(Z67)*N(BB67)</f>
        <v/>
      </c>
      <c r="AR67" s="5">
        <f>N(AF67)*(Assumptions!$B$13*N(BD67)-(1-Assumptions!$B$13)*Assumptions!$B$14)+N(AG67)</f>
        <v/>
      </c>
      <c r="AS67" s="5">
        <f>N(AO67)*N(M67)/90+N(AP67)+N(AQ67)+N(AR67)</f>
        <v/>
      </c>
      <c r="AT67" s="3">
        <f>IF(N(M67)&lt;=0,0,(N(AS67)-N(AR67))*90/N(M67))</f>
        <v/>
      </c>
      <c r="AU67" s="5">
        <f>IFERROR(AS67-VLOOKUP($C67,Assumptions!$A$36:$C$39,3,FALSE),"")</f>
        <v/>
      </c>
      <c r="AV67" s="3">
        <f>IFERROR(AU67/F67,"")</f>
        <v/>
      </c>
      <c r="AW67">
        <f>IF(AND($E67=TRUE,$C67="GKP"),AS67,"")</f>
        <v/>
      </c>
      <c r="AX67">
        <f>IF(AND($E67=TRUE,$C67="DEF"),AS67,"")</f>
        <v/>
      </c>
      <c r="AY67">
        <f>IF(AND($E67=TRUE,$C67="MID"),AS67,"")</f>
        <v/>
      </c>
      <c r="AZ67">
        <f>IF(AND($E67=TRUE,$C67="FWD"),AS67,"")</f>
        <v/>
      </c>
      <c r="BA67" t="n">
        <v>2</v>
      </c>
      <c r="BB67" t="n">
        <v>2</v>
      </c>
      <c r="BC67" t="n">
        <v>1</v>
      </c>
      <c r="BD67" t="n">
        <v>5</v>
      </c>
    </row>
    <row r="68">
      <c r="A68" t="inlineStr">
        <is>
          <t>Pedro Neto</t>
        </is>
      </c>
      <c r="B68" t="inlineStr">
        <is>
          <t>CHE</t>
        </is>
      </c>
      <c r="C68" t="inlineStr">
        <is>
          <t>MID</t>
        </is>
      </c>
      <c r="D68" t="inlineStr">
        <is>
          <t>MID</t>
        </is>
      </c>
      <c r="E68" t="b">
        <v>1</v>
      </c>
      <c r="F68" s="2" t="n">
        <v>6.5</v>
      </c>
      <c r="G68" t="inlineStr">
        <is>
          <t>a</t>
        </is>
      </c>
      <c r="I68" s="2" t="n">
        <v>2629</v>
      </c>
      <c r="J68" t="n">
        <v>125</v>
      </c>
      <c r="K68" s="3" t="n">
        <v>1773</v>
      </c>
      <c r="L68" t="inlineStr">
        <is>
          <t>flat</t>
        </is>
      </c>
      <c r="M68" s="4" t="n">
        <v>1773</v>
      </c>
      <c r="N68" t="inlineStr">
        <is>
          <t>Solio</t>
        </is>
      </c>
      <c r="O68" s="5" t="n">
        <v>81.59999999999999</v>
      </c>
      <c r="P68" t="b">
        <v>1</v>
      </c>
      <c r="Q68" s="5">
        <f>IF(N(O68)&lt;=0,0,MIN(Assumptions!$B$15,N(M68)/N(O68)))</f>
        <v/>
      </c>
      <c r="R68" s="4" t="n">
        <v>0.322</v>
      </c>
      <c r="S68" s="3" t="n">
        <v>0.1289</v>
      </c>
      <c r="T68" t="inlineStr">
        <is>
          <t>adjusted xGOT</t>
        </is>
      </c>
      <c r="U68" s="3" t="n">
        <v>1</v>
      </c>
      <c r="V68" s="3" t="n">
        <v>0.82</v>
      </c>
      <c r="W68" s="3" t="n">
        <v>12.4</v>
      </c>
      <c r="X68" s="3" t="n">
        <v>0.2529</v>
      </c>
      <c r="Y68" s="3" t="n">
        <v>5.123</v>
      </c>
      <c r="Z68" s="3" t="n">
        <v>0.003090020413393013</v>
      </c>
      <c r="AA68" s="3" t="n">
        <v>0.3423</v>
      </c>
      <c r="AB68" s="3" t="n">
        <v>64</v>
      </c>
      <c r="AC68" s="3" t="n">
        <v>2.4232</v>
      </c>
      <c r="AD68" s="3" t="n">
        <v>1.1851</v>
      </c>
      <c r="AE68" s="3" t="n">
        <v>-0.1895532824458867</v>
      </c>
      <c r="AF68" s="4" t="n">
        <v>0</v>
      </c>
      <c r="AG68" s="3" t="n">
        <v>0</v>
      </c>
      <c r="AH68" s="3" t="n">
        <v>0.6445</v>
      </c>
      <c r="AI68" s="3" t="n">
        <v>1.001484</v>
      </c>
      <c r="AJ68" s="3">
        <f>N(R68)*N(BC68)</f>
        <v/>
      </c>
      <c r="AK68" s="3" t="n">
        <v>0.3423</v>
      </c>
      <c r="AL68" s="3" t="n">
        <v>0</v>
      </c>
      <c r="AM68" s="3" t="n">
        <v>-0</v>
      </c>
      <c r="AN68" s="3" t="n">
        <v>-0.1895532824458867</v>
      </c>
      <c r="AO68" s="3">
        <f>SUM(AH68:AN68)</f>
        <v/>
      </c>
      <c r="AP68" s="5">
        <f>IF(OR(N(Q68)&lt;=0,N(BA68)=0),0,N(Q68)*IF(N(M68)/N(Q68)&gt;=60,N(BA68),1))</f>
        <v/>
      </c>
      <c r="AQ68" s="5">
        <f>N(Q68)*N(Z68)*N(BB68)</f>
        <v/>
      </c>
      <c r="AR68" s="5">
        <f>N(AF68)*(Assumptions!$B$13*N(BD68)-(1-Assumptions!$B$13)*Assumptions!$B$14)+N(AG68)</f>
        <v/>
      </c>
      <c r="AS68" s="5">
        <f>N(AO68)*N(M68)/90+N(AP68)+N(AQ68)+N(AR68)</f>
        <v/>
      </c>
      <c r="AT68" s="3">
        <f>IF(N(M68)&lt;=0,0,(N(AS68)-N(AR68))*90/N(M68))</f>
        <v/>
      </c>
      <c r="AU68" s="5">
        <f>IFERROR(AS68-VLOOKUP($C68,Assumptions!$A$36:$C$39,3,FALSE),"")</f>
        <v/>
      </c>
      <c r="AV68" s="3">
        <f>IFERROR(AU68/F68,"")</f>
        <v/>
      </c>
      <c r="AW68">
        <f>IF(AND($E68=TRUE,$C68="GKP"),AS68,"")</f>
        <v/>
      </c>
      <c r="AX68">
        <f>IF(AND($E68=TRUE,$C68="DEF"),AS68,"")</f>
        <v/>
      </c>
      <c r="AY68">
        <f>IF(AND($E68=TRUE,$C68="MID"),AS68,"")</f>
        <v/>
      </c>
      <c r="AZ68">
        <f>IF(AND($E68=TRUE,$C68="FWD"),AS68,"")</f>
        <v/>
      </c>
      <c r="BA68" t="n">
        <v>2</v>
      </c>
      <c r="BB68" t="n">
        <v>2</v>
      </c>
      <c r="BC68" t="n">
        <v>1</v>
      </c>
      <c r="BD68" t="n">
        <v>5</v>
      </c>
    </row>
    <row r="69">
      <c r="A69" t="inlineStr">
        <is>
          <t>Hugo Ekitiké</t>
        </is>
      </c>
      <c r="B69" t="inlineStr">
        <is>
          <t>LIV</t>
        </is>
      </c>
      <c r="C69" t="inlineStr">
        <is>
          <t>FWD</t>
        </is>
      </c>
      <c r="D69" t="inlineStr">
        <is>
          <t>FWD</t>
        </is>
      </c>
      <c r="E69" t="b">
        <v>1</v>
      </c>
      <c r="F69" s="2" t="n">
        <v>7.5</v>
      </c>
      <c r="G69" t="inlineStr">
        <is>
          <t>i</t>
        </is>
      </c>
      <c r="H69" t="inlineStr">
        <is>
          <t>Achilles injury - Unknown return date</t>
        </is>
      </c>
      <c r="I69" s="2" t="n">
        <v>1797</v>
      </c>
      <c r="J69" t="n">
        <v>125</v>
      </c>
      <c r="K69" s="3" t="n">
        <v>942</v>
      </c>
      <c r="L69" t="inlineStr">
        <is>
          <t>flat</t>
        </is>
      </c>
      <c r="M69" s="4" t="n">
        <v>942</v>
      </c>
      <c r="N69" t="inlineStr">
        <is>
          <t>Solio</t>
        </is>
      </c>
      <c r="O69" s="5" t="n">
        <v>77.3</v>
      </c>
      <c r="P69" t="b">
        <v>1</v>
      </c>
      <c r="Q69" s="5">
        <f>IF(N(O69)&lt;=0,0,MIN(Assumptions!$B$15,N(M69)/N(O69)))</f>
        <v/>
      </c>
      <c r="R69" s="4" t="n">
        <v>0.342</v>
      </c>
      <c r="S69" s="3" t="n">
        <v>0.4807</v>
      </c>
      <c r="T69" t="inlineStr">
        <is>
          <t>adjusted xGOT</t>
        </is>
      </c>
      <c r="U69" s="3" t="n">
        <v>1</v>
      </c>
      <c r="V69" s="3" t="n">
        <v>0.95</v>
      </c>
      <c r="W69" s="3" t="n">
        <v>10.1</v>
      </c>
      <c r="X69" s="3" t="n">
        <v>0.1237</v>
      </c>
      <c r="Y69" s="3" t="n">
        <v>4.41</v>
      </c>
      <c r="Z69" s="3" t="n">
        <v>0.0005755977555778058</v>
      </c>
      <c r="AA69" s="3" t="n">
        <v>1.1018</v>
      </c>
      <c r="AB69" s="3" t="n">
        <v>47</v>
      </c>
      <c r="AC69" s="3" t="n">
        <v>2.409</v>
      </c>
      <c r="AD69" s="3" t="n">
        <v>1.1228</v>
      </c>
      <c r="AE69" s="3" t="n">
        <v>-0.0841667484869951</v>
      </c>
      <c r="AF69" s="4" t="n">
        <v>0</v>
      </c>
      <c r="AG69" s="3" t="n">
        <v>0</v>
      </c>
      <c r="AH69" s="3" t="n">
        <v>1.9228</v>
      </c>
      <c r="AI69" s="3" t="n">
        <v>0.489852</v>
      </c>
      <c r="AJ69" s="3">
        <f>N(R69)*N(BC69)</f>
        <v/>
      </c>
      <c r="AK69" s="3" t="n">
        <v>1.1018</v>
      </c>
      <c r="AL69" s="3" t="n">
        <v>0</v>
      </c>
      <c r="AM69" s="3" t="n">
        <v>-0</v>
      </c>
      <c r="AN69" s="3" t="n">
        <v>-0.0841667484869951</v>
      </c>
      <c r="AO69" s="3">
        <f>SUM(AH69:AN69)</f>
        <v/>
      </c>
      <c r="AP69" s="5">
        <f>IF(OR(N(Q69)&lt;=0,N(BA69)=0),0,N(Q69)*IF(N(M69)/N(Q69)&gt;=60,N(BA69),1))</f>
        <v/>
      </c>
      <c r="AQ69" s="5">
        <f>N(Q69)*N(Z69)*N(BB69)</f>
        <v/>
      </c>
      <c r="AR69" s="5">
        <f>N(AF69)*(Assumptions!$B$13*N(BD69)-(1-Assumptions!$B$13)*Assumptions!$B$14)+N(AG69)</f>
        <v/>
      </c>
      <c r="AS69" s="5">
        <f>N(AO69)*N(M69)/90+N(AP69)+N(AQ69)+N(AR69)</f>
        <v/>
      </c>
      <c r="AT69" s="3">
        <f>IF(N(M69)&lt;=0,0,(N(AS69)-N(AR69))*90/N(M69))</f>
        <v/>
      </c>
      <c r="AU69" s="5">
        <f>IFERROR(AS69-VLOOKUP($C69,Assumptions!$A$36:$C$39,3,FALSE),"")</f>
        <v/>
      </c>
      <c r="AV69" s="3">
        <f>IFERROR(AU69/F69,"")</f>
        <v/>
      </c>
      <c r="AW69">
        <f>IF(AND($E69=TRUE,$C69="GKP"),AS69,"")</f>
        <v/>
      </c>
      <c r="AX69">
        <f>IF(AND($E69=TRUE,$C69="DEF"),AS69,"")</f>
        <v/>
      </c>
      <c r="AY69">
        <f>IF(AND($E69=TRUE,$C69="MID"),AS69,"")</f>
        <v/>
      </c>
      <c r="AZ69">
        <f>IF(AND($E69=TRUE,$C69="FWD"),AS69,"")</f>
        <v/>
      </c>
      <c r="BA69" t="n">
        <v>2</v>
      </c>
      <c r="BB69" t="n">
        <v>2</v>
      </c>
      <c r="BC69" t="n">
        <v>0</v>
      </c>
      <c r="BD69" t="n">
        <v>4</v>
      </c>
    </row>
    <row r="70">
      <c r="A70" t="inlineStr">
        <is>
          <t>Omar Alderete</t>
        </is>
      </c>
      <c r="B70" t="inlineStr">
        <is>
          <t>SUN</t>
        </is>
      </c>
      <c r="C70" t="inlineStr">
        <is>
          <t>DEF</t>
        </is>
      </c>
      <c r="D70" t="inlineStr">
        <is>
          <t>DEF</t>
        </is>
      </c>
      <c r="E70" t="b">
        <v>1</v>
      </c>
      <c r="F70" s="2" t="n">
        <v>5</v>
      </c>
      <c r="G70" t="inlineStr">
        <is>
          <t>d</t>
        </is>
      </c>
      <c r="H70" t="inlineStr">
        <is>
          <t>Knock - 75% chance of playing</t>
        </is>
      </c>
      <c r="I70" s="2" t="n">
        <v>2797</v>
      </c>
      <c r="J70" t="n">
        <v>125</v>
      </c>
      <c r="K70" s="3" t="n">
        <v>3067</v>
      </c>
      <c r="L70" t="inlineStr">
        <is>
          <t>flat</t>
        </is>
      </c>
      <c r="M70" s="4" t="n">
        <v>3067</v>
      </c>
      <c r="N70" t="inlineStr">
        <is>
          <t>Solio</t>
        </is>
      </c>
      <c r="O70" s="5" t="n">
        <v>86.2</v>
      </c>
      <c r="P70" t="b">
        <v>1</v>
      </c>
      <c r="Q70" s="5">
        <f>IF(N(O70)&lt;=0,0,MIN(Assumptions!$B$15,N(M70)/N(O70)))</f>
        <v/>
      </c>
      <c r="R70" s="4" t="n">
        <v>0.204</v>
      </c>
      <c r="S70" s="3" t="n">
        <v>0.0515</v>
      </c>
      <c r="T70" t="inlineStr">
        <is>
          <t>adjusted xGOT</t>
        </is>
      </c>
      <c r="U70" s="3" t="n">
        <v>1</v>
      </c>
      <c r="V70" s="3" t="n">
        <v>0.988</v>
      </c>
      <c r="W70" s="3" t="n">
        <v>1.6</v>
      </c>
      <c r="X70" s="3" t="n">
        <v>0.0244</v>
      </c>
      <c r="Y70" s="3" t="n">
        <v>9.557</v>
      </c>
      <c r="Z70" s="3" t="n">
        <v>0.4328051602968752</v>
      </c>
      <c r="AA70" s="3" t="n">
        <v>0.1609</v>
      </c>
      <c r="AB70" s="3" t="n">
        <v>64</v>
      </c>
      <c r="AC70" s="3" t="n">
        <v>3.3348</v>
      </c>
      <c r="AD70" s="3" t="n">
        <v>1.6498</v>
      </c>
      <c r="AE70" s="3" t="n">
        <v>-0.2109526420927542</v>
      </c>
      <c r="AF70" s="4" t="n">
        <v>0</v>
      </c>
      <c r="AG70" s="3" t="n">
        <v>0</v>
      </c>
      <c r="AH70" s="3" t="n">
        <v>0.309</v>
      </c>
      <c r="AI70" s="3" t="n">
        <v>0.096624</v>
      </c>
      <c r="AJ70" s="3">
        <f>N(R70)*N(BC70)</f>
        <v/>
      </c>
      <c r="AK70" s="3" t="n">
        <v>0.1609</v>
      </c>
      <c r="AL70" s="3" t="n">
        <v>0</v>
      </c>
      <c r="AM70" s="3" t="n">
        <v>-0.5841244809045405</v>
      </c>
      <c r="AN70" s="3" t="n">
        <v>-0.2109526420927542</v>
      </c>
      <c r="AO70" s="3">
        <f>SUM(AH70:AN70)</f>
        <v/>
      </c>
      <c r="AP70" s="5">
        <f>IF(OR(N(Q70)&lt;=0,N(BA70)=0),0,N(Q70)*IF(N(M70)/N(Q70)&gt;=60,N(BA70),1))</f>
        <v/>
      </c>
      <c r="AQ70" s="5">
        <f>N(Q70)*N(Z70)*N(BB70)</f>
        <v/>
      </c>
      <c r="AR70" s="5">
        <f>N(AF70)*(Assumptions!$B$13*N(BD70)-(1-Assumptions!$B$13)*Assumptions!$B$14)+N(AG70)</f>
        <v/>
      </c>
      <c r="AS70" s="5">
        <f>N(AO70)*N(M70)/90+N(AP70)+N(AQ70)+N(AR70)</f>
        <v/>
      </c>
      <c r="AT70" s="3">
        <f>IF(N(M70)&lt;=0,0,(N(AS70)-N(AR70))*90/N(M70))</f>
        <v/>
      </c>
      <c r="AU70" s="5">
        <f>IFERROR(AS70-VLOOKUP($C70,Assumptions!$A$36:$C$39,3,FALSE),"")</f>
        <v/>
      </c>
      <c r="AV70" s="3">
        <f>IFERROR(AU70/F70,"")</f>
        <v/>
      </c>
      <c r="AW70">
        <f>IF(AND($E70=TRUE,$C70="GKP"),AS70,"")</f>
        <v/>
      </c>
      <c r="AX70">
        <f>IF(AND($E70=TRUE,$C70="DEF"),AS70,"")</f>
        <v/>
      </c>
      <c r="AY70">
        <f>IF(AND($E70=TRUE,$C70="MID"),AS70,"")</f>
        <v/>
      </c>
      <c r="AZ70">
        <f>IF(AND($E70=TRUE,$C70="FWD"),AS70,"")</f>
        <v/>
      </c>
      <c r="BA70" t="n">
        <v>2</v>
      </c>
      <c r="BB70" t="n">
        <v>2</v>
      </c>
      <c r="BC70" t="n">
        <v>4</v>
      </c>
      <c r="BD70" t="n">
        <v>6</v>
      </c>
    </row>
    <row r="71">
      <c r="A71" t="inlineStr">
        <is>
          <t>Kevin Schade</t>
        </is>
      </c>
      <c r="B71" t="inlineStr">
        <is>
          <t>BRE</t>
        </is>
      </c>
      <c r="C71" t="inlineStr">
        <is>
          <t>MID</t>
        </is>
      </c>
      <c r="D71" t="inlineStr">
        <is>
          <t>MID</t>
        </is>
      </c>
      <c r="E71" t="b">
        <v>1</v>
      </c>
      <c r="F71" s="2" t="n">
        <v>6</v>
      </c>
      <c r="G71" t="inlineStr">
        <is>
          <t>a</t>
        </is>
      </c>
      <c r="I71" s="2" t="n">
        <v>2744</v>
      </c>
      <c r="J71" t="n">
        <v>125</v>
      </c>
      <c r="K71" s="3" t="n">
        <v>2804</v>
      </c>
      <c r="L71" t="inlineStr">
        <is>
          <t>flat</t>
        </is>
      </c>
      <c r="M71" s="4" t="n">
        <v>2804</v>
      </c>
      <c r="N71" t="inlineStr">
        <is>
          <t>Solio</t>
        </is>
      </c>
      <c r="O71" s="5" t="n">
        <v>82.09999999999999</v>
      </c>
      <c r="P71" t="b">
        <v>1</v>
      </c>
      <c r="Q71" s="5">
        <f>IF(N(O71)&lt;=0,0,MIN(Assumptions!$B$15,N(M71)/N(O71)))</f>
        <v/>
      </c>
      <c r="R71" s="4" t="n">
        <v>0.228</v>
      </c>
      <c r="S71" s="3" t="n">
        <v>0.3534</v>
      </c>
      <c r="T71" t="inlineStr">
        <is>
          <t>adjusted xGOT</t>
        </is>
      </c>
      <c r="U71" s="3" t="n">
        <v>0.9360000000000001</v>
      </c>
      <c r="V71" s="3" t="n">
        <v>0.953</v>
      </c>
      <c r="W71" s="3" t="n">
        <v>23.9</v>
      </c>
      <c r="X71" s="3" t="n">
        <v>0.1085</v>
      </c>
      <c r="Y71" s="3" t="n">
        <v>6.719</v>
      </c>
      <c r="Z71" s="3" t="n">
        <v>0.02316305437730526</v>
      </c>
      <c r="AA71" s="3" t="n">
        <v>0.164</v>
      </c>
      <c r="AB71" s="3" t="n">
        <v>65</v>
      </c>
      <c r="AC71" s="3" t="n">
        <v>3.2371</v>
      </c>
      <c r="AD71" s="3" t="n">
        <v>1.5396</v>
      </c>
      <c r="AE71" s="3" t="n">
        <v>-0.1906764063256734</v>
      </c>
      <c r="AF71" s="4" t="n">
        <v>0.2258328851256484</v>
      </c>
      <c r="AG71" s="3" t="n">
        <v>0</v>
      </c>
      <c r="AH71" s="3" t="n">
        <v>1.767</v>
      </c>
      <c r="AI71" s="3" t="n">
        <v>0.42966</v>
      </c>
      <c r="AJ71" s="3">
        <f>N(R71)*N(BC71)</f>
        <v/>
      </c>
      <c r="AK71" s="3" t="n">
        <v>0.164</v>
      </c>
      <c r="AL71" s="3" t="n">
        <v>0</v>
      </c>
      <c r="AM71" s="3" t="n">
        <v>-0</v>
      </c>
      <c r="AN71" s="3" t="n">
        <v>-0.1906764063256734</v>
      </c>
      <c r="AO71" s="3">
        <f>SUM(AH71:AN71)</f>
        <v/>
      </c>
      <c r="AP71" s="5">
        <f>IF(OR(N(Q71)&lt;=0,N(BA71)=0),0,N(Q71)*IF(N(M71)/N(Q71)&gt;=60,N(BA71),1))</f>
        <v/>
      </c>
      <c r="AQ71" s="5">
        <f>N(Q71)*N(Z71)*N(BB71)</f>
        <v/>
      </c>
      <c r="AR71" s="5">
        <f>N(AF71)*(Assumptions!$B$13*N(BD71)-(1-Assumptions!$B$13)*Assumptions!$B$14)+N(AG71)</f>
        <v/>
      </c>
      <c r="AS71" s="5">
        <f>N(AO71)*N(M71)/90+N(AP71)+N(AQ71)+N(AR71)</f>
        <v/>
      </c>
      <c r="AT71" s="3">
        <f>IF(N(M71)&lt;=0,0,(N(AS71)-N(AR71))*90/N(M71))</f>
        <v/>
      </c>
      <c r="AU71" s="5">
        <f>IFERROR(AS71-VLOOKUP($C71,Assumptions!$A$36:$C$39,3,FALSE),"")</f>
        <v/>
      </c>
      <c r="AV71" s="3">
        <f>IFERROR(AU71/F71,"")</f>
        <v/>
      </c>
      <c r="AW71">
        <f>IF(AND($E71=TRUE,$C71="GKP"),AS71,"")</f>
        <v/>
      </c>
      <c r="AX71">
        <f>IF(AND($E71=TRUE,$C71="DEF"),AS71,"")</f>
        <v/>
      </c>
      <c r="AY71">
        <f>IF(AND($E71=TRUE,$C71="MID"),AS71,"")</f>
        <v/>
      </c>
      <c r="AZ71">
        <f>IF(AND($E71=TRUE,$C71="FWD"),AS71,"")</f>
        <v/>
      </c>
      <c r="BA71" t="n">
        <v>2</v>
      </c>
      <c r="BB71" t="n">
        <v>2</v>
      </c>
      <c r="BC71" t="n">
        <v>1</v>
      </c>
      <c r="BD71" t="n">
        <v>5</v>
      </c>
    </row>
    <row r="72">
      <c r="A72" t="inlineStr">
        <is>
          <t>Djordje Petrovic</t>
        </is>
      </c>
      <c r="B72" t="inlineStr">
        <is>
          <t>BOU</t>
        </is>
      </c>
      <c r="C72" t="inlineStr">
        <is>
          <t>GKP</t>
        </is>
      </c>
      <c r="D72" t="inlineStr">
        <is>
          <t>GKP</t>
        </is>
      </c>
      <c r="E72" t="b">
        <v>1</v>
      </c>
      <c r="F72" s="2" t="n">
        <v>4.5</v>
      </c>
      <c r="G72" t="inlineStr">
        <is>
          <t>a</t>
        </is>
      </c>
      <c r="I72" s="2" t="n">
        <v>3420</v>
      </c>
      <c r="J72" t="n">
        <v>124</v>
      </c>
      <c r="K72" s="3" t="n">
        <v>3385</v>
      </c>
      <c r="L72" t="inlineStr">
        <is>
          <t>flat</t>
        </is>
      </c>
      <c r="M72" s="4" t="n">
        <v>3385</v>
      </c>
      <c r="N72" t="inlineStr">
        <is>
          <t>Solio</t>
        </is>
      </c>
      <c r="O72" s="5" t="n">
        <v>90</v>
      </c>
      <c r="P72" t="b">
        <v>1</v>
      </c>
      <c r="Q72" s="5">
        <f>IF(N(O72)&lt;=0,0,MIN(Assumptions!$B$15,N(M72)/N(O72)))</f>
        <v/>
      </c>
      <c r="R72" s="4" t="n">
        <v>0.23</v>
      </c>
      <c r="S72" s="3" t="n">
        <v>0</v>
      </c>
      <c r="T72" t="inlineStr">
        <is>
          <t>blended xG</t>
        </is>
      </c>
      <c r="U72" s="3" t="n">
        <v>1</v>
      </c>
      <c r="V72" s="3" t="n">
        <v>1</v>
      </c>
      <c r="W72" s="3" t="n">
        <v>0</v>
      </c>
      <c r="X72" s="3" t="n">
        <v>0</v>
      </c>
      <c r="Y72" s="3" t="n">
        <v>0</v>
      </c>
      <c r="Z72" s="3" t="n">
        <v>0</v>
      </c>
      <c r="AA72" s="3" t="n">
        <v>0.1842</v>
      </c>
      <c r="AB72" s="3" t="n">
        <v>76</v>
      </c>
      <c r="AC72" s="3" t="n">
        <v>3.0957</v>
      </c>
      <c r="AD72" s="3" t="n">
        <v>1.53</v>
      </c>
      <c r="AE72" s="3" t="n">
        <v>-0.0821273649235542</v>
      </c>
      <c r="AF72" s="4" t="n">
        <v>0</v>
      </c>
      <c r="AG72" s="3" t="n">
        <v>3.232962049615007</v>
      </c>
      <c r="AH72" s="3" t="n">
        <v>0</v>
      </c>
      <c r="AI72" s="3" t="n">
        <v>0</v>
      </c>
      <c r="AJ72" s="3">
        <f>N(R72)*N(BC72)</f>
        <v/>
      </c>
      <c r="AK72" s="3" t="n">
        <v>0.1842</v>
      </c>
      <c r="AL72" s="3" t="n">
        <v>0.6965164635997099</v>
      </c>
      <c r="AM72" s="3" t="n">
        <v>-0.5267219238049191</v>
      </c>
      <c r="AN72" s="3" t="n">
        <v>-0.0821273649235542</v>
      </c>
      <c r="AO72" s="3">
        <f>SUM(AH72:AN72)</f>
        <v/>
      </c>
      <c r="AP72" s="5">
        <f>IF(OR(N(Q72)&lt;=0,N(BA72)=0),0,N(Q72)*IF(N(M72)/N(Q72)&gt;=60,N(BA72),1))</f>
        <v/>
      </c>
      <c r="AQ72" s="5">
        <f>N(Q72)*N(Z72)*N(BB72)</f>
        <v/>
      </c>
      <c r="AR72" s="5">
        <f>N(AF72)*(Assumptions!$B$13*N(BD72)-(1-Assumptions!$B$13)*Assumptions!$B$14)+N(AG72)</f>
        <v/>
      </c>
      <c r="AS72" s="5">
        <f>N(AO72)*N(M72)/90+N(AP72)+N(AQ72)+N(AR72)</f>
        <v/>
      </c>
      <c r="AT72" s="3">
        <f>IF(N(M72)&lt;=0,0,(N(AS72)-N(AR72))*90/N(M72))</f>
        <v/>
      </c>
      <c r="AU72" s="5">
        <f>IFERROR(AS72-VLOOKUP($C72,Assumptions!$A$36:$C$39,3,FALSE),"")</f>
        <v/>
      </c>
      <c r="AV72" s="3">
        <f>IFERROR(AU72/F72,"")</f>
        <v/>
      </c>
      <c r="AW72">
        <f>IF(AND($E72=TRUE,$C72="GKP"),AS72,"")</f>
        <v/>
      </c>
      <c r="AX72">
        <f>IF(AND($E72=TRUE,$C72="DEF"),AS72,"")</f>
        <v/>
      </c>
      <c r="AY72">
        <f>IF(AND($E72=TRUE,$C72="MID"),AS72,"")</f>
        <v/>
      </c>
      <c r="AZ72">
        <f>IF(AND($E72=TRUE,$C72="FWD"),AS72,"")</f>
        <v/>
      </c>
      <c r="BA72" t="n">
        <v>2</v>
      </c>
      <c r="BB72" t="n">
        <v>0</v>
      </c>
      <c r="BC72" t="n">
        <v>4</v>
      </c>
      <c r="BD72" t="n">
        <v>10</v>
      </c>
    </row>
    <row r="73">
      <c r="A73" t="inlineStr">
        <is>
          <t>Granit Xhaka</t>
        </is>
      </c>
      <c r="B73" t="inlineStr">
        <is>
          <t>SUN</t>
        </is>
      </c>
      <c r="C73" t="inlineStr">
        <is>
          <t>MID</t>
        </is>
      </c>
      <c r="D73" t="inlineStr">
        <is>
          <t>MID</t>
        </is>
      </c>
      <c r="E73" t="b">
        <v>1</v>
      </c>
      <c r="F73" s="2" t="n">
        <v>5.5</v>
      </c>
      <c r="G73" t="inlineStr">
        <is>
          <t>a</t>
        </is>
      </c>
      <c r="I73" s="2" t="n">
        <v>2901</v>
      </c>
      <c r="J73" t="n">
        <v>124</v>
      </c>
      <c r="K73" s="3" t="n">
        <v>3295</v>
      </c>
      <c r="L73" t="inlineStr">
        <is>
          <t>flat</t>
        </is>
      </c>
      <c r="M73" s="4" t="n">
        <v>3295</v>
      </c>
      <c r="N73" t="inlineStr">
        <is>
          <t>Solio</t>
        </is>
      </c>
      <c r="O73" s="5" t="n">
        <v>89</v>
      </c>
      <c r="P73" t="b">
        <v>1</v>
      </c>
      <c r="Q73" s="5">
        <f>IF(N(O73)&lt;=0,0,MIN(Assumptions!$B$15,N(M73)/N(O73)))</f>
        <v/>
      </c>
      <c r="R73" s="4" t="n">
        <v>0.204</v>
      </c>
      <c r="S73" s="3" t="n">
        <v>0.0342</v>
      </c>
      <c r="T73" t="inlineStr">
        <is>
          <t>adjusted xGOT</t>
        </is>
      </c>
      <c r="U73" s="3" t="n">
        <v>1</v>
      </c>
      <c r="V73" s="3" t="n">
        <v>1.091</v>
      </c>
      <c r="W73" s="3" t="n">
        <v>5.7</v>
      </c>
      <c r="X73" s="3" t="n">
        <v>0.1153</v>
      </c>
      <c r="Y73" s="3" t="n">
        <v>10.703</v>
      </c>
      <c r="Z73" s="3" t="n">
        <v>0.3712135887425572</v>
      </c>
      <c r="AA73" s="3" t="n">
        <v>0.2482</v>
      </c>
      <c r="AB73" s="3" t="n">
        <v>66</v>
      </c>
      <c r="AC73" s="3" t="n">
        <v>3.3348</v>
      </c>
      <c r="AD73" s="3" t="n">
        <v>1.6498</v>
      </c>
      <c r="AE73" s="3" t="n">
        <v>-0.2486431330461034</v>
      </c>
      <c r="AF73" s="4" t="n">
        <v>0</v>
      </c>
      <c r="AG73" s="3" t="n">
        <v>0</v>
      </c>
      <c r="AH73" s="3" t="n">
        <v>0.171</v>
      </c>
      <c r="AI73" s="3" t="n">
        <v>0.456588</v>
      </c>
      <c r="AJ73" s="3">
        <f>N(R73)*N(BC73)</f>
        <v/>
      </c>
      <c r="AK73" s="3" t="n">
        <v>0.2482</v>
      </c>
      <c r="AL73" s="3" t="n">
        <v>0</v>
      </c>
      <c r="AM73" s="3" t="n">
        <v>-0</v>
      </c>
      <c r="AN73" s="3" t="n">
        <v>-0.2486431330461034</v>
      </c>
      <c r="AO73" s="3">
        <f>SUM(AH73:AN73)</f>
        <v/>
      </c>
      <c r="AP73" s="5">
        <f>IF(OR(N(Q73)&lt;=0,N(BA73)=0),0,N(Q73)*IF(N(M73)/N(Q73)&gt;=60,N(BA73),1))</f>
        <v/>
      </c>
      <c r="AQ73" s="5">
        <f>N(Q73)*N(Z73)*N(BB73)</f>
        <v/>
      </c>
      <c r="AR73" s="5">
        <f>N(AF73)*(Assumptions!$B$13*N(BD73)-(1-Assumptions!$B$13)*Assumptions!$B$14)+N(AG73)</f>
        <v/>
      </c>
      <c r="AS73" s="5">
        <f>N(AO73)*N(M73)/90+N(AP73)+N(AQ73)+N(AR73)</f>
        <v/>
      </c>
      <c r="AT73" s="3">
        <f>IF(N(M73)&lt;=0,0,(N(AS73)-N(AR73))*90/N(M73))</f>
        <v/>
      </c>
      <c r="AU73" s="5">
        <f>IFERROR(AS73-VLOOKUP($C73,Assumptions!$A$36:$C$39,3,FALSE),"")</f>
        <v/>
      </c>
      <c r="AV73" s="3">
        <f>IFERROR(AU73/F73,"")</f>
        <v/>
      </c>
      <c r="AW73">
        <f>IF(AND($E73=TRUE,$C73="GKP"),AS73,"")</f>
        <v/>
      </c>
      <c r="AX73">
        <f>IF(AND($E73=TRUE,$C73="DEF"),AS73,"")</f>
        <v/>
      </c>
      <c r="AY73">
        <f>IF(AND($E73=TRUE,$C73="MID"),AS73,"")</f>
        <v/>
      </c>
      <c r="AZ73">
        <f>IF(AND($E73=TRUE,$C73="FWD"),AS73,"")</f>
        <v/>
      </c>
      <c r="BA73" t="n">
        <v>2</v>
      </c>
      <c r="BB73" t="n">
        <v>2</v>
      </c>
      <c r="BC73" t="n">
        <v>1</v>
      </c>
      <c r="BD73" t="n">
        <v>5</v>
      </c>
    </row>
    <row r="74">
      <c r="A74" t="inlineStr">
        <is>
          <t>Joachim Andersen</t>
        </is>
      </c>
      <c r="B74" t="inlineStr">
        <is>
          <t>FUL</t>
        </is>
      </c>
      <c r="C74" t="inlineStr">
        <is>
          <t>DEF</t>
        </is>
      </c>
      <c r="D74" t="inlineStr">
        <is>
          <t>DEF</t>
        </is>
      </c>
      <c r="E74" t="b">
        <v>1</v>
      </c>
      <c r="F74" s="2" t="n">
        <v>5</v>
      </c>
      <c r="G74" t="inlineStr">
        <is>
          <t>s</t>
        </is>
      </c>
      <c r="H74" t="inlineStr">
        <is>
          <t>Suspended until 30 Aug</t>
        </is>
      </c>
      <c r="I74" s="2" t="n">
        <v>2882</v>
      </c>
      <c r="J74" t="n">
        <v>123</v>
      </c>
      <c r="K74" s="3" t="n">
        <v>3032</v>
      </c>
      <c r="L74" t="inlineStr">
        <is>
          <t>flat</t>
        </is>
      </c>
      <c r="M74" s="4" t="n">
        <v>3032</v>
      </c>
      <c r="N74" t="inlineStr">
        <is>
          <t>Solio</t>
        </is>
      </c>
      <c r="O74" s="5" t="n">
        <v>87.3</v>
      </c>
      <c r="P74" t="b">
        <v>1</v>
      </c>
      <c r="Q74" s="5">
        <f>IF(N(O74)&lt;=0,0,MIN(Assumptions!$B$15,N(M74)/N(O74)))</f>
        <v/>
      </c>
      <c r="R74" s="4" t="n">
        <v>0.214</v>
      </c>
      <c r="S74" s="3" t="n">
        <v>0.0428</v>
      </c>
      <c r="T74" t="inlineStr">
        <is>
          <t>adjusted xGOT</t>
        </is>
      </c>
      <c r="U74" s="3" t="n">
        <v>1</v>
      </c>
      <c r="V74" s="3" t="n">
        <v>0.958</v>
      </c>
      <c r="W74" s="3" t="n">
        <v>6.1</v>
      </c>
      <c r="X74" s="3" t="n">
        <v>0.0376</v>
      </c>
      <c r="Y74" s="3" t="n">
        <v>9.757</v>
      </c>
      <c r="Z74" s="3" t="n">
        <v>0.4735273204261978</v>
      </c>
      <c r="AA74" s="3" t="n">
        <v>0.1874</v>
      </c>
      <c r="AB74" s="3" t="n">
        <v>64</v>
      </c>
      <c r="AC74" s="3" t="n">
        <v>3.22</v>
      </c>
      <c r="AD74" s="3" t="n">
        <v>1.6019</v>
      </c>
      <c r="AE74" s="3" t="n">
        <v>-0.2301875536518244</v>
      </c>
      <c r="AF74" s="4" t="n">
        <v>0</v>
      </c>
      <c r="AG74" s="3" t="n">
        <v>0</v>
      </c>
      <c r="AH74" s="3" t="n">
        <v>0.2568</v>
      </c>
      <c r="AI74" s="3" t="n">
        <v>0.148896</v>
      </c>
      <c r="AJ74" s="3">
        <f>N(R74)*N(BC74)</f>
        <v/>
      </c>
      <c r="AK74" s="3" t="n">
        <v>0.1874</v>
      </c>
      <c r="AL74" s="3" t="n">
        <v>0</v>
      </c>
      <c r="AM74" s="3" t="n">
        <v>-0.5611019003833156</v>
      </c>
      <c r="AN74" s="3" t="n">
        <v>-0.2301875536518244</v>
      </c>
      <c r="AO74" s="3">
        <f>SUM(AH74:AN74)</f>
        <v/>
      </c>
      <c r="AP74" s="5">
        <f>IF(OR(N(Q74)&lt;=0,N(BA74)=0),0,N(Q74)*IF(N(M74)/N(Q74)&gt;=60,N(BA74),1))</f>
        <v/>
      </c>
      <c r="AQ74" s="5">
        <f>N(Q74)*N(Z74)*N(BB74)</f>
        <v/>
      </c>
      <c r="AR74" s="5">
        <f>N(AF74)*(Assumptions!$B$13*N(BD74)-(1-Assumptions!$B$13)*Assumptions!$B$14)+N(AG74)</f>
        <v/>
      </c>
      <c r="AS74" s="5">
        <f>N(AO74)*N(M74)/90+N(AP74)+N(AQ74)+N(AR74)</f>
        <v/>
      </c>
      <c r="AT74" s="3">
        <f>IF(N(M74)&lt;=0,0,(N(AS74)-N(AR74))*90/N(M74))</f>
        <v/>
      </c>
      <c r="AU74" s="5">
        <f>IFERROR(AS74-VLOOKUP($C74,Assumptions!$A$36:$C$39,3,FALSE),"")</f>
        <v/>
      </c>
      <c r="AV74" s="3">
        <f>IFERROR(AU74/F74,"")</f>
        <v/>
      </c>
      <c r="AW74">
        <f>IF(AND($E74=TRUE,$C74="GKP"),AS74,"")</f>
        <v/>
      </c>
      <c r="AX74">
        <f>IF(AND($E74=TRUE,$C74="DEF"),AS74,"")</f>
        <v/>
      </c>
      <c r="AY74">
        <f>IF(AND($E74=TRUE,$C74="MID"),AS74,"")</f>
        <v/>
      </c>
      <c r="AZ74">
        <f>IF(AND($E74=TRUE,$C74="FWD"),AS74,"")</f>
        <v/>
      </c>
      <c r="BA74" t="n">
        <v>2</v>
      </c>
      <c r="BB74" t="n">
        <v>2</v>
      </c>
      <c r="BC74" t="n">
        <v>4</v>
      </c>
      <c r="BD74" t="n">
        <v>6</v>
      </c>
    </row>
    <row r="75">
      <c r="A75" t="inlineStr">
        <is>
          <t>Bernd Leno</t>
        </is>
      </c>
      <c r="B75" t="inlineStr">
        <is>
          <t>FUL</t>
        </is>
      </c>
      <c r="C75" t="inlineStr">
        <is>
          <t>GKP</t>
        </is>
      </c>
      <c r="D75" t="inlineStr">
        <is>
          <t>GKP</t>
        </is>
      </c>
      <c r="E75" t="b">
        <v>1</v>
      </c>
      <c r="F75" s="2" t="n">
        <v>4.5</v>
      </c>
      <c r="G75" t="inlineStr">
        <is>
          <t>a</t>
        </is>
      </c>
      <c r="I75" s="2" t="n">
        <v>3420</v>
      </c>
      <c r="J75" t="n">
        <v>122</v>
      </c>
      <c r="K75" s="3" t="n">
        <v>3420</v>
      </c>
      <c r="L75" t="inlineStr">
        <is>
          <t>flat</t>
        </is>
      </c>
      <c r="M75" s="4" t="n">
        <v>3420</v>
      </c>
      <c r="N75" t="inlineStr">
        <is>
          <t>Solio</t>
        </is>
      </c>
      <c r="O75" s="5" t="n">
        <v>90</v>
      </c>
      <c r="P75" t="b">
        <v>1</v>
      </c>
      <c r="Q75" s="5">
        <f>IF(N(O75)&lt;=0,0,MIN(Assumptions!$B$15,N(M75)/N(O75)))</f>
        <v/>
      </c>
      <c r="R75" s="4" t="n">
        <v>0.214</v>
      </c>
      <c r="S75" s="3" t="n">
        <v>0</v>
      </c>
      <c r="T75" t="inlineStr">
        <is>
          <t>blended xG</t>
        </is>
      </c>
      <c r="U75" s="3" t="n">
        <v>1</v>
      </c>
      <c r="V75" s="3" t="n">
        <v>1</v>
      </c>
      <c r="W75" s="3" t="n">
        <v>0</v>
      </c>
      <c r="X75" s="3" t="n">
        <v>0.0003</v>
      </c>
      <c r="Y75" s="3" t="n">
        <v>0</v>
      </c>
      <c r="Z75" s="3" t="n">
        <v>0</v>
      </c>
      <c r="AA75" s="3" t="n">
        <v>0.2632</v>
      </c>
      <c r="AB75" s="3" t="n">
        <v>76</v>
      </c>
      <c r="AC75" s="3" t="n">
        <v>3.22</v>
      </c>
      <c r="AD75" s="3" t="n">
        <v>1.6019</v>
      </c>
      <c r="AE75" s="3" t="n">
        <v>-0.0939800394671787</v>
      </c>
      <c r="AF75" s="4" t="n">
        <v>0</v>
      </c>
      <c r="AG75" s="3" t="n">
        <v>3.419818942799009</v>
      </c>
      <c r="AH75" s="3" t="n">
        <v>0</v>
      </c>
      <c r="AI75" s="3" t="n">
        <v>0.001188</v>
      </c>
      <c r="AJ75" s="3">
        <f>N(R75)*N(BC75)</f>
        <v/>
      </c>
      <c r="AK75" s="3" t="n">
        <v>0.2632</v>
      </c>
      <c r="AL75" s="3" t="n">
        <v>0.7380333201454712</v>
      </c>
      <c r="AM75" s="3" t="n">
        <v>-0.5611019003833156</v>
      </c>
      <c r="AN75" s="3" t="n">
        <v>-0.0939800394671787</v>
      </c>
      <c r="AO75" s="3">
        <f>SUM(AH75:AN75)</f>
        <v/>
      </c>
      <c r="AP75" s="5">
        <f>IF(OR(N(Q75)&lt;=0,N(BA75)=0),0,N(Q75)*IF(N(M75)/N(Q75)&gt;=60,N(BA75),1))</f>
        <v/>
      </c>
      <c r="AQ75" s="5">
        <f>N(Q75)*N(Z75)*N(BB75)</f>
        <v/>
      </c>
      <c r="AR75" s="5">
        <f>N(AF75)*(Assumptions!$B$13*N(BD75)-(1-Assumptions!$B$13)*Assumptions!$B$14)+N(AG75)</f>
        <v/>
      </c>
      <c r="AS75" s="5">
        <f>N(AO75)*N(M75)/90+N(AP75)+N(AQ75)+N(AR75)</f>
        <v/>
      </c>
      <c r="AT75" s="3">
        <f>IF(N(M75)&lt;=0,0,(N(AS75)-N(AR75))*90/N(M75))</f>
        <v/>
      </c>
      <c r="AU75" s="5">
        <f>IFERROR(AS75-VLOOKUP($C75,Assumptions!$A$36:$C$39,3,FALSE),"")</f>
        <v/>
      </c>
      <c r="AV75" s="3">
        <f>IFERROR(AU75/F75,"")</f>
        <v/>
      </c>
      <c r="AW75">
        <f>IF(AND($E75=TRUE,$C75="GKP"),AS75,"")</f>
        <v/>
      </c>
      <c r="AX75">
        <f>IF(AND($E75=TRUE,$C75="DEF"),AS75,"")</f>
        <v/>
      </c>
      <c r="AY75">
        <f>IF(AND($E75=TRUE,$C75="MID"),AS75,"")</f>
        <v/>
      </c>
      <c r="AZ75">
        <f>IF(AND($E75=TRUE,$C75="FWD"),AS75,"")</f>
        <v/>
      </c>
      <c r="BA75" t="n">
        <v>2</v>
      </c>
      <c r="BB75" t="n">
        <v>0</v>
      </c>
      <c r="BC75" t="n">
        <v>4</v>
      </c>
      <c r="BD75" t="n">
        <v>10</v>
      </c>
    </row>
    <row r="76">
      <c r="A76" t="inlineStr">
        <is>
          <t>Emiliano Martínez</t>
        </is>
      </c>
      <c r="B76" t="inlineStr">
        <is>
          <t>AVL</t>
        </is>
      </c>
      <c r="C76" t="inlineStr">
        <is>
          <t>GKP</t>
        </is>
      </c>
      <c r="D76" t="inlineStr">
        <is>
          <t>GKP</t>
        </is>
      </c>
      <c r="E76" t="b">
        <v>1</v>
      </c>
      <c r="F76" s="2" t="n">
        <v>5</v>
      </c>
      <c r="G76" t="inlineStr">
        <is>
          <t>a</t>
        </is>
      </c>
      <c r="I76" s="2" t="n">
        <v>2835</v>
      </c>
      <c r="J76" t="n">
        <v>120</v>
      </c>
      <c r="K76" s="3" t="n">
        <v>3385</v>
      </c>
      <c r="L76" t="inlineStr">
        <is>
          <t>flat</t>
        </is>
      </c>
      <c r="M76" s="4" t="n">
        <v>3385</v>
      </c>
      <c r="N76" t="inlineStr">
        <is>
          <t>Solio</t>
        </is>
      </c>
      <c r="O76" s="5" t="n">
        <v>88.59999999999999</v>
      </c>
      <c r="P76" t="b">
        <v>1</v>
      </c>
      <c r="Q76" s="5">
        <f>IF(N(O76)&lt;=0,0,MIN(Assumptions!$B$15,N(M76)/N(O76)))</f>
        <v/>
      </c>
      <c r="R76" s="4" t="n">
        <v>0.273</v>
      </c>
      <c r="S76" s="3" t="n">
        <v>0</v>
      </c>
      <c r="T76" t="inlineStr">
        <is>
          <t>blended xG</t>
        </is>
      </c>
      <c r="U76" s="3" t="n">
        <v>1</v>
      </c>
      <c r="V76" s="3" t="n">
        <v>1</v>
      </c>
      <c r="W76" s="3" t="n">
        <v>0</v>
      </c>
      <c r="X76" s="3" t="n">
        <v>0.0069</v>
      </c>
      <c r="Y76" s="3" t="n">
        <v>0</v>
      </c>
      <c r="Z76" s="3" t="n">
        <v>0</v>
      </c>
      <c r="AA76" s="3" t="n">
        <v>0.3175</v>
      </c>
      <c r="AB76" s="3" t="n">
        <v>63</v>
      </c>
      <c r="AC76" s="3" t="n">
        <v>2.7451</v>
      </c>
      <c r="AD76" s="3" t="n">
        <v>1.3575</v>
      </c>
      <c r="AE76" s="3" t="n">
        <v>-0.0975322171049593</v>
      </c>
      <c r="AF76" s="4" t="n">
        <v>0</v>
      </c>
      <c r="AG76" s="3" t="n">
        <v>2.868467695626834</v>
      </c>
      <c r="AH76" s="3" t="n">
        <v>0</v>
      </c>
      <c r="AI76" s="3" t="n">
        <v>0.027324</v>
      </c>
      <c r="AJ76" s="3">
        <f>N(R76)*N(BC76)</f>
        <v/>
      </c>
      <c r="AK76" s="3" t="n">
        <v>0.3175</v>
      </c>
      <c r="AL76" s="3" t="n">
        <v>0.5799503685565225</v>
      </c>
      <c r="AM76" s="3" t="n">
        <v>-0.4453012382517575</v>
      </c>
      <c r="AN76" s="3" t="n">
        <v>-0.0975322171049593</v>
      </c>
      <c r="AO76" s="3">
        <f>SUM(AH76:AN76)</f>
        <v/>
      </c>
      <c r="AP76" s="5">
        <f>IF(OR(N(Q76)&lt;=0,N(BA76)=0),0,N(Q76)*IF(N(M76)/N(Q76)&gt;=60,N(BA76),1))</f>
        <v/>
      </c>
      <c r="AQ76" s="5">
        <f>N(Q76)*N(Z76)*N(BB76)</f>
        <v/>
      </c>
      <c r="AR76" s="5">
        <f>N(AF76)*(Assumptions!$B$13*N(BD76)-(1-Assumptions!$B$13)*Assumptions!$B$14)+N(AG76)</f>
        <v/>
      </c>
      <c r="AS76" s="5">
        <f>N(AO76)*N(M76)/90+N(AP76)+N(AQ76)+N(AR76)</f>
        <v/>
      </c>
      <c r="AT76" s="3">
        <f>IF(N(M76)&lt;=0,0,(N(AS76)-N(AR76))*90/N(M76))</f>
        <v/>
      </c>
      <c r="AU76" s="5">
        <f>IFERROR(AS76-VLOOKUP($C76,Assumptions!$A$36:$C$39,3,FALSE),"")</f>
        <v/>
      </c>
      <c r="AV76" s="3">
        <f>IFERROR(AU76/F76,"")</f>
        <v/>
      </c>
      <c r="AW76">
        <f>IF(AND($E76=TRUE,$C76="GKP"),AS76,"")</f>
        <v/>
      </c>
      <c r="AX76">
        <f>IF(AND($E76=TRUE,$C76="DEF"),AS76,"")</f>
        <v/>
      </c>
      <c r="AY76">
        <f>IF(AND($E76=TRUE,$C76="MID"),AS76,"")</f>
        <v/>
      </c>
      <c r="AZ76">
        <f>IF(AND($E76=TRUE,$C76="FWD"),AS76,"")</f>
        <v/>
      </c>
      <c r="BA76" t="n">
        <v>2</v>
      </c>
      <c r="BB76" t="n">
        <v>0</v>
      </c>
      <c r="BC76" t="n">
        <v>4</v>
      </c>
      <c r="BD76" t="n">
        <v>10</v>
      </c>
    </row>
    <row r="77">
      <c r="A77" t="inlineStr">
        <is>
          <t>Jérémy Doku</t>
        </is>
      </c>
      <c r="B77" t="inlineStr">
        <is>
          <t>MCI</t>
        </is>
      </c>
      <c r="C77" t="inlineStr">
        <is>
          <t>MID</t>
        </is>
      </c>
      <c r="D77" t="inlineStr">
        <is>
          <t>MID</t>
        </is>
      </c>
      <c r="E77" t="b">
        <v>1</v>
      </c>
      <c r="F77" s="2" t="n">
        <v>7.5</v>
      </c>
      <c r="G77" t="inlineStr">
        <is>
          <t>a</t>
        </is>
      </c>
      <c r="I77" s="2" t="n">
        <v>1773</v>
      </c>
      <c r="J77" t="n">
        <v>120</v>
      </c>
      <c r="K77" s="3" t="n">
        <v>2502</v>
      </c>
      <c r="L77" t="inlineStr">
        <is>
          <t>flat</t>
        </is>
      </c>
      <c r="M77" s="4" t="n">
        <v>2502</v>
      </c>
      <c r="N77" t="inlineStr">
        <is>
          <t>Solio</t>
        </is>
      </c>
      <c r="O77" s="5" t="n">
        <v>79.59999999999999</v>
      </c>
      <c r="P77" t="b">
        <v>1</v>
      </c>
      <c r="Q77" s="5">
        <f>IF(N(O77)&lt;=0,0,MIN(Assumptions!$B$15,N(M77)/N(O77)))</f>
        <v/>
      </c>
      <c r="R77" s="4" t="n">
        <v>0.371</v>
      </c>
      <c r="S77" s="3" t="n">
        <v>0.1865</v>
      </c>
      <c r="T77" t="inlineStr">
        <is>
          <t>adjusted xGOT</t>
        </is>
      </c>
      <c r="U77" s="3" t="n">
        <v>1</v>
      </c>
      <c r="V77" s="3" t="n">
        <v>1.28</v>
      </c>
      <c r="W77" s="3" t="n">
        <v>6.8</v>
      </c>
      <c r="X77" s="3" t="n">
        <v>0.3404</v>
      </c>
      <c r="Y77" s="3" t="n">
        <v>7.026</v>
      </c>
      <c r="Z77" s="3" t="n">
        <v>0.02536003172847834</v>
      </c>
      <c r="AA77" s="3" t="n">
        <v>0.7614</v>
      </c>
      <c r="AB77" s="3" t="n">
        <v>48</v>
      </c>
      <c r="AC77" s="3" t="n">
        <v>1.9737</v>
      </c>
      <c r="AD77" s="3" t="n">
        <v>1.0365</v>
      </c>
      <c r="AE77" s="3" t="n">
        <v>-0.1111803607058527</v>
      </c>
      <c r="AF77" s="4" t="n">
        <v>0.0245024429491342</v>
      </c>
      <c r="AG77" s="3" t="n">
        <v>0</v>
      </c>
      <c r="AH77" s="3" t="n">
        <v>0.9325</v>
      </c>
      <c r="AI77" s="3" t="n">
        <v>1.347984</v>
      </c>
      <c r="AJ77" s="3">
        <f>N(R77)*N(BC77)</f>
        <v/>
      </c>
      <c r="AK77" s="3" t="n">
        <v>0.7614</v>
      </c>
      <c r="AL77" s="3" t="n">
        <v>0</v>
      </c>
      <c r="AM77" s="3" t="n">
        <v>-0</v>
      </c>
      <c r="AN77" s="3" t="n">
        <v>-0.1111803607058527</v>
      </c>
      <c r="AO77" s="3">
        <f>SUM(AH77:AN77)</f>
        <v/>
      </c>
      <c r="AP77" s="5">
        <f>IF(OR(N(Q77)&lt;=0,N(BA77)=0),0,N(Q77)*IF(N(M77)/N(Q77)&gt;=60,N(BA77),1))</f>
        <v/>
      </c>
      <c r="AQ77" s="5">
        <f>N(Q77)*N(Z77)*N(BB77)</f>
        <v/>
      </c>
      <c r="AR77" s="5">
        <f>N(AF77)*(Assumptions!$B$13*N(BD77)-(1-Assumptions!$B$13)*Assumptions!$B$14)+N(AG77)</f>
        <v/>
      </c>
      <c r="AS77" s="5">
        <f>N(AO77)*N(M77)/90+N(AP77)+N(AQ77)+N(AR77)</f>
        <v/>
      </c>
      <c r="AT77" s="3">
        <f>IF(N(M77)&lt;=0,0,(N(AS77)-N(AR77))*90/N(M77))</f>
        <v/>
      </c>
      <c r="AU77" s="5">
        <f>IFERROR(AS77-VLOOKUP($C77,Assumptions!$A$36:$C$39,3,FALSE),"")</f>
        <v/>
      </c>
      <c r="AV77" s="3">
        <f>IFERROR(AU77/F77,"")</f>
        <v/>
      </c>
      <c r="AW77">
        <f>IF(AND($E77=TRUE,$C77="GKP"),AS77,"")</f>
        <v/>
      </c>
      <c r="AX77">
        <f>IF(AND($E77=TRUE,$C77="DEF"),AS77,"")</f>
        <v/>
      </c>
      <c r="AY77">
        <f>IF(AND($E77=TRUE,$C77="MID"),AS77,"")</f>
        <v/>
      </c>
      <c r="AZ77">
        <f>IF(AND($E77=TRUE,$C77="FWD"),AS77,"")</f>
        <v/>
      </c>
      <c r="BA77" t="n">
        <v>2</v>
      </c>
      <c r="BB77" t="n">
        <v>2</v>
      </c>
      <c r="BC77" t="n">
        <v>1</v>
      </c>
      <c r="BD77" t="n">
        <v>5</v>
      </c>
    </row>
    <row r="78">
      <c r="A78" t="inlineStr">
        <is>
          <t>Nikola Milenkovic</t>
        </is>
      </c>
      <c r="B78" t="inlineStr">
        <is>
          <t>NFO</t>
        </is>
      </c>
      <c r="C78" t="inlineStr">
        <is>
          <t>DEF</t>
        </is>
      </c>
      <c r="D78" t="inlineStr">
        <is>
          <t>DEF</t>
        </is>
      </c>
      <c r="E78" t="b">
        <v>1</v>
      </c>
      <c r="F78" s="2" t="n">
        <v>5.5</v>
      </c>
      <c r="G78" t="inlineStr">
        <is>
          <t>a</t>
        </is>
      </c>
      <c r="I78" s="2" t="n">
        <v>3375</v>
      </c>
      <c r="J78" t="n">
        <v>119</v>
      </c>
      <c r="K78" s="3" t="n">
        <v>3312</v>
      </c>
      <c r="L78" t="inlineStr">
        <is>
          <t>flat</t>
        </is>
      </c>
      <c r="M78" s="4" t="n">
        <v>3312</v>
      </c>
      <c r="N78" t="inlineStr">
        <is>
          <t>Solio</t>
        </is>
      </c>
      <c r="O78" s="5" t="n">
        <v>90</v>
      </c>
      <c r="P78" t="b">
        <v>1</v>
      </c>
      <c r="Q78" s="5">
        <f>IF(N(O78)&lt;=0,0,MIN(Assumptions!$B$15,N(M78)/N(O78)))</f>
        <v/>
      </c>
      <c r="R78" s="4" t="n">
        <v>0.224</v>
      </c>
      <c r="S78" s="3" t="n">
        <v>0.022</v>
      </c>
      <c r="T78" t="inlineStr">
        <is>
          <t>adjusted xGOT</t>
        </is>
      </c>
      <c r="U78" s="3" t="n">
        <v>1</v>
      </c>
      <c r="V78" s="3" t="n">
        <v>0.994</v>
      </c>
      <c r="W78" s="3" t="n">
        <v>4.9</v>
      </c>
      <c r="X78" s="3" t="n">
        <v>0.0126</v>
      </c>
      <c r="Y78" s="3" t="n">
        <v>8.186</v>
      </c>
      <c r="Z78" s="3" t="n">
        <v>0.3067056144344492</v>
      </c>
      <c r="AA78" s="3" t="n">
        <v>0.0267</v>
      </c>
      <c r="AB78" s="3" t="n">
        <v>75</v>
      </c>
      <c r="AC78" s="3" t="n">
        <v>3.1134</v>
      </c>
      <c r="AD78" s="3" t="n">
        <v>1.5588</v>
      </c>
      <c r="AE78" s="3" t="n">
        <v>-0.1709107727150983</v>
      </c>
      <c r="AF78" s="4" t="n">
        <v>0</v>
      </c>
      <c r="AG78" s="3" t="n">
        <v>0</v>
      </c>
      <c r="AH78" s="3" t="n">
        <v>0.132</v>
      </c>
      <c r="AI78" s="3" t="n">
        <v>0.049896</v>
      </c>
      <c r="AJ78" s="3">
        <f>N(R78)*N(BC78)</f>
        <v/>
      </c>
      <c r="AK78" s="3" t="n">
        <v>0.0267</v>
      </c>
      <c r="AL78" s="3" t="n">
        <v>0</v>
      </c>
      <c r="AM78" s="3" t="n">
        <v>-0.5404658182244797</v>
      </c>
      <c r="AN78" s="3" t="n">
        <v>-0.1709107727150983</v>
      </c>
      <c r="AO78" s="3">
        <f>SUM(AH78:AN78)</f>
        <v/>
      </c>
      <c r="AP78" s="5">
        <f>IF(OR(N(Q78)&lt;=0,N(BA78)=0),0,N(Q78)*IF(N(M78)/N(Q78)&gt;=60,N(BA78),1))</f>
        <v/>
      </c>
      <c r="AQ78" s="5">
        <f>N(Q78)*N(Z78)*N(BB78)</f>
        <v/>
      </c>
      <c r="AR78" s="5">
        <f>N(AF78)*(Assumptions!$B$13*N(BD78)-(1-Assumptions!$B$13)*Assumptions!$B$14)+N(AG78)</f>
        <v/>
      </c>
      <c r="AS78" s="5">
        <f>N(AO78)*N(M78)/90+N(AP78)+N(AQ78)+N(AR78)</f>
        <v/>
      </c>
      <c r="AT78" s="3">
        <f>IF(N(M78)&lt;=0,0,(N(AS78)-N(AR78))*90/N(M78))</f>
        <v/>
      </c>
      <c r="AU78" s="5">
        <f>IFERROR(AS78-VLOOKUP($C78,Assumptions!$A$36:$C$39,3,FALSE),"")</f>
        <v/>
      </c>
      <c r="AV78" s="3">
        <f>IFERROR(AU78/F78,"")</f>
        <v/>
      </c>
      <c r="AW78">
        <f>IF(AND($E78=TRUE,$C78="GKP"),AS78,"")</f>
        <v/>
      </c>
      <c r="AX78">
        <f>IF(AND($E78=TRUE,$C78="DEF"),AS78,"")</f>
        <v/>
      </c>
      <c r="AY78">
        <f>IF(AND($E78=TRUE,$C78="MID"),AS78,"")</f>
        <v/>
      </c>
      <c r="AZ78">
        <f>IF(AND($E78=TRUE,$C78="FWD"),AS78,"")</f>
        <v/>
      </c>
      <c r="BA78" t="n">
        <v>2</v>
      </c>
      <c r="BB78" t="n">
        <v>2</v>
      </c>
      <c r="BC78" t="n">
        <v>4</v>
      </c>
      <c r="BD78" t="n">
        <v>6</v>
      </c>
    </row>
    <row r="79">
      <c r="A79" t="inlineStr">
        <is>
          <t>Richarlison</t>
        </is>
      </c>
      <c r="B79" t="inlineStr">
        <is>
          <t>TOT</t>
        </is>
      </c>
      <c r="C79" t="inlineStr">
        <is>
          <t>FWD</t>
        </is>
      </c>
      <c r="D79" t="inlineStr">
        <is>
          <t>FWD</t>
        </is>
      </c>
      <c r="E79" t="b">
        <v>1</v>
      </c>
      <c r="F79" s="2" t="n">
        <v>6</v>
      </c>
      <c r="G79" t="inlineStr">
        <is>
          <t>a</t>
        </is>
      </c>
      <c r="I79" s="2" t="n">
        <v>1954</v>
      </c>
      <c r="J79" t="n">
        <v>119</v>
      </c>
      <c r="K79" s="3" t="n">
        <v>697</v>
      </c>
      <c r="L79" t="inlineStr">
        <is>
          <t>fade (losing his place)</t>
        </is>
      </c>
      <c r="M79" s="4" t="n">
        <v>697</v>
      </c>
      <c r="N79" t="inlineStr">
        <is>
          <t>Solio</t>
        </is>
      </c>
      <c r="O79" s="5" t="n">
        <v>83.2</v>
      </c>
      <c r="P79" t="b">
        <v>1</v>
      </c>
      <c r="Q79" s="5">
        <f>IF(N(O79)&lt;=0,0,MIN(Assumptions!$B$15,N(M79)/N(O79)))</f>
        <v/>
      </c>
      <c r="R79" s="4" t="n">
        <v>0.286</v>
      </c>
      <c r="S79" s="3" t="n">
        <v>0.4198</v>
      </c>
      <c r="T79" t="inlineStr">
        <is>
          <t>adjusted xGOT</t>
        </is>
      </c>
      <c r="U79" s="3" t="n">
        <v>1</v>
      </c>
      <c r="V79" s="3" t="n">
        <v>1.055</v>
      </c>
      <c r="W79" s="3" t="n">
        <v>25.3</v>
      </c>
      <c r="X79" s="3" t="n">
        <v>0.1121</v>
      </c>
      <c r="Y79" s="3" t="n">
        <v>6.238</v>
      </c>
      <c r="Z79" s="3" t="n">
        <v>0.01532785372780721</v>
      </c>
      <c r="AA79" s="3" t="n">
        <v>0.783</v>
      </c>
      <c r="AB79" s="3" t="n">
        <v>51</v>
      </c>
      <c r="AC79" s="3" t="n">
        <v>2.5739</v>
      </c>
      <c r="AD79" s="3" t="n">
        <v>1.3096</v>
      </c>
      <c r="AE79" s="3" t="n">
        <v>-0.2218707428614252</v>
      </c>
      <c r="AF79" s="4" t="n">
        <v>0.0361982866880706</v>
      </c>
      <c r="AG79" s="3" t="n">
        <v>0</v>
      </c>
      <c r="AH79" s="3" t="n">
        <v>1.6792</v>
      </c>
      <c r="AI79" s="3" t="n">
        <v>0.4439160000000001</v>
      </c>
      <c r="AJ79" s="3">
        <f>N(R79)*N(BC79)</f>
        <v/>
      </c>
      <c r="AK79" s="3" t="n">
        <v>0.783</v>
      </c>
      <c r="AL79" s="3" t="n">
        <v>0</v>
      </c>
      <c r="AM79" s="3" t="n">
        <v>-0</v>
      </c>
      <c r="AN79" s="3" t="n">
        <v>-0.2218707428614252</v>
      </c>
      <c r="AO79" s="3">
        <f>SUM(AH79:AN79)</f>
        <v/>
      </c>
      <c r="AP79" s="5">
        <f>IF(OR(N(Q79)&lt;=0,N(BA79)=0),0,N(Q79)*IF(N(M79)/N(Q79)&gt;=60,N(BA79),1))</f>
        <v/>
      </c>
      <c r="AQ79" s="5">
        <f>N(Q79)*N(Z79)*N(BB79)</f>
        <v/>
      </c>
      <c r="AR79" s="5">
        <f>N(AF79)*(Assumptions!$B$13*N(BD79)-(1-Assumptions!$B$13)*Assumptions!$B$14)+N(AG79)</f>
        <v/>
      </c>
      <c r="AS79" s="5">
        <f>N(AO79)*N(M79)/90+N(AP79)+N(AQ79)+N(AR79)</f>
        <v/>
      </c>
      <c r="AT79" s="3">
        <f>IF(N(M79)&lt;=0,0,(N(AS79)-N(AR79))*90/N(M79))</f>
        <v/>
      </c>
      <c r="AU79" s="5">
        <f>IFERROR(AS79-VLOOKUP($C79,Assumptions!$A$36:$C$39,3,FALSE),"")</f>
        <v/>
      </c>
      <c r="AV79" s="3">
        <f>IFERROR(AU79/F79,"")</f>
        <v/>
      </c>
      <c r="AW79">
        <f>IF(AND($E79=TRUE,$C79="GKP"),AS79,"")</f>
        <v/>
      </c>
      <c r="AX79">
        <f>IF(AND($E79=TRUE,$C79="DEF"),AS79,"")</f>
        <v/>
      </c>
      <c r="AY79">
        <f>IF(AND($E79=TRUE,$C79="MID"),AS79,"")</f>
        <v/>
      </c>
      <c r="AZ79">
        <f>IF(AND($E79=TRUE,$C79="FWD"),AS79,"")</f>
        <v/>
      </c>
      <c r="BA79" t="n">
        <v>2</v>
      </c>
      <c r="BB79" t="n">
        <v>2</v>
      </c>
      <c r="BC79" t="n">
        <v>0</v>
      </c>
      <c r="BD79" t="n">
        <v>4</v>
      </c>
    </row>
    <row r="80">
      <c r="A80" t="inlineStr">
        <is>
          <t>Ferdi Kadioglu</t>
        </is>
      </c>
      <c r="B80" t="inlineStr">
        <is>
          <t>BHA</t>
        </is>
      </c>
      <c r="C80" t="inlineStr">
        <is>
          <t>DEF</t>
        </is>
      </c>
      <c r="D80" t="inlineStr">
        <is>
          <t>DEF</t>
        </is>
      </c>
      <c r="E80" t="b">
        <v>1</v>
      </c>
      <c r="F80" s="2" t="n">
        <v>4.5</v>
      </c>
      <c r="G80" t="inlineStr">
        <is>
          <t>a</t>
        </is>
      </c>
      <c r="I80" s="2" t="n">
        <v>3130</v>
      </c>
      <c r="J80" t="n">
        <v>118</v>
      </c>
      <c r="K80" s="3" t="n">
        <v>3198</v>
      </c>
      <c r="L80" t="inlineStr">
        <is>
          <t>flat</t>
        </is>
      </c>
      <c r="M80" s="4" t="n">
        <v>3198</v>
      </c>
      <c r="N80" t="inlineStr">
        <is>
          <t>Solio</t>
        </is>
      </c>
      <c r="O80" s="5" t="n">
        <v>88.8</v>
      </c>
      <c r="P80" t="b">
        <v>1</v>
      </c>
      <c r="Q80" s="5">
        <f>IF(N(O80)&lt;=0,0,MIN(Assumptions!$B$15,N(M80)/N(O80)))</f>
        <v/>
      </c>
      <c r="R80" s="4" t="n">
        <v>0.252</v>
      </c>
      <c r="S80" s="3" t="n">
        <v>0.0626</v>
      </c>
      <c r="T80" t="inlineStr">
        <is>
          <t>adjusted xGOT</t>
        </is>
      </c>
      <c r="U80" s="3" t="n">
        <v>1</v>
      </c>
      <c r="V80" s="3" t="n">
        <v>1.057</v>
      </c>
      <c r="W80" s="3" t="n">
        <v>2.5</v>
      </c>
      <c r="X80" s="3" t="n">
        <v>0.0799</v>
      </c>
      <c r="Y80" s="3" t="n">
        <v>5.411</v>
      </c>
      <c r="Z80" s="3" t="n">
        <v>0.04584383114088286</v>
      </c>
      <c r="AA80" s="3" t="n">
        <v>0.23</v>
      </c>
      <c r="AB80" s="3" t="n">
        <v>72</v>
      </c>
      <c r="AC80" s="3" t="n">
        <v>2.8404</v>
      </c>
      <c r="AD80" s="3" t="n">
        <v>1.439</v>
      </c>
      <c r="AE80" s="3" t="n">
        <v>-0.1999088956728618</v>
      </c>
      <c r="AF80" s="4" t="n">
        <v>0</v>
      </c>
      <c r="AG80" s="3" t="n">
        <v>0</v>
      </c>
      <c r="AH80" s="3" t="n">
        <v>0.3756</v>
      </c>
      <c r="AI80" s="3" t="n">
        <v>0.316404</v>
      </c>
      <c r="AJ80" s="3">
        <f>N(R80)*N(BC80)</f>
        <v/>
      </c>
      <c r="AK80" s="3" t="n">
        <v>0.23</v>
      </c>
      <c r="AL80" s="3" t="n">
        <v>0</v>
      </c>
      <c r="AM80" s="3" t="n">
        <v>-0.4835617861760246</v>
      </c>
      <c r="AN80" s="3" t="n">
        <v>-0.1999088956728618</v>
      </c>
      <c r="AO80" s="3">
        <f>SUM(AH80:AN80)</f>
        <v/>
      </c>
      <c r="AP80" s="5">
        <f>IF(OR(N(Q80)&lt;=0,N(BA80)=0),0,N(Q80)*IF(N(M80)/N(Q80)&gt;=60,N(BA80),1))</f>
        <v/>
      </c>
      <c r="AQ80" s="5">
        <f>N(Q80)*N(Z80)*N(BB80)</f>
        <v/>
      </c>
      <c r="AR80" s="5">
        <f>N(AF80)*(Assumptions!$B$13*N(BD80)-(1-Assumptions!$B$13)*Assumptions!$B$14)+N(AG80)</f>
        <v/>
      </c>
      <c r="AS80" s="5">
        <f>N(AO80)*N(M80)/90+N(AP80)+N(AQ80)+N(AR80)</f>
        <v/>
      </c>
      <c r="AT80" s="3">
        <f>IF(N(M80)&lt;=0,0,(N(AS80)-N(AR80))*90/N(M80))</f>
        <v/>
      </c>
      <c r="AU80" s="5">
        <f>IFERROR(AS80-VLOOKUP($C80,Assumptions!$A$36:$C$39,3,FALSE),"")</f>
        <v/>
      </c>
      <c r="AV80" s="3">
        <f>IFERROR(AU80/F80,"")</f>
        <v/>
      </c>
      <c r="AW80">
        <f>IF(AND($E80=TRUE,$C80="GKP"),AS80,"")</f>
        <v/>
      </c>
      <c r="AX80">
        <f>IF(AND($E80=TRUE,$C80="DEF"),AS80,"")</f>
        <v/>
      </c>
      <c r="AY80">
        <f>IF(AND($E80=TRUE,$C80="MID"),AS80,"")</f>
        <v/>
      </c>
      <c r="AZ80">
        <f>IF(AND($E80=TRUE,$C80="FWD"),AS80,"")</f>
        <v/>
      </c>
      <c r="BA80" t="n">
        <v>2</v>
      </c>
      <c r="BB80" t="n">
        <v>2</v>
      </c>
      <c r="BC80" t="n">
        <v>4</v>
      </c>
      <c r="BD80" t="n">
        <v>6</v>
      </c>
    </row>
    <row r="81">
      <c r="A81" t="inlineStr">
        <is>
          <t>Ismaïla Sarr</t>
        </is>
      </c>
      <c r="B81" t="inlineStr">
        <is>
          <t>CRY</t>
        </is>
      </c>
      <c r="C81" t="inlineStr">
        <is>
          <t>MID</t>
        </is>
      </c>
      <c r="D81" t="inlineStr">
        <is>
          <t>MID</t>
        </is>
      </c>
      <c r="E81" t="b">
        <v>1</v>
      </c>
      <c r="F81" s="2" t="n">
        <v>6.5</v>
      </c>
      <c r="G81" t="inlineStr">
        <is>
          <t>a</t>
        </is>
      </c>
      <c r="I81" s="2" t="n">
        <v>2173</v>
      </c>
      <c r="J81" t="n">
        <v>117</v>
      </c>
      <c r="K81" s="3" t="n">
        <v>3135</v>
      </c>
      <c r="L81" t="inlineStr">
        <is>
          <t>flat</t>
        </is>
      </c>
      <c r="M81" s="4" t="n">
        <v>3135</v>
      </c>
      <c r="N81" t="inlineStr">
        <is>
          <t>Solio</t>
        </is>
      </c>
      <c r="O81" s="5" t="n">
        <v>85</v>
      </c>
      <c r="P81" t="b">
        <v>1</v>
      </c>
      <c r="Q81" s="5">
        <f>IF(N(O81)&lt;=0,0,MIN(Assumptions!$B$15,N(M81)/N(O81)))</f>
        <v/>
      </c>
      <c r="R81" s="4" t="n">
        <v>0.216</v>
      </c>
      <c r="S81" s="3" t="n">
        <v>0.3601</v>
      </c>
      <c r="T81" t="inlineStr">
        <is>
          <t>adjusted xGOT</t>
        </is>
      </c>
      <c r="U81" s="3" t="n">
        <v>0.802</v>
      </c>
      <c r="V81" s="3" t="n">
        <v>0.992</v>
      </c>
      <c r="W81" s="3" t="n">
        <v>21.8</v>
      </c>
      <c r="X81" s="3" t="n">
        <v>0.0698</v>
      </c>
      <c r="Y81" s="3" t="n">
        <v>6.397</v>
      </c>
      <c r="Z81" s="3" t="n">
        <v>0.02104577712708566</v>
      </c>
      <c r="AA81" s="3" t="n">
        <v>0.4142</v>
      </c>
      <c r="AB81" s="3" t="n">
        <v>50</v>
      </c>
      <c r="AC81" s="3" t="n">
        <v>3.2035</v>
      </c>
      <c r="AD81" s="3" t="n">
        <v>1.5923</v>
      </c>
      <c r="AE81" s="3" t="n">
        <v>-0.1470613343008995</v>
      </c>
      <c r="AF81" s="4" t="n">
        <v>1.139107750193497</v>
      </c>
      <c r="AG81" s="3" t="n">
        <v>0</v>
      </c>
      <c r="AH81" s="3" t="n">
        <v>1.8005</v>
      </c>
      <c r="AI81" s="3" t="n">
        <v>0.276408</v>
      </c>
      <c r="AJ81" s="3">
        <f>N(R81)*N(BC81)</f>
        <v/>
      </c>
      <c r="AK81" s="3" t="n">
        <v>0.4142</v>
      </c>
      <c r="AL81" s="3" t="n">
        <v>0</v>
      </c>
      <c r="AM81" s="3" t="n">
        <v>-0</v>
      </c>
      <c r="AN81" s="3" t="n">
        <v>-0.1470613343008995</v>
      </c>
      <c r="AO81" s="3">
        <f>SUM(AH81:AN81)</f>
        <v/>
      </c>
      <c r="AP81" s="5">
        <f>IF(OR(N(Q81)&lt;=0,N(BA81)=0),0,N(Q81)*IF(N(M81)/N(Q81)&gt;=60,N(BA81),1))</f>
        <v/>
      </c>
      <c r="AQ81" s="5">
        <f>N(Q81)*N(Z81)*N(BB81)</f>
        <v/>
      </c>
      <c r="AR81" s="5">
        <f>N(AF81)*(Assumptions!$B$13*N(BD81)-(1-Assumptions!$B$13)*Assumptions!$B$14)+N(AG81)</f>
        <v/>
      </c>
      <c r="AS81" s="5">
        <f>N(AO81)*N(M81)/90+N(AP81)+N(AQ81)+N(AR81)</f>
        <v/>
      </c>
      <c r="AT81" s="3">
        <f>IF(N(M81)&lt;=0,0,(N(AS81)-N(AR81))*90/N(M81))</f>
        <v/>
      </c>
      <c r="AU81" s="5">
        <f>IFERROR(AS81-VLOOKUP($C81,Assumptions!$A$36:$C$39,3,FALSE),"")</f>
        <v/>
      </c>
      <c r="AV81" s="3">
        <f>IFERROR(AU81/F81,"")</f>
        <v/>
      </c>
      <c r="AW81">
        <f>IF(AND($E81=TRUE,$C81="GKP"),AS81,"")</f>
        <v/>
      </c>
      <c r="AX81">
        <f>IF(AND($E81=TRUE,$C81="DEF"),AS81,"")</f>
        <v/>
      </c>
      <c r="AY81">
        <f>IF(AND($E81=TRUE,$C81="MID"),AS81,"")</f>
        <v/>
      </c>
      <c r="AZ81">
        <f>IF(AND($E81=TRUE,$C81="FWD"),AS81,"")</f>
        <v/>
      </c>
      <c r="BA81" t="n">
        <v>2</v>
      </c>
      <c r="BB81" t="n">
        <v>2</v>
      </c>
      <c r="BC81" t="n">
        <v>1</v>
      </c>
      <c r="BD81" t="n">
        <v>5</v>
      </c>
    </row>
    <row r="82">
      <c r="A82" t="inlineStr">
        <is>
          <t>Yankuba Minteh</t>
        </is>
      </c>
      <c r="B82" t="inlineStr">
        <is>
          <t>BHA</t>
        </is>
      </c>
      <c r="C82" t="inlineStr">
        <is>
          <t>MID</t>
        </is>
      </c>
      <c r="D82" t="inlineStr">
        <is>
          <t>MID</t>
        </is>
      </c>
      <c r="E82" t="b">
        <v>1</v>
      </c>
      <c r="F82" s="2" t="n">
        <v>6</v>
      </c>
      <c r="G82" t="inlineStr">
        <is>
          <t>i</t>
        </is>
      </c>
      <c r="H82" t="inlineStr">
        <is>
          <t>Leg injury - Expected back 28 Nov</t>
        </is>
      </c>
      <c r="I82" s="2" t="n">
        <v>2389</v>
      </c>
      <c r="J82" t="n">
        <v>117</v>
      </c>
      <c r="K82" s="3" t="n">
        <v>2713</v>
      </c>
      <c r="L82" t="inlineStr">
        <is>
          <t>ramp-up (injury / late WC return)</t>
        </is>
      </c>
      <c r="M82" s="4" t="n">
        <v>2713</v>
      </c>
      <c r="N82" t="inlineStr">
        <is>
          <t>Solio</t>
        </is>
      </c>
      <c r="O82" s="5" t="n">
        <v>83.2</v>
      </c>
      <c r="P82" t="b">
        <v>1</v>
      </c>
      <c r="Q82" s="5">
        <f>IF(N(O82)&lt;=0,0,MIN(Assumptions!$B$15,N(M82)/N(O82)))</f>
        <v/>
      </c>
      <c r="R82" s="4" t="n">
        <v>0.252</v>
      </c>
      <c r="S82" s="3" t="n">
        <v>0.1513</v>
      </c>
      <c r="T82" t="inlineStr">
        <is>
          <t>adjusted xGOT</t>
        </is>
      </c>
      <c r="U82" s="3" t="n">
        <v>1</v>
      </c>
      <c r="V82" s="3" t="n">
        <v>1.054</v>
      </c>
      <c r="W82" s="3" t="n">
        <v>7.9</v>
      </c>
      <c r="X82" s="3" t="n">
        <v>0.2053</v>
      </c>
      <c r="Y82" s="3" t="n">
        <v>7.342</v>
      </c>
      <c r="Z82" s="3" t="n">
        <v>0.04431655346634622</v>
      </c>
      <c r="AA82" s="3" t="n">
        <v>0.3767</v>
      </c>
      <c r="AB82" s="3" t="n">
        <v>59</v>
      </c>
      <c r="AC82" s="3" t="n">
        <v>2.8404</v>
      </c>
      <c r="AD82" s="3" t="n">
        <v>1.439</v>
      </c>
      <c r="AE82" s="3" t="n">
        <v>-0.1954537232895024</v>
      </c>
      <c r="AF82" s="4" t="n">
        <v>0</v>
      </c>
      <c r="AG82" s="3" t="n">
        <v>0</v>
      </c>
      <c r="AH82" s="3" t="n">
        <v>0.7565</v>
      </c>
      <c r="AI82" s="3" t="n">
        <v>0.812988</v>
      </c>
      <c r="AJ82" s="3">
        <f>N(R82)*N(BC82)</f>
        <v/>
      </c>
      <c r="AK82" s="3" t="n">
        <v>0.3767</v>
      </c>
      <c r="AL82" s="3" t="n">
        <v>0</v>
      </c>
      <c r="AM82" s="3" t="n">
        <v>-0</v>
      </c>
      <c r="AN82" s="3" t="n">
        <v>-0.1954537232895024</v>
      </c>
      <c r="AO82" s="3">
        <f>SUM(AH82:AN82)</f>
        <v/>
      </c>
      <c r="AP82" s="5">
        <f>IF(OR(N(Q82)&lt;=0,N(BA82)=0),0,N(Q82)*IF(N(M82)/N(Q82)&gt;=60,N(BA82),1))</f>
        <v/>
      </c>
      <c r="AQ82" s="5">
        <f>N(Q82)*N(Z82)*N(BB82)</f>
        <v/>
      </c>
      <c r="AR82" s="5">
        <f>N(AF82)*(Assumptions!$B$13*N(BD82)-(1-Assumptions!$B$13)*Assumptions!$B$14)+N(AG82)</f>
        <v/>
      </c>
      <c r="AS82" s="5">
        <f>N(AO82)*N(M82)/90+N(AP82)+N(AQ82)+N(AR82)</f>
        <v/>
      </c>
      <c r="AT82" s="3">
        <f>IF(N(M82)&lt;=0,0,(N(AS82)-N(AR82))*90/N(M82))</f>
        <v/>
      </c>
      <c r="AU82" s="5">
        <f>IFERROR(AS82-VLOOKUP($C82,Assumptions!$A$36:$C$39,3,FALSE),"")</f>
        <v/>
      </c>
      <c r="AV82" s="3">
        <f>IFERROR(AU82/F82,"")</f>
        <v/>
      </c>
      <c r="AW82">
        <f>IF(AND($E82=TRUE,$C82="GKP"),AS82,"")</f>
        <v/>
      </c>
      <c r="AX82">
        <f>IF(AND($E82=TRUE,$C82="DEF"),AS82,"")</f>
        <v/>
      </c>
      <c r="AY82">
        <f>IF(AND($E82=TRUE,$C82="MID"),AS82,"")</f>
        <v/>
      </c>
      <c r="AZ82">
        <f>IF(AND($E82=TRUE,$C82="FWD"),AS82,"")</f>
        <v/>
      </c>
      <c r="BA82" t="n">
        <v>2</v>
      </c>
      <c r="BB82" t="n">
        <v>2</v>
      </c>
      <c r="BC82" t="n">
        <v>1</v>
      </c>
      <c r="BD82" t="n">
        <v>5</v>
      </c>
    </row>
    <row r="83">
      <c r="A83" t="inlineStr">
        <is>
          <t>Pedro Porro</t>
        </is>
      </c>
      <c r="B83" t="inlineStr">
        <is>
          <t>TOT</t>
        </is>
      </c>
      <c r="C83" t="inlineStr">
        <is>
          <t>DEF</t>
        </is>
      </c>
      <c r="D83" t="inlineStr">
        <is>
          <t>DEF</t>
        </is>
      </c>
      <c r="E83" t="b">
        <v>1</v>
      </c>
      <c r="F83" s="2" t="n">
        <v>5.5</v>
      </c>
      <c r="G83" t="inlineStr">
        <is>
          <t>a</t>
        </is>
      </c>
      <c r="I83" s="2" t="n">
        <v>2793</v>
      </c>
      <c r="J83" t="n">
        <v>117</v>
      </c>
      <c r="K83" s="3" t="n">
        <v>3084</v>
      </c>
      <c r="L83" t="inlineStr">
        <is>
          <t>flat</t>
        </is>
      </c>
      <c r="M83" s="4" t="n">
        <v>3084</v>
      </c>
      <c r="N83" t="inlineStr">
        <is>
          <t>Solio</t>
        </is>
      </c>
      <c r="O83" s="5" t="n">
        <v>86.09999999999999</v>
      </c>
      <c r="P83" t="b">
        <v>1</v>
      </c>
      <c r="Q83" s="5">
        <f>IF(N(O83)&lt;=0,0,MIN(Assumptions!$B$15,N(M83)/N(O83)))</f>
        <v/>
      </c>
      <c r="R83" s="4" t="n">
        <v>0.286</v>
      </c>
      <c r="S83" s="3" t="n">
        <v>0.0338</v>
      </c>
      <c r="T83" t="inlineStr">
        <is>
          <t>adjusted xGOT</t>
        </is>
      </c>
      <c r="U83" s="3" t="n">
        <v>1</v>
      </c>
      <c r="V83" s="3" t="n">
        <v>0.999</v>
      </c>
      <c r="W83" s="3" t="n">
        <v>7.4</v>
      </c>
      <c r="X83" s="3" t="n">
        <v>0.1388</v>
      </c>
      <c r="Y83" s="3" t="n">
        <v>7.16</v>
      </c>
      <c r="Z83" s="3" t="n">
        <v>0.1545990967386239</v>
      </c>
      <c r="AA83" s="3" t="n">
        <v>0.29</v>
      </c>
      <c r="AB83" s="3" t="n">
        <v>65</v>
      </c>
      <c r="AC83" s="3" t="n">
        <v>2.5739</v>
      </c>
      <c r="AD83" s="3" t="n">
        <v>1.3096</v>
      </c>
      <c r="AE83" s="3" t="n">
        <v>-0.240461622393701</v>
      </c>
      <c r="AF83" s="4" t="n">
        <v>0</v>
      </c>
      <c r="AG83" s="3" t="n">
        <v>0</v>
      </c>
      <c r="AH83" s="3" t="n">
        <v>0.2028</v>
      </c>
      <c r="AI83" s="3" t="n">
        <v>0.549648</v>
      </c>
      <c r="AJ83" s="3">
        <f>N(R83)*N(BC83)</f>
        <v/>
      </c>
      <c r="AK83" s="3" t="n">
        <v>0.29</v>
      </c>
      <c r="AL83" s="3" t="n">
        <v>0</v>
      </c>
      <c r="AM83" s="3" t="n">
        <v>-0.4230152821052008</v>
      </c>
      <c r="AN83" s="3" t="n">
        <v>-0.240461622393701</v>
      </c>
      <c r="AO83" s="3">
        <f>SUM(AH83:AN83)</f>
        <v/>
      </c>
      <c r="AP83" s="5">
        <f>IF(OR(N(Q83)&lt;=0,N(BA83)=0),0,N(Q83)*IF(N(M83)/N(Q83)&gt;=60,N(BA83),1))</f>
        <v/>
      </c>
      <c r="AQ83" s="5">
        <f>N(Q83)*N(Z83)*N(BB83)</f>
        <v/>
      </c>
      <c r="AR83" s="5">
        <f>N(AF83)*(Assumptions!$B$13*N(BD83)-(1-Assumptions!$B$13)*Assumptions!$B$14)+N(AG83)</f>
        <v/>
      </c>
      <c r="AS83" s="5">
        <f>N(AO83)*N(M83)/90+N(AP83)+N(AQ83)+N(AR83)</f>
        <v/>
      </c>
      <c r="AT83" s="3">
        <f>IF(N(M83)&lt;=0,0,(N(AS83)-N(AR83))*90/N(M83))</f>
        <v/>
      </c>
      <c r="AU83" s="5">
        <f>IFERROR(AS83-VLOOKUP($C83,Assumptions!$A$36:$C$39,3,FALSE),"")</f>
        <v/>
      </c>
      <c r="AV83" s="3">
        <f>IFERROR(AU83/F83,"")</f>
        <v/>
      </c>
      <c r="AW83">
        <f>IF(AND($E83=TRUE,$C83="GKP"),AS83,"")</f>
        <v/>
      </c>
      <c r="AX83">
        <f>IF(AND($E83=TRUE,$C83="DEF"),AS83,"")</f>
        <v/>
      </c>
      <c r="AY83">
        <f>IF(AND($E83=TRUE,$C83="MID"),AS83,"")</f>
        <v/>
      </c>
      <c r="AZ83">
        <f>IF(AND($E83=TRUE,$C83="FWD"),AS83,"")</f>
        <v/>
      </c>
      <c r="BA83" t="n">
        <v>2</v>
      </c>
      <c r="BB83" t="n">
        <v>2</v>
      </c>
      <c r="BC83" t="n">
        <v>4</v>
      </c>
      <c r="BD83" t="n">
        <v>6</v>
      </c>
    </row>
    <row r="84">
      <c r="A84" t="inlineStr">
        <is>
          <t>Matty Cash</t>
        </is>
      </c>
      <c r="B84" t="inlineStr">
        <is>
          <t>AVL</t>
        </is>
      </c>
      <c r="C84" t="inlineStr">
        <is>
          <t>DEF</t>
        </is>
      </c>
      <c r="D84" t="inlineStr">
        <is>
          <t>DEF</t>
        </is>
      </c>
      <c r="E84" t="b">
        <v>1</v>
      </c>
      <c r="F84" s="2" t="n">
        <v>4.5</v>
      </c>
      <c r="G84" t="inlineStr">
        <is>
          <t>a</t>
        </is>
      </c>
      <c r="I84" s="2" t="n">
        <v>3016</v>
      </c>
      <c r="J84" t="n">
        <v>117</v>
      </c>
      <c r="K84" s="3" t="n">
        <v>3342</v>
      </c>
      <c r="L84" t="inlineStr">
        <is>
          <t>flat</t>
        </is>
      </c>
      <c r="M84" s="4" t="n">
        <v>3342</v>
      </c>
      <c r="N84" t="inlineStr">
        <is>
          <t>Solio</t>
        </is>
      </c>
      <c r="O84" s="5" t="n">
        <v>87.40000000000001</v>
      </c>
      <c r="P84" t="b">
        <v>1</v>
      </c>
      <c r="Q84" s="5">
        <f>IF(N(O84)&lt;=0,0,MIN(Assumptions!$B$15,N(M84)/N(O84)))</f>
        <v/>
      </c>
      <c r="R84" s="4" t="n">
        <v>0.273</v>
      </c>
      <c r="S84" s="3" t="n">
        <v>0.0354</v>
      </c>
      <c r="T84" t="inlineStr">
        <is>
          <t>adjusted xGOT</t>
        </is>
      </c>
      <c r="U84" s="3" t="n">
        <v>1</v>
      </c>
      <c r="V84" s="3" t="n">
        <v>1.04</v>
      </c>
      <c r="W84" s="3" t="n">
        <v>6.2</v>
      </c>
      <c r="X84" s="3" t="n">
        <v>0.09180000000000001</v>
      </c>
      <c r="Y84" s="3" t="n">
        <v>5.962</v>
      </c>
      <c r="Z84" s="3" t="n">
        <v>0.07021143395428053</v>
      </c>
      <c r="AA84" s="3" t="n">
        <v>0.2089</v>
      </c>
      <c r="AB84" s="3" t="n">
        <v>68</v>
      </c>
      <c r="AC84" s="3" t="n">
        <v>2.7451</v>
      </c>
      <c r="AD84" s="3" t="n">
        <v>1.3575</v>
      </c>
      <c r="AE84" s="3" t="n">
        <v>-0.2867403568316323</v>
      </c>
      <c r="AF84" s="4" t="n">
        <v>0</v>
      </c>
      <c r="AG84" s="3" t="n">
        <v>0</v>
      </c>
      <c r="AH84" s="3" t="n">
        <v>0.2124</v>
      </c>
      <c r="AI84" s="3" t="n">
        <v>0.3635280000000001</v>
      </c>
      <c r="AJ84" s="3">
        <f>N(R84)*N(BC84)</f>
        <v/>
      </c>
      <c r="AK84" s="3" t="n">
        <v>0.2089</v>
      </c>
      <c r="AL84" s="3" t="n">
        <v>0</v>
      </c>
      <c r="AM84" s="3" t="n">
        <v>-0.4453012382517575</v>
      </c>
      <c r="AN84" s="3" t="n">
        <v>-0.2867403568316323</v>
      </c>
      <c r="AO84" s="3">
        <f>SUM(AH84:AN84)</f>
        <v/>
      </c>
      <c r="AP84" s="5">
        <f>IF(OR(N(Q84)&lt;=0,N(BA84)=0),0,N(Q84)*IF(N(M84)/N(Q84)&gt;=60,N(BA84),1))</f>
        <v/>
      </c>
      <c r="AQ84" s="5">
        <f>N(Q84)*N(Z84)*N(BB84)</f>
        <v/>
      </c>
      <c r="AR84" s="5">
        <f>N(AF84)*(Assumptions!$B$13*N(BD84)-(1-Assumptions!$B$13)*Assumptions!$B$14)+N(AG84)</f>
        <v/>
      </c>
      <c r="AS84" s="5">
        <f>N(AO84)*N(M84)/90+N(AP84)+N(AQ84)+N(AR84)</f>
        <v/>
      </c>
      <c r="AT84" s="3">
        <f>IF(N(M84)&lt;=0,0,(N(AS84)-N(AR84))*90/N(M84))</f>
        <v/>
      </c>
      <c r="AU84" s="5">
        <f>IFERROR(AS84-VLOOKUP($C84,Assumptions!$A$36:$C$39,3,FALSE),"")</f>
        <v/>
      </c>
      <c r="AV84" s="3">
        <f>IFERROR(AU84/F84,"")</f>
        <v/>
      </c>
      <c r="AW84">
        <f>IF(AND($E84=TRUE,$C84="GKP"),AS84,"")</f>
        <v/>
      </c>
      <c r="AX84">
        <f>IF(AND($E84=TRUE,$C84="DEF"),AS84,"")</f>
        <v/>
      </c>
      <c r="AY84">
        <f>IF(AND($E84=TRUE,$C84="MID"),AS84,"")</f>
        <v/>
      </c>
      <c r="AZ84">
        <f>IF(AND($E84=TRUE,$C84="FWD"),AS84,"")</f>
        <v/>
      </c>
      <c r="BA84" t="n">
        <v>2</v>
      </c>
      <c r="BB84" t="n">
        <v>2</v>
      </c>
      <c r="BC84" t="n">
        <v>4</v>
      </c>
      <c r="BD84" t="n">
        <v>6</v>
      </c>
    </row>
    <row r="85">
      <c r="A85" t="inlineStr">
        <is>
          <t>Dan Ballard</t>
        </is>
      </c>
      <c r="B85" t="inlineStr">
        <is>
          <t>SUN</t>
        </is>
      </c>
      <c r="C85" t="inlineStr">
        <is>
          <t>DEF</t>
        </is>
      </c>
      <c r="D85" t="inlineStr">
        <is>
          <t>DEF</t>
        </is>
      </c>
      <c r="E85" t="b">
        <v>1</v>
      </c>
      <c r="F85" s="2" t="n">
        <v>5</v>
      </c>
      <c r="G85" t="inlineStr">
        <is>
          <t>a</t>
        </is>
      </c>
      <c r="I85" s="2" t="n">
        <v>2144</v>
      </c>
      <c r="J85" t="n">
        <v>116</v>
      </c>
      <c r="K85" s="3" t="n">
        <v>2867</v>
      </c>
      <c r="L85" t="inlineStr">
        <is>
          <t>flat</t>
        </is>
      </c>
      <c r="M85" s="4" t="n">
        <v>2867</v>
      </c>
      <c r="N85" t="inlineStr">
        <is>
          <t>Solio</t>
        </is>
      </c>
      <c r="O85" s="5" t="n">
        <v>82.2</v>
      </c>
      <c r="P85" t="b">
        <v>1</v>
      </c>
      <c r="Q85" s="5">
        <f>IF(N(O85)&lt;=0,0,MIN(Assumptions!$B$15,N(M85)/N(O85)))</f>
        <v/>
      </c>
      <c r="R85" s="4" t="n">
        <v>0.204</v>
      </c>
      <c r="S85" s="3" t="n">
        <v>0.1017</v>
      </c>
      <c r="T85" t="inlineStr">
        <is>
          <t>adjusted xGOT</t>
        </is>
      </c>
      <c r="U85" s="3" t="n">
        <v>1</v>
      </c>
      <c r="V85" s="3" t="n">
        <v>0.985</v>
      </c>
      <c r="W85" s="3" t="n">
        <v>2.5</v>
      </c>
      <c r="X85" s="3" t="n">
        <v>0.0464</v>
      </c>
      <c r="Y85" s="3" t="n">
        <v>10.228</v>
      </c>
      <c r="Z85" s="3" t="n">
        <v>0.4575007180593826</v>
      </c>
      <c r="AA85" s="3" t="n">
        <v>0.3358</v>
      </c>
      <c r="AB85" s="3" t="n">
        <v>51</v>
      </c>
      <c r="AC85" s="3" t="n">
        <v>3.3348</v>
      </c>
      <c r="AD85" s="3" t="n">
        <v>1.6498</v>
      </c>
      <c r="AE85" s="3" t="n">
        <v>-0.1953022783528675</v>
      </c>
      <c r="AF85" s="4" t="n">
        <v>0</v>
      </c>
      <c r="AG85" s="3" t="n">
        <v>0</v>
      </c>
      <c r="AH85" s="3" t="n">
        <v>0.6102</v>
      </c>
      <c r="AI85" s="3" t="n">
        <v>0.183744</v>
      </c>
      <c r="AJ85" s="3">
        <f>N(R85)*N(BC85)</f>
        <v/>
      </c>
      <c r="AK85" s="3" t="n">
        <v>0.3358</v>
      </c>
      <c r="AL85" s="3" t="n">
        <v>0</v>
      </c>
      <c r="AM85" s="3" t="n">
        <v>-0.5841244809045405</v>
      </c>
      <c r="AN85" s="3" t="n">
        <v>-0.1953022783528675</v>
      </c>
      <c r="AO85" s="3">
        <f>SUM(AH85:AN85)</f>
        <v/>
      </c>
      <c r="AP85" s="5">
        <f>IF(OR(N(Q85)&lt;=0,N(BA85)=0),0,N(Q85)*IF(N(M85)/N(Q85)&gt;=60,N(BA85),1))</f>
        <v/>
      </c>
      <c r="AQ85" s="5">
        <f>N(Q85)*N(Z85)*N(BB85)</f>
        <v/>
      </c>
      <c r="AR85" s="5">
        <f>N(AF85)*(Assumptions!$B$13*N(BD85)-(1-Assumptions!$B$13)*Assumptions!$B$14)+N(AG85)</f>
        <v/>
      </c>
      <c r="AS85" s="5">
        <f>N(AO85)*N(M85)/90+N(AP85)+N(AQ85)+N(AR85)</f>
        <v/>
      </c>
      <c r="AT85" s="3">
        <f>IF(N(M85)&lt;=0,0,(N(AS85)-N(AR85))*90/N(M85))</f>
        <v/>
      </c>
      <c r="AU85" s="5">
        <f>IFERROR(AS85-VLOOKUP($C85,Assumptions!$A$36:$C$39,3,FALSE),"")</f>
        <v/>
      </c>
      <c r="AV85" s="3">
        <f>IFERROR(AU85/F85,"")</f>
        <v/>
      </c>
      <c r="AW85">
        <f>IF(AND($E85=TRUE,$C85="GKP"),AS85,"")</f>
        <v/>
      </c>
      <c r="AX85">
        <f>IF(AND($E85=TRUE,$C85="DEF"),AS85,"")</f>
        <v/>
      </c>
      <c r="AY85">
        <f>IF(AND($E85=TRUE,$C85="MID"),AS85,"")</f>
        <v/>
      </c>
      <c r="AZ85">
        <f>IF(AND($E85=TRUE,$C85="FWD"),AS85,"")</f>
        <v/>
      </c>
      <c r="BA85" t="n">
        <v>2</v>
      </c>
      <c r="BB85" t="n">
        <v>2</v>
      </c>
      <c r="BC85" t="n">
        <v>4</v>
      </c>
      <c r="BD85" t="n">
        <v>6</v>
      </c>
    </row>
    <row r="86">
      <c r="A86" t="inlineStr">
        <is>
          <t>Jake O'Brien</t>
        </is>
      </c>
      <c r="B86" t="inlineStr">
        <is>
          <t>EVE</t>
        </is>
      </c>
      <c r="C86" t="inlineStr">
        <is>
          <t>DEF</t>
        </is>
      </c>
      <c r="D86" t="inlineStr">
        <is>
          <t>DEF</t>
        </is>
      </c>
      <c r="E86" t="b">
        <v>1</v>
      </c>
      <c r="F86" s="2" t="n">
        <v>5</v>
      </c>
      <c r="G86" t="inlineStr">
        <is>
          <t>a</t>
        </is>
      </c>
      <c r="I86" s="2" t="n">
        <v>3118</v>
      </c>
      <c r="J86" t="n">
        <v>116</v>
      </c>
      <c r="K86" s="3" t="n">
        <v>3164</v>
      </c>
      <c r="L86" t="inlineStr">
        <is>
          <t>flat</t>
        </is>
      </c>
      <c r="M86" s="4" t="n">
        <v>3164</v>
      </c>
      <c r="N86" t="inlineStr">
        <is>
          <t>Solio</t>
        </is>
      </c>
      <c r="O86" s="5" t="n">
        <v>86.8</v>
      </c>
      <c r="P86" t="b">
        <v>1</v>
      </c>
      <c r="Q86" s="5">
        <f>IF(N(O86)&lt;=0,0,MIN(Assumptions!$B$15,N(M86)/N(O86)))</f>
        <v/>
      </c>
      <c r="R86" s="4" t="n">
        <v>0.231</v>
      </c>
      <c r="S86" s="3" t="n">
        <v>0.0554</v>
      </c>
      <c r="T86" t="inlineStr">
        <is>
          <t>adjusted xGOT</t>
        </is>
      </c>
      <c r="U86" s="3" t="n">
        <v>1</v>
      </c>
      <c r="V86" s="3" t="n">
        <v>1.149</v>
      </c>
      <c r="W86" s="3" t="n">
        <v>2.4</v>
      </c>
      <c r="X86" s="3" t="n">
        <v>0.0249</v>
      </c>
      <c r="Y86" s="3" t="n">
        <v>6.859</v>
      </c>
      <c r="Z86" s="3" t="n">
        <v>0.132712112117616</v>
      </c>
      <c r="AA86" s="3" t="n">
        <v>0.1155</v>
      </c>
      <c r="AB86" s="3" t="n">
        <v>73</v>
      </c>
      <c r="AC86" s="3" t="n">
        <v>3.0311</v>
      </c>
      <c r="AD86" s="3" t="n">
        <v>1.5252</v>
      </c>
      <c r="AE86" s="3" t="n">
        <v>-0.2165118397552843</v>
      </c>
      <c r="AF86" s="4" t="n">
        <v>0</v>
      </c>
      <c r="AG86" s="3" t="n">
        <v>0</v>
      </c>
      <c r="AH86" s="3" t="n">
        <v>0.3324</v>
      </c>
      <c r="AI86" s="3" t="n">
        <v>0.09860399999999998</v>
      </c>
      <c r="AJ86" s="3">
        <f>N(R86)*N(BC86)</f>
        <v/>
      </c>
      <c r="AK86" s="3" t="n">
        <v>0.1155</v>
      </c>
      <c r="AL86" s="3" t="n">
        <v>0</v>
      </c>
      <c r="AM86" s="3" t="n">
        <v>-0.524434996152324</v>
      </c>
      <c r="AN86" s="3" t="n">
        <v>-0.2165118397552843</v>
      </c>
      <c r="AO86" s="3">
        <f>SUM(AH86:AN86)</f>
        <v/>
      </c>
      <c r="AP86" s="5">
        <f>IF(OR(N(Q86)&lt;=0,N(BA86)=0),0,N(Q86)*IF(N(M86)/N(Q86)&gt;=60,N(BA86),1))</f>
        <v/>
      </c>
      <c r="AQ86" s="5">
        <f>N(Q86)*N(Z86)*N(BB86)</f>
        <v/>
      </c>
      <c r="AR86" s="5">
        <f>N(AF86)*(Assumptions!$B$13*N(BD86)-(1-Assumptions!$B$13)*Assumptions!$B$14)+N(AG86)</f>
        <v/>
      </c>
      <c r="AS86" s="5">
        <f>N(AO86)*N(M86)/90+N(AP86)+N(AQ86)+N(AR86)</f>
        <v/>
      </c>
      <c r="AT86" s="3">
        <f>IF(N(M86)&lt;=0,0,(N(AS86)-N(AR86))*90/N(M86))</f>
        <v/>
      </c>
      <c r="AU86" s="5">
        <f>IFERROR(AS86-VLOOKUP($C86,Assumptions!$A$36:$C$39,3,FALSE),"")</f>
        <v/>
      </c>
      <c r="AV86" s="3">
        <f>IFERROR(AU86/F86,"")</f>
        <v/>
      </c>
      <c r="AW86">
        <f>IF(AND($E86=TRUE,$C86="GKP"),AS86,"")</f>
        <v/>
      </c>
      <c r="AX86">
        <f>IF(AND($E86=TRUE,$C86="DEF"),AS86,"")</f>
        <v/>
      </c>
      <c r="AY86">
        <f>IF(AND($E86=TRUE,$C86="MID"),AS86,"")</f>
        <v/>
      </c>
      <c r="AZ86">
        <f>IF(AND($E86=TRUE,$C86="FWD"),AS86,"")</f>
        <v/>
      </c>
      <c r="BA86" t="n">
        <v>2</v>
      </c>
      <c r="BB86" t="n">
        <v>2</v>
      </c>
      <c r="BC86" t="n">
        <v>4</v>
      </c>
      <c r="BD86" t="n">
        <v>6</v>
      </c>
    </row>
    <row r="87">
      <c r="A87" t="inlineStr">
        <is>
          <t>Micky van de Ven</t>
        </is>
      </c>
      <c r="B87" t="inlineStr">
        <is>
          <t>TOT</t>
        </is>
      </c>
      <c r="C87" t="inlineStr">
        <is>
          <t>DEF</t>
        </is>
      </c>
      <c r="D87" t="inlineStr">
        <is>
          <t>DEF</t>
        </is>
      </c>
      <c r="E87" t="b">
        <v>1</v>
      </c>
      <c r="F87" s="2" t="n">
        <v>5</v>
      </c>
      <c r="G87" t="inlineStr">
        <is>
          <t>a</t>
        </is>
      </c>
      <c r="I87" s="2" t="n">
        <v>3041</v>
      </c>
      <c r="J87" t="n">
        <v>116</v>
      </c>
      <c r="K87" s="3" t="n">
        <v>3089</v>
      </c>
      <c r="L87" t="inlineStr">
        <is>
          <t>flat</t>
        </is>
      </c>
      <c r="M87" s="4" t="n">
        <v>3089</v>
      </c>
      <c r="N87" t="inlineStr">
        <is>
          <t>Solio</t>
        </is>
      </c>
      <c r="O87" s="5" t="n">
        <v>86.90000000000001</v>
      </c>
      <c r="P87" t="b">
        <v>1</v>
      </c>
      <c r="Q87" s="5">
        <f>IF(N(O87)&lt;=0,0,MIN(Assumptions!$B$15,N(M87)/N(O87)))</f>
        <v/>
      </c>
      <c r="R87" s="4" t="n">
        <v>0.286</v>
      </c>
      <c r="S87" s="3" t="n">
        <v>0.09760000000000001</v>
      </c>
      <c r="T87" t="inlineStr">
        <is>
          <t>adjusted xGOT</t>
        </is>
      </c>
      <c r="U87" s="3" t="n">
        <v>1</v>
      </c>
      <c r="V87" s="3" t="n">
        <v>1.17</v>
      </c>
      <c r="W87" s="3" t="n">
        <v>4</v>
      </c>
      <c r="X87" s="3" t="n">
        <v>0.0206</v>
      </c>
      <c r="Y87" s="3" t="n">
        <v>6.544</v>
      </c>
      <c r="Z87" s="3" t="n">
        <v>0.1075975698204745</v>
      </c>
      <c r="AA87" s="3" t="n">
        <v>0.2664</v>
      </c>
      <c r="AB87" s="3" t="n">
        <v>68</v>
      </c>
      <c r="AC87" s="3" t="n">
        <v>2.5739</v>
      </c>
      <c r="AD87" s="3" t="n">
        <v>1.3096</v>
      </c>
      <c r="AE87" s="3" t="n">
        <v>-0.2651477319551837</v>
      </c>
      <c r="AF87" s="4" t="n">
        <v>0</v>
      </c>
      <c r="AG87" s="3" t="n">
        <v>0</v>
      </c>
      <c r="AH87" s="3" t="n">
        <v>0.5856</v>
      </c>
      <c r="AI87" s="3" t="n">
        <v>0.08157600000000001</v>
      </c>
      <c r="AJ87" s="3">
        <f>N(R87)*N(BC87)</f>
        <v/>
      </c>
      <c r="AK87" s="3" t="n">
        <v>0.2664</v>
      </c>
      <c r="AL87" s="3" t="n">
        <v>0</v>
      </c>
      <c r="AM87" s="3" t="n">
        <v>-0.4230152821052008</v>
      </c>
      <c r="AN87" s="3" t="n">
        <v>-0.2651477319551837</v>
      </c>
      <c r="AO87" s="3">
        <f>SUM(AH87:AN87)</f>
        <v/>
      </c>
      <c r="AP87" s="5">
        <f>IF(OR(N(Q87)&lt;=0,N(BA87)=0),0,N(Q87)*IF(N(M87)/N(Q87)&gt;=60,N(BA87),1))</f>
        <v/>
      </c>
      <c r="AQ87" s="5">
        <f>N(Q87)*N(Z87)*N(BB87)</f>
        <v/>
      </c>
      <c r="AR87" s="5">
        <f>N(AF87)*(Assumptions!$B$13*N(BD87)-(1-Assumptions!$B$13)*Assumptions!$B$14)+N(AG87)</f>
        <v/>
      </c>
      <c r="AS87" s="5">
        <f>N(AO87)*N(M87)/90+N(AP87)+N(AQ87)+N(AR87)</f>
        <v/>
      </c>
      <c r="AT87" s="3">
        <f>IF(N(M87)&lt;=0,0,(N(AS87)-N(AR87))*90/N(M87))</f>
        <v/>
      </c>
      <c r="AU87" s="5">
        <f>IFERROR(AS87-VLOOKUP($C87,Assumptions!$A$36:$C$39,3,FALSE),"")</f>
        <v/>
      </c>
      <c r="AV87" s="3">
        <f>IFERROR(AU87/F87,"")</f>
        <v/>
      </c>
      <c r="AW87">
        <f>IF(AND($E87=TRUE,$C87="GKP"),AS87,"")</f>
        <v/>
      </c>
      <c r="AX87">
        <f>IF(AND($E87=TRUE,$C87="DEF"),AS87,"")</f>
        <v/>
      </c>
      <c r="AY87">
        <f>IF(AND($E87=TRUE,$C87="MID"),AS87,"")</f>
        <v/>
      </c>
      <c r="AZ87">
        <f>IF(AND($E87=TRUE,$C87="FWD"),AS87,"")</f>
        <v/>
      </c>
      <c r="BA87" t="n">
        <v>2</v>
      </c>
      <c r="BB87" t="n">
        <v>2</v>
      </c>
      <c r="BC87" t="n">
        <v>4</v>
      </c>
      <c r="BD87" t="n">
        <v>6</v>
      </c>
    </row>
    <row r="88">
      <c r="A88" t="inlineStr">
        <is>
          <t>Reece James</t>
        </is>
      </c>
      <c r="B88" t="inlineStr">
        <is>
          <t>CHE</t>
        </is>
      </c>
      <c r="C88" t="inlineStr">
        <is>
          <t>DEF</t>
        </is>
      </c>
      <c r="D88" t="inlineStr">
        <is>
          <t>DEF</t>
        </is>
      </c>
      <c r="E88" t="b">
        <v>1</v>
      </c>
      <c r="F88" s="2" t="n">
        <v>5.5</v>
      </c>
      <c r="G88" t="inlineStr">
        <is>
          <t>a</t>
        </is>
      </c>
      <c r="I88" s="2" t="n">
        <v>1957</v>
      </c>
      <c r="J88" t="n">
        <v>115</v>
      </c>
      <c r="K88" s="3" t="n">
        <v>2400</v>
      </c>
      <c r="L88" t="inlineStr">
        <is>
          <t>flat</t>
        </is>
      </c>
      <c r="M88" s="4" t="n">
        <v>2400</v>
      </c>
      <c r="N88" t="inlineStr">
        <is>
          <t>Solio</t>
        </is>
      </c>
      <c r="O88" s="5" t="n">
        <v>86.2</v>
      </c>
      <c r="P88" t="b">
        <v>1</v>
      </c>
      <c r="Q88" s="5">
        <f>IF(N(O88)&lt;=0,0,MIN(Assumptions!$B$15,N(M88)/N(O88)))</f>
        <v/>
      </c>
      <c r="R88" s="4" t="n">
        <v>0.322</v>
      </c>
      <c r="S88" s="3" t="n">
        <v>0.0538</v>
      </c>
      <c r="T88" t="inlineStr">
        <is>
          <t>adjusted xGOT</t>
        </is>
      </c>
      <c r="U88" s="3" t="n">
        <v>1</v>
      </c>
      <c r="V88" s="3" t="n">
        <v>1.124</v>
      </c>
      <c r="W88" s="3" t="n">
        <v>2.8</v>
      </c>
      <c r="X88" s="3" t="n">
        <v>0.1654</v>
      </c>
      <c r="Y88" s="3" t="n">
        <v>6.37</v>
      </c>
      <c r="Z88" s="3" t="n">
        <v>0.09105542394720767</v>
      </c>
      <c r="AA88" s="3" t="n">
        <v>0.5518999999999999</v>
      </c>
      <c r="AB88" s="3" t="n">
        <v>48</v>
      </c>
      <c r="AC88" s="3" t="n">
        <v>2.4232</v>
      </c>
      <c r="AD88" s="3" t="n">
        <v>1.1851</v>
      </c>
      <c r="AE88" s="3" t="n">
        <v>-0.182716576620074</v>
      </c>
      <c r="AF88" s="4" t="n">
        <v>0</v>
      </c>
      <c r="AG88" s="3" t="n">
        <v>0</v>
      </c>
      <c r="AH88" s="3" t="n">
        <v>0.3228</v>
      </c>
      <c r="AI88" s="3" t="n">
        <v>0.654984</v>
      </c>
      <c r="AJ88" s="3">
        <f>N(R88)*N(BC88)</f>
        <v/>
      </c>
      <c r="AK88" s="3" t="n">
        <v>0.5518999999999999</v>
      </c>
      <c r="AL88" s="3" t="n">
        <v>0</v>
      </c>
      <c r="AM88" s="3" t="n">
        <v>-0.365915508000572</v>
      </c>
      <c r="AN88" s="3" t="n">
        <v>-0.182716576620074</v>
      </c>
      <c r="AO88" s="3">
        <f>SUM(AH88:AN88)</f>
        <v/>
      </c>
      <c r="AP88" s="5">
        <f>IF(OR(N(Q88)&lt;=0,N(BA88)=0),0,N(Q88)*IF(N(M88)/N(Q88)&gt;=60,N(BA88),1))</f>
        <v/>
      </c>
      <c r="AQ88" s="5">
        <f>N(Q88)*N(Z88)*N(BB88)</f>
        <v/>
      </c>
      <c r="AR88" s="5">
        <f>N(AF88)*(Assumptions!$B$13*N(BD88)-(1-Assumptions!$B$13)*Assumptions!$B$14)+N(AG88)</f>
        <v/>
      </c>
      <c r="AS88" s="5">
        <f>N(AO88)*N(M88)/90+N(AP88)+N(AQ88)+N(AR88)</f>
        <v/>
      </c>
      <c r="AT88" s="3">
        <f>IF(N(M88)&lt;=0,0,(N(AS88)-N(AR88))*90/N(M88))</f>
        <v/>
      </c>
      <c r="AU88" s="5">
        <f>IFERROR(AS88-VLOOKUP($C88,Assumptions!$A$36:$C$39,3,FALSE),"")</f>
        <v/>
      </c>
      <c r="AV88" s="3">
        <f>IFERROR(AU88/F88,"")</f>
        <v/>
      </c>
      <c r="AW88">
        <f>IF(AND($E88=TRUE,$C88="GKP"),AS88,"")</f>
        <v/>
      </c>
      <c r="AX88">
        <f>IF(AND($E88=TRUE,$C88="DEF"),AS88,"")</f>
        <v/>
      </c>
      <c r="AY88">
        <f>IF(AND($E88=TRUE,$C88="MID"),AS88,"")</f>
        <v/>
      </c>
      <c r="AZ88">
        <f>IF(AND($E88=TRUE,$C88="FWD"),AS88,"")</f>
        <v/>
      </c>
      <c r="BA88" t="n">
        <v>2</v>
      </c>
      <c r="BB88" t="n">
        <v>2</v>
      </c>
      <c r="BC88" t="n">
        <v>4</v>
      </c>
      <c r="BD88" t="n">
        <v>6</v>
      </c>
    </row>
    <row r="89">
      <c r="A89" t="inlineStr">
        <is>
          <t>Evanilson</t>
        </is>
      </c>
      <c r="B89" t="inlineStr">
        <is>
          <t>BOU</t>
        </is>
      </c>
      <c r="C89" t="inlineStr">
        <is>
          <t>FWD</t>
        </is>
      </c>
      <c r="D89" t="inlineStr">
        <is>
          <t>FWD</t>
        </is>
      </c>
      <c r="E89" t="b">
        <v>1</v>
      </c>
      <c r="F89" s="2" t="n">
        <v>6</v>
      </c>
      <c r="G89" t="inlineStr">
        <is>
          <t>a</t>
        </is>
      </c>
      <c r="I89" s="2" t="n">
        <v>2741</v>
      </c>
      <c r="J89" t="n">
        <v>115</v>
      </c>
      <c r="K89" s="3" t="n">
        <v>2662</v>
      </c>
      <c r="L89" t="inlineStr">
        <is>
          <t>flat</t>
        </is>
      </c>
      <c r="M89" s="4" t="n">
        <v>2662</v>
      </c>
      <c r="N89" t="inlineStr">
        <is>
          <t>Solio</t>
        </is>
      </c>
      <c r="O89" s="5" t="n">
        <v>81.2</v>
      </c>
      <c r="P89" t="b">
        <v>1</v>
      </c>
      <c r="Q89" s="5">
        <f>IF(N(O89)&lt;=0,0,MIN(Assumptions!$B$15,N(M89)/N(O89)))</f>
        <v/>
      </c>
      <c r="R89" s="4" t="n">
        <v>0.23</v>
      </c>
      <c r="S89" s="3" t="n">
        <v>0.2942</v>
      </c>
      <c r="T89" t="inlineStr">
        <is>
          <t>adjusted xGOT</t>
        </is>
      </c>
      <c r="U89" s="3" t="n">
        <v>1</v>
      </c>
      <c r="V89" s="3" t="n">
        <v>0.842</v>
      </c>
      <c r="W89" s="3" t="n">
        <v>23.1</v>
      </c>
      <c r="X89" s="3" t="n">
        <v>0.0747</v>
      </c>
      <c r="Y89" s="3" t="n">
        <v>4.508</v>
      </c>
      <c r="Z89" s="3" t="n">
        <v>0.001052435603773438</v>
      </c>
      <c r="AA89" s="3" t="n">
        <v>0.197</v>
      </c>
      <c r="AB89" s="3" t="n">
        <v>66</v>
      </c>
      <c r="AC89" s="3" t="n">
        <v>3.0957</v>
      </c>
      <c r="AD89" s="3" t="n">
        <v>1.53</v>
      </c>
      <c r="AE89" s="3" t="n">
        <v>-0.0957757161144514</v>
      </c>
      <c r="AF89" s="4" t="n">
        <v>0</v>
      </c>
      <c r="AG89" s="3" t="n">
        <v>0</v>
      </c>
      <c r="AH89" s="3" t="n">
        <v>1.1768</v>
      </c>
      <c r="AI89" s="3" t="n">
        <v>0.295812</v>
      </c>
      <c r="AJ89" s="3">
        <f>N(R89)*N(BC89)</f>
        <v/>
      </c>
      <c r="AK89" s="3" t="n">
        <v>0.197</v>
      </c>
      <c r="AL89" s="3" t="n">
        <v>0</v>
      </c>
      <c r="AM89" s="3" t="n">
        <v>-0</v>
      </c>
      <c r="AN89" s="3" t="n">
        <v>-0.0957757161144514</v>
      </c>
      <c r="AO89" s="3">
        <f>SUM(AH89:AN89)</f>
        <v/>
      </c>
      <c r="AP89" s="5">
        <f>IF(OR(N(Q89)&lt;=0,N(BA89)=0),0,N(Q89)*IF(N(M89)/N(Q89)&gt;=60,N(BA89),1))</f>
        <v/>
      </c>
      <c r="AQ89" s="5">
        <f>N(Q89)*N(Z89)*N(BB89)</f>
        <v/>
      </c>
      <c r="AR89" s="5">
        <f>N(AF89)*(Assumptions!$B$13*N(BD89)-(1-Assumptions!$B$13)*Assumptions!$B$14)+N(AG89)</f>
        <v/>
      </c>
      <c r="AS89" s="5">
        <f>N(AO89)*N(M89)/90+N(AP89)+N(AQ89)+N(AR89)</f>
        <v/>
      </c>
      <c r="AT89" s="3">
        <f>IF(N(M89)&lt;=0,0,(N(AS89)-N(AR89))*90/N(M89))</f>
        <v/>
      </c>
      <c r="AU89" s="5">
        <f>IFERROR(AS89-VLOOKUP($C89,Assumptions!$A$36:$C$39,3,FALSE),"")</f>
        <v/>
      </c>
      <c r="AV89" s="3">
        <f>IFERROR(AU89/F89,"")</f>
        <v/>
      </c>
      <c r="AW89">
        <f>IF(AND($E89=TRUE,$C89="GKP"),AS89,"")</f>
        <v/>
      </c>
      <c r="AX89">
        <f>IF(AND($E89=TRUE,$C89="DEF"),AS89,"")</f>
        <v/>
      </c>
      <c r="AY89">
        <f>IF(AND($E89=TRUE,$C89="MID"),AS89,"")</f>
        <v/>
      </c>
      <c r="AZ89">
        <f>IF(AND($E89=TRUE,$C89="FWD"),AS89,"")</f>
        <v/>
      </c>
      <c r="BA89" t="n">
        <v>2</v>
      </c>
      <c r="BB89" t="n">
        <v>2</v>
      </c>
      <c r="BC89" t="n">
        <v>0</v>
      </c>
      <c r="BD89" t="n">
        <v>4</v>
      </c>
    </row>
    <row r="90">
      <c r="A90" t="inlineStr">
        <is>
          <t>Keane Lewis-Potter</t>
        </is>
      </c>
      <c r="B90" t="inlineStr">
        <is>
          <t>BRE</t>
        </is>
      </c>
      <c r="C90" t="inlineStr">
        <is>
          <t>MID</t>
        </is>
      </c>
      <c r="D90" t="inlineStr">
        <is>
          <t>DEF</t>
        </is>
      </c>
      <c r="E90" t="b">
        <v>1</v>
      </c>
      <c r="F90" s="2" t="n">
        <v>5.5</v>
      </c>
      <c r="G90" t="inlineStr">
        <is>
          <t>a</t>
        </is>
      </c>
      <c r="I90" s="2" t="n">
        <v>1960</v>
      </c>
      <c r="J90" t="n">
        <v>115</v>
      </c>
      <c r="K90" s="3" t="n">
        <v>1659</v>
      </c>
      <c r="L90" t="inlineStr">
        <is>
          <t>flat</t>
        </is>
      </c>
      <c r="M90" s="4" t="n">
        <v>1659</v>
      </c>
      <c r="N90" t="inlineStr">
        <is>
          <t>Solio</t>
        </is>
      </c>
      <c r="O90" s="5" t="n">
        <v>80.7</v>
      </c>
      <c r="P90" t="b">
        <v>1</v>
      </c>
      <c r="Q90" s="5">
        <f>IF(N(O90)&lt;=0,0,MIN(Assumptions!$B$15,N(M90)/N(O90)))</f>
        <v/>
      </c>
      <c r="R90" s="4" t="n">
        <v>0.228</v>
      </c>
      <c r="S90" s="3" t="n">
        <v>0.1357</v>
      </c>
      <c r="T90" t="inlineStr">
        <is>
          <t>adjusted xGOT</t>
        </is>
      </c>
      <c r="U90" s="3" t="n">
        <v>1</v>
      </c>
      <c r="V90" s="3" t="n">
        <v>0.982</v>
      </c>
      <c r="W90" s="3" t="n">
        <v>12.9</v>
      </c>
      <c r="X90" s="3" t="n">
        <v>0.1199</v>
      </c>
      <c r="Y90" s="3" t="n">
        <v>4.55</v>
      </c>
      <c r="Z90" s="3" t="n">
        <v>0.001079998338591293</v>
      </c>
      <c r="AA90" s="3" t="n">
        <v>0.2755</v>
      </c>
      <c r="AB90" s="3" t="n">
        <v>57</v>
      </c>
      <c r="AC90" s="3" t="n">
        <v>3.2371</v>
      </c>
      <c r="AD90" s="3" t="n">
        <v>1.5396</v>
      </c>
      <c r="AE90" s="3" t="n">
        <v>-0.146242800454487</v>
      </c>
      <c r="AF90" s="4" t="n">
        <v>0</v>
      </c>
      <c r="AG90" s="3" t="n">
        <v>0</v>
      </c>
      <c r="AH90" s="3" t="n">
        <v>0.6784999999999999</v>
      </c>
      <c r="AI90" s="3" t="n">
        <v>0.4748040000000001</v>
      </c>
      <c r="AJ90" s="3">
        <f>N(R90)*N(BC90)</f>
        <v/>
      </c>
      <c r="AK90" s="3" t="n">
        <v>0.2755</v>
      </c>
      <c r="AL90" s="3" t="n">
        <v>0</v>
      </c>
      <c r="AM90" s="3" t="n">
        <v>-0</v>
      </c>
      <c r="AN90" s="3" t="n">
        <v>-0.146242800454487</v>
      </c>
      <c r="AO90" s="3">
        <f>SUM(AH90:AN90)</f>
        <v/>
      </c>
      <c r="AP90" s="5">
        <f>IF(OR(N(Q90)&lt;=0,N(BA90)=0),0,N(Q90)*IF(N(M90)/N(Q90)&gt;=60,N(BA90),1))</f>
        <v/>
      </c>
      <c r="AQ90" s="5">
        <f>N(Q90)*N(Z90)*N(BB90)</f>
        <v/>
      </c>
      <c r="AR90" s="5">
        <f>N(AF90)*(Assumptions!$B$13*N(BD90)-(1-Assumptions!$B$13)*Assumptions!$B$14)+N(AG90)</f>
        <v/>
      </c>
      <c r="AS90" s="5">
        <f>N(AO90)*N(M90)/90+N(AP90)+N(AQ90)+N(AR90)</f>
        <v/>
      </c>
      <c r="AT90" s="3">
        <f>IF(N(M90)&lt;=0,0,(N(AS90)-N(AR90))*90/N(M90))</f>
        <v/>
      </c>
      <c r="AU90" s="5">
        <f>IFERROR(AS90-VLOOKUP($C90,Assumptions!$A$36:$C$39,3,FALSE),"")</f>
        <v/>
      </c>
      <c r="AV90" s="3">
        <f>IFERROR(AU90/F90,"")</f>
        <v/>
      </c>
      <c r="AW90">
        <f>IF(AND($E90=TRUE,$C90="GKP"),AS90,"")</f>
        <v/>
      </c>
      <c r="AX90">
        <f>IF(AND($E90=TRUE,$C90="DEF"),AS90,"")</f>
        <v/>
      </c>
      <c r="AY90">
        <f>IF(AND($E90=TRUE,$C90="MID"),AS90,"")</f>
        <v/>
      </c>
      <c r="AZ90">
        <f>IF(AND($E90=TRUE,$C90="FWD"),AS90,"")</f>
        <v/>
      </c>
      <c r="BA90" t="n">
        <v>2</v>
      </c>
      <c r="BB90" t="n">
        <v>2</v>
      </c>
      <c r="BC90" t="n">
        <v>1</v>
      </c>
      <c r="BD90" t="n">
        <v>5</v>
      </c>
    </row>
    <row r="91">
      <c r="A91" t="inlineStr">
        <is>
          <t>Cole Palmer</t>
        </is>
      </c>
      <c r="B91" t="inlineStr">
        <is>
          <t>CHE</t>
        </is>
      </c>
      <c r="C91" t="inlineStr">
        <is>
          <t>MID</t>
        </is>
      </c>
      <c r="D91" t="inlineStr">
        <is>
          <t>MID</t>
        </is>
      </c>
      <c r="E91" t="b">
        <v>1</v>
      </c>
      <c r="F91" s="2" t="n">
        <v>9.5</v>
      </c>
      <c r="G91" t="inlineStr">
        <is>
          <t>a</t>
        </is>
      </c>
      <c r="I91" s="2" t="n">
        <v>1954</v>
      </c>
      <c r="J91" t="n">
        <v>114</v>
      </c>
      <c r="K91" s="3" t="n">
        <v>2884</v>
      </c>
      <c r="L91" t="inlineStr">
        <is>
          <t>flat</t>
        </is>
      </c>
      <c r="M91" s="4" t="n">
        <v>2884</v>
      </c>
      <c r="N91" t="inlineStr">
        <is>
          <t>Solio</t>
        </is>
      </c>
      <c r="O91" s="5" t="n">
        <v>78.8</v>
      </c>
      <c r="P91" t="b">
        <v>1</v>
      </c>
      <c r="Q91" s="5">
        <f>IF(N(O91)&lt;=0,0,MIN(Assumptions!$B$15,N(M91)/N(O91)))</f>
        <v/>
      </c>
      <c r="R91" s="4" t="n">
        <v>0.322</v>
      </c>
      <c r="S91" s="3" t="n">
        <v>0.28</v>
      </c>
      <c r="T91" t="inlineStr">
        <is>
          <t>adjusted xGOT</t>
        </is>
      </c>
      <c r="U91" s="3" t="n">
        <v>0.555</v>
      </c>
      <c r="V91" s="3" t="n">
        <v>1.039</v>
      </c>
      <c r="W91" s="3" t="n">
        <v>45</v>
      </c>
      <c r="X91" s="3" t="n">
        <v>0.1062</v>
      </c>
      <c r="Y91" s="3" t="n">
        <v>6.853</v>
      </c>
      <c r="Z91" s="3" t="n">
        <v>0.02009606912831396</v>
      </c>
      <c r="AA91" s="3" t="n">
        <v>0.5067</v>
      </c>
      <c r="AB91" s="3" t="n">
        <v>47</v>
      </c>
      <c r="AC91" s="3" t="n">
        <v>2.4232</v>
      </c>
      <c r="AD91" s="3" t="n">
        <v>1.1851</v>
      </c>
      <c r="AE91" s="3" t="n">
        <v>-0.2317101564875854</v>
      </c>
      <c r="AF91" s="4" t="n">
        <v>4.934297250429631</v>
      </c>
      <c r="AG91" s="3" t="n">
        <v>0</v>
      </c>
      <c r="AH91" s="3" t="n">
        <v>1.4</v>
      </c>
      <c r="AI91" s="3" t="n">
        <v>0.420552</v>
      </c>
      <c r="AJ91" s="3">
        <f>N(R91)*N(BC91)</f>
        <v/>
      </c>
      <c r="AK91" s="3" t="n">
        <v>0.5067</v>
      </c>
      <c r="AL91" s="3" t="n">
        <v>0</v>
      </c>
      <c r="AM91" s="3" t="n">
        <v>-0</v>
      </c>
      <c r="AN91" s="3" t="n">
        <v>-0.2317101564875854</v>
      </c>
      <c r="AO91" s="3">
        <f>SUM(AH91:AN91)</f>
        <v/>
      </c>
      <c r="AP91" s="5">
        <f>IF(OR(N(Q91)&lt;=0,N(BA91)=0),0,N(Q91)*IF(N(M91)/N(Q91)&gt;=60,N(BA91),1))</f>
        <v/>
      </c>
      <c r="AQ91" s="5">
        <f>N(Q91)*N(Z91)*N(BB91)</f>
        <v/>
      </c>
      <c r="AR91" s="5">
        <f>N(AF91)*(Assumptions!$B$13*N(BD91)-(1-Assumptions!$B$13)*Assumptions!$B$14)+N(AG91)</f>
        <v/>
      </c>
      <c r="AS91" s="5">
        <f>N(AO91)*N(M91)/90+N(AP91)+N(AQ91)+N(AR91)</f>
        <v/>
      </c>
      <c r="AT91" s="3">
        <f>IF(N(M91)&lt;=0,0,(N(AS91)-N(AR91))*90/N(M91))</f>
        <v/>
      </c>
      <c r="AU91" s="5">
        <f>IFERROR(AS91-VLOOKUP($C91,Assumptions!$A$36:$C$39,3,FALSE),"")</f>
        <v/>
      </c>
      <c r="AV91" s="3">
        <f>IFERROR(AU91/F91,"")</f>
        <v/>
      </c>
      <c r="AW91">
        <f>IF(AND($E91=TRUE,$C91="GKP"),AS91,"")</f>
        <v/>
      </c>
      <c r="AX91">
        <f>IF(AND($E91=TRUE,$C91="DEF"),AS91,"")</f>
        <v/>
      </c>
      <c r="AY91">
        <f>IF(AND($E91=TRUE,$C91="MID"),AS91,"")</f>
        <v/>
      </c>
      <c r="AZ91">
        <f>IF(AND($E91=TRUE,$C91="FWD"),AS91,"")</f>
        <v/>
      </c>
      <c r="BA91" t="n">
        <v>2</v>
      </c>
      <c r="BB91" t="n">
        <v>2</v>
      </c>
      <c r="BC91" t="n">
        <v>1</v>
      </c>
      <c r="BD91" t="n">
        <v>5</v>
      </c>
    </row>
    <row r="92">
      <c r="A92" t="inlineStr">
        <is>
          <t>Jean-Philippe Mateta</t>
        </is>
      </c>
      <c r="B92" t="inlineStr">
        <is>
          <t>CRY</t>
        </is>
      </c>
      <c r="C92" t="inlineStr">
        <is>
          <t>FWD</t>
        </is>
      </c>
      <c r="D92" t="inlineStr">
        <is>
          <t>FWD</t>
        </is>
      </c>
      <c r="E92" t="b">
        <v>1</v>
      </c>
      <c r="F92" s="2" t="n">
        <v>6.5</v>
      </c>
      <c r="G92" t="inlineStr">
        <is>
          <t>a</t>
        </is>
      </c>
      <c r="I92" s="2" t="n">
        <v>2210</v>
      </c>
      <c r="J92" t="n">
        <v>114</v>
      </c>
      <c r="K92" s="3" t="n">
        <v>2422</v>
      </c>
      <c r="L92" t="inlineStr">
        <is>
          <t>flat</t>
        </is>
      </c>
      <c r="M92" s="4" t="n">
        <v>2422</v>
      </c>
      <c r="N92" t="inlineStr">
        <is>
          <t>Solio</t>
        </is>
      </c>
      <c r="O92" s="5" t="n">
        <v>81.3</v>
      </c>
      <c r="P92" t="b">
        <v>1</v>
      </c>
      <c r="Q92" s="5">
        <f>IF(N(O92)&lt;=0,0,MIN(Assumptions!$B$15,N(M92)/N(O92)))</f>
        <v/>
      </c>
      <c r="R92" s="4" t="n">
        <v>0.216</v>
      </c>
      <c r="S92" s="3" t="n">
        <v>0.4643</v>
      </c>
      <c r="T92" t="inlineStr">
        <is>
          <t>adjusted xGOT</t>
        </is>
      </c>
      <c r="U92" s="3" t="n">
        <v>0.8090000000000001</v>
      </c>
      <c r="V92" s="3" t="n">
        <v>0.977</v>
      </c>
      <c r="W92" s="3" t="n">
        <v>42.5</v>
      </c>
      <c r="X92" s="3" t="n">
        <v>0.0523</v>
      </c>
      <c r="Y92" s="3" t="n">
        <v>5.017</v>
      </c>
      <c r="Z92" s="3" t="n">
        <v>0.00254403804794312</v>
      </c>
      <c r="AA92" s="3" t="n">
        <v>0.5701000000000001</v>
      </c>
      <c r="AB92" s="3" t="n">
        <v>55</v>
      </c>
      <c r="AC92" s="3" t="n">
        <v>3.2035</v>
      </c>
      <c r="AD92" s="3" t="n">
        <v>1.5923</v>
      </c>
      <c r="AE92" s="3" t="n">
        <v>-0.1142843485541425</v>
      </c>
      <c r="AF92" s="4" t="n">
        <v>3.015761309129515</v>
      </c>
      <c r="AG92" s="3" t="n">
        <v>0</v>
      </c>
      <c r="AH92" s="3" t="n">
        <v>1.8572</v>
      </c>
      <c r="AI92" s="3" t="n">
        <v>0.207108</v>
      </c>
      <c r="AJ92" s="3">
        <f>N(R92)*N(BC92)</f>
        <v/>
      </c>
      <c r="AK92" s="3" t="n">
        <v>0.5701000000000001</v>
      </c>
      <c r="AL92" s="3" t="n">
        <v>0</v>
      </c>
      <c r="AM92" s="3" t="n">
        <v>-0</v>
      </c>
      <c r="AN92" s="3" t="n">
        <v>-0.1142843485541425</v>
      </c>
      <c r="AO92" s="3">
        <f>SUM(AH92:AN92)</f>
        <v/>
      </c>
      <c r="AP92" s="5">
        <f>IF(OR(N(Q92)&lt;=0,N(BA92)=0),0,N(Q92)*IF(N(M92)/N(Q92)&gt;=60,N(BA92),1))</f>
        <v/>
      </c>
      <c r="AQ92" s="5">
        <f>N(Q92)*N(Z92)*N(BB92)</f>
        <v/>
      </c>
      <c r="AR92" s="5">
        <f>N(AF92)*(Assumptions!$B$13*N(BD92)-(1-Assumptions!$B$13)*Assumptions!$B$14)+N(AG92)</f>
        <v/>
      </c>
      <c r="AS92" s="5">
        <f>N(AO92)*N(M92)/90+N(AP92)+N(AQ92)+N(AR92)</f>
        <v/>
      </c>
      <c r="AT92" s="3">
        <f>IF(N(M92)&lt;=0,0,(N(AS92)-N(AR92))*90/N(M92))</f>
        <v/>
      </c>
      <c r="AU92" s="5">
        <f>IFERROR(AS92-VLOOKUP($C92,Assumptions!$A$36:$C$39,3,FALSE),"")</f>
        <v/>
      </c>
      <c r="AV92" s="3">
        <f>IFERROR(AU92/F92,"")</f>
        <v/>
      </c>
      <c r="AW92">
        <f>IF(AND($E92=TRUE,$C92="GKP"),AS92,"")</f>
        <v/>
      </c>
      <c r="AX92">
        <f>IF(AND($E92=TRUE,$C92="DEF"),AS92,"")</f>
        <v/>
      </c>
      <c r="AY92">
        <f>IF(AND($E92=TRUE,$C92="MID"),AS92,"")</f>
        <v/>
      </c>
      <c r="AZ92">
        <f>IF(AND($E92=TRUE,$C92="FWD"),AS92,"")</f>
        <v/>
      </c>
      <c r="BA92" t="n">
        <v>2</v>
      </c>
      <c r="BB92" t="n">
        <v>2</v>
      </c>
      <c r="BC92" t="n">
        <v>0</v>
      </c>
      <c r="BD92" t="n">
        <v>4</v>
      </c>
    </row>
    <row r="93">
      <c r="A93" t="inlineStr">
        <is>
          <t>Igor Jesus</t>
        </is>
      </c>
      <c r="B93" t="inlineStr">
        <is>
          <t>NFO</t>
        </is>
      </c>
      <c r="C93" t="inlineStr">
        <is>
          <t>FWD</t>
        </is>
      </c>
      <c r="D93" t="inlineStr">
        <is>
          <t>FWD</t>
        </is>
      </c>
      <c r="E93" t="b">
        <v>1</v>
      </c>
      <c r="F93" s="2" t="n">
        <v>6</v>
      </c>
      <c r="G93" t="inlineStr">
        <is>
          <t>a</t>
        </is>
      </c>
      <c r="I93" s="2" t="n">
        <v>2293</v>
      </c>
      <c r="J93" t="n">
        <v>114</v>
      </c>
      <c r="K93" s="3" t="n">
        <v>2764</v>
      </c>
      <c r="L93" t="inlineStr">
        <is>
          <t>flat</t>
        </is>
      </c>
      <c r="M93" s="4" t="n">
        <v>2764</v>
      </c>
      <c r="N93" t="inlineStr">
        <is>
          <t>Solio</t>
        </is>
      </c>
      <c r="O93" s="5" t="n">
        <v>74.40000000000001</v>
      </c>
      <c r="P93" t="b">
        <v>1</v>
      </c>
      <c r="Q93" s="5">
        <f>IF(N(O93)&lt;=0,0,MIN(Assumptions!$B$15,N(M93)/N(O93)))</f>
        <v/>
      </c>
      <c r="R93" s="4" t="n">
        <v>0.224</v>
      </c>
      <c r="S93" s="3" t="n">
        <v>0.2042</v>
      </c>
      <c r="T93" t="inlineStr">
        <is>
          <t>adjusted xGOT</t>
        </is>
      </c>
      <c r="U93" s="3" t="n">
        <v>0.894</v>
      </c>
      <c r="V93" s="3" t="n">
        <v>0.898</v>
      </c>
      <c r="W93" s="3" t="n">
        <v>6.5</v>
      </c>
      <c r="X93" s="3" t="n">
        <v>0.06950000000000001</v>
      </c>
      <c r="Y93" s="3" t="n">
        <v>4.819</v>
      </c>
      <c r="Z93" s="3" t="n">
        <v>0.0008843157896224474</v>
      </c>
      <c r="AA93" s="3" t="n">
        <v>0.5102</v>
      </c>
      <c r="AB93" s="3" t="n">
        <v>61</v>
      </c>
      <c r="AC93" s="3" t="n">
        <v>3.1134</v>
      </c>
      <c r="AD93" s="3" t="n">
        <v>1.5588</v>
      </c>
      <c r="AE93" s="3" t="n">
        <v>-0.1227469504838277</v>
      </c>
      <c r="AF93" s="4" t="n">
        <v>0.1045620982258107</v>
      </c>
      <c r="AG93" s="3" t="n">
        <v>0</v>
      </c>
      <c r="AH93" s="3" t="n">
        <v>0.8168</v>
      </c>
      <c r="AI93" s="3" t="n">
        <v>0.27522</v>
      </c>
      <c r="AJ93" s="3">
        <f>N(R93)*N(BC93)</f>
        <v/>
      </c>
      <c r="AK93" s="3" t="n">
        <v>0.5102</v>
      </c>
      <c r="AL93" s="3" t="n">
        <v>0</v>
      </c>
      <c r="AM93" s="3" t="n">
        <v>-0</v>
      </c>
      <c r="AN93" s="3" t="n">
        <v>-0.1227469504838277</v>
      </c>
      <c r="AO93" s="3">
        <f>SUM(AH93:AN93)</f>
        <v/>
      </c>
      <c r="AP93" s="5">
        <f>IF(OR(N(Q93)&lt;=0,N(BA93)=0),0,N(Q93)*IF(N(M93)/N(Q93)&gt;=60,N(BA93),1))</f>
        <v/>
      </c>
      <c r="AQ93" s="5">
        <f>N(Q93)*N(Z93)*N(BB93)</f>
        <v/>
      </c>
      <c r="AR93" s="5">
        <f>N(AF93)*(Assumptions!$B$13*N(BD93)-(1-Assumptions!$B$13)*Assumptions!$B$14)+N(AG93)</f>
        <v/>
      </c>
      <c r="AS93" s="5">
        <f>N(AO93)*N(M93)/90+N(AP93)+N(AQ93)+N(AR93)</f>
        <v/>
      </c>
      <c r="AT93" s="3">
        <f>IF(N(M93)&lt;=0,0,(N(AS93)-N(AR93))*90/N(M93))</f>
        <v/>
      </c>
      <c r="AU93" s="5">
        <f>IFERROR(AS93-VLOOKUP($C93,Assumptions!$A$36:$C$39,3,FALSE),"")</f>
        <v/>
      </c>
      <c r="AV93" s="3">
        <f>IFERROR(AU93/F93,"")</f>
        <v/>
      </c>
      <c r="AW93">
        <f>IF(AND($E93=TRUE,$C93="GKP"),AS93,"")</f>
        <v/>
      </c>
      <c r="AX93">
        <f>IF(AND($E93=TRUE,$C93="DEF"),AS93,"")</f>
        <v/>
      </c>
      <c r="AY93">
        <f>IF(AND($E93=TRUE,$C93="MID"),AS93,"")</f>
        <v/>
      </c>
      <c r="AZ93">
        <f>IF(AND($E93=TRUE,$C93="FWD"),AS93,"")</f>
        <v/>
      </c>
      <c r="BA93" t="n">
        <v>2</v>
      </c>
      <c r="BB93" t="n">
        <v>2</v>
      </c>
      <c r="BC93" t="n">
        <v>0</v>
      </c>
      <c r="BD93" t="n">
        <v>4</v>
      </c>
    </row>
    <row r="94">
      <c r="A94" t="inlineStr">
        <is>
          <t>Junior Kroupi</t>
        </is>
      </c>
      <c r="B94" t="inlineStr">
        <is>
          <t>BOU</t>
        </is>
      </c>
      <c r="C94" t="inlineStr">
        <is>
          <t>MID</t>
        </is>
      </c>
      <c r="D94" t="inlineStr">
        <is>
          <t>FWD</t>
        </is>
      </c>
      <c r="E94" t="b">
        <v>1</v>
      </c>
      <c r="F94" s="2" t="n">
        <v>7.5</v>
      </c>
      <c r="G94" t="inlineStr">
        <is>
          <t>i</t>
        </is>
      </c>
      <c r="H94" t="inlineStr">
        <is>
          <t>Foot injury - Unknown return date</t>
        </is>
      </c>
      <c r="I94" s="2" t="n">
        <v>1663</v>
      </c>
      <c r="J94" t="n">
        <v>113</v>
      </c>
      <c r="K94" s="3" t="n">
        <v>2594</v>
      </c>
      <c r="L94" t="inlineStr">
        <is>
          <t>ramp-up (injury / late WC return)</t>
        </is>
      </c>
      <c r="M94" s="4" t="n">
        <v>2594</v>
      </c>
      <c r="N94" t="inlineStr">
        <is>
          <t>Solio</t>
        </is>
      </c>
      <c r="O94" s="5" t="n">
        <v>70.8</v>
      </c>
      <c r="P94" t="b">
        <v>1</v>
      </c>
      <c r="Q94" s="5">
        <f>IF(N(O94)&lt;=0,0,MIN(Assumptions!$B$15,N(M94)/N(O94)))</f>
        <v/>
      </c>
      <c r="R94" s="4" t="n">
        <v>0.23</v>
      </c>
      <c r="S94" s="3" t="n">
        <v>0.4064</v>
      </c>
      <c r="T94" t="inlineStr">
        <is>
          <t>adjusted xGOT</t>
        </is>
      </c>
      <c r="U94" s="3" t="n">
        <v>0.828</v>
      </c>
      <c r="V94" s="3" t="n">
        <v>1.091</v>
      </c>
      <c r="W94" s="3" t="n">
        <v>8.300000000000001</v>
      </c>
      <c r="X94" s="3" t="n">
        <v>0.09</v>
      </c>
      <c r="Y94" s="3" t="n">
        <v>5.678</v>
      </c>
      <c r="Z94" s="3" t="n">
        <v>0.002265627245858215</v>
      </c>
      <c r="AA94" s="3" t="n">
        <v>0.7577</v>
      </c>
      <c r="AB94" s="3" t="n">
        <v>53</v>
      </c>
      <c r="AC94" s="3" t="n">
        <v>3.0957</v>
      </c>
      <c r="AD94" s="3" t="n">
        <v>1.53</v>
      </c>
      <c r="AE94" s="3" t="n">
        <v>-0.2541946690581745</v>
      </c>
      <c r="AF94" s="4" t="n">
        <v>3.414665718204978</v>
      </c>
      <c r="AG94" s="3" t="n">
        <v>0</v>
      </c>
      <c r="AH94" s="3" t="n">
        <v>2.032</v>
      </c>
      <c r="AI94" s="3" t="n">
        <v>0.3564000000000001</v>
      </c>
      <c r="AJ94" s="3">
        <f>N(R94)*N(BC94)</f>
        <v/>
      </c>
      <c r="AK94" s="3" t="n">
        <v>0.7577</v>
      </c>
      <c r="AL94" s="3" t="n">
        <v>0</v>
      </c>
      <c r="AM94" s="3" t="n">
        <v>-0</v>
      </c>
      <c r="AN94" s="3" t="n">
        <v>-0.2541946690581745</v>
      </c>
      <c r="AO94" s="3">
        <f>SUM(AH94:AN94)</f>
        <v/>
      </c>
      <c r="AP94" s="5">
        <f>IF(OR(N(Q94)&lt;=0,N(BA94)=0),0,N(Q94)*IF(N(M94)/N(Q94)&gt;=60,N(BA94),1))</f>
        <v/>
      </c>
      <c r="AQ94" s="5">
        <f>N(Q94)*N(Z94)*N(BB94)</f>
        <v/>
      </c>
      <c r="AR94" s="5">
        <f>N(AF94)*(Assumptions!$B$13*N(BD94)-(1-Assumptions!$B$13)*Assumptions!$B$14)+N(AG94)</f>
        <v/>
      </c>
      <c r="AS94" s="5">
        <f>N(AO94)*N(M94)/90+N(AP94)+N(AQ94)+N(AR94)</f>
        <v/>
      </c>
      <c r="AT94" s="3">
        <f>IF(N(M94)&lt;=0,0,(N(AS94)-N(AR94))*90/N(M94))</f>
        <v/>
      </c>
      <c r="AU94" s="5">
        <f>IFERROR(AS94-VLOOKUP($C94,Assumptions!$A$36:$C$39,3,FALSE),"")</f>
        <v/>
      </c>
      <c r="AV94" s="3">
        <f>IFERROR(AU94/F94,"")</f>
        <v/>
      </c>
      <c r="AW94">
        <f>IF(AND($E94=TRUE,$C94="GKP"),AS94,"")</f>
        <v/>
      </c>
      <c r="AX94">
        <f>IF(AND($E94=TRUE,$C94="DEF"),AS94,"")</f>
        <v/>
      </c>
      <c r="AY94">
        <f>IF(AND($E94=TRUE,$C94="MID"),AS94,"")</f>
        <v/>
      </c>
      <c r="AZ94">
        <f>IF(AND($E94=TRUE,$C94="FWD"),AS94,"")</f>
        <v/>
      </c>
      <c r="BA94" t="n">
        <v>2</v>
      </c>
      <c r="BB94" t="n">
        <v>2</v>
      </c>
      <c r="BC94" t="n">
        <v>1</v>
      </c>
      <c r="BD94" t="n">
        <v>5</v>
      </c>
    </row>
    <row r="95">
      <c r="A95" t="inlineStr">
        <is>
          <t>Sepp van den Berg</t>
        </is>
      </c>
      <c r="B95" t="inlineStr">
        <is>
          <t>BRE</t>
        </is>
      </c>
      <c r="C95" t="inlineStr">
        <is>
          <t>DEF</t>
        </is>
      </c>
      <c r="D95" t="inlineStr">
        <is>
          <t>DEF</t>
        </is>
      </c>
      <c r="E95" t="b">
        <v>1</v>
      </c>
      <c r="F95" s="2" t="n">
        <v>5</v>
      </c>
      <c r="G95" t="inlineStr">
        <is>
          <t>a</t>
        </is>
      </c>
      <c r="I95" s="2" t="n">
        <v>2761</v>
      </c>
      <c r="J95" t="n">
        <v>113</v>
      </c>
      <c r="K95" s="3" t="n">
        <v>2947</v>
      </c>
      <c r="L95" t="inlineStr">
        <is>
          <t>ramp-up (injury / late WC return)</t>
        </is>
      </c>
      <c r="M95" s="4" t="n">
        <v>2947</v>
      </c>
      <c r="N95" t="inlineStr">
        <is>
          <t>Solio</t>
        </is>
      </c>
      <c r="O95" s="5" t="n">
        <v>90</v>
      </c>
      <c r="P95" t="b">
        <v>1</v>
      </c>
      <c r="Q95" s="5">
        <f>IF(N(O95)&lt;=0,0,MIN(Assumptions!$B$15,N(M95)/N(O95)))</f>
        <v/>
      </c>
      <c r="R95" s="4" t="n">
        <v>0.228</v>
      </c>
      <c r="S95" s="3" t="n">
        <v>0.0871</v>
      </c>
      <c r="T95" t="inlineStr">
        <is>
          <t>adjusted xGOT</t>
        </is>
      </c>
      <c r="U95" s="3" t="n">
        <v>1</v>
      </c>
      <c r="V95" s="3" t="n">
        <v>0.796</v>
      </c>
      <c r="W95" s="3" t="n">
        <v>5.4</v>
      </c>
      <c r="X95" s="3" t="n">
        <v>0.0594</v>
      </c>
      <c r="Y95" s="3" t="n">
        <v>8.622</v>
      </c>
      <c r="Z95" s="3" t="n">
        <v>0.3629224148724394</v>
      </c>
      <c r="AA95" s="3" t="n">
        <v>0.0326</v>
      </c>
      <c r="AB95" s="3" t="n">
        <v>62</v>
      </c>
      <c r="AC95" s="3" t="n">
        <v>3.2371</v>
      </c>
      <c r="AD95" s="3" t="n">
        <v>1.5396</v>
      </c>
      <c r="AE95" s="3" t="n">
        <v>-0.1265622603536469</v>
      </c>
      <c r="AF95" s="4" t="n">
        <v>0</v>
      </c>
      <c r="AG95" s="3" t="n">
        <v>0</v>
      </c>
      <c r="AH95" s="3" t="n">
        <v>0.5226</v>
      </c>
      <c r="AI95" s="3" t="n">
        <v>0.235224</v>
      </c>
      <c r="AJ95" s="3">
        <f>N(R95)*N(BC95)</f>
        <v/>
      </c>
      <c r="AK95" s="3" t="n">
        <v>0.0326</v>
      </c>
      <c r="AL95" s="3" t="n">
        <v>0</v>
      </c>
      <c r="AM95" s="3" t="n">
        <v>-0.5312990096912251</v>
      </c>
      <c r="AN95" s="3" t="n">
        <v>-0.1265622603536469</v>
      </c>
      <c r="AO95" s="3">
        <f>SUM(AH95:AN95)</f>
        <v/>
      </c>
      <c r="AP95" s="5">
        <f>IF(OR(N(Q95)&lt;=0,N(BA95)=0),0,N(Q95)*IF(N(M95)/N(Q95)&gt;=60,N(BA95),1))</f>
        <v/>
      </c>
      <c r="AQ95" s="5">
        <f>N(Q95)*N(Z95)*N(BB95)</f>
        <v/>
      </c>
      <c r="AR95" s="5">
        <f>N(AF95)*(Assumptions!$B$13*N(BD95)-(1-Assumptions!$B$13)*Assumptions!$B$14)+N(AG95)</f>
        <v/>
      </c>
      <c r="AS95" s="5">
        <f>N(AO95)*N(M95)/90+N(AP95)+N(AQ95)+N(AR95)</f>
        <v/>
      </c>
      <c r="AT95" s="3">
        <f>IF(N(M95)&lt;=0,0,(N(AS95)-N(AR95))*90/N(M95))</f>
        <v/>
      </c>
      <c r="AU95" s="5">
        <f>IFERROR(AS95-VLOOKUP($C95,Assumptions!$A$36:$C$39,3,FALSE),"")</f>
        <v/>
      </c>
      <c r="AV95" s="3">
        <f>IFERROR(AU95/F95,"")</f>
        <v/>
      </c>
      <c r="AW95">
        <f>IF(AND($E95=TRUE,$C95="GKP"),AS95,"")</f>
        <v/>
      </c>
      <c r="AX95">
        <f>IF(AND($E95=TRUE,$C95="DEF"),AS95,"")</f>
        <v/>
      </c>
      <c r="AY95">
        <f>IF(AND($E95=TRUE,$C95="MID"),AS95,"")</f>
        <v/>
      </c>
      <c r="AZ95">
        <f>IF(AND($E95=TRUE,$C95="FWD"),AS95,"")</f>
        <v/>
      </c>
      <c r="BA95" t="n">
        <v>2</v>
      </c>
      <c r="BB95" t="n">
        <v>2</v>
      </c>
      <c r="BC95" t="n">
        <v>4</v>
      </c>
      <c r="BD95" t="n">
        <v>6</v>
      </c>
    </row>
    <row r="96">
      <c r="A96" t="inlineStr">
        <is>
          <t>Michael Kayode</t>
        </is>
      </c>
      <c r="B96" t="inlineStr">
        <is>
          <t>BRE</t>
        </is>
      </c>
      <c r="C96" t="inlineStr">
        <is>
          <t>DEF</t>
        </is>
      </c>
      <c r="D96" t="inlineStr">
        <is>
          <t>DEF</t>
        </is>
      </c>
      <c r="E96" t="b">
        <v>1</v>
      </c>
      <c r="F96" s="2" t="n">
        <v>4.5</v>
      </c>
      <c r="G96" t="inlineStr">
        <is>
          <t>a</t>
        </is>
      </c>
      <c r="I96" s="2" t="n">
        <v>3258</v>
      </c>
      <c r="J96" t="n">
        <v>113</v>
      </c>
      <c r="K96" s="3" t="n">
        <v>3192</v>
      </c>
      <c r="L96" t="inlineStr">
        <is>
          <t>flat</t>
        </is>
      </c>
      <c r="M96" s="4" t="n">
        <v>3192</v>
      </c>
      <c r="N96" t="inlineStr">
        <is>
          <t>Solio</t>
        </is>
      </c>
      <c r="O96" s="5" t="n">
        <v>88.09999999999999</v>
      </c>
      <c r="P96" t="b">
        <v>1</v>
      </c>
      <c r="Q96" s="5">
        <f>IF(N(O96)&lt;=0,0,MIN(Assumptions!$B$15,N(M96)/N(O96)))</f>
        <v/>
      </c>
      <c r="R96" s="4" t="n">
        <v>0.228</v>
      </c>
      <c r="S96" s="3" t="n">
        <v>0.0351</v>
      </c>
      <c r="T96" t="inlineStr">
        <is>
          <t>adjusted xGOT</t>
        </is>
      </c>
      <c r="U96" s="3" t="n">
        <v>1</v>
      </c>
      <c r="V96" s="3" t="n">
        <v>0.993</v>
      </c>
      <c r="W96" s="3" t="n">
        <v>1.5</v>
      </c>
      <c r="X96" s="3" t="n">
        <v>0.0839</v>
      </c>
      <c r="Y96" s="3" t="n">
        <v>6.346</v>
      </c>
      <c r="Z96" s="3" t="n">
        <v>0.09929248020543835</v>
      </c>
      <c r="AA96" s="3" t="n">
        <v>0.2486</v>
      </c>
      <c r="AB96" s="3" t="n">
        <v>74</v>
      </c>
      <c r="AC96" s="3" t="n">
        <v>3.2371</v>
      </c>
      <c r="AD96" s="3" t="n">
        <v>1.5396</v>
      </c>
      <c r="AE96" s="3" t="n">
        <v>-0.2390820399124237</v>
      </c>
      <c r="AF96" s="4" t="n">
        <v>0</v>
      </c>
      <c r="AG96" s="3" t="n">
        <v>0</v>
      </c>
      <c r="AH96" s="3" t="n">
        <v>0.2106</v>
      </c>
      <c r="AI96" s="3" t="n">
        <v>0.332244</v>
      </c>
      <c r="AJ96" s="3">
        <f>N(R96)*N(BC96)</f>
        <v/>
      </c>
      <c r="AK96" s="3" t="n">
        <v>0.2486</v>
      </c>
      <c r="AL96" s="3" t="n">
        <v>0</v>
      </c>
      <c r="AM96" s="3" t="n">
        <v>-0.5312990096912251</v>
      </c>
      <c r="AN96" s="3" t="n">
        <v>-0.2390820399124237</v>
      </c>
      <c r="AO96" s="3">
        <f>SUM(AH96:AN96)</f>
        <v/>
      </c>
      <c r="AP96" s="5">
        <f>IF(OR(N(Q96)&lt;=0,N(BA96)=0),0,N(Q96)*IF(N(M96)/N(Q96)&gt;=60,N(BA96),1))</f>
        <v/>
      </c>
      <c r="AQ96" s="5">
        <f>N(Q96)*N(Z96)*N(BB96)</f>
        <v/>
      </c>
      <c r="AR96" s="5">
        <f>N(AF96)*(Assumptions!$B$13*N(BD96)-(1-Assumptions!$B$13)*Assumptions!$B$14)+N(AG96)</f>
        <v/>
      </c>
      <c r="AS96" s="5">
        <f>N(AO96)*N(M96)/90+N(AP96)+N(AQ96)+N(AR96)</f>
        <v/>
      </c>
      <c r="AT96" s="3">
        <f>IF(N(M96)&lt;=0,0,(N(AS96)-N(AR96))*90/N(M96))</f>
        <v/>
      </c>
      <c r="AU96" s="5">
        <f>IFERROR(AS96-VLOOKUP($C96,Assumptions!$A$36:$C$39,3,FALSE),"")</f>
        <v/>
      </c>
      <c r="AV96" s="3">
        <f>IFERROR(AU96/F96,"")</f>
        <v/>
      </c>
      <c r="AW96">
        <f>IF(AND($E96=TRUE,$C96="GKP"),AS96,"")</f>
        <v/>
      </c>
      <c r="AX96">
        <f>IF(AND($E96=TRUE,$C96="DEF"),AS96,"")</f>
        <v/>
      </c>
      <c r="AY96">
        <f>IF(AND($E96=TRUE,$C96="MID"),AS96,"")</f>
        <v/>
      </c>
      <c r="AZ96">
        <f>IF(AND($E96=TRUE,$C96="FWD"),AS96,"")</f>
        <v/>
      </c>
      <c r="BA96" t="n">
        <v>2</v>
      </c>
      <c r="BB96" t="n">
        <v>2</v>
      </c>
      <c r="BC96" t="n">
        <v>4</v>
      </c>
      <c r="BD96" t="n">
        <v>6</v>
      </c>
    </row>
    <row r="97">
      <c r="A97" t="inlineStr">
        <is>
          <t>Luke Shaw</t>
        </is>
      </c>
      <c r="B97" t="inlineStr">
        <is>
          <t>MUN</t>
        </is>
      </c>
      <c r="C97" t="inlineStr">
        <is>
          <t>DEF</t>
        </is>
      </c>
      <c r="D97" t="inlineStr">
        <is>
          <t>DEF</t>
        </is>
      </c>
      <c r="E97" t="b">
        <v>1</v>
      </c>
      <c r="F97" s="2" t="n">
        <v>4.5</v>
      </c>
      <c r="G97" t="inlineStr">
        <is>
          <t>a</t>
        </is>
      </c>
      <c r="I97" s="2" t="n">
        <v>3220</v>
      </c>
      <c r="J97" t="n">
        <v>113</v>
      </c>
      <c r="K97" s="3" t="n">
        <v>2992</v>
      </c>
      <c r="L97" t="inlineStr">
        <is>
          <t>flat</t>
        </is>
      </c>
      <c r="M97" s="4" t="n">
        <v>2992</v>
      </c>
      <c r="N97" t="inlineStr">
        <is>
          <t>Solio</t>
        </is>
      </c>
      <c r="O97" s="5" t="n">
        <v>84.7</v>
      </c>
      <c r="P97" t="b">
        <v>1</v>
      </c>
      <c r="Q97" s="5">
        <f>IF(N(O97)&lt;=0,0,MIN(Assumptions!$B$15,N(M97)/N(O97)))</f>
        <v/>
      </c>
      <c r="R97" s="4" t="n">
        <v>0.334</v>
      </c>
      <c r="S97" s="3" t="n">
        <v>0.021</v>
      </c>
      <c r="T97" t="inlineStr">
        <is>
          <t>adjusted xGOT</t>
        </is>
      </c>
      <c r="U97" s="3" t="n">
        <v>1</v>
      </c>
      <c r="V97" s="3" t="n">
        <v>1.042</v>
      </c>
      <c r="W97" s="3" t="n">
        <v>1.9</v>
      </c>
      <c r="X97" s="3" t="n">
        <v>0.0485</v>
      </c>
      <c r="Y97" s="3" t="n">
        <v>6.521</v>
      </c>
      <c r="Z97" s="3" t="n">
        <v>0.0936766666860307</v>
      </c>
      <c r="AA97" s="3" t="n">
        <v>0.0559</v>
      </c>
      <c r="AB97" s="3" t="n">
        <v>75</v>
      </c>
      <c r="AC97" s="3" t="n">
        <v>2.2165</v>
      </c>
      <c r="AD97" s="3" t="n">
        <v>1.1467</v>
      </c>
      <c r="AE97" s="3" t="n">
        <v>-0.2771183828849873</v>
      </c>
      <c r="AF97" s="4" t="n">
        <v>0</v>
      </c>
      <c r="AG97" s="3" t="n">
        <v>0</v>
      </c>
      <c r="AH97" s="3" t="n">
        <v>0.126</v>
      </c>
      <c r="AI97" s="3" t="n">
        <v>0.19206</v>
      </c>
      <c r="AJ97" s="3">
        <f>N(R97)*N(BC97)</f>
        <v/>
      </c>
      <c r="AK97" s="3" t="n">
        <v>0.0559</v>
      </c>
      <c r="AL97" s="3" t="n">
        <v>0</v>
      </c>
      <c r="AM97" s="3" t="n">
        <v>-0.348580685135232</v>
      </c>
      <c r="AN97" s="3" t="n">
        <v>-0.2771183828849873</v>
      </c>
      <c r="AO97" s="3">
        <f>SUM(AH97:AN97)</f>
        <v/>
      </c>
      <c r="AP97" s="5">
        <f>IF(OR(N(Q97)&lt;=0,N(BA97)=0),0,N(Q97)*IF(N(M97)/N(Q97)&gt;=60,N(BA97),1))</f>
        <v/>
      </c>
      <c r="AQ97" s="5">
        <f>N(Q97)*N(Z97)*N(BB97)</f>
        <v/>
      </c>
      <c r="AR97" s="5">
        <f>N(AF97)*(Assumptions!$B$13*N(BD97)-(1-Assumptions!$B$13)*Assumptions!$B$14)+N(AG97)</f>
        <v/>
      </c>
      <c r="AS97" s="5">
        <f>N(AO97)*N(M97)/90+N(AP97)+N(AQ97)+N(AR97)</f>
        <v/>
      </c>
      <c r="AT97" s="3">
        <f>IF(N(M97)&lt;=0,0,(N(AS97)-N(AR97))*90/N(M97))</f>
        <v/>
      </c>
      <c r="AU97" s="5">
        <f>IFERROR(AS97-VLOOKUP($C97,Assumptions!$A$36:$C$39,3,FALSE),"")</f>
        <v/>
      </c>
      <c r="AV97" s="3">
        <f>IFERROR(AU97/F97,"")</f>
        <v/>
      </c>
      <c r="AW97">
        <f>IF(AND($E97=TRUE,$C97="GKP"),AS97,"")</f>
        <v/>
      </c>
      <c r="AX97">
        <f>IF(AND($E97=TRUE,$C97="DEF"),AS97,"")</f>
        <v/>
      </c>
      <c r="AY97">
        <f>IF(AND($E97=TRUE,$C97="MID"),AS97,"")</f>
        <v/>
      </c>
      <c r="AZ97">
        <f>IF(AND($E97=TRUE,$C97="FWD"),AS97,"")</f>
        <v/>
      </c>
      <c r="BA97" t="n">
        <v>2</v>
      </c>
      <c r="BB97" t="n">
        <v>2</v>
      </c>
      <c r="BC97" t="n">
        <v>4</v>
      </c>
      <c r="BD97" t="n">
        <v>6</v>
      </c>
    </row>
    <row r="98">
      <c r="A98" t="inlineStr">
        <is>
          <t>Rúben Dias</t>
        </is>
      </c>
      <c r="B98" t="inlineStr">
        <is>
          <t>MCI</t>
        </is>
      </c>
      <c r="C98" t="inlineStr">
        <is>
          <t>DEF</t>
        </is>
      </c>
      <c r="D98" t="inlineStr">
        <is>
          <t>DEF</t>
        </is>
      </c>
      <c r="E98" t="b">
        <v>1</v>
      </c>
      <c r="F98" s="2" t="n">
        <v>5.5</v>
      </c>
      <c r="G98" t="inlineStr">
        <is>
          <t>a</t>
        </is>
      </c>
      <c r="I98" s="2" t="n">
        <v>2139</v>
      </c>
      <c r="J98" t="n">
        <v>113</v>
      </c>
      <c r="K98" s="3" t="n">
        <v>1569</v>
      </c>
      <c r="L98" t="inlineStr">
        <is>
          <t>flat</t>
        </is>
      </c>
      <c r="M98" s="4" t="n">
        <v>1569</v>
      </c>
      <c r="N98" t="inlineStr">
        <is>
          <t>Solio</t>
        </is>
      </c>
      <c r="O98" s="5" t="n">
        <v>87.7</v>
      </c>
      <c r="P98" t="b">
        <v>1</v>
      </c>
      <c r="Q98" s="5">
        <f>IF(N(O98)&lt;=0,0,MIN(Assumptions!$B$15,N(M98)/N(O98)))</f>
        <v/>
      </c>
      <c r="R98" s="4" t="n">
        <v>0.371</v>
      </c>
      <c r="S98" s="3" t="n">
        <v>0.0213</v>
      </c>
      <c r="T98" t="inlineStr">
        <is>
          <t>adjusted xGOT</t>
        </is>
      </c>
      <c r="U98" s="3" t="n">
        <v>1</v>
      </c>
      <c r="V98" s="3" t="n">
        <v>0.887</v>
      </c>
      <c r="W98" s="3" t="n">
        <v>4.8</v>
      </c>
      <c r="X98" s="3" t="n">
        <v>0.0226</v>
      </c>
      <c r="Y98" s="3" t="n">
        <v>7.192</v>
      </c>
      <c r="Z98" s="3" t="n">
        <v>0.170337005905136</v>
      </c>
      <c r="AA98" s="3" t="n">
        <v>0.1262</v>
      </c>
      <c r="AB98" s="3" t="n">
        <v>49</v>
      </c>
      <c r="AC98" s="3" t="n">
        <v>1.9737</v>
      </c>
      <c r="AD98" s="3" t="n">
        <v>1.0365</v>
      </c>
      <c r="AE98" s="3" t="n">
        <v>-0.1469680947737017</v>
      </c>
      <c r="AF98" s="4" t="n">
        <v>0</v>
      </c>
      <c r="AG98" s="3" t="n">
        <v>0</v>
      </c>
      <c r="AH98" s="3" t="n">
        <v>0.1278</v>
      </c>
      <c r="AI98" s="3" t="n">
        <v>0.08949600000000001</v>
      </c>
      <c r="AJ98" s="3">
        <f>N(R98)*N(BC98)</f>
        <v/>
      </c>
      <c r="AK98" s="3" t="n">
        <v>0.1262</v>
      </c>
      <c r="AL98" s="3" t="n">
        <v>0</v>
      </c>
      <c r="AM98" s="3" t="n">
        <v>-0.2997019479071323</v>
      </c>
      <c r="AN98" s="3" t="n">
        <v>-0.1469680947737017</v>
      </c>
      <c r="AO98" s="3">
        <f>SUM(AH98:AN98)</f>
        <v/>
      </c>
      <c r="AP98" s="5">
        <f>IF(OR(N(Q98)&lt;=0,N(BA98)=0),0,N(Q98)*IF(N(M98)/N(Q98)&gt;=60,N(BA98),1))</f>
        <v/>
      </c>
      <c r="AQ98" s="5">
        <f>N(Q98)*N(Z98)*N(BB98)</f>
        <v/>
      </c>
      <c r="AR98" s="5">
        <f>N(AF98)*(Assumptions!$B$13*N(BD98)-(1-Assumptions!$B$13)*Assumptions!$B$14)+N(AG98)</f>
        <v/>
      </c>
      <c r="AS98" s="5">
        <f>N(AO98)*N(M98)/90+N(AP98)+N(AQ98)+N(AR98)</f>
        <v/>
      </c>
      <c r="AT98" s="3">
        <f>IF(N(M98)&lt;=0,0,(N(AS98)-N(AR98))*90/N(M98))</f>
        <v/>
      </c>
      <c r="AU98" s="5">
        <f>IFERROR(AS98-VLOOKUP($C98,Assumptions!$A$36:$C$39,3,FALSE),"")</f>
        <v/>
      </c>
      <c r="AV98" s="3">
        <f>IFERROR(AU98/F98,"")</f>
        <v/>
      </c>
      <c r="AW98">
        <f>IF(AND($E98=TRUE,$C98="GKP"),AS98,"")</f>
        <v/>
      </c>
      <c r="AX98">
        <f>IF(AND($E98=TRUE,$C98="DEF"),AS98,"")</f>
        <v/>
      </c>
      <c r="AY98">
        <f>IF(AND($E98=TRUE,$C98="MID"),AS98,"")</f>
        <v/>
      </c>
      <c r="AZ98">
        <f>IF(AND($E98=TRUE,$C98="FWD"),AS98,"")</f>
        <v/>
      </c>
      <c r="BA98" t="n">
        <v>2</v>
      </c>
      <c r="BB98" t="n">
        <v>2</v>
      </c>
      <c r="BC98" t="n">
        <v>4</v>
      </c>
      <c r="BD98" t="n">
        <v>6</v>
      </c>
    </row>
    <row r="99">
      <c r="A99" t="inlineStr">
        <is>
          <t>Robert Sánchez</t>
        </is>
      </c>
      <c r="B99" t="inlineStr">
        <is>
          <t>CHE</t>
        </is>
      </c>
      <c r="C99" t="inlineStr">
        <is>
          <t>GKP</t>
        </is>
      </c>
      <c r="D99" t="inlineStr">
        <is>
          <t>GKP</t>
        </is>
      </c>
      <c r="E99" t="b">
        <v>1</v>
      </c>
      <c r="F99" s="2" t="n">
        <v>5</v>
      </c>
      <c r="G99" t="inlineStr">
        <is>
          <t>a</t>
        </is>
      </c>
      <c r="I99" s="2" t="n">
        <v>3040</v>
      </c>
      <c r="J99" t="n">
        <v>113</v>
      </c>
      <c r="K99" s="3" t="n">
        <v>3181</v>
      </c>
      <c r="L99" t="inlineStr">
        <is>
          <t>flat</t>
        </is>
      </c>
      <c r="M99" s="4" t="n">
        <v>3181</v>
      </c>
      <c r="N99" t="inlineStr">
        <is>
          <t>Solio</t>
        </is>
      </c>
      <c r="O99" s="5" t="n">
        <v>86.90000000000001</v>
      </c>
      <c r="P99" t="b">
        <v>1</v>
      </c>
      <c r="Q99" s="5">
        <f>IF(N(O99)&lt;=0,0,MIN(Assumptions!$B$15,N(M99)/N(O99)))</f>
        <v/>
      </c>
      <c r="R99" s="4" t="n">
        <v>0.322</v>
      </c>
      <c r="S99" s="3" t="n">
        <v>0</v>
      </c>
      <c r="T99" t="inlineStr">
        <is>
          <t>blended xG</t>
        </is>
      </c>
      <c r="U99" s="3" t="n">
        <v>1</v>
      </c>
      <c r="V99" s="3" t="n">
        <v>1</v>
      </c>
      <c r="W99" s="3" t="n">
        <v>0</v>
      </c>
      <c r="X99" s="3" t="n">
        <v>0.0137</v>
      </c>
      <c r="Y99" s="3" t="n">
        <v>0</v>
      </c>
      <c r="Z99" s="3" t="n">
        <v>0</v>
      </c>
      <c r="AA99" s="3" t="n">
        <v>0.2368</v>
      </c>
      <c r="AB99" s="3" t="n">
        <v>69</v>
      </c>
      <c r="AC99" s="3" t="n">
        <v>2.4232</v>
      </c>
      <c r="AD99" s="3" t="n">
        <v>1.1851</v>
      </c>
      <c r="AE99" s="3" t="n">
        <v>-0.108788584519348</v>
      </c>
      <c r="AF99" s="4" t="n">
        <v>0</v>
      </c>
      <c r="AG99" s="3" t="n">
        <v>2.35312144194812</v>
      </c>
      <c r="AH99" s="3" t="n">
        <v>0</v>
      </c>
      <c r="AI99" s="3" t="n">
        <v>0.054252</v>
      </c>
      <c r="AJ99" s="3">
        <f>N(R99)*N(BC99)</f>
        <v/>
      </c>
      <c r="AK99" s="3" t="n">
        <v>0.2368</v>
      </c>
      <c r="AL99" s="3" t="n">
        <v>0.474357769926339</v>
      </c>
      <c r="AM99" s="3" t="n">
        <v>-0.365915508000572</v>
      </c>
      <c r="AN99" s="3" t="n">
        <v>-0.108788584519348</v>
      </c>
      <c r="AO99" s="3">
        <f>SUM(AH99:AN99)</f>
        <v/>
      </c>
      <c r="AP99" s="5">
        <f>IF(OR(N(Q99)&lt;=0,N(BA99)=0),0,N(Q99)*IF(N(M99)/N(Q99)&gt;=60,N(BA99),1))</f>
        <v/>
      </c>
      <c r="AQ99" s="5">
        <f>N(Q99)*N(Z99)*N(BB99)</f>
        <v/>
      </c>
      <c r="AR99" s="5">
        <f>N(AF99)*(Assumptions!$B$13*N(BD99)-(1-Assumptions!$B$13)*Assumptions!$B$14)+N(AG99)</f>
        <v/>
      </c>
      <c r="AS99" s="5">
        <f>N(AO99)*N(M99)/90+N(AP99)+N(AQ99)+N(AR99)</f>
        <v/>
      </c>
      <c r="AT99" s="3">
        <f>IF(N(M99)&lt;=0,0,(N(AS99)-N(AR99))*90/N(M99))</f>
        <v/>
      </c>
      <c r="AU99" s="5">
        <f>IFERROR(AS99-VLOOKUP($C99,Assumptions!$A$36:$C$39,3,FALSE),"")</f>
        <v/>
      </c>
      <c r="AV99" s="3">
        <f>IFERROR(AU99/F99,"")</f>
        <v/>
      </c>
      <c r="AW99">
        <f>IF(AND($E99=TRUE,$C99="GKP"),AS99,"")</f>
        <v/>
      </c>
      <c r="AX99">
        <f>IF(AND($E99=TRUE,$C99="DEF"),AS99,"")</f>
        <v/>
      </c>
      <c r="AY99">
        <f>IF(AND($E99=TRUE,$C99="MID"),AS99,"")</f>
        <v/>
      </c>
      <c r="AZ99">
        <f>IF(AND($E99=TRUE,$C99="FWD"),AS99,"")</f>
        <v/>
      </c>
      <c r="BA99" t="n">
        <v>2</v>
      </c>
      <c r="BB99" t="n">
        <v>0</v>
      </c>
      <c r="BC99" t="n">
        <v>4</v>
      </c>
      <c r="BD99" t="n">
        <v>10</v>
      </c>
    </row>
    <row r="100">
      <c r="A100" t="inlineStr">
        <is>
          <t>Mikkel Damsgaard</t>
        </is>
      </c>
      <c r="B100" t="inlineStr">
        <is>
          <t>BRE</t>
        </is>
      </c>
      <c r="C100" t="inlineStr">
        <is>
          <t>MID</t>
        </is>
      </c>
      <c r="D100" t="inlineStr">
        <is>
          <t>MID</t>
        </is>
      </c>
      <c r="E100" t="b">
        <v>1</v>
      </c>
      <c r="F100" s="2" t="n">
        <v>5.5</v>
      </c>
      <c r="G100" t="inlineStr">
        <is>
          <t>a</t>
        </is>
      </c>
      <c r="I100" s="2" t="n">
        <v>2046</v>
      </c>
      <c r="J100" t="n">
        <v>113</v>
      </c>
      <c r="K100" s="3" t="n">
        <v>1915</v>
      </c>
      <c r="L100" t="inlineStr">
        <is>
          <t>flat</t>
        </is>
      </c>
      <c r="M100" s="4" t="n">
        <v>1915</v>
      </c>
      <c r="N100" t="inlineStr">
        <is>
          <t>Solio</t>
        </is>
      </c>
      <c r="O100" s="5" t="n">
        <v>77.90000000000001</v>
      </c>
      <c r="P100" t="b">
        <v>1</v>
      </c>
      <c r="Q100" s="5">
        <f>IF(N(O100)&lt;=0,0,MIN(Assumptions!$B$15,N(M100)/N(O100)))</f>
        <v/>
      </c>
      <c r="R100" s="4" t="n">
        <v>0.228</v>
      </c>
      <c r="S100" s="3" t="n">
        <v>0.1149</v>
      </c>
      <c r="T100" t="inlineStr">
        <is>
          <t>adjusted xGOT</t>
        </is>
      </c>
      <c r="U100" s="3" t="n">
        <v>1</v>
      </c>
      <c r="V100" s="3" t="n">
        <v>1.001</v>
      </c>
      <c r="W100" s="3" t="n">
        <v>8.6</v>
      </c>
      <c r="X100" s="3" t="n">
        <v>0.2617</v>
      </c>
      <c r="Y100" s="3" t="n">
        <v>10.074</v>
      </c>
      <c r="Z100" s="3" t="n">
        <v>0.1706648918857849</v>
      </c>
      <c r="AA100" s="3" t="n">
        <v>0.3959</v>
      </c>
      <c r="AB100" s="3" t="n">
        <v>55</v>
      </c>
      <c r="AC100" s="3" t="n">
        <v>3.2371</v>
      </c>
      <c r="AD100" s="3" t="n">
        <v>1.5396</v>
      </c>
      <c r="AE100" s="3" t="n">
        <v>-0.1005908179385081</v>
      </c>
      <c r="AF100" s="4" t="n">
        <v>0</v>
      </c>
      <c r="AG100" s="3" t="n">
        <v>0</v>
      </c>
      <c r="AH100" s="3" t="n">
        <v>0.5745</v>
      </c>
      <c r="AI100" s="3" t="n">
        <v>1.036332</v>
      </c>
      <c r="AJ100" s="3">
        <f>N(R100)*N(BC100)</f>
        <v/>
      </c>
      <c r="AK100" s="3" t="n">
        <v>0.3959</v>
      </c>
      <c r="AL100" s="3" t="n">
        <v>0</v>
      </c>
      <c r="AM100" s="3" t="n">
        <v>-0</v>
      </c>
      <c r="AN100" s="3" t="n">
        <v>-0.1005908179385081</v>
      </c>
      <c r="AO100" s="3">
        <f>SUM(AH100:AN100)</f>
        <v/>
      </c>
      <c r="AP100" s="5">
        <f>IF(OR(N(Q100)&lt;=0,N(BA100)=0),0,N(Q100)*IF(N(M100)/N(Q100)&gt;=60,N(BA100),1))</f>
        <v/>
      </c>
      <c r="AQ100" s="5">
        <f>N(Q100)*N(Z100)*N(BB100)</f>
        <v/>
      </c>
      <c r="AR100" s="5">
        <f>N(AF100)*(Assumptions!$B$13*N(BD100)-(1-Assumptions!$B$13)*Assumptions!$B$14)+N(AG100)</f>
        <v/>
      </c>
      <c r="AS100" s="5">
        <f>N(AO100)*N(M100)/90+N(AP100)+N(AQ100)+N(AR100)</f>
        <v/>
      </c>
      <c r="AT100" s="3">
        <f>IF(N(M100)&lt;=0,0,(N(AS100)-N(AR100))*90/N(M100))</f>
        <v/>
      </c>
      <c r="AU100" s="5">
        <f>IFERROR(AS100-VLOOKUP($C100,Assumptions!$A$36:$C$39,3,FALSE),"")</f>
        <v/>
      </c>
      <c r="AV100" s="3">
        <f>IFERROR(AU100/F100,"")</f>
        <v/>
      </c>
      <c r="AW100">
        <f>IF(AND($E100=TRUE,$C100="GKP"),AS100,"")</f>
        <v/>
      </c>
      <c r="AX100">
        <f>IF(AND($E100=TRUE,$C100="DEF"),AS100,"")</f>
        <v/>
      </c>
      <c r="AY100">
        <f>IF(AND($E100=TRUE,$C100="MID"),AS100,"")</f>
        <v/>
      </c>
      <c r="AZ100">
        <f>IF(AND($E100=TRUE,$C100="FWD"),AS100,"")</f>
        <v/>
      </c>
      <c r="BA100" t="n">
        <v>2</v>
      </c>
      <c r="BB100" t="n">
        <v>2</v>
      </c>
      <c r="BC100" t="n">
        <v>1</v>
      </c>
      <c r="BD100" t="n">
        <v>5</v>
      </c>
    </row>
    <row r="101">
      <c r="A101" t="inlineStr">
        <is>
          <t>Eberechi Eze</t>
        </is>
      </c>
      <c r="B101" t="inlineStr">
        <is>
          <t>ARS</t>
        </is>
      </c>
      <c r="C101" t="inlineStr">
        <is>
          <t>MID</t>
        </is>
      </c>
      <c r="D101" t="inlineStr">
        <is>
          <t>MID</t>
        </is>
      </c>
      <c r="E101" t="b">
        <v>1</v>
      </c>
      <c r="F101" s="2" t="n">
        <v>6.5</v>
      </c>
      <c r="G101" t="inlineStr">
        <is>
          <t>a</t>
        </is>
      </c>
      <c r="I101" s="2" t="n">
        <v>1885</v>
      </c>
      <c r="J101" t="n">
        <v>113</v>
      </c>
      <c r="K101" s="3" t="n">
        <v>1328</v>
      </c>
      <c r="L101" t="inlineStr">
        <is>
          <t>flat</t>
        </is>
      </c>
      <c r="M101" s="4" t="n">
        <v>1328</v>
      </c>
      <c r="N101" t="inlineStr">
        <is>
          <t>Solio</t>
        </is>
      </c>
      <c r="O101" s="5" t="n">
        <v>74</v>
      </c>
      <c r="P101" t="b">
        <v>1</v>
      </c>
      <c r="Q101" s="5">
        <f>IF(N(O101)&lt;=0,0,MIN(Assumptions!$B$15,N(M101)/N(O101)))</f>
        <v/>
      </c>
      <c r="R101" s="4" t="n">
        <v>0.391</v>
      </c>
      <c r="S101" s="3" t="n">
        <v>0.2755</v>
      </c>
      <c r="T101" t="inlineStr">
        <is>
          <t>adjusted xGOT</t>
        </is>
      </c>
      <c r="U101" s="3" t="n">
        <v>1</v>
      </c>
      <c r="V101" s="3" t="n">
        <v>1.114</v>
      </c>
      <c r="W101" s="3" t="n">
        <v>31.9</v>
      </c>
      <c r="X101" s="3" t="n">
        <v>0.1264</v>
      </c>
      <c r="Y101" s="3" t="n">
        <v>6.516</v>
      </c>
      <c r="Z101" s="3" t="n">
        <v>0.009097330427950245</v>
      </c>
      <c r="AA101" s="3" t="n">
        <v>0.382</v>
      </c>
      <c r="AB101" s="3" t="n">
        <v>51</v>
      </c>
      <c r="AC101" s="3" t="n">
        <v>2.067</v>
      </c>
      <c r="AD101" s="3" t="n">
        <v>0.9838</v>
      </c>
      <c r="AE101" s="3" t="n">
        <v>-0.1112321372810775</v>
      </c>
      <c r="AF101" s="4" t="n">
        <v>0</v>
      </c>
      <c r="AG101" s="3" t="n">
        <v>0</v>
      </c>
      <c r="AH101" s="3" t="n">
        <v>1.3775</v>
      </c>
      <c r="AI101" s="3" t="n">
        <v>0.5005440000000001</v>
      </c>
      <c r="AJ101" s="3">
        <f>N(R101)*N(BC101)</f>
        <v/>
      </c>
      <c r="AK101" s="3" t="n">
        <v>0.382</v>
      </c>
      <c r="AL101" s="3" t="n">
        <v>0</v>
      </c>
      <c r="AM101" s="3" t="n">
        <v>-0</v>
      </c>
      <c r="AN101" s="3" t="n">
        <v>-0.1112321372810775</v>
      </c>
      <c r="AO101" s="3">
        <f>SUM(AH101:AN101)</f>
        <v/>
      </c>
      <c r="AP101" s="5">
        <f>IF(OR(N(Q101)&lt;=0,N(BA101)=0),0,N(Q101)*IF(N(M101)/N(Q101)&gt;=60,N(BA101),1))</f>
        <v/>
      </c>
      <c r="AQ101" s="5">
        <f>N(Q101)*N(Z101)*N(BB101)</f>
        <v/>
      </c>
      <c r="AR101" s="5">
        <f>N(AF101)*(Assumptions!$B$13*N(BD101)-(1-Assumptions!$B$13)*Assumptions!$B$14)+N(AG101)</f>
        <v/>
      </c>
      <c r="AS101" s="5">
        <f>N(AO101)*N(M101)/90+N(AP101)+N(AQ101)+N(AR101)</f>
        <v/>
      </c>
      <c r="AT101" s="3">
        <f>IF(N(M101)&lt;=0,0,(N(AS101)-N(AR101))*90/N(M101))</f>
        <v/>
      </c>
      <c r="AU101" s="5">
        <f>IFERROR(AS101-VLOOKUP($C101,Assumptions!$A$36:$C$39,3,FALSE),"")</f>
        <v/>
      </c>
      <c r="AV101" s="3">
        <f>IFERROR(AU101/F101,"")</f>
        <v/>
      </c>
      <c r="AW101">
        <f>IF(AND($E101=TRUE,$C101="GKP"),AS101,"")</f>
        <v/>
      </c>
      <c r="AX101">
        <f>IF(AND($E101=TRUE,$C101="DEF"),AS101,"")</f>
        <v/>
      </c>
      <c r="AY101">
        <f>IF(AND($E101=TRUE,$C101="MID"),AS101,"")</f>
        <v/>
      </c>
      <c r="AZ101">
        <f>IF(AND($E101=TRUE,$C101="FWD"),AS101,"")</f>
        <v/>
      </c>
      <c r="BA101" t="n">
        <v>2</v>
      </c>
      <c r="BB101" t="n">
        <v>2</v>
      </c>
      <c r="BC101" t="n">
        <v>1</v>
      </c>
      <c r="BD101" t="n">
        <v>5</v>
      </c>
    </row>
    <row r="102">
      <c r="A102" t="inlineStr">
        <is>
          <t>Adam Wharton</t>
        </is>
      </c>
      <c r="B102" t="inlineStr">
        <is>
          <t>CRY</t>
        </is>
      </c>
      <c r="C102" t="inlineStr">
        <is>
          <t>MID</t>
        </is>
      </c>
      <c r="D102" t="inlineStr">
        <is>
          <t>MID</t>
        </is>
      </c>
      <c r="E102" t="b">
        <v>1</v>
      </c>
      <c r="F102" s="2" t="n">
        <v>5.5</v>
      </c>
      <c r="G102" t="inlineStr">
        <is>
          <t>a</t>
        </is>
      </c>
      <c r="I102" s="2" t="n">
        <v>2552</v>
      </c>
      <c r="J102" t="n">
        <v>112</v>
      </c>
      <c r="K102" s="3" t="n">
        <v>3158</v>
      </c>
      <c r="L102" t="inlineStr">
        <is>
          <t>flat</t>
        </is>
      </c>
      <c r="M102" s="4" t="n">
        <v>3158</v>
      </c>
      <c r="N102" t="inlineStr">
        <is>
          <t>Solio</t>
        </is>
      </c>
      <c r="O102" s="5" t="n">
        <v>82.90000000000001</v>
      </c>
      <c r="P102" t="b">
        <v>1</v>
      </c>
      <c r="Q102" s="5">
        <f>IF(N(O102)&lt;=0,0,MIN(Assumptions!$B$15,N(M102)/N(O102)))</f>
        <v/>
      </c>
      <c r="R102" s="4" t="n">
        <v>0.216</v>
      </c>
      <c r="S102" s="3" t="n">
        <v>0.0475</v>
      </c>
      <c r="T102" t="inlineStr">
        <is>
          <t>adjusted xGOT</t>
        </is>
      </c>
      <c r="U102" s="3" t="n">
        <v>1</v>
      </c>
      <c r="V102" s="3" t="n">
        <v>0.885</v>
      </c>
      <c r="W102" s="3" t="n">
        <v>2.3</v>
      </c>
      <c r="X102" s="3" t="n">
        <v>0.2485</v>
      </c>
      <c r="Y102" s="3" t="n">
        <v>10.222</v>
      </c>
      <c r="Z102" s="3" t="n">
        <v>0.2390689663433038</v>
      </c>
      <c r="AA102" s="3" t="n">
        <v>0.2821</v>
      </c>
      <c r="AB102" s="3" t="n">
        <v>62</v>
      </c>
      <c r="AC102" s="3" t="n">
        <v>3.2035</v>
      </c>
      <c r="AD102" s="3" t="n">
        <v>1.5923</v>
      </c>
      <c r="AE102" s="3" t="n">
        <v>-0.1727358222007214</v>
      </c>
      <c r="AF102" s="4" t="n">
        <v>0</v>
      </c>
      <c r="AG102" s="3" t="n">
        <v>0</v>
      </c>
      <c r="AH102" s="3" t="n">
        <v>0.2375</v>
      </c>
      <c r="AI102" s="3" t="n">
        <v>0.9840600000000002</v>
      </c>
      <c r="AJ102" s="3">
        <f>N(R102)*N(BC102)</f>
        <v/>
      </c>
      <c r="AK102" s="3" t="n">
        <v>0.2821</v>
      </c>
      <c r="AL102" s="3" t="n">
        <v>0</v>
      </c>
      <c r="AM102" s="3" t="n">
        <v>-0</v>
      </c>
      <c r="AN102" s="3" t="n">
        <v>-0.1727358222007214</v>
      </c>
      <c r="AO102" s="3">
        <f>SUM(AH102:AN102)</f>
        <v/>
      </c>
      <c r="AP102" s="5">
        <f>IF(OR(N(Q102)&lt;=0,N(BA102)=0),0,N(Q102)*IF(N(M102)/N(Q102)&gt;=60,N(BA102),1))</f>
        <v/>
      </c>
      <c r="AQ102" s="5">
        <f>N(Q102)*N(Z102)*N(BB102)</f>
        <v/>
      </c>
      <c r="AR102" s="5">
        <f>N(AF102)*(Assumptions!$B$13*N(BD102)-(1-Assumptions!$B$13)*Assumptions!$B$14)+N(AG102)</f>
        <v/>
      </c>
      <c r="AS102" s="5">
        <f>N(AO102)*N(M102)/90+N(AP102)+N(AQ102)+N(AR102)</f>
        <v/>
      </c>
      <c r="AT102" s="3">
        <f>IF(N(M102)&lt;=0,0,(N(AS102)-N(AR102))*90/N(M102))</f>
        <v/>
      </c>
      <c r="AU102" s="5">
        <f>IFERROR(AS102-VLOOKUP($C102,Assumptions!$A$36:$C$39,3,FALSE),"")</f>
        <v/>
      </c>
      <c r="AV102" s="3">
        <f>IFERROR(AU102/F102,"")</f>
        <v/>
      </c>
      <c r="AW102">
        <f>IF(AND($E102=TRUE,$C102="GKP"),AS102,"")</f>
        <v/>
      </c>
      <c r="AX102">
        <f>IF(AND($E102=TRUE,$C102="DEF"),AS102,"")</f>
        <v/>
      </c>
      <c r="AY102">
        <f>IF(AND($E102=TRUE,$C102="MID"),AS102,"")</f>
        <v/>
      </c>
      <c r="AZ102">
        <f>IF(AND($E102=TRUE,$C102="FWD"),AS102,"")</f>
        <v/>
      </c>
      <c r="BA102" t="n">
        <v>2</v>
      </c>
      <c r="BB102" t="n">
        <v>2</v>
      </c>
      <c r="BC102" t="n">
        <v>1</v>
      </c>
      <c r="BD102" t="n">
        <v>5</v>
      </c>
    </row>
    <row r="103">
      <c r="A103" t="inlineStr">
        <is>
          <t>Benjamin Sesko</t>
        </is>
      </c>
      <c r="B103" t="inlineStr">
        <is>
          <t>MUN</t>
        </is>
      </c>
      <c r="C103" t="inlineStr">
        <is>
          <t>FWD</t>
        </is>
      </c>
      <c r="D103" t="inlineStr">
        <is>
          <t>FWD</t>
        </is>
      </c>
      <c r="E103" t="b">
        <v>1</v>
      </c>
      <c r="F103" s="2" t="n">
        <v>7</v>
      </c>
      <c r="G103" t="inlineStr">
        <is>
          <t>d</t>
        </is>
      </c>
      <c r="H103" t="inlineStr">
        <is>
          <t>Shin injury - 75% chance of playing</t>
        </is>
      </c>
      <c r="I103" s="2" t="n">
        <v>1630</v>
      </c>
      <c r="J103" t="n">
        <v>111</v>
      </c>
      <c r="K103" s="3" t="n">
        <v>2274</v>
      </c>
      <c r="L103" t="inlineStr">
        <is>
          <t>flat</t>
        </is>
      </c>
      <c r="M103" s="4" t="n">
        <v>2274</v>
      </c>
      <c r="N103" t="inlineStr">
        <is>
          <t>Solio</t>
        </is>
      </c>
      <c r="O103" s="5" t="n">
        <v>78.90000000000001</v>
      </c>
      <c r="P103" t="b">
        <v>1</v>
      </c>
      <c r="Q103" s="5">
        <f>IF(N(O103)&lt;=0,0,MIN(Assumptions!$B$15,N(M103)/N(O103)))</f>
        <v/>
      </c>
      <c r="R103" s="4" t="n">
        <v>0.334</v>
      </c>
      <c r="S103" s="3" t="n">
        <v>0.5673</v>
      </c>
      <c r="T103" t="inlineStr">
        <is>
          <t>adjusted xGOT</t>
        </is>
      </c>
      <c r="U103" s="3" t="n">
        <v>1</v>
      </c>
      <c r="V103" s="3" t="n">
        <v>1.116</v>
      </c>
      <c r="W103" s="3" t="n">
        <v>9.199999999999999</v>
      </c>
      <c r="X103" s="3" t="n">
        <v>0.0242</v>
      </c>
      <c r="Y103" s="3" t="n">
        <v>3.92</v>
      </c>
      <c r="Z103" s="3" t="n">
        <v>0.0002456755357473916</v>
      </c>
      <c r="AA103" s="3" t="n">
        <v>1.0491</v>
      </c>
      <c r="AB103" s="3" t="n">
        <v>44</v>
      </c>
      <c r="AC103" s="3" t="n">
        <v>2.2165</v>
      </c>
      <c r="AD103" s="3" t="n">
        <v>1.1467</v>
      </c>
      <c r="AE103" s="3" t="n">
        <v>-0.1467446864486378</v>
      </c>
      <c r="AF103" s="4" t="n">
        <v>0</v>
      </c>
      <c r="AG103" s="3" t="n">
        <v>0</v>
      </c>
      <c r="AH103" s="3" t="n">
        <v>2.2692</v>
      </c>
      <c r="AI103" s="3" t="n">
        <v>0.095832</v>
      </c>
      <c r="AJ103" s="3">
        <f>N(R103)*N(BC103)</f>
        <v/>
      </c>
      <c r="AK103" s="3" t="n">
        <v>1.0491</v>
      </c>
      <c r="AL103" s="3" t="n">
        <v>0</v>
      </c>
      <c r="AM103" s="3" t="n">
        <v>-0</v>
      </c>
      <c r="AN103" s="3" t="n">
        <v>-0.1467446864486378</v>
      </c>
      <c r="AO103" s="3">
        <f>SUM(AH103:AN103)</f>
        <v/>
      </c>
      <c r="AP103" s="5">
        <f>IF(OR(N(Q103)&lt;=0,N(BA103)=0),0,N(Q103)*IF(N(M103)/N(Q103)&gt;=60,N(BA103),1))</f>
        <v/>
      </c>
      <c r="AQ103" s="5">
        <f>N(Q103)*N(Z103)*N(BB103)</f>
        <v/>
      </c>
      <c r="AR103" s="5">
        <f>N(AF103)*(Assumptions!$B$13*N(BD103)-(1-Assumptions!$B$13)*Assumptions!$B$14)+N(AG103)</f>
        <v/>
      </c>
      <c r="AS103" s="5">
        <f>N(AO103)*N(M103)/90+N(AP103)+N(AQ103)+N(AR103)</f>
        <v/>
      </c>
      <c r="AT103" s="3">
        <f>IF(N(M103)&lt;=0,0,(N(AS103)-N(AR103))*90/N(M103))</f>
        <v/>
      </c>
      <c r="AU103" s="5">
        <f>IFERROR(AS103-VLOOKUP($C103,Assumptions!$A$36:$C$39,3,FALSE),"")</f>
        <v/>
      </c>
      <c r="AV103" s="3">
        <f>IFERROR(AU103/F103,"")</f>
        <v/>
      </c>
      <c r="AW103">
        <f>IF(AND($E103=TRUE,$C103="GKP"),AS103,"")</f>
        <v/>
      </c>
      <c r="AX103">
        <f>IF(AND($E103=TRUE,$C103="DEF"),AS103,"")</f>
        <v/>
      </c>
      <c r="AY103">
        <f>IF(AND($E103=TRUE,$C103="MID"),AS103,"")</f>
        <v/>
      </c>
      <c r="AZ103">
        <f>IF(AND($E103=TRUE,$C103="FWD"),AS103,"")</f>
        <v/>
      </c>
      <c r="BA103" t="n">
        <v>2</v>
      </c>
      <c r="BB103" t="n">
        <v>2</v>
      </c>
      <c r="BC103" t="n">
        <v>0</v>
      </c>
      <c r="BD103" t="n">
        <v>4</v>
      </c>
    </row>
    <row r="104">
      <c r="A104" t="inlineStr">
        <is>
          <t>Diogo Dalot</t>
        </is>
      </c>
      <c r="B104" t="inlineStr">
        <is>
          <t>MUN</t>
        </is>
      </c>
      <c r="C104" t="inlineStr">
        <is>
          <t>DEF</t>
        </is>
      </c>
      <c r="D104" t="inlineStr">
        <is>
          <t>DEF</t>
        </is>
      </c>
      <c r="E104" t="b">
        <v>1</v>
      </c>
      <c r="F104" s="2" t="n">
        <v>5</v>
      </c>
      <c r="G104" t="inlineStr">
        <is>
          <t>a</t>
        </is>
      </c>
      <c r="I104" s="2" t="n">
        <v>2609</v>
      </c>
      <c r="J104" t="n">
        <v>111</v>
      </c>
      <c r="K104" s="3" t="n">
        <v>2594</v>
      </c>
      <c r="L104" t="inlineStr">
        <is>
          <t>flat</t>
        </is>
      </c>
      <c r="M104" s="4" t="n">
        <v>2594</v>
      </c>
      <c r="N104" t="inlineStr">
        <is>
          <t>Solio</t>
        </is>
      </c>
      <c r="O104" s="5" t="n">
        <v>85.5</v>
      </c>
      <c r="P104" t="b">
        <v>1</v>
      </c>
      <c r="Q104" s="5">
        <f>IF(N(O104)&lt;=0,0,MIN(Assumptions!$B$15,N(M104)/N(O104)))</f>
        <v/>
      </c>
      <c r="R104" s="4" t="n">
        <v>0.334</v>
      </c>
      <c r="S104" s="3" t="n">
        <v>0.0527</v>
      </c>
      <c r="T104" t="inlineStr">
        <is>
          <t>adjusted xGOT</t>
        </is>
      </c>
      <c r="U104" s="3" t="n">
        <v>1</v>
      </c>
      <c r="V104" s="3" t="n">
        <v>0.791</v>
      </c>
      <c r="W104" s="3" t="n">
        <v>8</v>
      </c>
      <c r="X104" s="3" t="n">
        <v>0.1048</v>
      </c>
      <c r="Y104" s="3" t="n">
        <v>6.528</v>
      </c>
      <c r="Z104" s="3" t="n">
        <v>0.09850051054912889</v>
      </c>
      <c r="AA104" s="3" t="n">
        <v>0.345</v>
      </c>
      <c r="AB104" s="3" t="n">
        <v>62</v>
      </c>
      <c r="AC104" s="3" t="n">
        <v>2.2165</v>
      </c>
      <c r="AD104" s="3" t="n">
        <v>1.1467</v>
      </c>
      <c r="AE104" s="3" t="n">
        <v>-0.1822064962082101</v>
      </c>
      <c r="AF104" s="4" t="n">
        <v>0</v>
      </c>
      <c r="AG104" s="3" t="n">
        <v>0</v>
      </c>
      <c r="AH104" s="3" t="n">
        <v>0.3162</v>
      </c>
      <c r="AI104" s="3" t="n">
        <v>0.415008</v>
      </c>
      <c r="AJ104" s="3">
        <f>N(R104)*N(BC104)</f>
        <v/>
      </c>
      <c r="AK104" s="3" t="n">
        <v>0.345</v>
      </c>
      <c r="AL104" s="3" t="n">
        <v>0</v>
      </c>
      <c r="AM104" s="3" t="n">
        <v>-0.348580685135232</v>
      </c>
      <c r="AN104" s="3" t="n">
        <v>-0.1822064962082101</v>
      </c>
      <c r="AO104" s="3">
        <f>SUM(AH104:AN104)</f>
        <v/>
      </c>
      <c r="AP104" s="5">
        <f>IF(OR(N(Q104)&lt;=0,N(BA104)=0),0,N(Q104)*IF(N(M104)/N(Q104)&gt;=60,N(BA104),1))</f>
        <v/>
      </c>
      <c r="AQ104" s="5">
        <f>N(Q104)*N(Z104)*N(BB104)</f>
        <v/>
      </c>
      <c r="AR104" s="5">
        <f>N(AF104)*(Assumptions!$B$13*N(BD104)-(1-Assumptions!$B$13)*Assumptions!$B$14)+N(AG104)</f>
        <v/>
      </c>
      <c r="AS104" s="5">
        <f>N(AO104)*N(M104)/90+N(AP104)+N(AQ104)+N(AR104)</f>
        <v/>
      </c>
      <c r="AT104" s="3">
        <f>IF(N(M104)&lt;=0,0,(N(AS104)-N(AR104))*90/N(M104))</f>
        <v/>
      </c>
      <c r="AU104" s="5">
        <f>IFERROR(AS104-VLOOKUP($C104,Assumptions!$A$36:$C$39,3,FALSE),"")</f>
        <v/>
      </c>
      <c r="AV104" s="3">
        <f>IFERROR(AU104/F104,"")</f>
        <v/>
      </c>
      <c r="AW104">
        <f>IF(AND($E104=TRUE,$C104="GKP"),AS104,"")</f>
        <v/>
      </c>
      <c r="AX104">
        <f>IF(AND($E104=TRUE,$C104="DEF"),AS104,"")</f>
        <v/>
      </c>
      <c r="AY104">
        <f>IF(AND($E104=TRUE,$C104="MID"),AS104,"")</f>
        <v/>
      </c>
      <c r="AZ104">
        <f>IF(AND($E104=TRUE,$C104="FWD"),AS104,"")</f>
        <v/>
      </c>
      <c r="BA104" t="n">
        <v>2</v>
      </c>
      <c r="BB104" t="n">
        <v>2</v>
      </c>
      <c r="BC104" t="n">
        <v>4</v>
      </c>
      <c r="BD104" t="n">
        <v>6</v>
      </c>
    </row>
    <row r="105">
      <c r="A105" t="inlineStr">
        <is>
          <t>Trai Hume</t>
        </is>
      </c>
      <c r="B105" t="inlineStr">
        <is>
          <t>SUN</t>
        </is>
      </c>
      <c r="C105" t="inlineStr">
        <is>
          <t>DEF</t>
        </is>
      </c>
      <c r="D105" t="inlineStr">
        <is>
          <t>DEF</t>
        </is>
      </c>
      <c r="E105" t="b">
        <v>1</v>
      </c>
      <c r="F105" s="2" t="n">
        <v>4.5</v>
      </c>
      <c r="G105" t="inlineStr">
        <is>
          <t>a</t>
        </is>
      </c>
      <c r="I105" s="2" t="n">
        <v>3032</v>
      </c>
      <c r="J105" t="n">
        <v>110</v>
      </c>
      <c r="K105" s="3" t="n">
        <v>2668</v>
      </c>
      <c r="L105" t="inlineStr">
        <is>
          <t>flat</t>
        </is>
      </c>
      <c r="M105" s="4" t="n">
        <v>2668</v>
      </c>
      <c r="N105" t="inlineStr">
        <is>
          <t>Solio</t>
        </is>
      </c>
      <c r="O105" s="5" t="n">
        <v>86.8</v>
      </c>
      <c r="P105" t="b">
        <v>1</v>
      </c>
      <c r="Q105" s="5">
        <f>IF(N(O105)&lt;=0,0,MIN(Assumptions!$B$15,N(M105)/N(O105)))</f>
        <v/>
      </c>
      <c r="R105" s="4" t="n">
        <v>0.204</v>
      </c>
      <c r="S105" s="3" t="n">
        <v>0.0669</v>
      </c>
      <c r="T105" t="inlineStr">
        <is>
          <t>adjusted xGOT</t>
        </is>
      </c>
      <c r="U105" s="3" t="n">
        <v>1</v>
      </c>
      <c r="V105" s="3" t="n">
        <v>0.993</v>
      </c>
      <c r="W105" s="3" t="n">
        <v>2.3</v>
      </c>
      <c r="X105" s="3" t="n">
        <v>0.0614</v>
      </c>
      <c r="Y105" s="3" t="n">
        <v>6.344</v>
      </c>
      <c r="Z105" s="3" t="n">
        <v>0.09231824669774136</v>
      </c>
      <c r="AA105" s="3" t="n">
        <v>0.1781</v>
      </c>
      <c r="AB105" s="3" t="n">
        <v>70</v>
      </c>
      <c r="AC105" s="3" t="n">
        <v>3.3348</v>
      </c>
      <c r="AD105" s="3" t="n">
        <v>1.6498</v>
      </c>
      <c r="AE105" s="3" t="n">
        <v>-0.261356914364491</v>
      </c>
      <c r="AF105" s="4" t="n">
        <v>0</v>
      </c>
      <c r="AG105" s="3" t="n">
        <v>0</v>
      </c>
      <c r="AH105" s="3" t="n">
        <v>0.4014</v>
      </c>
      <c r="AI105" s="3" t="n">
        <v>0.243144</v>
      </c>
      <c r="AJ105" s="3">
        <f>N(R105)*N(BC105)</f>
        <v/>
      </c>
      <c r="AK105" s="3" t="n">
        <v>0.1781</v>
      </c>
      <c r="AL105" s="3" t="n">
        <v>0</v>
      </c>
      <c r="AM105" s="3" t="n">
        <v>-0.5841244809045405</v>
      </c>
      <c r="AN105" s="3" t="n">
        <v>-0.261356914364491</v>
      </c>
      <c r="AO105" s="3">
        <f>SUM(AH105:AN105)</f>
        <v/>
      </c>
      <c r="AP105" s="5">
        <f>IF(OR(N(Q105)&lt;=0,N(BA105)=0),0,N(Q105)*IF(N(M105)/N(Q105)&gt;=60,N(BA105),1))</f>
        <v/>
      </c>
      <c r="AQ105" s="5">
        <f>N(Q105)*N(Z105)*N(BB105)</f>
        <v/>
      </c>
      <c r="AR105" s="5">
        <f>N(AF105)*(Assumptions!$B$13*N(BD105)-(1-Assumptions!$B$13)*Assumptions!$B$14)+N(AG105)</f>
        <v/>
      </c>
      <c r="AS105" s="5">
        <f>N(AO105)*N(M105)/90+N(AP105)+N(AQ105)+N(AR105)</f>
        <v/>
      </c>
      <c r="AT105" s="3">
        <f>IF(N(M105)&lt;=0,0,(N(AS105)-N(AR105))*90/N(M105))</f>
        <v/>
      </c>
      <c r="AU105" s="5">
        <f>IFERROR(AS105-VLOOKUP($C105,Assumptions!$A$36:$C$39,3,FALSE),"")</f>
        <v/>
      </c>
      <c r="AV105" s="3">
        <f>IFERROR(AU105/F105,"")</f>
        <v/>
      </c>
      <c r="AW105">
        <f>IF(AND($E105=TRUE,$C105="GKP"),AS105,"")</f>
        <v/>
      </c>
      <c r="AX105">
        <f>IF(AND($E105=TRUE,$C105="DEF"),AS105,"")</f>
        <v/>
      </c>
      <c r="AY105">
        <f>IF(AND($E105=TRUE,$C105="MID"),AS105,"")</f>
        <v/>
      </c>
      <c r="AZ105">
        <f>IF(AND($E105=TRUE,$C105="FWD"),AS105,"")</f>
        <v/>
      </c>
      <c r="BA105" t="n">
        <v>2</v>
      </c>
      <c r="BB105" t="n">
        <v>2</v>
      </c>
      <c r="BC105" t="n">
        <v>4</v>
      </c>
      <c r="BD105" t="n">
        <v>6</v>
      </c>
    </row>
    <row r="106">
      <c r="A106" t="inlineStr">
        <is>
          <t>James Hill</t>
        </is>
      </c>
      <c r="B106" t="inlineStr">
        <is>
          <t>BOU</t>
        </is>
      </c>
      <c r="C106" t="inlineStr">
        <is>
          <t>DEF</t>
        </is>
      </c>
      <c r="D106" t="inlineStr">
        <is>
          <t>DEF</t>
        </is>
      </c>
      <c r="E106" t="b">
        <v>1</v>
      </c>
      <c r="F106" s="2" t="n">
        <v>5.5</v>
      </c>
      <c r="G106" t="inlineStr">
        <is>
          <t>a</t>
        </is>
      </c>
      <c r="I106" s="2" t="n">
        <v>2102</v>
      </c>
      <c r="J106" t="n">
        <v>110</v>
      </c>
      <c r="K106" s="3" t="n">
        <v>3340</v>
      </c>
      <c r="L106" t="inlineStr">
        <is>
          <t>flat</t>
        </is>
      </c>
      <c r="M106" s="4" t="n">
        <v>3340</v>
      </c>
      <c r="N106" t="inlineStr">
        <is>
          <t>Solio</t>
        </is>
      </c>
      <c r="O106" s="5" t="n">
        <v>88.5</v>
      </c>
      <c r="P106" t="b">
        <v>1</v>
      </c>
      <c r="Q106" s="5">
        <f>IF(N(O106)&lt;=0,0,MIN(Assumptions!$B$15,N(M106)/N(O106)))</f>
        <v/>
      </c>
      <c r="R106" s="4" t="n">
        <v>0.23</v>
      </c>
      <c r="S106" s="3" t="n">
        <v>0.0345</v>
      </c>
      <c r="T106" t="inlineStr">
        <is>
          <t>adjusted xGOT</t>
        </is>
      </c>
      <c r="U106" s="3" t="n">
        <v>1</v>
      </c>
      <c r="V106" s="3" t="n">
        <v>0.904</v>
      </c>
      <c r="W106" s="3" t="n">
        <v>1.2</v>
      </c>
      <c r="X106" s="3" t="n">
        <v>0.0554</v>
      </c>
      <c r="Y106" s="3" t="n">
        <v>10.253</v>
      </c>
      <c r="Z106" s="3" t="n">
        <v>0.5523008096265835</v>
      </c>
      <c r="AA106" s="3" t="n">
        <v>0.1284</v>
      </c>
      <c r="AB106" s="3" t="n">
        <v>52</v>
      </c>
      <c r="AC106" s="3" t="n">
        <v>3.0957</v>
      </c>
      <c r="AD106" s="3" t="n">
        <v>1.53</v>
      </c>
      <c r="AE106" s="3" t="n">
        <v>-0.2213309023316314</v>
      </c>
      <c r="AF106" s="4" t="n">
        <v>0</v>
      </c>
      <c r="AG106" s="3" t="n">
        <v>0</v>
      </c>
      <c r="AH106" s="3" t="n">
        <v>0.207</v>
      </c>
      <c r="AI106" s="3" t="n">
        <v>0.219384</v>
      </c>
      <c r="AJ106" s="3">
        <f>N(R106)*N(BC106)</f>
        <v/>
      </c>
      <c r="AK106" s="3" t="n">
        <v>0.1284</v>
      </c>
      <c r="AL106" s="3" t="n">
        <v>0</v>
      </c>
      <c r="AM106" s="3" t="n">
        <v>-0.5267219238049191</v>
      </c>
      <c r="AN106" s="3" t="n">
        <v>-0.2213309023316314</v>
      </c>
      <c r="AO106" s="3">
        <f>SUM(AH106:AN106)</f>
        <v/>
      </c>
      <c r="AP106" s="5">
        <f>IF(OR(N(Q106)&lt;=0,N(BA106)=0),0,N(Q106)*IF(N(M106)/N(Q106)&gt;=60,N(BA106),1))</f>
        <v/>
      </c>
      <c r="AQ106" s="5">
        <f>N(Q106)*N(Z106)*N(BB106)</f>
        <v/>
      </c>
      <c r="AR106" s="5">
        <f>N(AF106)*(Assumptions!$B$13*N(BD106)-(1-Assumptions!$B$13)*Assumptions!$B$14)+N(AG106)</f>
        <v/>
      </c>
      <c r="AS106" s="5">
        <f>N(AO106)*N(M106)/90+N(AP106)+N(AQ106)+N(AR106)</f>
        <v/>
      </c>
      <c r="AT106" s="3">
        <f>IF(N(M106)&lt;=0,0,(N(AS106)-N(AR106))*90/N(M106))</f>
        <v/>
      </c>
      <c r="AU106" s="5">
        <f>IFERROR(AS106-VLOOKUP($C106,Assumptions!$A$36:$C$39,3,FALSE),"")</f>
        <v/>
      </c>
      <c r="AV106" s="3">
        <f>IFERROR(AU106/F106,"")</f>
        <v/>
      </c>
      <c r="AW106">
        <f>IF(AND($E106=TRUE,$C106="GKP"),AS106,"")</f>
        <v/>
      </c>
      <c r="AX106">
        <f>IF(AND($E106=TRUE,$C106="DEF"),AS106,"")</f>
        <v/>
      </c>
      <c r="AY106">
        <f>IF(AND($E106=TRUE,$C106="MID"),AS106,"")</f>
        <v/>
      </c>
      <c r="AZ106">
        <f>IF(AND($E106=TRUE,$C106="FWD"),AS106,"")</f>
        <v/>
      </c>
      <c r="BA106" t="n">
        <v>2</v>
      </c>
      <c r="BB106" t="n">
        <v>2</v>
      </c>
      <c r="BC106" t="n">
        <v>4</v>
      </c>
      <c r="BD106" t="n">
        <v>6</v>
      </c>
    </row>
    <row r="107">
      <c r="A107" t="inlineStr">
        <is>
          <t>Moisés Caicedo</t>
        </is>
      </c>
      <c r="B107" t="inlineStr">
        <is>
          <t>CHE</t>
        </is>
      </c>
      <c r="C107" t="inlineStr">
        <is>
          <t>MID</t>
        </is>
      </c>
      <c r="D107" t="inlineStr">
        <is>
          <t>MID</t>
        </is>
      </c>
      <c r="E107" t="b">
        <v>1</v>
      </c>
      <c r="F107" s="2" t="n">
        <v>5.5</v>
      </c>
      <c r="G107" t="inlineStr">
        <is>
          <t>a</t>
        </is>
      </c>
      <c r="I107" s="2" t="n">
        <v>2796</v>
      </c>
      <c r="J107" t="n">
        <v>110</v>
      </c>
      <c r="K107" s="3" t="n">
        <v>3089</v>
      </c>
      <c r="L107" t="inlineStr">
        <is>
          <t>flat</t>
        </is>
      </c>
      <c r="M107" s="4" t="n">
        <v>3089</v>
      </c>
      <c r="N107" t="inlineStr">
        <is>
          <t>Solio</t>
        </is>
      </c>
      <c r="O107" s="5" t="n">
        <v>86</v>
      </c>
      <c r="P107" t="b">
        <v>1</v>
      </c>
      <c r="Q107" s="5">
        <f>IF(N(O107)&lt;=0,0,MIN(Assumptions!$B$15,N(M107)/N(O107)))</f>
        <v/>
      </c>
      <c r="R107" s="4" t="n">
        <v>0.322</v>
      </c>
      <c r="S107" s="3" t="n">
        <v>0.0454</v>
      </c>
      <c r="T107" t="inlineStr">
        <is>
          <t>adjusted xGOT</t>
        </is>
      </c>
      <c r="U107" s="3" t="n">
        <v>1</v>
      </c>
      <c r="V107" s="3" t="n">
        <v>0.972</v>
      </c>
      <c r="W107" s="3" t="n">
        <v>4.4</v>
      </c>
      <c r="X107" s="3" t="n">
        <v>0.0806</v>
      </c>
      <c r="Y107" s="3" t="n">
        <v>11.125</v>
      </c>
      <c r="Z107" s="3" t="n">
        <v>0.3767222700794579</v>
      </c>
      <c r="AA107" s="3" t="n">
        <v>0.3219</v>
      </c>
      <c r="AB107" s="3" t="n">
        <v>64</v>
      </c>
      <c r="AC107" s="3" t="n">
        <v>2.4232</v>
      </c>
      <c r="AD107" s="3" t="n">
        <v>1.1851</v>
      </c>
      <c r="AE107" s="3" t="n">
        <v>-0.3233128195628788</v>
      </c>
      <c r="AF107" s="4" t="n">
        <v>0</v>
      </c>
      <c r="AG107" s="3" t="n">
        <v>0</v>
      </c>
      <c r="AH107" s="3" t="n">
        <v>0.227</v>
      </c>
      <c r="AI107" s="3" t="n">
        <v>0.319176</v>
      </c>
      <c r="AJ107" s="3">
        <f>N(R107)*N(BC107)</f>
        <v/>
      </c>
      <c r="AK107" s="3" t="n">
        <v>0.3219</v>
      </c>
      <c r="AL107" s="3" t="n">
        <v>0</v>
      </c>
      <c r="AM107" s="3" t="n">
        <v>-0</v>
      </c>
      <c r="AN107" s="3" t="n">
        <v>-0.3233128195628788</v>
      </c>
      <c r="AO107" s="3">
        <f>SUM(AH107:AN107)</f>
        <v/>
      </c>
      <c r="AP107" s="5">
        <f>IF(OR(N(Q107)&lt;=0,N(BA107)=0),0,N(Q107)*IF(N(M107)/N(Q107)&gt;=60,N(BA107),1))</f>
        <v/>
      </c>
      <c r="AQ107" s="5">
        <f>N(Q107)*N(Z107)*N(BB107)</f>
        <v/>
      </c>
      <c r="AR107" s="5">
        <f>N(AF107)*(Assumptions!$B$13*N(BD107)-(1-Assumptions!$B$13)*Assumptions!$B$14)+N(AG107)</f>
        <v/>
      </c>
      <c r="AS107" s="5">
        <f>N(AO107)*N(M107)/90+N(AP107)+N(AQ107)+N(AR107)</f>
        <v/>
      </c>
      <c r="AT107" s="3">
        <f>IF(N(M107)&lt;=0,0,(N(AS107)-N(AR107))*90/N(M107))</f>
        <v/>
      </c>
      <c r="AU107" s="5">
        <f>IFERROR(AS107-VLOOKUP($C107,Assumptions!$A$36:$C$39,3,FALSE),"")</f>
        <v/>
      </c>
      <c r="AV107" s="3">
        <f>IFERROR(AU107/F107,"")</f>
        <v/>
      </c>
      <c r="AW107">
        <f>IF(AND($E107=TRUE,$C107="GKP"),AS107,"")</f>
        <v/>
      </c>
      <c r="AX107">
        <f>IF(AND($E107=TRUE,$C107="DEF"),AS107,"")</f>
        <v/>
      </c>
      <c r="AY107">
        <f>IF(AND($E107=TRUE,$C107="MID"),AS107,"")</f>
        <v/>
      </c>
      <c r="AZ107">
        <f>IF(AND($E107=TRUE,$C107="FWD"),AS107,"")</f>
        <v/>
      </c>
      <c r="BA107" t="n">
        <v>2</v>
      </c>
      <c r="BB107" t="n">
        <v>2</v>
      </c>
      <c r="BC107" t="n">
        <v>1</v>
      </c>
      <c r="BD107" t="n">
        <v>5</v>
      </c>
    </row>
    <row r="108">
      <c r="A108" t="inlineStr">
        <is>
          <t>Senne Lammens</t>
        </is>
      </c>
      <c r="B108" t="inlineStr">
        <is>
          <t>MUN</t>
        </is>
      </c>
      <c r="C108" t="inlineStr">
        <is>
          <t>GKP</t>
        </is>
      </c>
      <c r="D108" t="inlineStr">
        <is>
          <t>GKP</t>
        </is>
      </c>
      <c r="E108" t="b">
        <v>1</v>
      </c>
      <c r="F108" s="2" t="n">
        <v>5</v>
      </c>
      <c r="G108" t="inlineStr">
        <is>
          <t>a</t>
        </is>
      </c>
      <c r="I108" s="2" t="n">
        <v>2880</v>
      </c>
      <c r="J108" t="n">
        <v>109</v>
      </c>
      <c r="K108" s="3" t="n">
        <v>3385</v>
      </c>
      <c r="L108" t="inlineStr">
        <is>
          <t>flat</t>
        </is>
      </c>
      <c r="M108" s="4" t="n">
        <v>3385</v>
      </c>
      <c r="N108" t="inlineStr">
        <is>
          <t>Solio</t>
        </is>
      </c>
      <c r="O108" s="5" t="n">
        <v>90</v>
      </c>
      <c r="P108" t="b">
        <v>1</v>
      </c>
      <c r="Q108" s="5">
        <f>IF(N(O108)&lt;=0,0,MIN(Assumptions!$B$15,N(M108)/N(O108)))</f>
        <v/>
      </c>
      <c r="R108" s="4" t="n">
        <v>0.334</v>
      </c>
      <c r="S108" s="3" t="n">
        <v>0</v>
      </c>
      <c r="T108" t="inlineStr">
        <is>
          <t>blended xG</t>
        </is>
      </c>
      <c r="U108" s="3" t="n">
        <v>1</v>
      </c>
      <c r="V108" s="3" t="n">
        <v>1</v>
      </c>
      <c r="W108" s="3" t="n">
        <v>0</v>
      </c>
      <c r="X108" s="3" t="n">
        <v>0</v>
      </c>
      <c r="Y108" s="3" t="n">
        <v>0</v>
      </c>
      <c r="Z108" s="3" t="n">
        <v>0</v>
      </c>
      <c r="AA108" s="3" t="n">
        <v>0.3438</v>
      </c>
      <c r="AB108" s="3" t="n">
        <v>64</v>
      </c>
      <c r="AC108" s="3" t="n">
        <v>2.2165</v>
      </c>
      <c r="AD108" s="3" t="n">
        <v>1.1467</v>
      </c>
      <c r="AE108" s="3" t="n">
        <v>-0.0274143848760321</v>
      </c>
      <c r="AF108" s="4" t="n">
        <v>0</v>
      </c>
      <c r="AG108" s="3" t="n">
        <v>2.423011666671952</v>
      </c>
      <c r="AH108" s="3" t="n">
        <v>0</v>
      </c>
      <c r="AI108" s="3" t="n">
        <v>0</v>
      </c>
      <c r="AJ108" s="3">
        <f>N(R108)*N(BC108)</f>
        <v/>
      </c>
      <c r="AK108" s="3" t="n">
        <v>0.3438</v>
      </c>
      <c r="AL108" s="3" t="n">
        <v>0.407909225741714</v>
      </c>
      <c r="AM108" s="3" t="n">
        <v>-0.348580685135232</v>
      </c>
      <c r="AN108" s="3" t="n">
        <v>-0.0274143848760321</v>
      </c>
      <c r="AO108" s="3">
        <f>SUM(AH108:AN108)</f>
        <v/>
      </c>
      <c r="AP108" s="5">
        <f>IF(OR(N(Q108)&lt;=0,N(BA108)=0),0,N(Q108)*IF(N(M108)/N(Q108)&gt;=60,N(BA108),1))</f>
        <v/>
      </c>
      <c r="AQ108" s="5">
        <f>N(Q108)*N(Z108)*N(BB108)</f>
        <v/>
      </c>
      <c r="AR108" s="5">
        <f>N(AF108)*(Assumptions!$B$13*N(BD108)-(1-Assumptions!$B$13)*Assumptions!$B$14)+N(AG108)</f>
        <v/>
      </c>
      <c r="AS108" s="5">
        <f>N(AO108)*N(M108)/90+N(AP108)+N(AQ108)+N(AR108)</f>
        <v/>
      </c>
      <c r="AT108" s="3">
        <f>IF(N(M108)&lt;=0,0,(N(AS108)-N(AR108))*90/N(M108))</f>
        <v/>
      </c>
      <c r="AU108" s="5">
        <f>IFERROR(AS108-VLOOKUP($C108,Assumptions!$A$36:$C$39,3,FALSE),"")</f>
        <v/>
      </c>
      <c r="AV108" s="3">
        <f>IFERROR(AU108/F108,"")</f>
        <v/>
      </c>
      <c r="AW108">
        <f>IF(AND($E108=TRUE,$C108="GKP"),AS108,"")</f>
        <v/>
      </c>
      <c r="AX108">
        <f>IF(AND($E108=TRUE,$C108="DEF"),AS108,"")</f>
        <v/>
      </c>
      <c r="AY108">
        <f>IF(AND($E108=TRUE,$C108="MID"),AS108,"")</f>
        <v/>
      </c>
      <c r="AZ108">
        <f>IF(AND($E108=TRUE,$C108="FWD"),AS108,"")</f>
        <v/>
      </c>
      <c r="BA108" t="n">
        <v>2</v>
      </c>
      <c r="BB108" t="n">
        <v>0</v>
      </c>
      <c r="BC108" t="n">
        <v>4</v>
      </c>
      <c r="BD108" t="n">
        <v>10</v>
      </c>
    </row>
    <row r="109">
      <c r="A109" t="inlineStr">
        <is>
          <t>Joe Rodon</t>
        </is>
      </c>
      <c r="B109" t="inlineStr">
        <is>
          <t>LEE</t>
        </is>
      </c>
      <c r="C109" t="inlineStr">
        <is>
          <t>DEF</t>
        </is>
      </c>
      <c r="D109" t="inlineStr">
        <is>
          <t>DEF</t>
        </is>
      </c>
      <c r="E109" t="b">
        <v>1</v>
      </c>
      <c r="F109" s="2" t="n">
        <v>4.5</v>
      </c>
      <c r="G109" t="inlineStr">
        <is>
          <t>a</t>
        </is>
      </c>
      <c r="I109" s="2" t="n">
        <v>2952</v>
      </c>
      <c r="J109" t="n">
        <v>109</v>
      </c>
      <c r="K109" s="3" t="n">
        <v>3272</v>
      </c>
      <c r="L109" t="inlineStr">
        <is>
          <t>flat</t>
        </is>
      </c>
      <c r="M109" s="4" t="n">
        <v>3272</v>
      </c>
      <c r="N109" t="inlineStr">
        <is>
          <t>Solio</t>
        </is>
      </c>
      <c r="O109" s="5" t="n">
        <v>88.09999999999999</v>
      </c>
      <c r="P109" t="b">
        <v>1</v>
      </c>
      <c r="Q109" s="5">
        <f>IF(N(O109)&lt;=0,0,MIN(Assumptions!$B$15,N(M109)/N(O109)))</f>
        <v/>
      </c>
      <c r="R109" s="4" t="n">
        <v>0.218</v>
      </c>
      <c r="S109" s="3" t="n">
        <v>0.0477</v>
      </c>
      <c r="T109" t="inlineStr">
        <is>
          <t>adjusted xGOT</t>
        </is>
      </c>
      <c r="U109" s="3" t="n">
        <v>1</v>
      </c>
      <c r="V109" s="3" t="n">
        <v>1.117</v>
      </c>
      <c r="W109" s="3" t="n">
        <v>1.4</v>
      </c>
      <c r="X109" s="3" t="n">
        <v>0.0156</v>
      </c>
      <c r="Y109" s="3" t="n">
        <v>8.223000000000001</v>
      </c>
      <c r="Z109" s="3" t="n">
        <v>0.2895241694997805</v>
      </c>
      <c r="AA109" s="3" t="n">
        <v>0.122</v>
      </c>
      <c r="AB109" s="3" t="n">
        <v>67</v>
      </c>
      <c r="AC109" s="3" t="n">
        <v>3.0611</v>
      </c>
      <c r="AD109" s="3" t="n">
        <v>1.5875</v>
      </c>
      <c r="AE109" s="3" t="n">
        <v>-0.1427805549012233</v>
      </c>
      <c r="AF109" s="4" t="n">
        <v>0</v>
      </c>
      <c r="AG109" s="3" t="n">
        <v>0</v>
      </c>
      <c r="AH109" s="3" t="n">
        <v>0.2862</v>
      </c>
      <c r="AI109" s="3" t="n">
        <v>0.061776</v>
      </c>
      <c r="AJ109" s="3">
        <f>N(R109)*N(BC109)</f>
        <v/>
      </c>
      <c r="AK109" s="3" t="n">
        <v>0.122</v>
      </c>
      <c r="AL109" s="3" t="n">
        <v>0</v>
      </c>
      <c r="AM109" s="3" t="n">
        <v>-0.5541985260210861</v>
      </c>
      <c r="AN109" s="3" t="n">
        <v>-0.1427805549012233</v>
      </c>
      <c r="AO109" s="3">
        <f>SUM(AH109:AN109)</f>
        <v/>
      </c>
      <c r="AP109" s="5">
        <f>IF(OR(N(Q109)&lt;=0,N(BA109)=0),0,N(Q109)*IF(N(M109)/N(Q109)&gt;=60,N(BA109),1))</f>
        <v/>
      </c>
      <c r="AQ109" s="5">
        <f>N(Q109)*N(Z109)*N(BB109)</f>
        <v/>
      </c>
      <c r="AR109" s="5">
        <f>N(AF109)*(Assumptions!$B$13*N(BD109)-(1-Assumptions!$B$13)*Assumptions!$B$14)+N(AG109)</f>
        <v/>
      </c>
      <c r="AS109" s="5">
        <f>N(AO109)*N(M109)/90+N(AP109)+N(AQ109)+N(AR109)</f>
        <v/>
      </c>
      <c r="AT109" s="3">
        <f>IF(N(M109)&lt;=0,0,(N(AS109)-N(AR109))*90/N(M109))</f>
        <v/>
      </c>
      <c r="AU109" s="5">
        <f>IFERROR(AS109-VLOOKUP($C109,Assumptions!$A$36:$C$39,3,FALSE),"")</f>
        <v/>
      </c>
      <c r="AV109" s="3">
        <f>IFERROR(AU109/F109,"")</f>
        <v/>
      </c>
      <c r="AW109">
        <f>IF(AND($E109=TRUE,$C109="GKP"),AS109,"")</f>
        <v/>
      </c>
      <c r="AX109">
        <f>IF(AND($E109=TRUE,$C109="DEF"),AS109,"")</f>
        <v/>
      </c>
      <c r="AY109">
        <f>IF(AND($E109=TRUE,$C109="MID"),AS109,"")</f>
        <v/>
      </c>
      <c r="AZ109">
        <f>IF(AND($E109=TRUE,$C109="FWD"),AS109,"")</f>
        <v/>
      </c>
      <c r="BA109" t="n">
        <v>2</v>
      </c>
      <c r="BB109" t="n">
        <v>2</v>
      </c>
      <c r="BC109" t="n">
        <v>4</v>
      </c>
      <c r="BD109" t="n">
        <v>6</v>
      </c>
    </row>
    <row r="110">
      <c r="A110" t="inlineStr">
        <is>
          <t>Noah Okafor</t>
        </is>
      </c>
      <c r="B110" t="inlineStr">
        <is>
          <t>LEE</t>
        </is>
      </c>
      <c r="C110" t="inlineStr">
        <is>
          <t>MID</t>
        </is>
      </c>
      <c r="D110" t="inlineStr">
        <is>
          <t>MID</t>
        </is>
      </c>
      <c r="E110" t="b">
        <v>1</v>
      </c>
      <c r="F110" s="2" t="n">
        <v>6</v>
      </c>
      <c r="G110" t="inlineStr">
        <is>
          <t>a</t>
        </is>
      </c>
      <c r="I110" s="2" t="n">
        <v>1553</v>
      </c>
      <c r="J110" t="n">
        <v>109</v>
      </c>
      <c r="K110" s="3" t="n">
        <v>2229</v>
      </c>
      <c r="L110" t="inlineStr">
        <is>
          <t>flat</t>
        </is>
      </c>
      <c r="M110" s="4" t="n">
        <v>2229</v>
      </c>
      <c r="N110" t="inlineStr">
        <is>
          <t>Solio</t>
        </is>
      </c>
      <c r="O110" s="5" t="n">
        <v>71.7</v>
      </c>
      <c r="P110" t="b">
        <v>1</v>
      </c>
      <c r="Q110" s="5">
        <f>IF(N(O110)&lt;=0,0,MIN(Assumptions!$B$15,N(M110)/N(O110)))</f>
        <v/>
      </c>
      <c r="R110" s="4" t="n">
        <v>0.218</v>
      </c>
      <c r="S110" s="3" t="n">
        <v>0.3444</v>
      </c>
      <c r="T110" t="inlineStr">
        <is>
          <t>adjusted xGOT</t>
        </is>
      </c>
      <c r="U110" s="3" t="n">
        <v>1</v>
      </c>
      <c r="V110" s="3" t="n">
        <v>1.132</v>
      </c>
      <c r="W110" s="3" t="n">
        <v>5.2</v>
      </c>
      <c r="X110" s="3" t="n">
        <v>0.1037</v>
      </c>
      <c r="Y110" s="3" t="n">
        <v>7.191</v>
      </c>
      <c r="Z110" s="3" t="n">
        <v>0.01464356796251232</v>
      </c>
      <c r="AA110" s="3" t="n">
        <v>0.6954</v>
      </c>
      <c r="AB110" s="3" t="n">
        <v>46</v>
      </c>
      <c r="AC110" s="3" t="n">
        <v>3.0611</v>
      </c>
      <c r="AD110" s="3" t="n">
        <v>1.5875</v>
      </c>
      <c r="AE110" s="3" t="n">
        <v>-0.2027852452278596</v>
      </c>
      <c r="AF110" s="4" t="n">
        <v>0</v>
      </c>
      <c r="AG110" s="3" t="n">
        <v>0</v>
      </c>
      <c r="AH110" s="3" t="n">
        <v>1.722</v>
      </c>
      <c r="AI110" s="3" t="n">
        <v>0.410652</v>
      </c>
      <c r="AJ110" s="3">
        <f>N(R110)*N(BC110)</f>
        <v/>
      </c>
      <c r="AK110" s="3" t="n">
        <v>0.6954</v>
      </c>
      <c r="AL110" s="3" t="n">
        <v>0</v>
      </c>
      <c r="AM110" s="3" t="n">
        <v>-0</v>
      </c>
      <c r="AN110" s="3" t="n">
        <v>-0.2027852452278596</v>
      </c>
      <c r="AO110" s="3">
        <f>SUM(AH110:AN110)</f>
        <v/>
      </c>
      <c r="AP110" s="5">
        <f>IF(OR(N(Q110)&lt;=0,N(BA110)=0),0,N(Q110)*IF(N(M110)/N(Q110)&gt;=60,N(BA110),1))</f>
        <v/>
      </c>
      <c r="AQ110" s="5">
        <f>N(Q110)*N(Z110)*N(BB110)</f>
        <v/>
      </c>
      <c r="AR110" s="5">
        <f>N(AF110)*(Assumptions!$B$13*N(BD110)-(1-Assumptions!$B$13)*Assumptions!$B$14)+N(AG110)</f>
        <v/>
      </c>
      <c r="AS110" s="5">
        <f>N(AO110)*N(M110)/90+N(AP110)+N(AQ110)+N(AR110)</f>
        <v/>
      </c>
      <c r="AT110" s="3">
        <f>IF(N(M110)&lt;=0,0,(N(AS110)-N(AR110))*90/N(M110))</f>
        <v/>
      </c>
      <c r="AU110" s="5">
        <f>IFERROR(AS110-VLOOKUP($C110,Assumptions!$A$36:$C$39,3,FALSE),"")</f>
        <v/>
      </c>
      <c r="AV110" s="3">
        <f>IFERROR(AU110/F110,"")</f>
        <v/>
      </c>
      <c r="AW110">
        <f>IF(AND($E110=TRUE,$C110="GKP"),AS110,"")</f>
        <v/>
      </c>
      <c r="AX110">
        <f>IF(AND($E110=TRUE,$C110="DEF"),AS110,"")</f>
        <v/>
      </c>
      <c r="AY110">
        <f>IF(AND($E110=TRUE,$C110="MID"),AS110,"")</f>
        <v/>
      </c>
      <c r="AZ110">
        <f>IF(AND($E110=TRUE,$C110="FWD"),AS110,"")</f>
        <v/>
      </c>
      <c r="BA110" t="n">
        <v>2</v>
      </c>
      <c r="BB110" t="n">
        <v>2</v>
      </c>
      <c r="BC110" t="n">
        <v>1</v>
      </c>
      <c r="BD110" t="n">
        <v>5</v>
      </c>
    </row>
    <row r="111">
      <c r="A111" t="inlineStr">
        <is>
          <t>Riccardo Calafiori</t>
        </is>
      </c>
      <c r="B111" t="inlineStr">
        <is>
          <t>ARS</t>
        </is>
      </c>
      <c r="C111" t="inlineStr">
        <is>
          <t>DEF</t>
        </is>
      </c>
      <c r="D111" t="inlineStr">
        <is>
          <t>DEF</t>
        </is>
      </c>
      <c r="E111" t="b">
        <v>1</v>
      </c>
      <c r="F111" s="2" t="n">
        <v>5.5</v>
      </c>
      <c r="G111" t="inlineStr">
        <is>
          <t>a</t>
        </is>
      </c>
      <c r="I111" s="2" t="n">
        <v>1697</v>
      </c>
      <c r="J111" t="n">
        <v>109</v>
      </c>
      <c r="K111" s="3" t="n">
        <v>2371</v>
      </c>
      <c r="L111" t="inlineStr">
        <is>
          <t>flat</t>
        </is>
      </c>
      <c r="M111" s="4" t="n">
        <v>2371</v>
      </c>
      <c r="N111" t="inlineStr">
        <is>
          <t>Solio</t>
        </is>
      </c>
      <c r="O111" s="5" t="n">
        <v>74.8</v>
      </c>
      <c r="P111" t="b">
        <v>1</v>
      </c>
      <c r="Q111" s="5">
        <f>IF(N(O111)&lt;=0,0,MIN(Assumptions!$B$15,N(M111)/N(O111)))</f>
        <v/>
      </c>
      <c r="R111" s="4" t="n">
        <v>0.391</v>
      </c>
      <c r="S111" s="3" t="n">
        <v>0.1779</v>
      </c>
      <c r="T111" t="inlineStr">
        <is>
          <t>adjusted xGOT</t>
        </is>
      </c>
      <c r="U111" s="3" t="n">
        <v>1</v>
      </c>
      <c r="V111" s="3" t="n">
        <v>0.998</v>
      </c>
      <c r="W111" s="3" t="n">
        <v>4.2</v>
      </c>
      <c r="X111" s="3" t="n">
        <v>0.0373</v>
      </c>
      <c r="Y111" s="3" t="n">
        <v>6.087</v>
      </c>
      <c r="Z111" s="3" t="n">
        <v>0.03401755311026788</v>
      </c>
      <c r="AA111" s="3" t="n">
        <v>0.3182</v>
      </c>
      <c r="AB111" s="3" t="n">
        <v>45</v>
      </c>
      <c r="AC111" s="3" t="n">
        <v>2.067</v>
      </c>
      <c r="AD111" s="3" t="n">
        <v>0.9838</v>
      </c>
      <c r="AE111" s="3" t="n">
        <v>-0.2709401666718413</v>
      </c>
      <c r="AF111" s="4" t="n">
        <v>0</v>
      </c>
      <c r="AG111" s="3" t="n">
        <v>0</v>
      </c>
      <c r="AH111" s="3" t="n">
        <v>1.0674</v>
      </c>
      <c r="AI111" s="3" t="n">
        <v>0.147708</v>
      </c>
      <c r="AJ111" s="3">
        <f>N(R111)*N(BC111)</f>
        <v/>
      </c>
      <c r="AK111" s="3" t="n">
        <v>0.3182</v>
      </c>
      <c r="AL111" s="3" t="n">
        <v>0</v>
      </c>
      <c r="AM111" s="3" t="n">
        <v>-0.2768479886568037</v>
      </c>
      <c r="AN111" s="3" t="n">
        <v>-0.2709401666718413</v>
      </c>
      <c r="AO111" s="3">
        <f>SUM(AH111:AN111)</f>
        <v/>
      </c>
      <c r="AP111" s="5">
        <f>IF(OR(N(Q111)&lt;=0,N(BA111)=0),0,N(Q111)*IF(N(M111)/N(Q111)&gt;=60,N(BA111),1))</f>
        <v/>
      </c>
      <c r="AQ111" s="5">
        <f>N(Q111)*N(Z111)*N(BB111)</f>
        <v/>
      </c>
      <c r="AR111" s="5">
        <f>N(AF111)*(Assumptions!$B$13*N(BD111)-(1-Assumptions!$B$13)*Assumptions!$B$14)+N(AG111)</f>
        <v/>
      </c>
      <c r="AS111" s="5">
        <f>N(AO111)*N(M111)/90+N(AP111)+N(AQ111)+N(AR111)</f>
        <v/>
      </c>
      <c r="AT111" s="3">
        <f>IF(N(M111)&lt;=0,0,(N(AS111)-N(AR111))*90/N(M111))</f>
        <v/>
      </c>
      <c r="AU111" s="5">
        <f>IFERROR(AS111-VLOOKUP($C111,Assumptions!$A$36:$C$39,3,FALSE),"")</f>
        <v/>
      </c>
      <c r="AV111" s="3">
        <f>IFERROR(AU111/F111,"")</f>
        <v/>
      </c>
      <c r="AW111">
        <f>IF(AND($E111=TRUE,$C111="GKP"),AS111,"")</f>
        <v/>
      </c>
      <c r="AX111">
        <f>IF(AND($E111=TRUE,$C111="DEF"),AS111,"")</f>
        <v/>
      </c>
      <c r="AY111">
        <f>IF(AND($E111=TRUE,$C111="MID"),AS111,"")</f>
        <v/>
      </c>
      <c r="AZ111">
        <f>IF(AND($E111=TRUE,$C111="FWD"),AS111,"")</f>
        <v/>
      </c>
      <c r="BA111" t="n">
        <v>2</v>
      </c>
      <c r="BB111" t="n">
        <v>2</v>
      </c>
      <c r="BC111" t="n">
        <v>4</v>
      </c>
      <c r="BD111" t="n">
        <v>6</v>
      </c>
    </row>
    <row r="112">
      <c r="A112" t="inlineStr">
        <is>
          <t>Pascal Struijk</t>
        </is>
      </c>
      <c r="B112" t="inlineStr">
        <is>
          <t>BHA</t>
        </is>
      </c>
      <c r="C112" t="inlineStr">
        <is>
          <t>DEF</t>
        </is>
      </c>
      <c r="D112" t="inlineStr">
        <is>
          <t>DEF</t>
        </is>
      </c>
      <c r="E112" t="b">
        <v>1</v>
      </c>
      <c r="F112" s="2" t="n">
        <v>5</v>
      </c>
      <c r="G112" t="inlineStr">
        <is>
          <t>a</t>
        </is>
      </c>
      <c r="I112" s="2" t="n">
        <v>2935</v>
      </c>
      <c r="J112" t="n">
        <v>108</v>
      </c>
      <c r="K112" s="3" t="n">
        <v>2548</v>
      </c>
      <c r="L112" t="inlineStr">
        <is>
          <t>flat</t>
        </is>
      </c>
      <c r="M112" s="4" t="n">
        <v>2548</v>
      </c>
      <c r="N112" t="inlineStr">
        <is>
          <t>Solio</t>
        </is>
      </c>
      <c r="O112" s="5" t="n">
        <v>88.7</v>
      </c>
      <c r="P112" t="b">
        <v>1</v>
      </c>
      <c r="Q112" s="5">
        <f>IF(N(O112)&lt;=0,0,MIN(Assumptions!$B$15,N(M112)/N(O112)))</f>
        <v/>
      </c>
      <c r="R112" s="4" t="n">
        <v>0.252</v>
      </c>
      <c r="S112" s="3" t="n">
        <v>0.0877</v>
      </c>
      <c r="T112" t="inlineStr">
        <is>
          <t>adjusted xGOT</t>
        </is>
      </c>
      <c r="U112" s="3" t="n">
        <v>1</v>
      </c>
      <c r="V112" s="3" t="n">
        <v>0.9350000000000001</v>
      </c>
      <c r="W112" s="3" t="n">
        <v>4.4</v>
      </c>
      <c r="X112" s="3" t="n">
        <v>0.0284</v>
      </c>
      <c r="Y112" s="3" t="n">
        <v>8.827</v>
      </c>
      <c r="Z112" s="3" t="n">
        <v>0.3730662725757168</v>
      </c>
      <c r="AA112" s="3" t="n">
        <v>0.1227</v>
      </c>
      <c r="AB112" s="3" t="n">
        <v>66</v>
      </c>
      <c r="AC112" s="3" t="n">
        <v>2.8404</v>
      </c>
      <c r="AD112" s="3" t="n">
        <v>1.439</v>
      </c>
      <c r="AE112" s="3" t="n">
        <v>-0.1843958430388362</v>
      </c>
      <c r="AF112" s="4" t="n">
        <v>0</v>
      </c>
      <c r="AG112" s="3" t="n">
        <v>0</v>
      </c>
      <c r="AH112" s="3" t="n">
        <v>0.5262</v>
      </c>
      <c r="AI112" s="3" t="n">
        <v>0.112464</v>
      </c>
      <c r="AJ112" s="3">
        <f>N(R112)*N(BC112)</f>
        <v/>
      </c>
      <c r="AK112" s="3" t="n">
        <v>0.1227</v>
      </c>
      <c r="AL112" s="3" t="n">
        <v>0</v>
      </c>
      <c r="AM112" s="3" t="n">
        <v>-0.4835617861760246</v>
      </c>
      <c r="AN112" s="3" t="n">
        <v>-0.1843958430388362</v>
      </c>
      <c r="AO112" s="3">
        <f>SUM(AH112:AN112)</f>
        <v/>
      </c>
      <c r="AP112" s="5">
        <f>IF(OR(N(Q112)&lt;=0,N(BA112)=0),0,N(Q112)*IF(N(M112)/N(Q112)&gt;=60,N(BA112),1))</f>
        <v/>
      </c>
      <c r="AQ112" s="5">
        <f>N(Q112)*N(Z112)*N(BB112)</f>
        <v/>
      </c>
      <c r="AR112" s="5">
        <f>N(AF112)*(Assumptions!$B$13*N(BD112)-(1-Assumptions!$B$13)*Assumptions!$B$14)+N(AG112)</f>
        <v/>
      </c>
      <c r="AS112" s="5">
        <f>N(AO112)*N(M112)/90+N(AP112)+N(AQ112)+N(AR112)</f>
        <v/>
      </c>
      <c r="AT112" s="3">
        <f>IF(N(M112)&lt;=0,0,(N(AS112)-N(AR112))*90/N(M112))</f>
        <v/>
      </c>
      <c r="AU112" s="5">
        <f>IFERROR(AS112-VLOOKUP($C112,Assumptions!$A$36:$C$39,3,FALSE),"")</f>
        <v/>
      </c>
      <c r="AV112" s="3">
        <f>IFERROR(AU112/F112,"")</f>
        <v/>
      </c>
      <c r="AW112">
        <f>IF(AND($E112=TRUE,$C112="GKP"),AS112,"")</f>
        <v/>
      </c>
      <c r="AX112">
        <f>IF(AND($E112=TRUE,$C112="DEF"),AS112,"")</f>
        <v/>
      </c>
      <c r="AY112">
        <f>IF(AND($E112=TRUE,$C112="MID"),AS112,"")</f>
        <v/>
      </c>
      <c r="AZ112">
        <f>IF(AND($E112=TRUE,$C112="FWD"),AS112,"")</f>
        <v/>
      </c>
      <c r="BA112" t="n">
        <v>2</v>
      </c>
      <c r="BB112" t="n">
        <v>2</v>
      </c>
      <c r="BC112" t="n">
        <v>4</v>
      </c>
      <c r="BD112" t="n">
        <v>6</v>
      </c>
    </row>
    <row r="113">
      <c r="A113" t="inlineStr">
        <is>
          <t>Alexis Mac Allister</t>
        </is>
      </c>
      <c r="B113" t="inlineStr">
        <is>
          <t>LIV</t>
        </is>
      </c>
      <c r="C113" t="inlineStr">
        <is>
          <t>MID</t>
        </is>
      </c>
      <c r="D113" t="inlineStr">
        <is>
          <t>MID</t>
        </is>
      </c>
      <c r="E113" t="b">
        <v>1</v>
      </c>
      <c r="F113" s="2" t="n">
        <v>5.5</v>
      </c>
      <c r="G113" t="inlineStr">
        <is>
          <t>a</t>
        </is>
      </c>
      <c r="I113" s="2" t="n">
        <v>2654</v>
      </c>
      <c r="J113" t="n">
        <v>108</v>
      </c>
      <c r="K113" s="3" t="n">
        <v>1604</v>
      </c>
      <c r="L113" t="inlineStr">
        <is>
          <t>flat</t>
        </is>
      </c>
      <c r="M113" s="4" t="n">
        <v>1604</v>
      </c>
      <c r="N113" t="inlineStr">
        <is>
          <t>Solio</t>
        </is>
      </c>
      <c r="O113" s="5" t="n">
        <v>81.90000000000001</v>
      </c>
      <c r="P113" t="b">
        <v>1</v>
      </c>
      <c r="Q113" s="5">
        <f>IF(N(O113)&lt;=0,0,MIN(Assumptions!$B$15,N(M113)/N(O113)))</f>
        <v/>
      </c>
      <c r="R113" s="4" t="n">
        <v>0.342</v>
      </c>
      <c r="S113" s="3" t="n">
        <v>0.1366</v>
      </c>
      <c r="T113" t="inlineStr">
        <is>
          <t>adjusted xGOT</t>
        </is>
      </c>
      <c r="U113" s="3" t="n">
        <v>1</v>
      </c>
      <c r="V113" s="3" t="n">
        <v>1.036</v>
      </c>
      <c r="W113" s="3" t="n">
        <v>22.4</v>
      </c>
      <c r="X113" s="3" t="n">
        <v>0.077</v>
      </c>
      <c r="Y113" s="3" t="n">
        <v>7.939</v>
      </c>
      <c r="Z113" s="3" t="n">
        <v>0.06414854662874503</v>
      </c>
      <c r="AA113" s="3" t="n">
        <v>0.3052</v>
      </c>
      <c r="AB113" s="3" t="n">
        <v>66</v>
      </c>
      <c r="AC113" s="3" t="n">
        <v>2.409</v>
      </c>
      <c r="AD113" s="3" t="n">
        <v>1.1228</v>
      </c>
      <c r="AE113" s="3" t="n">
        <v>-0.2397524569675943</v>
      </c>
      <c r="AF113" s="4" t="n">
        <v>0.0009846507981227999</v>
      </c>
      <c r="AG113" s="3" t="n">
        <v>0</v>
      </c>
      <c r="AH113" s="3" t="n">
        <v>0.6830000000000001</v>
      </c>
      <c r="AI113" s="3" t="n">
        <v>0.30492</v>
      </c>
      <c r="AJ113" s="3">
        <f>N(R113)*N(BC113)</f>
        <v/>
      </c>
      <c r="AK113" s="3" t="n">
        <v>0.3052</v>
      </c>
      <c r="AL113" s="3" t="n">
        <v>0</v>
      </c>
      <c r="AM113" s="3" t="n">
        <v>-0</v>
      </c>
      <c r="AN113" s="3" t="n">
        <v>-0.2397524569675943</v>
      </c>
      <c r="AO113" s="3">
        <f>SUM(AH113:AN113)</f>
        <v/>
      </c>
      <c r="AP113" s="5">
        <f>IF(OR(N(Q113)&lt;=0,N(BA113)=0),0,N(Q113)*IF(N(M113)/N(Q113)&gt;=60,N(BA113),1))</f>
        <v/>
      </c>
      <c r="AQ113" s="5">
        <f>N(Q113)*N(Z113)*N(BB113)</f>
        <v/>
      </c>
      <c r="AR113" s="5">
        <f>N(AF113)*(Assumptions!$B$13*N(BD113)-(1-Assumptions!$B$13)*Assumptions!$B$14)+N(AG113)</f>
        <v/>
      </c>
      <c r="AS113" s="5">
        <f>N(AO113)*N(M113)/90+N(AP113)+N(AQ113)+N(AR113)</f>
        <v/>
      </c>
      <c r="AT113" s="3">
        <f>IF(N(M113)&lt;=0,0,(N(AS113)-N(AR113))*90/N(M113))</f>
        <v/>
      </c>
      <c r="AU113" s="5">
        <f>IFERROR(AS113-VLOOKUP($C113,Assumptions!$A$36:$C$39,3,FALSE),"")</f>
        <v/>
      </c>
      <c r="AV113" s="3">
        <f>IFERROR(AU113/F113,"")</f>
        <v/>
      </c>
      <c r="AW113">
        <f>IF(AND($E113=TRUE,$C113="GKP"),AS113,"")</f>
        <v/>
      </c>
      <c r="AX113">
        <f>IF(AND($E113=TRUE,$C113="DEF"),AS113,"")</f>
        <v/>
      </c>
      <c r="AY113">
        <f>IF(AND($E113=TRUE,$C113="MID"),AS113,"")</f>
        <v/>
      </c>
      <c r="AZ113">
        <f>IF(AND($E113=TRUE,$C113="FWD"),AS113,"")</f>
        <v/>
      </c>
      <c r="BA113" t="n">
        <v>2</v>
      </c>
      <c r="BB113" t="n">
        <v>2</v>
      </c>
      <c r="BC113" t="n">
        <v>1</v>
      </c>
      <c r="BD113" t="n">
        <v>5</v>
      </c>
    </row>
    <row r="114">
      <c r="A114" t="inlineStr">
        <is>
          <t>Nick Woltemade</t>
        </is>
      </c>
      <c r="B114" t="inlineStr">
        <is>
          <t>NEW</t>
        </is>
      </c>
      <c r="C114" t="inlineStr">
        <is>
          <t>FWD</t>
        </is>
      </c>
      <c r="D114" t="inlineStr">
        <is>
          <t>FWD</t>
        </is>
      </c>
      <c r="E114" t="b">
        <v>1</v>
      </c>
      <c r="F114" s="2" t="n">
        <v>6</v>
      </c>
      <c r="G114" t="inlineStr">
        <is>
          <t>a</t>
        </is>
      </c>
      <c r="I114" s="2" t="n">
        <v>1896</v>
      </c>
      <c r="J114" t="n">
        <v>108</v>
      </c>
      <c r="K114" s="3" t="n">
        <v>2371</v>
      </c>
      <c r="L114" t="inlineStr">
        <is>
          <t>flat</t>
        </is>
      </c>
      <c r="M114" s="4" t="n">
        <v>2371</v>
      </c>
      <c r="N114" t="inlineStr">
        <is>
          <t>Solio</t>
        </is>
      </c>
      <c r="O114" s="5" t="n">
        <v>73.2</v>
      </c>
      <c r="P114" t="b">
        <v>1</v>
      </c>
      <c r="Q114" s="5">
        <f>IF(N(O114)&lt;=0,0,MIN(Assumptions!$B$15,N(M114)/N(O114)))</f>
        <v/>
      </c>
      <c r="R114" s="4" t="n">
        <v>0.248</v>
      </c>
      <c r="S114" s="3" t="n">
        <v>0.3095</v>
      </c>
      <c r="T114" t="inlineStr">
        <is>
          <t>adjusted xGOT</t>
        </is>
      </c>
      <c r="U114" s="3" t="n">
        <v>0.908</v>
      </c>
      <c r="V114" s="3" t="n">
        <v>1.09</v>
      </c>
      <c r="W114" s="3" t="n">
        <v>6.6</v>
      </c>
      <c r="X114" s="3" t="n">
        <v>0.1052</v>
      </c>
      <c r="Y114" s="3" t="n">
        <v>4.932</v>
      </c>
      <c r="Z114" s="3" t="n">
        <v>0.0009373103225143176</v>
      </c>
      <c r="AA114" s="3" t="n">
        <v>0.5696</v>
      </c>
      <c r="AB114" s="3" t="n">
        <v>54</v>
      </c>
      <c r="AC114" s="3" t="n">
        <v>3.0912</v>
      </c>
      <c r="AD114" s="3" t="n">
        <v>1.4534</v>
      </c>
      <c r="AE114" s="3" t="n">
        <v>-0.08201401674780789</v>
      </c>
      <c r="AF114" s="4" t="n">
        <v>3.329038966319989</v>
      </c>
      <c r="AG114" s="3" t="n">
        <v>0</v>
      </c>
      <c r="AH114" s="3" t="n">
        <v>1.238</v>
      </c>
      <c r="AI114" s="3" t="n">
        <v>0.416592</v>
      </c>
      <c r="AJ114" s="3">
        <f>N(R114)*N(BC114)</f>
        <v/>
      </c>
      <c r="AK114" s="3" t="n">
        <v>0.5696</v>
      </c>
      <c r="AL114" s="3" t="n">
        <v>0</v>
      </c>
      <c r="AM114" s="3" t="n">
        <v>-0</v>
      </c>
      <c r="AN114" s="3" t="n">
        <v>-0.08201401674780789</v>
      </c>
      <c r="AO114" s="3">
        <f>SUM(AH114:AN114)</f>
        <v/>
      </c>
      <c r="AP114" s="5">
        <f>IF(OR(N(Q114)&lt;=0,N(BA114)=0),0,N(Q114)*IF(N(M114)/N(Q114)&gt;=60,N(BA114),1))</f>
        <v/>
      </c>
      <c r="AQ114" s="5">
        <f>N(Q114)*N(Z114)*N(BB114)</f>
        <v/>
      </c>
      <c r="AR114" s="5">
        <f>N(AF114)*(Assumptions!$B$13*N(BD114)-(1-Assumptions!$B$13)*Assumptions!$B$14)+N(AG114)</f>
        <v/>
      </c>
      <c r="AS114" s="5">
        <f>N(AO114)*N(M114)/90+N(AP114)+N(AQ114)+N(AR114)</f>
        <v/>
      </c>
      <c r="AT114" s="3">
        <f>IF(N(M114)&lt;=0,0,(N(AS114)-N(AR114))*90/N(M114))</f>
        <v/>
      </c>
      <c r="AU114" s="5">
        <f>IFERROR(AS114-VLOOKUP($C114,Assumptions!$A$36:$C$39,3,FALSE),"")</f>
        <v/>
      </c>
      <c r="AV114" s="3">
        <f>IFERROR(AU114/F114,"")</f>
        <v/>
      </c>
      <c r="AW114">
        <f>IF(AND($E114=TRUE,$C114="GKP"),AS114,"")</f>
        <v/>
      </c>
      <c r="AX114">
        <f>IF(AND($E114=TRUE,$C114="DEF"),AS114,"")</f>
        <v/>
      </c>
      <c r="AY114">
        <f>IF(AND($E114=TRUE,$C114="MID"),AS114,"")</f>
        <v/>
      </c>
      <c r="AZ114">
        <f>IF(AND($E114=TRUE,$C114="FWD"),AS114,"")</f>
        <v/>
      </c>
      <c r="BA114" t="n">
        <v>2</v>
      </c>
      <c r="BB114" t="n">
        <v>2</v>
      </c>
      <c r="BC114" t="n">
        <v>0</v>
      </c>
      <c r="BD114" t="n">
        <v>4</v>
      </c>
    </row>
    <row r="115">
      <c r="A115" t="inlineStr">
        <is>
          <t>João Gomes</t>
        </is>
      </c>
      <c r="B115" t="inlineStr">
        <is>
          <t>AVL</t>
        </is>
      </c>
      <c r="C115" t="inlineStr">
        <is>
          <t>MID</t>
        </is>
      </c>
      <c r="D115" t="inlineStr">
        <is>
          <t>MID</t>
        </is>
      </c>
      <c r="E115" t="b">
        <v>1</v>
      </c>
      <c r="F115" s="2" t="n">
        <v>5.5</v>
      </c>
      <c r="G115" t="inlineStr">
        <is>
          <t>a</t>
        </is>
      </c>
      <c r="I115" s="2" t="n">
        <v>2829</v>
      </c>
      <c r="J115" t="n">
        <v>107</v>
      </c>
      <c r="K115" s="3" t="n">
        <v>3067</v>
      </c>
      <c r="L115" t="inlineStr">
        <is>
          <t>ramp-up (injury / late WC return)</t>
        </is>
      </c>
      <c r="M115" s="4" t="n">
        <v>3067</v>
      </c>
      <c r="N115" t="inlineStr">
        <is>
          <t>Solio</t>
        </is>
      </c>
      <c r="O115" s="5" t="n">
        <v>86.2</v>
      </c>
      <c r="P115" t="b">
        <v>1</v>
      </c>
      <c r="Q115" s="5">
        <f>IF(N(O115)&lt;=0,0,MIN(Assumptions!$B$15,N(M115)/N(O115)))</f>
        <v/>
      </c>
      <c r="R115" s="4" t="n">
        <v>0.273</v>
      </c>
      <c r="S115" s="3" t="n">
        <v>0.0395</v>
      </c>
      <c r="T115" t="inlineStr">
        <is>
          <t>adjusted xGOT</t>
        </is>
      </c>
      <c r="U115" s="3" t="n">
        <v>1</v>
      </c>
      <c r="V115" s="3" t="n">
        <v>0.962</v>
      </c>
      <c r="W115" s="3" t="n">
        <v>6.4</v>
      </c>
      <c r="X115" s="3" t="n">
        <v>0.0562</v>
      </c>
      <c r="Y115" s="3" t="n">
        <v>11.554</v>
      </c>
      <c r="Z115" s="3" t="n">
        <v>0.428631297805699</v>
      </c>
      <c r="AA115" s="3" t="n">
        <v>0.1909</v>
      </c>
      <c r="AB115" s="3" t="n">
        <v>66</v>
      </c>
      <c r="AC115" s="3" t="n">
        <v>2.7451</v>
      </c>
      <c r="AD115" s="3" t="n">
        <v>1.3575</v>
      </c>
      <c r="AE115" s="3" t="n">
        <v>-0.3075560010065471</v>
      </c>
      <c r="AF115" s="4" t="n">
        <v>0</v>
      </c>
      <c r="AG115" s="3" t="n">
        <v>0</v>
      </c>
      <c r="AH115" s="3" t="n">
        <v>0.1975</v>
      </c>
      <c r="AI115" s="3" t="n">
        <v>0.222552</v>
      </c>
      <c r="AJ115" s="3">
        <f>N(R115)*N(BC115)</f>
        <v/>
      </c>
      <c r="AK115" s="3" t="n">
        <v>0.1909</v>
      </c>
      <c r="AL115" s="3" t="n">
        <v>0</v>
      </c>
      <c r="AM115" s="3" t="n">
        <v>-0</v>
      </c>
      <c r="AN115" s="3" t="n">
        <v>-0.3075560010065471</v>
      </c>
      <c r="AO115" s="3">
        <f>SUM(AH115:AN115)</f>
        <v/>
      </c>
      <c r="AP115" s="5">
        <f>IF(OR(N(Q115)&lt;=0,N(BA115)=0),0,N(Q115)*IF(N(M115)/N(Q115)&gt;=60,N(BA115),1))</f>
        <v/>
      </c>
      <c r="AQ115" s="5">
        <f>N(Q115)*N(Z115)*N(BB115)</f>
        <v/>
      </c>
      <c r="AR115" s="5">
        <f>N(AF115)*(Assumptions!$B$13*N(BD115)-(1-Assumptions!$B$13)*Assumptions!$B$14)+N(AG115)</f>
        <v/>
      </c>
      <c r="AS115" s="5">
        <f>N(AO115)*N(M115)/90+N(AP115)+N(AQ115)+N(AR115)</f>
        <v/>
      </c>
      <c r="AT115" s="3">
        <f>IF(N(M115)&lt;=0,0,(N(AS115)-N(AR115))*90/N(M115))</f>
        <v/>
      </c>
      <c r="AU115" s="5">
        <f>IFERROR(AS115-VLOOKUP($C115,Assumptions!$A$36:$C$39,3,FALSE),"")</f>
        <v/>
      </c>
      <c r="AV115" s="3">
        <f>IFERROR(AU115/F115,"")</f>
        <v/>
      </c>
      <c r="AW115">
        <f>IF(AND($E115=TRUE,$C115="GKP"),AS115,"")</f>
        <v/>
      </c>
      <c r="AX115">
        <f>IF(AND($E115=TRUE,$C115="DEF"),AS115,"")</f>
        <v/>
      </c>
      <c r="AY115">
        <f>IF(AND($E115=TRUE,$C115="MID"),AS115,"")</f>
        <v/>
      </c>
      <c r="AZ115">
        <f>IF(AND($E115=TRUE,$C115="FWD"),AS115,"")</f>
        <v/>
      </c>
      <c r="BA115" t="n">
        <v>2</v>
      </c>
      <c r="BB115" t="n">
        <v>2</v>
      </c>
      <c r="BC115" t="n">
        <v>1</v>
      </c>
      <c r="BD115" t="n">
        <v>5</v>
      </c>
    </row>
    <row r="116">
      <c r="A116" t="inlineStr">
        <is>
          <t>Harvey Barnes</t>
        </is>
      </c>
      <c r="B116" t="inlineStr">
        <is>
          <t>NEW</t>
        </is>
      </c>
      <c r="C116" t="inlineStr">
        <is>
          <t>MID</t>
        </is>
      </c>
      <c r="D116" t="inlineStr">
        <is>
          <t>MID</t>
        </is>
      </c>
      <c r="E116" t="b">
        <v>1</v>
      </c>
      <c r="F116" s="2" t="n">
        <v>6</v>
      </c>
      <c r="G116" t="inlineStr">
        <is>
          <t>a</t>
        </is>
      </c>
      <c r="I116" s="2" t="n">
        <v>1951</v>
      </c>
      <c r="J116" t="n">
        <v>106</v>
      </c>
      <c r="K116" s="3" t="n">
        <v>2308</v>
      </c>
      <c r="L116" t="inlineStr">
        <is>
          <t>flat</t>
        </is>
      </c>
      <c r="M116" s="4" t="n">
        <v>2308</v>
      </c>
      <c r="N116" t="inlineStr">
        <is>
          <t>Solio</t>
        </is>
      </c>
      <c r="O116" s="5" t="n">
        <v>79.2</v>
      </c>
      <c r="P116" t="b">
        <v>1</v>
      </c>
      <c r="Q116" s="5">
        <f>IF(N(O116)&lt;=0,0,MIN(Assumptions!$B$15,N(M116)/N(O116)))</f>
        <v/>
      </c>
      <c r="R116" s="4" t="n">
        <v>0.248</v>
      </c>
      <c r="S116" s="3" t="n">
        <v>0.3586</v>
      </c>
      <c r="T116" t="inlineStr">
        <is>
          <t>adjusted xGOT</t>
        </is>
      </c>
      <c r="U116" s="3" t="n">
        <v>1</v>
      </c>
      <c r="V116" s="3" t="n">
        <v>1.136</v>
      </c>
      <c r="W116" s="3" t="n">
        <v>26.1</v>
      </c>
      <c r="X116" s="3" t="n">
        <v>0.1344</v>
      </c>
      <c r="Y116" s="3" t="n">
        <v>5.682</v>
      </c>
      <c r="Z116" s="3" t="n">
        <v>0.005454410787884445</v>
      </c>
      <c r="AA116" s="3" t="n">
        <v>0.4613</v>
      </c>
      <c r="AB116" s="3" t="n">
        <v>55</v>
      </c>
      <c r="AC116" s="3" t="n">
        <v>3.0912</v>
      </c>
      <c r="AD116" s="3" t="n">
        <v>1.4534</v>
      </c>
      <c r="AE116" s="3" t="n">
        <v>-0.1111167177144415</v>
      </c>
      <c r="AF116" s="4" t="n">
        <v>0</v>
      </c>
      <c r="AG116" s="3" t="n">
        <v>0</v>
      </c>
      <c r="AH116" s="3" t="n">
        <v>1.793</v>
      </c>
      <c r="AI116" s="3" t="n">
        <v>0.532224</v>
      </c>
      <c r="AJ116" s="3">
        <f>N(R116)*N(BC116)</f>
        <v/>
      </c>
      <c r="AK116" s="3" t="n">
        <v>0.4613</v>
      </c>
      <c r="AL116" s="3" t="n">
        <v>0</v>
      </c>
      <c r="AM116" s="3" t="n">
        <v>-0</v>
      </c>
      <c r="AN116" s="3" t="n">
        <v>-0.1111167177144415</v>
      </c>
      <c r="AO116" s="3">
        <f>SUM(AH116:AN116)</f>
        <v/>
      </c>
      <c r="AP116" s="5">
        <f>IF(OR(N(Q116)&lt;=0,N(BA116)=0),0,N(Q116)*IF(N(M116)/N(Q116)&gt;=60,N(BA116),1))</f>
        <v/>
      </c>
      <c r="AQ116" s="5">
        <f>N(Q116)*N(Z116)*N(BB116)</f>
        <v/>
      </c>
      <c r="AR116" s="5">
        <f>N(AF116)*(Assumptions!$B$13*N(BD116)-(1-Assumptions!$B$13)*Assumptions!$B$14)+N(AG116)</f>
        <v/>
      </c>
      <c r="AS116" s="5">
        <f>N(AO116)*N(M116)/90+N(AP116)+N(AQ116)+N(AR116)</f>
        <v/>
      </c>
      <c r="AT116" s="3">
        <f>IF(N(M116)&lt;=0,0,(N(AS116)-N(AR116))*90/N(M116))</f>
        <v/>
      </c>
      <c r="AU116" s="5">
        <f>IFERROR(AS116-VLOOKUP($C116,Assumptions!$A$36:$C$39,3,FALSE),"")</f>
        <v/>
      </c>
      <c r="AV116" s="3">
        <f>IFERROR(AU116/F116,"")</f>
        <v/>
      </c>
      <c r="AW116">
        <f>IF(AND($E116=TRUE,$C116="GKP"),AS116,"")</f>
        <v/>
      </c>
      <c r="AX116">
        <f>IF(AND($E116=TRUE,$C116="DEF"),AS116,"")</f>
        <v/>
      </c>
      <c r="AY116">
        <f>IF(AND($E116=TRUE,$C116="MID"),AS116,"")</f>
        <v/>
      </c>
      <c r="AZ116">
        <f>IF(AND($E116=TRUE,$C116="FWD"),AS116,"")</f>
        <v/>
      </c>
      <c r="BA116" t="n">
        <v>2</v>
      </c>
      <c r="BB116" t="n">
        <v>2</v>
      </c>
      <c r="BC116" t="n">
        <v>1</v>
      </c>
      <c r="BD116" t="n">
        <v>5</v>
      </c>
    </row>
    <row r="117">
      <c r="A117" t="inlineStr">
        <is>
          <t>Matz Sels</t>
        </is>
      </c>
      <c r="B117" t="inlineStr">
        <is>
          <t>NFO</t>
        </is>
      </c>
      <c r="C117" t="inlineStr">
        <is>
          <t>GKP</t>
        </is>
      </c>
      <c r="D117" t="inlineStr">
        <is>
          <t>GKP</t>
        </is>
      </c>
      <c r="E117" t="b">
        <v>1</v>
      </c>
      <c r="F117" s="2" t="n">
        <v>5</v>
      </c>
      <c r="G117" t="inlineStr">
        <is>
          <t>a</t>
        </is>
      </c>
      <c r="I117" s="2" t="n">
        <v>2667</v>
      </c>
      <c r="J117" t="n">
        <v>105</v>
      </c>
      <c r="K117" s="3" t="n">
        <v>3385</v>
      </c>
      <c r="L117" t="inlineStr">
        <is>
          <t>flat</t>
        </is>
      </c>
      <c r="M117" s="4" t="n">
        <v>3385</v>
      </c>
      <c r="N117" t="inlineStr">
        <is>
          <t>Solio</t>
        </is>
      </c>
      <c r="O117" s="5" t="n">
        <v>88.5</v>
      </c>
      <c r="P117" t="b">
        <v>1</v>
      </c>
      <c r="Q117" s="5">
        <f>IF(N(O117)&lt;=0,0,MIN(Assumptions!$B$15,N(M117)/N(O117)))</f>
        <v/>
      </c>
      <c r="R117" s="4" t="n">
        <v>0.224</v>
      </c>
      <c r="S117" s="3" t="n">
        <v>0</v>
      </c>
      <c r="T117" t="inlineStr">
        <is>
          <t>blended xG</t>
        </is>
      </c>
      <c r="U117" s="3" t="n">
        <v>1</v>
      </c>
      <c r="V117" s="3" t="n">
        <v>1</v>
      </c>
      <c r="W117" s="3" t="n">
        <v>0</v>
      </c>
      <c r="X117" s="3" t="n">
        <v>0.001</v>
      </c>
      <c r="Y117" s="3" t="n">
        <v>0</v>
      </c>
      <c r="Z117" s="3" t="n">
        <v>0</v>
      </c>
      <c r="AA117" s="3" t="n">
        <v>0.135</v>
      </c>
      <c r="AB117" s="3" t="n">
        <v>60</v>
      </c>
      <c r="AC117" s="3" t="n">
        <v>3.1134</v>
      </c>
      <c r="AD117" s="3" t="n">
        <v>1.5588</v>
      </c>
      <c r="AE117" s="3" t="n">
        <v>-0.0827884725356831</v>
      </c>
      <c r="AF117" s="4" t="n">
        <v>0</v>
      </c>
      <c r="AG117" s="3" t="n">
        <v>3.293683305840039</v>
      </c>
      <c r="AH117" s="3" t="n">
        <v>0</v>
      </c>
      <c r="AI117" s="3" t="n">
        <v>0.00396</v>
      </c>
      <c r="AJ117" s="3">
        <f>N(R117)*N(BC117)</f>
        <v/>
      </c>
      <c r="AK117" s="3" t="n">
        <v>0.135</v>
      </c>
      <c r="AL117" s="3" t="n">
        <v>0.7024243676191486</v>
      </c>
      <c r="AM117" s="3" t="n">
        <v>-0.5404658182244797</v>
      </c>
      <c r="AN117" s="3" t="n">
        <v>-0.0827884725356831</v>
      </c>
      <c r="AO117" s="3">
        <f>SUM(AH117:AN117)</f>
        <v/>
      </c>
      <c r="AP117" s="5">
        <f>IF(OR(N(Q117)&lt;=0,N(BA117)=0),0,N(Q117)*IF(N(M117)/N(Q117)&gt;=60,N(BA117),1))</f>
        <v/>
      </c>
      <c r="AQ117" s="5">
        <f>N(Q117)*N(Z117)*N(BB117)</f>
        <v/>
      </c>
      <c r="AR117" s="5">
        <f>N(AF117)*(Assumptions!$B$13*N(BD117)-(1-Assumptions!$B$13)*Assumptions!$B$14)+N(AG117)</f>
        <v/>
      </c>
      <c r="AS117" s="5">
        <f>N(AO117)*N(M117)/90+N(AP117)+N(AQ117)+N(AR117)</f>
        <v/>
      </c>
      <c r="AT117" s="3">
        <f>IF(N(M117)&lt;=0,0,(N(AS117)-N(AR117))*90/N(M117))</f>
        <v/>
      </c>
      <c r="AU117" s="5">
        <f>IFERROR(AS117-VLOOKUP($C117,Assumptions!$A$36:$C$39,3,FALSE),"")</f>
        <v/>
      </c>
      <c r="AV117" s="3">
        <f>IFERROR(AU117/F117,"")</f>
        <v/>
      </c>
      <c r="AW117">
        <f>IF(AND($E117=TRUE,$C117="GKP"),AS117,"")</f>
        <v/>
      </c>
      <c r="AX117">
        <f>IF(AND($E117=TRUE,$C117="DEF"),AS117,"")</f>
        <v/>
      </c>
      <c r="AY117">
        <f>IF(AND($E117=TRUE,$C117="MID"),AS117,"")</f>
        <v/>
      </c>
      <c r="AZ117">
        <f>IF(AND($E117=TRUE,$C117="FWD"),AS117,"")</f>
        <v/>
      </c>
      <c r="BA117" t="n">
        <v>2</v>
      </c>
      <c r="BB117" t="n">
        <v>0</v>
      </c>
      <c r="BC117" t="n">
        <v>4</v>
      </c>
      <c r="BD117" t="n">
        <v>10</v>
      </c>
    </row>
    <row r="118">
      <c r="A118" t="inlineStr">
        <is>
          <t>Beto</t>
        </is>
      </c>
      <c r="B118" t="inlineStr">
        <is>
          <t>EVE</t>
        </is>
      </c>
      <c r="C118" t="inlineStr">
        <is>
          <t>FWD</t>
        </is>
      </c>
      <c r="D118" t="inlineStr">
        <is>
          <t>FWD</t>
        </is>
      </c>
      <c r="E118" t="b">
        <v>1</v>
      </c>
      <c r="F118" s="2" t="n">
        <v>5.5</v>
      </c>
      <c r="G118" t="inlineStr">
        <is>
          <t>a</t>
        </is>
      </c>
      <c r="I118" s="2" t="n">
        <v>1551</v>
      </c>
      <c r="J118" t="n">
        <v>104</v>
      </c>
      <c r="K118" s="3" t="n">
        <v>858</v>
      </c>
      <c r="L118" t="inlineStr">
        <is>
          <t>flat</t>
        </is>
      </c>
      <c r="M118" s="4" t="n">
        <v>858</v>
      </c>
      <c r="N118" t="inlineStr">
        <is>
          <t>Solio</t>
        </is>
      </c>
      <c r="O118" s="5" t="n">
        <v>71.40000000000001</v>
      </c>
      <c r="P118" t="b">
        <v>1</v>
      </c>
      <c r="Q118" s="5">
        <f>IF(N(O118)&lt;=0,0,MIN(Assumptions!$B$15,N(M118)/N(O118)))</f>
        <v/>
      </c>
      <c r="R118" s="4" t="n">
        <v>0.231</v>
      </c>
      <c r="S118" s="3" t="n">
        <v>0.5123</v>
      </c>
      <c r="T118" t="inlineStr">
        <is>
          <t>adjusted xGOT</t>
        </is>
      </c>
      <c r="U118" s="3" t="n">
        <v>1</v>
      </c>
      <c r="V118" s="3" t="n">
        <v>0.992</v>
      </c>
      <c r="W118" s="3" t="n">
        <v>23.2</v>
      </c>
      <c r="X118" s="3" t="n">
        <v>0.0358</v>
      </c>
      <c r="Y118" s="3" t="n">
        <v>5.047</v>
      </c>
      <c r="Z118" s="3" t="n">
        <v>0.0009228638490498264</v>
      </c>
      <c r="AA118" s="3" t="n">
        <v>0.9284</v>
      </c>
      <c r="AB118" s="3" t="n">
        <v>53</v>
      </c>
      <c r="AC118" s="3" t="n">
        <v>3.0311</v>
      </c>
      <c r="AD118" s="3" t="n">
        <v>1.5252</v>
      </c>
      <c r="AE118" s="3" t="n">
        <v>-0.1715995153376238</v>
      </c>
      <c r="AF118" s="4" t="n">
        <v>0.0006611948454638</v>
      </c>
      <c r="AG118" s="3" t="n">
        <v>0</v>
      </c>
      <c r="AH118" s="3" t="n">
        <v>2.0492</v>
      </c>
      <c r="AI118" s="3" t="n">
        <v>0.141768</v>
      </c>
      <c r="AJ118" s="3">
        <f>N(R118)*N(BC118)</f>
        <v/>
      </c>
      <c r="AK118" s="3" t="n">
        <v>0.9284</v>
      </c>
      <c r="AL118" s="3" t="n">
        <v>0</v>
      </c>
      <c r="AM118" s="3" t="n">
        <v>-0</v>
      </c>
      <c r="AN118" s="3" t="n">
        <v>-0.1715995153376238</v>
      </c>
      <c r="AO118" s="3">
        <f>SUM(AH118:AN118)</f>
        <v/>
      </c>
      <c r="AP118" s="5">
        <f>IF(OR(N(Q118)&lt;=0,N(BA118)=0),0,N(Q118)*IF(N(M118)/N(Q118)&gt;=60,N(BA118),1))</f>
        <v/>
      </c>
      <c r="AQ118" s="5">
        <f>N(Q118)*N(Z118)*N(BB118)</f>
        <v/>
      </c>
      <c r="AR118" s="5">
        <f>N(AF118)*(Assumptions!$B$13*N(BD118)-(1-Assumptions!$B$13)*Assumptions!$B$14)+N(AG118)</f>
        <v/>
      </c>
      <c r="AS118" s="5">
        <f>N(AO118)*N(M118)/90+N(AP118)+N(AQ118)+N(AR118)</f>
        <v/>
      </c>
      <c r="AT118" s="3">
        <f>IF(N(M118)&lt;=0,0,(N(AS118)-N(AR118))*90/N(M118))</f>
        <v/>
      </c>
      <c r="AU118" s="5">
        <f>IFERROR(AS118-VLOOKUP($C118,Assumptions!$A$36:$C$39,3,FALSE),"")</f>
        <v/>
      </c>
      <c r="AV118" s="3">
        <f>IFERROR(AU118/F118,"")</f>
        <v/>
      </c>
      <c r="AW118">
        <f>IF(AND($E118=TRUE,$C118="GKP"),AS118,"")</f>
        <v/>
      </c>
      <c r="AX118">
        <f>IF(AND($E118=TRUE,$C118="DEF"),AS118,"")</f>
        <v/>
      </c>
      <c r="AY118">
        <f>IF(AND($E118=TRUE,$C118="MID"),AS118,"")</f>
        <v/>
      </c>
      <c r="AZ118">
        <f>IF(AND($E118=TRUE,$C118="FWD"),AS118,"")</f>
        <v/>
      </c>
      <c r="BA118" t="n">
        <v>2</v>
      </c>
      <c r="BB118" t="n">
        <v>2</v>
      </c>
      <c r="BC118" t="n">
        <v>0</v>
      </c>
      <c r="BD118" t="n">
        <v>4</v>
      </c>
    </row>
    <row r="119">
      <c r="A119" t="inlineStr">
        <is>
          <t>Yehor Yarmoliuk</t>
        </is>
      </c>
      <c r="B119" t="inlineStr">
        <is>
          <t>BRE</t>
        </is>
      </c>
      <c r="C119" t="inlineStr">
        <is>
          <t>MID</t>
        </is>
      </c>
      <c r="D119" t="inlineStr">
        <is>
          <t>MID</t>
        </is>
      </c>
      <c r="E119" t="b">
        <v>1</v>
      </c>
      <c r="F119" s="2" t="n">
        <v>5</v>
      </c>
      <c r="G119" t="inlineStr">
        <is>
          <t>a</t>
        </is>
      </c>
      <c r="I119" s="2" t="n">
        <v>2652</v>
      </c>
      <c r="J119" t="n">
        <v>104</v>
      </c>
      <c r="K119" s="3" t="n">
        <v>2987</v>
      </c>
      <c r="L119" t="inlineStr">
        <is>
          <t>flat</t>
        </is>
      </c>
      <c r="M119" s="4" t="n">
        <v>2987</v>
      </c>
      <c r="N119" t="inlineStr">
        <is>
          <t>Solio</t>
        </is>
      </c>
      <c r="O119" s="5" t="n">
        <v>82.59999999999999</v>
      </c>
      <c r="P119" t="b">
        <v>1</v>
      </c>
      <c r="Q119" s="5">
        <f>IF(N(O119)&lt;=0,0,MIN(Assumptions!$B$15,N(M119)/N(O119)))</f>
        <v/>
      </c>
      <c r="R119" s="4" t="n">
        <v>0.228</v>
      </c>
      <c r="S119" s="3" t="n">
        <v>0.0403</v>
      </c>
      <c r="T119" t="inlineStr">
        <is>
          <t>adjusted xGOT</t>
        </is>
      </c>
      <c r="U119" s="3" t="n">
        <v>1</v>
      </c>
      <c r="V119" s="3" t="n">
        <v>0.974</v>
      </c>
      <c r="W119" s="3" t="n">
        <v>2.8</v>
      </c>
      <c r="X119" s="3" t="n">
        <v>0.0449</v>
      </c>
      <c r="Y119" s="3" t="n">
        <v>10.853</v>
      </c>
      <c r="Z119" s="3" t="n">
        <v>0.2987563664266333</v>
      </c>
      <c r="AA119" s="3" t="n">
        <v>0.0339</v>
      </c>
      <c r="AB119" s="3" t="n">
        <v>66</v>
      </c>
      <c r="AC119" s="3" t="n">
        <v>3.2371</v>
      </c>
      <c r="AD119" s="3" t="n">
        <v>1.5396</v>
      </c>
      <c r="AE119" s="3" t="n">
        <v>-0.2681475566974504</v>
      </c>
      <c r="AF119" s="4" t="n">
        <v>0</v>
      </c>
      <c r="AG119" s="3" t="n">
        <v>0</v>
      </c>
      <c r="AH119" s="3" t="n">
        <v>0.2015</v>
      </c>
      <c r="AI119" s="3" t="n">
        <v>0.177804</v>
      </c>
      <c r="AJ119" s="3">
        <f>N(R119)*N(BC119)</f>
        <v/>
      </c>
      <c r="AK119" s="3" t="n">
        <v>0.0339</v>
      </c>
      <c r="AL119" s="3" t="n">
        <v>0</v>
      </c>
      <c r="AM119" s="3" t="n">
        <v>-0</v>
      </c>
      <c r="AN119" s="3" t="n">
        <v>-0.2681475566974504</v>
      </c>
      <c r="AO119" s="3">
        <f>SUM(AH119:AN119)</f>
        <v/>
      </c>
      <c r="AP119" s="5">
        <f>IF(OR(N(Q119)&lt;=0,N(BA119)=0),0,N(Q119)*IF(N(M119)/N(Q119)&gt;=60,N(BA119),1))</f>
        <v/>
      </c>
      <c r="AQ119" s="5">
        <f>N(Q119)*N(Z119)*N(BB119)</f>
        <v/>
      </c>
      <c r="AR119" s="5">
        <f>N(AF119)*(Assumptions!$B$13*N(BD119)-(1-Assumptions!$B$13)*Assumptions!$B$14)+N(AG119)</f>
        <v/>
      </c>
      <c r="AS119" s="5">
        <f>N(AO119)*N(M119)/90+N(AP119)+N(AQ119)+N(AR119)</f>
        <v/>
      </c>
      <c r="AT119" s="3">
        <f>IF(N(M119)&lt;=0,0,(N(AS119)-N(AR119))*90/N(M119))</f>
        <v/>
      </c>
      <c r="AU119" s="5">
        <f>IFERROR(AS119-VLOOKUP($C119,Assumptions!$A$36:$C$39,3,FALSE),"")</f>
        <v/>
      </c>
      <c r="AV119" s="3">
        <f>IFERROR(AU119/F119,"")</f>
        <v/>
      </c>
      <c r="AW119">
        <f>IF(AND($E119=TRUE,$C119="GKP"),AS119,"")</f>
        <v/>
      </c>
      <c r="AX119">
        <f>IF(AND($E119=TRUE,$C119="DEF"),AS119,"")</f>
        <v/>
      </c>
      <c r="AY119">
        <f>IF(AND($E119=TRUE,$C119="MID"),AS119,"")</f>
        <v/>
      </c>
      <c r="AZ119">
        <f>IF(AND($E119=TRUE,$C119="FWD"),AS119,"")</f>
        <v/>
      </c>
      <c r="BA119" t="n">
        <v>2</v>
      </c>
      <c r="BB119" t="n">
        <v>2</v>
      </c>
      <c r="BC119" t="n">
        <v>1</v>
      </c>
      <c r="BD119" t="n">
        <v>5</v>
      </c>
    </row>
    <row r="120">
      <c r="A120" t="inlineStr">
        <is>
          <t>Alex Iwobi</t>
        </is>
      </c>
      <c r="B120" t="inlineStr">
        <is>
          <t>FUL</t>
        </is>
      </c>
      <c r="C120" t="inlineStr">
        <is>
          <t>MID</t>
        </is>
      </c>
      <c r="D120" t="inlineStr">
        <is>
          <t>MID</t>
        </is>
      </c>
      <c r="E120" t="b">
        <v>1</v>
      </c>
      <c r="F120" s="2" t="n">
        <v>5.5</v>
      </c>
      <c r="G120" t="inlineStr">
        <is>
          <t>a</t>
        </is>
      </c>
      <c r="I120" s="2" t="n">
        <v>2420</v>
      </c>
      <c r="J120" t="n">
        <v>103</v>
      </c>
      <c r="K120" s="3" t="n">
        <v>3152</v>
      </c>
      <c r="L120" t="inlineStr">
        <is>
          <t>flat</t>
        </is>
      </c>
      <c r="M120" s="4" t="n">
        <v>3152</v>
      </c>
      <c r="N120" t="inlineStr">
        <is>
          <t>Solio</t>
        </is>
      </c>
      <c r="O120" s="5" t="n">
        <v>83.40000000000001</v>
      </c>
      <c r="P120" t="b">
        <v>1</v>
      </c>
      <c r="Q120" s="5">
        <f>IF(N(O120)&lt;=0,0,MIN(Assumptions!$B$15,N(M120)/N(O120)))</f>
        <v/>
      </c>
      <c r="R120" s="4" t="n">
        <v>0.214</v>
      </c>
      <c r="S120" s="3" t="n">
        <v>0.0848</v>
      </c>
      <c r="T120" t="inlineStr">
        <is>
          <t>adjusted xGOT</t>
        </is>
      </c>
      <c r="U120" s="3" t="n">
        <v>1</v>
      </c>
      <c r="V120" s="3" t="n">
        <v>1.194</v>
      </c>
      <c r="W120" s="3" t="n">
        <v>14</v>
      </c>
      <c r="X120" s="3" t="n">
        <v>0.1549</v>
      </c>
      <c r="Y120" s="3" t="n">
        <v>7.355</v>
      </c>
      <c r="Z120" s="3" t="n">
        <v>0.045455154626457</v>
      </c>
      <c r="AA120" s="3" t="n">
        <v>0.5207000000000001</v>
      </c>
      <c r="AB120" s="3" t="n">
        <v>57</v>
      </c>
      <c r="AC120" s="3" t="n">
        <v>3.22</v>
      </c>
      <c r="AD120" s="3" t="n">
        <v>1.6019</v>
      </c>
      <c r="AE120" s="3" t="n">
        <v>-0.120440907420585</v>
      </c>
      <c r="AF120" s="4" t="n">
        <v>0.3691433583482733</v>
      </c>
      <c r="AG120" s="3" t="n">
        <v>0</v>
      </c>
      <c r="AH120" s="3" t="n">
        <v>0.424</v>
      </c>
      <c r="AI120" s="3" t="n">
        <v>0.6134040000000001</v>
      </c>
      <c r="AJ120" s="3">
        <f>N(R120)*N(BC120)</f>
        <v/>
      </c>
      <c r="AK120" s="3" t="n">
        <v>0.5207000000000001</v>
      </c>
      <c r="AL120" s="3" t="n">
        <v>0</v>
      </c>
      <c r="AM120" s="3" t="n">
        <v>-0</v>
      </c>
      <c r="AN120" s="3" t="n">
        <v>-0.120440907420585</v>
      </c>
      <c r="AO120" s="3">
        <f>SUM(AH120:AN120)</f>
        <v/>
      </c>
      <c r="AP120" s="5">
        <f>IF(OR(N(Q120)&lt;=0,N(BA120)=0),0,N(Q120)*IF(N(M120)/N(Q120)&gt;=60,N(BA120),1))</f>
        <v/>
      </c>
      <c r="AQ120" s="5">
        <f>N(Q120)*N(Z120)*N(BB120)</f>
        <v/>
      </c>
      <c r="AR120" s="5">
        <f>N(AF120)*(Assumptions!$B$13*N(BD120)-(1-Assumptions!$B$13)*Assumptions!$B$14)+N(AG120)</f>
        <v/>
      </c>
      <c r="AS120" s="5">
        <f>N(AO120)*N(M120)/90+N(AP120)+N(AQ120)+N(AR120)</f>
        <v/>
      </c>
      <c r="AT120" s="3">
        <f>IF(N(M120)&lt;=0,0,(N(AS120)-N(AR120))*90/N(M120))</f>
        <v/>
      </c>
      <c r="AU120" s="5">
        <f>IFERROR(AS120-VLOOKUP($C120,Assumptions!$A$36:$C$39,3,FALSE),"")</f>
        <v/>
      </c>
      <c r="AV120" s="3">
        <f>IFERROR(AU120/F120,"")</f>
        <v/>
      </c>
      <c r="AW120">
        <f>IF(AND($E120=TRUE,$C120="GKP"),AS120,"")</f>
        <v/>
      </c>
      <c r="AX120">
        <f>IF(AND($E120=TRUE,$C120="DEF"),AS120,"")</f>
        <v/>
      </c>
      <c r="AY120">
        <f>IF(AND($E120=TRUE,$C120="MID"),AS120,"")</f>
        <v/>
      </c>
      <c r="AZ120">
        <f>IF(AND($E120=TRUE,$C120="FWD"),AS120,"")</f>
        <v/>
      </c>
      <c r="BA120" t="n">
        <v>2</v>
      </c>
      <c r="BB120" t="n">
        <v>2</v>
      </c>
      <c r="BC120" t="n">
        <v>1</v>
      </c>
      <c r="BD120" t="n">
        <v>5</v>
      </c>
    </row>
    <row r="121">
      <c r="A121" t="inlineStr">
        <is>
          <t>Calvin Bassey</t>
        </is>
      </c>
      <c r="B121" t="inlineStr">
        <is>
          <t>FUL</t>
        </is>
      </c>
      <c r="C121" t="inlineStr">
        <is>
          <t>DEF</t>
        </is>
      </c>
      <c r="D121" t="inlineStr">
        <is>
          <t>DEF</t>
        </is>
      </c>
      <c r="E121" t="b">
        <v>1</v>
      </c>
      <c r="F121" s="2" t="n">
        <v>4.5</v>
      </c>
      <c r="G121" t="inlineStr">
        <is>
          <t>a</t>
        </is>
      </c>
      <c r="I121" s="2" t="n">
        <v>2532</v>
      </c>
      <c r="J121" t="n">
        <v>103</v>
      </c>
      <c r="K121" s="3" t="n">
        <v>3141</v>
      </c>
      <c r="L121" t="inlineStr">
        <is>
          <t>flat</t>
        </is>
      </c>
      <c r="M121" s="4" t="n">
        <v>3141</v>
      </c>
      <c r="N121" t="inlineStr">
        <is>
          <t>Solio</t>
        </is>
      </c>
      <c r="O121" s="5" t="n">
        <v>90</v>
      </c>
      <c r="P121" t="b">
        <v>1</v>
      </c>
      <c r="Q121" s="5">
        <f>IF(N(O121)&lt;=0,0,MIN(Assumptions!$B$15,N(M121)/N(O121)))</f>
        <v/>
      </c>
      <c r="R121" s="4" t="n">
        <v>0.214</v>
      </c>
      <c r="S121" s="3" t="n">
        <v>0.0564</v>
      </c>
      <c r="T121" t="inlineStr">
        <is>
          <t>adjusted xGOT</t>
        </is>
      </c>
      <c r="U121" s="3" t="n">
        <v>1</v>
      </c>
      <c r="V121" s="3" t="n">
        <v>0.928</v>
      </c>
      <c r="W121" s="3" t="n">
        <v>3.1</v>
      </c>
      <c r="X121" s="3" t="n">
        <v>0.0139</v>
      </c>
      <c r="Y121" s="3" t="n">
        <v>7.375</v>
      </c>
      <c r="Z121" s="3" t="n">
        <v>0.209470554416948</v>
      </c>
      <c r="AA121" s="3" t="n">
        <v>0.3199</v>
      </c>
      <c r="AB121" s="3" t="n">
        <v>58</v>
      </c>
      <c r="AC121" s="3" t="n">
        <v>3.22</v>
      </c>
      <c r="AD121" s="3" t="n">
        <v>1.6019</v>
      </c>
      <c r="AE121" s="3" t="n">
        <v>-0.204688653168472</v>
      </c>
      <c r="AF121" s="4" t="n">
        <v>0</v>
      </c>
      <c r="AG121" s="3" t="n">
        <v>0</v>
      </c>
      <c r="AH121" s="3" t="n">
        <v>0.3384</v>
      </c>
      <c r="AI121" s="3" t="n">
        <v>0.055044</v>
      </c>
      <c r="AJ121" s="3">
        <f>N(R121)*N(BC121)</f>
        <v/>
      </c>
      <c r="AK121" s="3" t="n">
        <v>0.3199</v>
      </c>
      <c r="AL121" s="3" t="n">
        <v>0</v>
      </c>
      <c r="AM121" s="3" t="n">
        <v>-0.5611019003833156</v>
      </c>
      <c r="AN121" s="3" t="n">
        <v>-0.204688653168472</v>
      </c>
      <c r="AO121" s="3">
        <f>SUM(AH121:AN121)</f>
        <v/>
      </c>
      <c r="AP121" s="5">
        <f>IF(OR(N(Q121)&lt;=0,N(BA121)=0),0,N(Q121)*IF(N(M121)/N(Q121)&gt;=60,N(BA121),1))</f>
        <v/>
      </c>
      <c r="AQ121" s="5">
        <f>N(Q121)*N(Z121)*N(BB121)</f>
        <v/>
      </c>
      <c r="AR121" s="5">
        <f>N(AF121)*(Assumptions!$B$13*N(BD121)-(1-Assumptions!$B$13)*Assumptions!$B$14)+N(AG121)</f>
        <v/>
      </c>
      <c r="AS121" s="5">
        <f>N(AO121)*N(M121)/90+N(AP121)+N(AQ121)+N(AR121)</f>
        <v/>
      </c>
      <c r="AT121" s="3">
        <f>IF(N(M121)&lt;=0,0,(N(AS121)-N(AR121))*90/N(M121))</f>
        <v/>
      </c>
      <c r="AU121" s="5">
        <f>IFERROR(AS121-VLOOKUP($C121,Assumptions!$A$36:$C$39,3,FALSE),"")</f>
        <v/>
      </c>
      <c r="AV121" s="3">
        <f>IFERROR(AU121/F121,"")</f>
        <v/>
      </c>
      <c r="AW121">
        <f>IF(AND($E121=TRUE,$C121="GKP"),AS121,"")</f>
        <v/>
      </c>
      <c r="AX121">
        <f>IF(AND($E121=TRUE,$C121="DEF"),AS121,"")</f>
        <v/>
      </c>
      <c r="AY121">
        <f>IF(AND($E121=TRUE,$C121="MID"),AS121,"")</f>
        <v/>
      </c>
      <c r="AZ121">
        <f>IF(AND($E121=TRUE,$C121="FWD"),AS121,"")</f>
        <v/>
      </c>
      <c r="BA121" t="n">
        <v>2</v>
      </c>
      <c r="BB121" t="n">
        <v>2</v>
      </c>
      <c r="BC121" t="n">
        <v>4</v>
      </c>
      <c r="BD121" t="n">
        <v>6</v>
      </c>
    </row>
    <row r="122">
      <c r="A122" t="inlineStr">
        <is>
          <t>John McGinn</t>
        </is>
      </c>
      <c r="B122" t="inlineStr">
        <is>
          <t>AVL</t>
        </is>
      </c>
      <c r="C122" t="inlineStr">
        <is>
          <t>MID</t>
        </is>
      </c>
      <c r="D122" t="inlineStr">
        <is>
          <t>MID</t>
        </is>
      </c>
      <c r="E122" t="b">
        <v>1</v>
      </c>
      <c r="F122" s="2" t="n">
        <v>5.5</v>
      </c>
      <c r="G122" t="inlineStr">
        <is>
          <t>a</t>
        </is>
      </c>
      <c r="I122" s="2" t="n">
        <v>2136</v>
      </c>
      <c r="J122" t="n">
        <v>103</v>
      </c>
      <c r="K122" s="3" t="n">
        <v>2844</v>
      </c>
      <c r="L122" t="inlineStr">
        <is>
          <t>flat</t>
        </is>
      </c>
      <c r="M122" s="4" t="n">
        <v>2844</v>
      </c>
      <c r="N122" t="inlineStr">
        <is>
          <t>Solio</t>
        </is>
      </c>
      <c r="O122" s="5" t="n">
        <v>74.5</v>
      </c>
      <c r="P122" t="b">
        <v>1</v>
      </c>
      <c r="Q122" s="5">
        <f>IF(N(O122)&lt;=0,0,MIN(Assumptions!$B$15,N(M122)/N(O122)))</f>
        <v/>
      </c>
      <c r="R122" s="4" t="n">
        <v>0.273</v>
      </c>
      <c r="S122" s="3" t="n">
        <v>0.1222</v>
      </c>
      <c r="T122" t="inlineStr">
        <is>
          <t>adjusted xGOT</t>
        </is>
      </c>
      <c r="U122" s="3" t="n">
        <v>1</v>
      </c>
      <c r="V122" s="3" t="n">
        <v>0.967</v>
      </c>
      <c r="W122" s="3" t="n">
        <v>13.5</v>
      </c>
      <c r="X122" s="3" t="n">
        <v>0.189</v>
      </c>
      <c r="Y122" s="3" t="n">
        <v>6.889</v>
      </c>
      <c r="Z122" s="3" t="n">
        <v>0.01418250802793497</v>
      </c>
      <c r="AA122" s="3" t="n">
        <v>0.2949</v>
      </c>
      <c r="AB122" s="3" t="n">
        <v>55</v>
      </c>
      <c r="AC122" s="3" t="n">
        <v>2.7451</v>
      </c>
      <c r="AD122" s="3" t="n">
        <v>1.3575</v>
      </c>
      <c r="AE122" s="3" t="n">
        <v>-0.252321156696781</v>
      </c>
      <c r="AF122" s="4" t="n">
        <v>0</v>
      </c>
      <c r="AG122" s="3" t="n">
        <v>0</v>
      </c>
      <c r="AH122" s="3" t="n">
        <v>0.611</v>
      </c>
      <c r="AI122" s="3" t="n">
        <v>0.74844</v>
      </c>
      <c r="AJ122" s="3">
        <f>N(R122)*N(BC122)</f>
        <v/>
      </c>
      <c r="AK122" s="3" t="n">
        <v>0.2949</v>
      </c>
      <c r="AL122" s="3" t="n">
        <v>0</v>
      </c>
      <c r="AM122" s="3" t="n">
        <v>-0</v>
      </c>
      <c r="AN122" s="3" t="n">
        <v>-0.252321156696781</v>
      </c>
      <c r="AO122" s="3">
        <f>SUM(AH122:AN122)</f>
        <v/>
      </c>
      <c r="AP122" s="5">
        <f>IF(OR(N(Q122)&lt;=0,N(BA122)=0),0,N(Q122)*IF(N(M122)/N(Q122)&gt;=60,N(BA122),1))</f>
        <v/>
      </c>
      <c r="AQ122" s="5">
        <f>N(Q122)*N(Z122)*N(BB122)</f>
        <v/>
      </c>
      <c r="AR122" s="5">
        <f>N(AF122)*(Assumptions!$B$13*N(BD122)-(1-Assumptions!$B$13)*Assumptions!$B$14)+N(AG122)</f>
        <v/>
      </c>
      <c r="AS122" s="5">
        <f>N(AO122)*N(M122)/90+N(AP122)+N(AQ122)+N(AR122)</f>
        <v/>
      </c>
      <c r="AT122" s="3">
        <f>IF(N(M122)&lt;=0,0,(N(AS122)-N(AR122))*90/N(M122))</f>
        <v/>
      </c>
      <c r="AU122" s="5">
        <f>IFERROR(AS122-VLOOKUP($C122,Assumptions!$A$36:$C$39,3,FALSE),"")</f>
        <v/>
      </c>
      <c r="AV122" s="3">
        <f>IFERROR(AU122/F122,"")</f>
        <v/>
      </c>
      <c r="AW122">
        <f>IF(AND($E122=TRUE,$C122="GKP"),AS122,"")</f>
        <v/>
      </c>
      <c r="AX122">
        <f>IF(AND($E122=TRUE,$C122="DEF"),AS122,"")</f>
        <v/>
      </c>
      <c r="AY122">
        <f>IF(AND($E122=TRUE,$C122="MID"),AS122,"")</f>
        <v/>
      </c>
      <c r="AZ122">
        <f>IF(AND($E122=TRUE,$C122="FWD"),AS122,"")</f>
        <v/>
      </c>
      <c r="BA122" t="n">
        <v>2</v>
      </c>
      <c r="BB122" t="n">
        <v>2</v>
      </c>
      <c r="BC122" t="n">
        <v>1</v>
      </c>
      <c r="BD122" t="n">
        <v>5</v>
      </c>
    </row>
    <row r="123">
      <c r="A123" t="inlineStr">
        <is>
          <t>Emiliano Buendía</t>
        </is>
      </c>
      <c r="B123" t="inlineStr">
        <is>
          <t>AVL</t>
        </is>
      </c>
      <c r="C123" t="inlineStr">
        <is>
          <t>MID</t>
        </is>
      </c>
      <c r="D123" t="inlineStr">
        <is>
          <t>MID</t>
        </is>
      </c>
      <c r="E123" t="b">
        <v>1</v>
      </c>
      <c r="F123" s="2" t="n">
        <v>6</v>
      </c>
      <c r="G123" t="inlineStr">
        <is>
          <t>a</t>
        </is>
      </c>
      <c r="I123" s="2" t="n">
        <v>1753</v>
      </c>
      <c r="J123" t="n">
        <v>102</v>
      </c>
      <c r="K123" s="3" t="n">
        <v>2776</v>
      </c>
      <c r="L123" t="inlineStr">
        <is>
          <t>flat</t>
        </is>
      </c>
      <c r="M123" s="4" t="n">
        <v>2776</v>
      </c>
      <c r="N123" t="inlineStr">
        <is>
          <t>Solio</t>
        </is>
      </c>
      <c r="O123" s="5" t="n">
        <v>67.8</v>
      </c>
      <c r="P123" t="b">
        <v>1</v>
      </c>
      <c r="Q123" s="5">
        <f>IF(N(O123)&lt;=0,0,MIN(Assumptions!$B$15,N(M123)/N(O123)))</f>
        <v/>
      </c>
      <c r="R123" s="4" t="n">
        <v>0.273</v>
      </c>
      <c r="S123" s="3" t="n">
        <v>0.157</v>
      </c>
      <c r="T123" t="inlineStr">
        <is>
          <t>adjusted xGOT</t>
        </is>
      </c>
      <c r="U123" s="3" t="n">
        <v>1</v>
      </c>
      <c r="V123" s="3" t="n">
        <v>0.905</v>
      </c>
      <c r="W123" s="3" t="n">
        <v>10.4</v>
      </c>
      <c r="X123" s="3" t="n">
        <v>0.1503</v>
      </c>
      <c r="Y123" s="3" t="n">
        <v>9.667</v>
      </c>
      <c r="Z123" s="3" t="n">
        <v>0.06715473093740543</v>
      </c>
      <c r="AA123" s="3" t="n">
        <v>0.5134</v>
      </c>
      <c r="AB123" s="3" t="n">
        <v>51</v>
      </c>
      <c r="AC123" s="3" t="n">
        <v>2.7451</v>
      </c>
      <c r="AD123" s="3" t="n">
        <v>1.3575</v>
      </c>
      <c r="AE123" s="3" t="n">
        <v>-0.2880579955741491</v>
      </c>
      <c r="AF123" s="4" t="n">
        <v>4.201881467969086</v>
      </c>
      <c r="AG123" s="3" t="n">
        <v>0</v>
      </c>
      <c r="AH123" s="3" t="n">
        <v>0.785</v>
      </c>
      <c r="AI123" s="3" t="n">
        <v>0.5951879999999999</v>
      </c>
      <c r="AJ123" s="3">
        <f>N(R123)*N(BC123)</f>
        <v/>
      </c>
      <c r="AK123" s="3" t="n">
        <v>0.5134</v>
      </c>
      <c r="AL123" s="3" t="n">
        <v>0</v>
      </c>
      <c r="AM123" s="3" t="n">
        <v>-0</v>
      </c>
      <c r="AN123" s="3" t="n">
        <v>-0.2880579955741491</v>
      </c>
      <c r="AO123" s="3">
        <f>SUM(AH123:AN123)</f>
        <v/>
      </c>
      <c r="AP123" s="5">
        <f>IF(OR(N(Q123)&lt;=0,N(BA123)=0),0,N(Q123)*IF(N(M123)/N(Q123)&gt;=60,N(BA123),1))</f>
        <v/>
      </c>
      <c r="AQ123" s="5">
        <f>N(Q123)*N(Z123)*N(BB123)</f>
        <v/>
      </c>
      <c r="AR123" s="5">
        <f>N(AF123)*(Assumptions!$B$13*N(BD123)-(1-Assumptions!$B$13)*Assumptions!$B$14)+N(AG123)</f>
        <v/>
      </c>
      <c r="AS123" s="5">
        <f>N(AO123)*N(M123)/90+N(AP123)+N(AQ123)+N(AR123)</f>
        <v/>
      </c>
      <c r="AT123" s="3">
        <f>IF(N(M123)&lt;=0,0,(N(AS123)-N(AR123))*90/N(M123))</f>
        <v/>
      </c>
      <c r="AU123" s="5">
        <f>IFERROR(AS123-VLOOKUP($C123,Assumptions!$A$36:$C$39,3,FALSE),"")</f>
        <v/>
      </c>
      <c r="AV123" s="3">
        <f>IFERROR(AU123/F123,"")</f>
        <v/>
      </c>
      <c r="AW123">
        <f>IF(AND($E123=TRUE,$C123="GKP"),AS123,"")</f>
        <v/>
      </c>
      <c r="AX123">
        <f>IF(AND($E123=TRUE,$C123="DEF"),AS123,"")</f>
        <v/>
      </c>
      <c r="AY123">
        <f>IF(AND($E123=TRUE,$C123="MID"),AS123,"")</f>
        <v/>
      </c>
      <c r="AZ123">
        <f>IF(AND($E123=TRUE,$C123="FWD"),AS123,"")</f>
        <v/>
      </c>
      <c r="BA123" t="n">
        <v>2</v>
      </c>
      <c r="BB123" t="n">
        <v>2</v>
      </c>
      <c r="BC123" t="n">
        <v>1</v>
      </c>
      <c r="BD123" t="n">
        <v>5</v>
      </c>
    </row>
    <row r="124">
      <c r="A124" t="inlineStr">
        <is>
          <t>Ezri Konsa</t>
        </is>
      </c>
      <c r="B124" t="inlineStr">
        <is>
          <t>AVL</t>
        </is>
      </c>
      <c r="C124" t="inlineStr">
        <is>
          <t>DEF</t>
        </is>
      </c>
      <c r="D124" t="inlineStr">
        <is>
          <t>DEF</t>
        </is>
      </c>
      <c r="E124" t="b">
        <v>1</v>
      </c>
      <c r="F124" s="2" t="n">
        <v>4.5</v>
      </c>
      <c r="G124" t="inlineStr">
        <is>
          <t>a</t>
        </is>
      </c>
      <c r="I124" s="2" t="n">
        <v>3035</v>
      </c>
      <c r="J124" t="n">
        <v>100</v>
      </c>
      <c r="K124" s="3" t="n">
        <v>3340</v>
      </c>
      <c r="L124" t="inlineStr">
        <is>
          <t>flat</t>
        </is>
      </c>
      <c r="M124" s="4" t="n">
        <v>3340</v>
      </c>
      <c r="N124" t="inlineStr">
        <is>
          <t>Solio</t>
        </is>
      </c>
      <c r="O124" s="5" t="n">
        <v>89.3</v>
      </c>
      <c r="P124" t="b">
        <v>1</v>
      </c>
      <c r="Q124" s="5">
        <f>IF(N(O124)&lt;=0,0,MIN(Assumptions!$B$15,N(M124)/N(O124)))</f>
        <v/>
      </c>
      <c r="R124" s="4" t="n">
        <v>0.273</v>
      </c>
      <c r="S124" s="3" t="n">
        <v>0.0313</v>
      </c>
      <c r="T124" t="inlineStr">
        <is>
          <t>adjusted xGOT</t>
        </is>
      </c>
      <c r="U124" s="3" t="n">
        <v>1</v>
      </c>
      <c r="V124" s="3" t="n">
        <v>0.831</v>
      </c>
      <c r="W124" s="3" t="n">
        <v>6.2</v>
      </c>
      <c r="X124" s="3" t="n">
        <v>0.0177</v>
      </c>
      <c r="Y124" s="3" t="n">
        <v>6.171</v>
      </c>
      <c r="Z124" s="3" t="n">
        <v>0.09265164969979311</v>
      </c>
      <c r="AA124" s="3" t="n">
        <v>0.1186</v>
      </c>
      <c r="AB124" s="3" t="n">
        <v>68</v>
      </c>
      <c r="AC124" s="3" t="n">
        <v>2.7451</v>
      </c>
      <c r="AD124" s="3" t="n">
        <v>1.3575</v>
      </c>
      <c r="AE124" s="3" t="n">
        <v>-0.0879156393384785</v>
      </c>
      <c r="AF124" s="4" t="n">
        <v>0</v>
      </c>
      <c r="AG124" s="3" t="n">
        <v>0</v>
      </c>
      <c r="AH124" s="3" t="n">
        <v>0.1878</v>
      </c>
      <c r="AI124" s="3" t="n">
        <v>0.070092</v>
      </c>
      <c r="AJ124" s="3">
        <f>N(R124)*N(BC124)</f>
        <v/>
      </c>
      <c r="AK124" s="3" t="n">
        <v>0.1186</v>
      </c>
      <c r="AL124" s="3" t="n">
        <v>0</v>
      </c>
      <c r="AM124" s="3" t="n">
        <v>-0.4453012382517575</v>
      </c>
      <c r="AN124" s="3" t="n">
        <v>-0.0879156393384785</v>
      </c>
      <c r="AO124" s="3">
        <f>SUM(AH124:AN124)</f>
        <v/>
      </c>
      <c r="AP124" s="5">
        <f>IF(OR(N(Q124)&lt;=0,N(BA124)=0),0,N(Q124)*IF(N(M124)/N(Q124)&gt;=60,N(BA124),1))</f>
        <v/>
      </c>
      <c r="AQ124" s="5">
        <f>N(Q124)*N(Z124)*N(BB124)</f>
        <v/>
      </c>
      <c r="AR124" s="5">
        <f>N(AF124)*(Assumptions!$B$13*N(BD124)-(1-Assumptions!$B$13)*Assumptions!$B$14)+N(AG124)</f>
        <v/>
      </c>
      <c r="AS124" s="5">
        <f>N(AO124)*N(M124)/90+N(AP124)+N(AQ124)+N(AR124)</f>
        <v/>
      </c>
      <c r="AT124" s="3">
        <f>IF(N(M124)&lt;=0,0,(N(AS124)-N(AR124))*90/N(M124))</f>
        <v/>
      </c>
      <c r="AU124" s="5">
        <f>IFERROR(AS124-VLOOKUP($C124,Assumptions!$A$36:$C$39,3,FALSE),"")</f>
        <v/>
      </c>
      <c r="AV124" s="3">
        <f>IFERROR(AU124/F124,"")</f>
        <v/>
      </c>
      <c r="AW124">
        <f>IF(AND($E124=TRUE,$C124="GKP"),AS124,"")</f>
        <v/>
      </c>
      <c r="AX124">
        <f>IF(AND($E124=TRUE,$C124="DEF"),AS124,"")</f>
        <v/>
      </c>
      <c r="AY124">
        <f>IF(AND($E124=TRUE,$C124="MID"),AS124,"")</f>
        <v/>
      </c>
      <c r="AZ124">
        <f>IF(AND($E124=TRUE,$C124="FWD"),AS124,"")</f>
        <v/>
      </c>
      <c r="BA124" t="n">
        <v>2</v>
      </c>
      <c r="BB124" t="n">
        <v>2</v>
      </c>
      <c r="BC124" t="n">
        <v>4</v>
      </c>
      <c r="BD124" t="n">
        <v>6</v>
      </c>
    </row>
    <row r="125">
      <c r="A125" t="inlineStr">
        <is>
          <t>Lewis Dunk</t>
        </is>
      </c>
      <c r="B125" t="inlineStr">
        <is>
          <t>BHA</t>
        </is>
      </c>
      <c r="C125" t="inlineStr">
        <is>
          <t>DEF</t>
        </is>
      </c>
      <c r="D125" t="inlineStr">
        <is>
          <t>DEF</t>
        </is>
      </c>
      <c r="E125" t="b">
        <v>1</v>
      </c>
      <c r="F125" s="2" t="n">
        <v>4.5</v>
      </c>
      <c r="G125" t="inlineStr">
        <is>
          <t>a</t>
        </is>
      </c>
      <c r="I125" s="2" t="n">
        <v>2837</v>
      </c>
      <c r="J125" t="n">
        <v>100</v>
      </c>
      <c r="K125" s="3" t="n">
        <v>1898</v>
      </c>
      <c r="L125" t="inlineStr">
        <is>
          <t>flat</t>
        </is>
      </c>
      <c r="M125" s="4" t="n">
        <v>1898</v>
      </c>
      <c r="N125" t="inlineStr">
        <is>
          <t>Solio</t>
        </is>
      </c>
      <c r="O125" s="5" t="n">
        <v>90</v>
      </c>
      <c r="P125" t="b">
        <v>1</v>
      </c>
      <c r="Q125" s="5">
        <f>IF(N(O125)&lt;=0,0,MIN(Assumptions!$B$15,N(M125)/N(O125)))</f>
        <v/>
      </c>
      <c r="R125" s="4" t="n">
        <v>0.252</v>
      </c>
      <c r="S125" s="3" t="n">
        <v>0.0518</v>
      </c>
      <c r="T125" t="inlineStr">
        <is>
          <t>adjusted xGOT</t>
        </is>
      </c>
      <c r="U125" s="3" t="n">
        <v>1</v>
      </c>
      <c r="V125" s="3" t="n">
        <v>0.893</v>
      </c>
      <c r="W125" s="3" t="n">
        <v>7.5</v>
      </c>
      <c r="X125" s="3" t="n">
        <v>0.0175</v>
      </c>
      <c r="Y125" s="3" t="n">
        <v>7.4</v>
      </c>
      <c r="Z125" s="3" t="n">
        <v>0.2122650447363642</v>
      </c>
      <c r="AA125" s="3" t="n">
        <v>0.1586</v>
      </c>
      <c r="AB125" s="3" t="n">
        <v>64</v>
      </c>
      <c r="AC125" s="3" t="n">
        <v>2.8404</v>
      </c>
      <c r="AD125" s="3" t="n">
        <v>1.439</v>
      </c>
      <c r="AE125" s="3" t="n">
        <v>-0.2684546345789187</v>
      </c>
      <c r="AF125" s="4" t="n">
        <v>0</v>
      </c>
      <c r="AG125" s="3" t="n">
        <v>0</v>
      </c>
      <c r="AH125" s="3" t="n">
        <v>0.3108</v>
      </c>
      <c r="AI125" s="3" t="n">
        <v>0.06930000000000001</v>
      </c>
      <c r="AJ125" s="3">
        <f>N(R125)*N(BC125)</f>
        <v/>
      </c>
      <c r="AK125" s="3" t="n">
        <v>0.1586</v>
      </c>
      <c r="AL125" s="3" t="n">
        <v>0</v>
      </c>
      <c r="AM125" s="3" t="n">
        <v>-0.4835617861760246</v>
      </c>
      <c r="AN125" s="3" t="n">
        <v>-0.2684546345789187</v>
      </c>
      <c r="AO125" s="3">
        <f>SUM(AH125:AN125)</f>
        <v/>
      </c>
      <c r="AP125" s="5">
        <f>IF(OR(N(Q125)&lt;=0,N(BA125)=0),0,N(Q125)*IF(N(M125)/N(Q125)&gt;=60,N(BA125),1))</f>
        <v/>
      </c>
      <c r="AQ125" s="5">
        <f>N(Q125)*N(Z125)*N(BB125)</f>
        <v/>
      </c>
      <c r="AR125" s="5">
        <f>N(AF125)*(Assumptions!$B$13*N(BD125)-(1-Assumptions!$B$13)*Assumptions!$B$14)+N(AG125)</f>
        <v/>
      </c>
      <c r="AS125" s="5">
        <f>N(AO125)*N(M125)/90+N(AP125)+N(AQ125)+N(AR125)</f>
        <v/>
      </c>
      <c r="AT125" s="3">
        <f>IF(N(M125)&lt;=0,0,(N(AS125)-N(AR125))*90/N(M125))</f>
        <v/>
      </c>
      <c r="AU125" s="5">
        <f>IFERROR(AS125-VLOOKUP($C125,Assumptions!$A$36:$C$39,3,FALSE),"")</f>
        <v/>
      </c>
      <c r="AV125" s="3">
        <f>IFERROR(AU125/F125,"")</f>
        <v/>
      </c>
      <c r="AW125">
        <f>IF(AND($E125=TRUE,$C125="GKP"),AS125,"")</f>
        <v/>
      </c>
      <c r="AX125">
        <f>IF(AND($E125=TRUE,$C125="DEF"),AS125,"")</f>
        <v/>
      </c>
      <c r="AY125">
        <f>IF(AND($E125=TRUE,$C125="MID"),AS125,"")</f>
        <v/>
      </c>
      <c r="AZ125">
        <f>IF(AND($E125=TRUE,$C125="FWD"),AS125,"")</f>
        <v/>
      </c>
      <c r="BA125" t="n">
        <v>2</v>
      </c>
      <c r="BB125" t="n">
        <v>2</v>
      </c>
      <c r="BC125" t="n">
        <v>4</v>
      </c>
      <c r="BD125" t="n">
        <v>6</v>
      </c>
    </row>
    <row r="126">
      <c r="A126" t="inlineStr">
        <is>
          <t>Jaka Bijol</t>
        </is>
      </c>
      <c r="B126" t="inlineStr">
        <is>
          <t>LEE</t>
        </is>
      </c>
      <c r="C126" t="inlineStr">
        <is>
          <t>DEF</t>
        </is>
      </c>
      <c r="D126" t="inlineStr">
        <is>
          <t>DEF</t>
        </is>
      </c>
      <c r="E126" t="b">
        <v>1</v>
      </c>
      <c r="F126" s="2" t="n">
        <v>5</v>
      </c>
      <c r="G126" t="inlineStr">
        <is>
          <t>a</t>
        </is>
      </c>
      <c r="I126" s="2" t="n">
        <v>1888</v>
      </c>
      <c r="J126" t="n">
        <v>99</v>
      </c>
      <c r="K126" s="3" t="n">
        <v>2046</v>
      </c>
      <c r="L126" t="inlineStr">
        <is>
          <t>flat</t>
        </is>
      </c>
      <c r="M126" s="4" t="n">
        <v>2046</v>
      </c>
      <c r="N126" t="inlineStr">
        <is>
          <t>Solio</t>
        </is>
      </c>
      <c r="O126" s="5" t="n">
        <v>85.2</v>
      </c>
      <c r="P126" t="b">
        <v>1</v>
      </c>
      <c r="Q126" s="5">
        <f>IF(N(O126)&lt;=0,0,MIN(Assumptions!$B$15,N(M126)/N(O126)))</f>
        <v/>
      </c>
      <c r="R126" s="4" t="n">
        <v>0.218</v>
      </c>
      <c r="S126" s="3" t="n">
        <v>0.0424</v>
      </c>
      <c r="T126" t="inlineStr">
        <is>
          <t>adjusted xGOT</t>
        </is>
      </c>
      <c r="U126" s="3" t="n">
        <v>1</v>
      </c>
      <c r="V126" s="3" t="n">
        <v>0.989</v>
      </c>
      <c r="W126" s="3" t="n">
        <v>0.9</v>
      </c>
      <c r="X126" s="3" t="n">
        <v>0.0512</v>
      </c>
      <c r="Y126" s="3" t="n">
        <v>9.679</v>
      </c>
      <c r="Z126" s="3" t="n">
        <v>0.434029390602755</v>
      </c>
      <c r="AA126" s="3" t="n">
        <v>0.143</v>
      </c>
      <c r="AB126" s="3" t="n">
        <v>46</v>
      </c>
      <c r="AC126" s="3" t="n">
        <v>3.0611</v>
      </c>
      <c r="AD126" s="3" t="n">
        <v>1.5875</v>
      </c>
      <c r="AE126" s="3" t="n">
        <v>-0.2086948344647888</v>
      </c>
      <c r="AF126" s="4" t="n">
        <v>0</v>
      </c>
      <c r="AG126" s="3" t="n">
        <v>0</v>
      </c>
      <c r="AH126" s="3" t="n">
        <v>0.2544</v>
      </c>
      <c r="AI126" s="3" t="n">
        <v>0.202752</v>
      </c>
      <c r="AJ126" s="3">
        <f>N(R126)*N(BC126)</f>
        <v/>
      </c>
      <c r="AK126" s="3" t="n">
        <v>0.143</v>
      </c>
      <c r="AL126" s="3" t="n">
        <v>0</v>
      </c>
      <c r="AM126" s="3" t="n">
        <v>-0.5541985260210861</v>
      </c>
      <c r="AN126" s="3" t="n">
        <v>-0.2086948344647888</v>
      </c>
      <c r="AO126" s="3">
        <f>SUM(AH126:AN126)</f>
        <v/>
      </c>
      <c r="AP126" s="5">
        <f>IF(OR(N(Q126)&lt;=0,N(BA126)=0),0,N(Q126)*IF(N(M126)/N(Q126)&gt;=60,N(BA126),1))</f>
        <v/>
      </c>
      <c r="AQ126" s="5">
        <f>N(Q126)*N(Z126)*N(BB126)</f>
        <v/>
      </c>
      <c r="AR126" s="5">
        <f>N(AF126)*(Assumptions!$B$13*N(BD126)-(1-Assumptions!$B$13)*Assumptions!$B$14)+N(AG126)</f>
        <v/>
      </c>
      <c r="AS126" s="5">
        <f>N(AO126)*N(M126)/90+N(AP126)+N(AQ126)+N(AR126)</f>
        <v/>
      </c>
      <c r="AT126" s="3">
        <f>IF(N(M126)&lt;=0,0,(N(AS126)-N(AR126))*90/N(M126))</f>
        <v/>
      </c>
      <c r="AU126" s="5">
        <f>IFERROR(AS126-VLOOKUP($C126,Assumptions!$A$36:$C$39,3,FALSE),"")</f>
        <v/>
      </c>
      <c r="AV126" s="3">
        <f>IFERROR(AU126/F126,"")</f>
        <v/>
      </c>
      <c r="AW126">
        <f>IF(AND($E126=TRUE,$C126="GKP"),AS126,"")</f>
        <v/>
      </c>
      <c r="AX126">
        <f>IF(AND($E126=TRUE,$C126="DEF"),AS126,"")</f>
        <v/>
      </c>
      <c r="AY126">
        <f>IF(AND($E126=TRUE,$C126="MID"),AS126,"")</f>
        <v/>
      </c>
      <c r="AZ126">
        <f>IF(AND($E126=TRUE,$C126="FWD"),AS126,"")</f>
        <v/>
      </c>
      <c r="BA126" t="n">
        <v>2</v>
      </c>
      <c r="BB126" t="n">
        <v>2</v>
      </c>
      <c r="BC126" t="n">
        <v>4</v>
      </c>
      <c r="BD126" t="n">
        <v>6</v>
      </c>
    </row>
    <row r="127">
      <c r="A127" t="inlineStr">
        <is>
          <t>Yasin Ayari</t>
        </is>
      </c>
      <c r="B127" t="inlineStr">
        <is>
          <t>BHA</t>
        </is>
      </c>
      <c r="C127" t="inlineStr">
        <is>
          <t>MID</t>
        </is>
      </c>
      <c r="D127" t="inlineStr">
        <is>
          <t>MID</t>
        </is>
      </c>
      <c r="E127" t="b">
        <v>1</v>
      </c>
      <c r="F127" s="2" t="n">
        <v>5.5</v>
      </c>
      <c r="G127" t="inlineStr">
        <is>
          <t>a</t>
        </is>
      </c>
      <c r="I127" s="2" t="n">
        <v>1921</v>
      </c>
      <c r="J127" t="n">
        <v>98</v>
      </c>
      <c r="K127" s="3" t="n">
        <v>1402</v>
      </c>
      <c r="L127" t="inlineStr">
        <is>
          <t>fade (losing his place)</t>
        </is>
      </c>
      <c r="M127" s="4" t="n">
        <v>1402</v>
      </c>
      <c r="N127" t="inlineStr">
        <is>
          <t>Solio</t>
        </is>
      </c>
      <c r="O127" s="5" t="n">
        <v>86.40000000000001</v>
      </c>
      <c r="P127" t="b">
        <v>1</v>
      </c>
      <c r="Q127" s="5">
        <f>IF(N(O127)&lt;=0,0,MIN(Assumptions!$B$15,N(M127)/N(O127)))</f>
        <v/>
      </c>
      <c r="R127" s="4" t="n">
        <v>0.252</v>
      </c>
      <c r="S127" s="3" t="n">
        <v>0.1272</v>
      </c>
      <c r="T127" t="inlineStr">
        <is>
          <t>adjusted xGOT</t>
        </is>
      </c>
      <c r="U127" s="3" t="n">
        <v>1</v>
      </c>
      <c r="V127" s="3" t="n">
        <v>1.005</v>
      </c>
      <c r="W127" s="3" t="n">
        <v>5.2</v>
      </c>
      <c r="X127" s="3" t="n">
        <v>0.0598</v>
      </c>
      <c r="Y127" s="3" t="n">
        <v>10.006</v>
      </c>
      <c r="Z127" s="3" t="n">
        <v>0.2593830083316055</v>
      </c>
      <c r="AA127" s="3" t="n">
        <v>0.328</v>
      </c>
      <c r="AB127" s="3" t="n">
        <v>49</v>
      </c>
      <c r="AC127" s="3" t="n">
        <v>2.8404</v>
      </c>
      <c r="AD127" s="3" t="n">
        <v>1.439</v>
      </c>
      <c r="AE127" s="3" t="n">
        <v>-0.1474051509917553</v>
      </c>
      <c r="AF127" s="4" t="n">
        <v>0</v>
      </c>
      <c r="AG127" s="3" t="n">
        <v>0</v>
      </c>
      <c r="AH127" s="3" t="n">
        <v>0.636</v>
      </c>
      <c r="AI127" s="3" t="n">
        <v>0.236808</v>
      </c>
      <c r="AJ127" s="3">
        <f>N(R127)*N(BC127)</f>
        <v/>
      </c>
      <c r="AK127" s="3" t="n">
        <v>0.328</v>
      </c>
      <c r="AL127" s="3" t="n">
        <v>0</v>
      </c>
      <c r="AM127" s="3" t="n">
        <v>-0</v>
      </c>
      <c r="AN127" s="3" t="n">
        <v>-0.1474051509917553</v>
      </c>
      <c r="AO127" s="3">
        <f>SUM(AH127:AN127)</f>
        <v/>
      </c>
      <c r="AP127" s="5">
        <f>IF(OR(N(Q127)&lt;=0,N(BA127)=0),0,N(Q127)*IF(N(M127)/N(Q127)&gt;=60,N(BA127),1))</f>
        <v/>
      </c>
      <c r="AQ127" s="5">
        <f>N(Q127)*N(Z127)*N(BB127)</f>
        <v/>
      </c>
      <c r="AR127" s="5">
        <f>N(AF127)*(Assumptions!$B$13*N(BD127)-(1-Assumptions!$B$13)*Assumptions!$B$14)+N(AG127)</f>
        <v/>
      </c>
      <c r="AS127" s="5">
        <f>N(AO127)*N(M127)/90+N(AP127)+N(AQ127)+N(AR127)</f>
        <v/>
      </c>
      <c r="AT127" s="3">
        <f>IF(N(M127)&lt;=0,0,(N(AS127)-N(AR127))*90/N(M127))</f>
        <v/>
      </c>
      <c r="AU127" s="5">
        <f>IFERROR(AS127-VLOOKUP($C127,Assumptions!$A$36:$C$39,3,FALSE),"")</f>
        <v/>
      </c>
      <c r="AV127" s="3">
        <f>IFERROR(AU127/F127,"")</f>
        <v/>
      </c>
      <c r="AW127">
        <f>IF(AND($E127=TRUE,$C127="GKP"),AS127,"")</f>
        <v/>
      </c>
      <c r="AX127">
        <f>IF(AND($E127=TRUE,$C127="DEF"),AS127,"")</f>
        <v/>
      </c>
      <c r="AY127">
        <f>IF(AND($E127=TRUE,$C127="MID"),AS127,"")</f>
        <v/>
      </c>
      <c r="AZ127">
        <f>IF(AND($E127=TRUE,$C127="FWD"),AS127,"")</f>
        <v/>
      </c>
      <c r="BA127" t="n">
        <v>2</v>
      </c>
      <c r="BB127" t="n">
        <v>2</v>
      </c>
      <c r="BC127" t="n">
        <v>1</v>
      </c>
      <c r="BD127" t="n">
        <v>5</v>
      </c>
    </row>
    <row r="128">
      <c r="A128" t="inlineStr">
        <is>
          <t>Mathias Jensen</t>
        </is>
      </c>
      <c r="B128" t="inlineStr">
        <is>
          <t>BRE</t>
        </is>
      </c>
      <c r="C128" t="inlineStr">
        <is>
          <t>MID</t>
        </is>
      </c>
      <c r="D128" t="inlineStr">
        <is>
          <t>MID</t>
        </is>
      </c>
      <c r="E128" t="b">
        <v>1</v>
      </c>
      <c r="F128" s="2" t="n">
        <v>5.5</v>
      </c>
      <c r="G128" t="inlineStr">
        <is>
          <t>a</t>
        </is>
      </c>
      <c r="I128" s="2" t="n">
        <v>2239</v>
      </c>
      <c r="J128" t="n">
        <v>98</v>
      </c>
      <c r="K128" s="3" t="n">
        <v>1573</v>
      </c>
      <c r="L128" t="inlineStr">
        <is>
          <t>flat</t>
        </is>
      </c>
      <c r="M128" s="4" t="n">
        <v>1573</v>
      </c>
      <c r="N128" t="inlineStr">
        <is>
          <t>Solio</t>
        </is>
      </c>
      <c r="O128" s="5" t="n">
        <v>81.40000000000001</v>
      </c>
      <c r="P128" t="b">
        <v>1</v>
      </c>
      <c r="Q128" s="5">
        <f>IF(N(O128)&lt;=0,0,MIN(Assumptions!$B$15,N(M128)/N(O128)))</f>
        <v/>
      </c>
      <c r="R128" s="4" t="n">
        <v>0.228</v>
      </c>
      <c r="S128" s="3" t="n">
        <v>0.0882</v>
      </c>
      <c r="T128" t="inlineStr">
        <is>
          <t>adjusted xGOT</t>
        </is>
      </c>
      <c r="U128" s="3" t="n">
        <v>1</v>
      </c>
      <c r="V128" s="3" t="n">
        <v>0.993</v>
      </c>
      <c r="W128" s="3" t="n">
        <v>5.5</v>
      </c>
      <c r="X128" s="3" t="n">
        <v>0.229</v>
      </c>
      <c r="Y128" s="3" t="n">
        <v>8.778</v>
      </c>
      <c r="Z128" s="3" t="n">
        <v>0.1075858939708857</v>
      </c>
      <c r="AA128" s="3" t="n">
        <v>0.0402</v>
      </c>
      <c r="AB128" s="3" t="n">
        <v>62</v>
      </c>
      <c r="AC128" s="3" t="n">
        <v>3.2371</v>
      </c>
      <c r="AD128" s="3" t="n">
        <v>1.5396</v>
      </c>
      <c r="AE128" s="3" t="n">
        <v>-0.1834293757151458</v>
      </c>
      <c r="AF128" s="4" t="n">
        <v>0.0228187842591649</v>
      </c>
      <c r="AG128" s="3" t="n">
        <v>0</v>
      </c>
      <c r="AH128" s="3" t="n">
        <v>0.441</v>
      </c>
      <c r="AI128" s="3" t="n">
        <v>0.9068400000000001</v>
      </c>
      <c r="AJ128" s="3">
        <f>N(R128)*N(BC128)</f>
        <v/>
      </c>
      <c r="AK128" s="3" t="n">
        <v>0.0402</v>
      </c>
      <c r="AL128" s="3" t="n">
        <v>0</v>
      </c>
      <c r="AM128" s="3" t="n">
        <v>-0</v>
      </c>
      <c r="AN128" s="3" t="n">
        <v>-0.1834293757151458</v>
      </c>
      <c r="AO128" s="3">
        <f>SUM(AH128:AN128)</f>
        <v/>
      </c>
      <c r="AP128" s="5">
        <f>IF(OR(N(Q128)&lt;=0,N(BA128)=0),0,N(Q128)*IF(N(M128)/N(Q128)&gt;=60,N(BA128),1))</f>
        <v/>
      </c>
      <c r="AQ128" s="5">
        <f>N(Q128)*N(Z128)*N(BB128)</f>
        <v/>
      </c>
      <c r="AR128" s="5">
        <f>N(AF128)*(Assumptions!$B$13*N(BD128)-(1-Assumptions!$B$13)*Assumptions!$B$14)+N(AG128)</f>
        <v/>
      </c>
      <c r="AS128" s="5">
        <f>N(AO128)*N(M128)/90+N(AP128)+N(AQ128)+N(AR128)</f>
        <v/>
      </c>
      <c r="AT128" s="3">
        <f>IF(N(M128)&lt;=0,0,(N(AS128)-N(AR128))*90/N(M128))</f>
        <v/>
      </c>
      <c r="AU128" s="5">
        <f>IFERROR(AS128-VLOOKUP($C128,Assumptions!$A$36:$C$39,3,FALSE),"")</f>
        <v/>
      </c>
      <c r="AV128" s="3">
        <f>IFERROR(AU128/F128,"")</f>
        <v/>
      </c>
      <c r="AW128">
        <f>IF(AND($E128=TRUE,$C128="GKP"),AS128,"")</f>
        <v/>
      </c>
      <c r="AX128">
        <f>IF(AND($E128=TRUE,$C128="DEF"),AS128,"")</f>
        <v/>
      </c>
      <c r="AY128">
        <f>IF(AND($E128=TRUE,$C128="MID"),AS128,"")</f>
        <v/>
      </c>
      <c r="AZ128">
        <f>IF(AND($E128=TRUE,$C128="FWD"),AS128,"")</f>
        <v/>
      </c>
      <c r="BA128" t="n">
        <v>2</v>
      </c>
      <c r="BB128" t="n">
        <v>2</v>
      </c>
      <c r="BC128" t="n">
        <v>1</v>
      </c>
      <c r="BD128" t="n">
        <v>5</v>
      </c>
    </row>
    <row r="129">
      <c r="A129" t="inlineStr">
        <is>
          <t>Diego Gómez</t>
        </is>
      </c>
      <c r="B129" t="inlineStr">
        <is>
          <t>BHA</t>
        </is>
      </c>
      <c r="C129" t="inlineStr">
        <is>
          <t>MID</t>
        </is>
      </c>
      <c r="D129" t="inlineStr">
        <is>
          <t>MID</t>
        </is>
      </c>
      <c r="E129" t="b">
        <v>1</v>
      </c>
      <c r="F129" s="2" t="n">
        <v>5</v>
      </c>
      <c r="G129" t="inlineStr">
        <is>
          <t>a</t>
        </is>
      </c>
      <c r="I129" s="2" t="n">
        <v>2117</v>
      </c>
      <c r="J129" t="n">
        <v>97</v>
      </c>
      <c r="K129" s="3" t="n">
        <v>2605</v>
      </c>
      <c r="L129" t="inlineStr">
        <is>
          <t>flat</t>
        </is>
      </c>
      <c r="M129" s="4" t="n">
        <v>2605</v>
      </c>
      <c r="N129" t="inlineStr">
        <is>
          <t>Solio</t>
        </is>
      </c>
      <c r="O129" s="5" t="n">
        <v>75.2</v>
      </c>
      <c r="P129" t="b">
        <v>1</v>
      </c>
      <c r="Q129" s="5">
        <f>IF(N(O129)&lt;=0,0,MIN(Assumptions!$B$15,N(M129)/N(O129)))</f>
        <v/>
      </c>
      <c r="R129" s="4" t="n">
        <v>0.252</v>
      </c>
      <c r="S129" s="3" t="n">
        <v>0.2396</v>
      </c>
      <c r="T129" t="inlineStr">
        <is>
          <t>adjusted xGOT</t>
        </is>
      </c>
      <c r="U129" s="3" t="n">
        <v>1</v>
      </c>
      <c r="V129" s="3" t="n">
        <v>0.903</v>
      </c>
      <c r="W129" s="3" t="n">
        <v>7.1</v>
      </c>
      <c r="X129" s="3" t="n">
        <v>0.081</v>
      </c>
      <c r="Y129" s="3" t="n">
        <v>9.727</v>
      </c>
      <c r="Z129" s="3" t="n">
        <v>0.1213435697565282</v>
      </c>
      <c r="AA129" s="3" t="n">
        <v>0.3826</v>
      </c>
      <c r="AB129" s="3" t="n">
        <v>55</v>
      </c>
      <c r="AC129" s="3" t="n">
        <v>2.8404</v>
      </c>
      <c r="AD129" s="3" t="n">
        <v>1.439</v>
      </c>
      <c r="AE129" s="3" t="n">
        <v>-0.300781752368114</v>
      </c>
      <c r="AF129" s="4" t="n">
        <v>0</v>
      </c>
      <c r="AG129" s="3" t="n">
        <v>0</v>
      </c>
      <c r="AH129" s="3" t="n">
        <v>1.198</v>
      </c>
      <c r="AI129" s="3" t="n">
        <v>0.32076</v>
      </c>
      <c r="AJ129" s="3">
        <f>N(R129)*N(BC129)</f>
        <v/>
      </c>
      <c r="AK129" s="3" t="n">
        <v>0.3826</v>
      </c>
      <c r="AL129" s="3" t="n">
        <v>0</v>
      </c>
      <c r="AM129" s="3" t="n">
        <v>-0</v>
      </c>
      <c r="AN129" s="3" t="n">
        <v>-0.300781752368114</v>
      </c>
      <c r="AO129" s="3">
        <f>SUM(AH129:AN129)</f>
        <v/>
      </c>
      <c r="AP129" s="5">
        <f>IF(OR(N(Q129)&lt;=0,N(BA129)=0),0,N(Q129)*IF(N(M129)/N(Q129)&gt;=60,N(BA129),1))</f>
        <v/>
      </c>
      <c r="AQ129" s="5">
        <f>N(Q129)*N(Z129)*N(BB129)</f>
        <v/>
      </c>
      <c r="AR129" s="5">
        <f>N(AF129)*(Assumptions!$B$13*N(BD129)-(1-Assumptions!$B$13)*Assumptions!$B$14)+N(AG129)</f>
        <v/>
      </c>
      <c r="AS129" s="5">
        <f>N(AO129)*N(M129)/90+N(AP129)+N(AQ129)+N(AR129)</f>
        <v/>
      </c>
      <c r="AT129" s="3">
        <f>IF(N(M129)&lt;=0,0,(N(AS129)-N(AR129))*90/N(M129))</f>
        <v/>
      </c>
      <c r="AU129" s="5">
        <f>IFERROR(AS129-VLOOKUP($C129,Assumptions!$A$36:$C$39,3,FALSE),"")</f>
        <v/>
      </c>
      <c r="AV129" s="3">
        <f>IFERROR(AU129/F129,"")</f>
        <v/>
      </c>
      <c r="AW129">
        <f>IF(AND($E129=TRUE,$C129="GKP"),AS129,"")</f>
        <v/>
      </c>
      <c r="AX129">
        <f>IF(AND($E129=TRUE,$C129="DEF"),AS129,"")</f>
        <v/>
      </c>
      <c r="AY129">
        <f>IF(AND($E129=TRUE,$C129="MID"),AS129,"")</f>
        <v/>
      </c>
      <c r="AZ129">
        <f>IF(AND($E129=TRUE,$C129="FWD"),AS129,"")</f>
        <v/>
      </c>
      <c r="BA129" t="n">
        <v>2</v>
      </c>
      <c r="BB129" t="n">
        <v>2</v>
      </c>
      <c r="BC129" t="n">
        <v>1</v>
      </c>
      <c r="BD129" t="n">
        <v>5</v>
      </c>
    </row>
    <row r="130">
      <c r="A130" t="inlineStr">
        <is>
          <t>Lucas Digne</t>
        </is>
      </c>
      <c r="B130" t="inlineStr">
        <is>
          <t>AVL</t>
        </is>
      </c>
      <c r="C130" t="inlineStr">
        <is>
          <t>DEF</t>
        </is>
      </c>
      <c r="D130" t="inlineStr">
        <is>
          <t>DEF</t>
        </is>
      </c>
      <c r="E130" t="b">
        <v>1</v>
      </c>
      <c r="F130" s="2" t="n">
        <v>4.5</v>
      </c>
      <c r="G130" t="inlineStr">
        <is>
          <t>u</t>
        </is>
      </c>
      <c r="H130" t="inlineStr">
        <is>
          <t>Has joined Paris Saint-Germain permanently</t>
        </is>
      </c>
      <c r="I130" s="2" t="n">
        <v>1842</v>
      </c>
      <c r="J130" t="n">
        <v>97</v>
      </c>
      <c r="K130" s="3" t="n"/>
      <c r="M130" s="4" t="n">
        <v>1842</v>
      </c>
      <c r="N130" t="inlineStr">
        <is>
          <t>25/26 actual</t>
        </is>
      </c>
      <c r="O130" s="5" t="n">
        <v>80.40000000000001</v>
      </c>
      <c r="P130" t="b">
        <v>1</v>
      </c>
      <c r="Q130" s="5">
        <f>IF(N(O130)&lt;=0,0,MIN(Assumptions!$B$15,N(M130)/N(O130)))</f>
        <v/>
      </c>
      <c r="R130" s="4" t="n">
        <v>0.273</v>
      </c>
      <c r="S130" s="3" t="n">
        <v>0.0331</v>
      </c>
      <c r="T130" t="inlineStr">
        <is>
          <t>adjusted xGOT</t>
        </is>
      </c>
      <c r="U130" s="3" t="n">
        <v>1</v>
      </c>
      <c r="V130" s="3" t="n">
        <v>1.01</v>
      </c>
      <c r="W130" s="3" t="n">
        <v>2.9</v>
      </c>
      <c r="X130" s="3" t="n">
        <v>0.1547</v>
      </c>
      <c r="Y130" s="3" t="n">
        <v>6.129</v>
      </c>
      <c r="Z130" s="3" t="n">
        <v>0.05250337389219972</v>
      </c>
      <c r="AA130" s="3" t="n">
        <v>0.1954</v>
      </c>
      <c r="AB130" s="3" t="n">
        <v>50</v>
      </c>
      <c r="AC130" s="3" t="n">
        <v>2.7451</v>
      </c>
      <c r="AD130" s="3" t="n">
        <v>1.3575</v>
      </c>
      <c r="AE130" s="3" t="n">
        <v>-0.1984538561379551</v>
      </c>
      <c r="AF130" s="4" t="n">
        <v>0</v>
      </c>
      <c r="AG130" s="3" t="n">
        <v>0</v>
      </c>
      <c r="AH130" s="3" t="n">
        <v>0.1986</v>
      </c>
      <c r="AI130" s="3" t="n">
        <v>0.612612</v>
      </c>
      <c r="AJ130" s="3">
        <f>N(R130)*N(BC130)</f>
        <v/>
      </c>
      <c r="AK130" s="3" t="n">
        <v>0.1954</v>
      </c>
      <c r="AL130" s="3" t="n">
        <v>0</v>
      </c>
      <c r="AM130" s="3" t="n">
        <v>-0.4453012382517575</v>
      </c>
      <c r="AN130" s="3" t="n">
        <v>-0.1984538561379551</v>
      </c>
      <c r="AO130" s="3">
        <f>SUM(AH130:AN130)</f>
        <v/>
      </c>
      <c r="AP130" s="5">
        <f>IF(OR(N(Q130)&lt;=0,N(BA130)=0),0,N(Q130)*IF(N(M130)/N(Q130)&gt;=60,N(BA130),1))</f>
        <v/>
      </c>
      <c r="AQ130" s="5">
        <f>N(Q130)*N(Z130)*N(BB130)</f>
        <v/>
      </c>
      <c r="AR130" s="5">
        <f>N(AF130)*(Assumptions!$B$13*N(BD130)-(1-Assumptions!$B$13)*Assumptions!$B$14)+N(AG130)</f>
        <v/>
      </c>
      <c r="AS130" s="5">
        <f>N(AO130)*N(M130)/90+N(AP130)+N(AQ130)+N(AR130)</f>
        <v/>
      </c>
      <c r="AT130" s="3">
        <f>IF(N(M130)&lt;=0,0,(N(AS130)-N(AR130))*90/N(M130))</f>
        <v/>
      </c>
      <c r="AU130" s="5">
        <f>IFERROR(AS130-VLOOKUP($C130,Assumptions!$A$36:$C$39,3,FALSE),"")</f>
        <v/>
      </c>
      <c r="AV130" s="3">
        <f>IFERROR(AU130/F130,"")</f>
        <v/>
      </c>
      <c r="AW130">
        <f>IF(AND($E130=TRUE,$C130="GKP"),AS130,"")</f>
        <v/>
      </c>
      <c r="AX130">
        <f>IF(AND($E130=TRUE,$C130="DEF"),AS130,"")</f>
        <v/>
      </c>
      <c r="AY130">
        <f>IF(AND($E130=TRUE,$C130="MID"),AS130,"")</f>
        <v/>
      </c>
      <c r="AZ130">
        <f>IF(AND($E130=TRUE,$C130="FWD"),AS130,"")</f>
        <v/>
      </c>
      <c r="BA130" t="n">
        <v>2</v>
      </c>
      <c r="BB130" t="n">
        <v>2</v>
      </c>
      <c r="BC130" t="n">
        <v>4</v>
      </c>
      <c r="BD130" t="n">
        <v>6</v>
      </c>
    </row>
    <row r="131">
      <c r="A131" t="inlineStr">
        <is>
          <t>Martin Dúbravka</t>
        </is>
      </c>
      <c r="B131" t="inlineStr">
        <is>
          <t>TOT</t>
        </is>
      </c>
      <c r="C131" t="inlineStr">
        <is>
          <t>GKP</t>
        </is>
      </c>
      <c r="D131" t="inlineStr">
        <is>
          <t>GKP</t>
        </is>
      </c>
      <c r="E131" t="b">
        <v>1</v>
      </c>
      <c r="F131" s="2" t="n">
        <v>4</v>
      </c>
      <c r="G131" t="inlineStr">
        <is>
          <t>a</t>
        </is>
      </c>
      <c r="I131" s="2" t="n">
        <v>3150</v>
      </c>
      <c r="J131" t="n">
        <v>96</v>
      </c>
      <c r="K131" s="3" t="n">
        <v>35</v>
      </c>
      <c r="L131" t="inlineStr">
        <is>
          <t>flat</t>
        </is>
      </c>
      <c r="M131" s="4" t="n">
        <v>35</v>
      </c>
      <c r="N131" t="inlineStr">
        <is>
          <t>Solio</t>
        </is>
      </c>
      <c r="O131" s="5" t="n">
        <v>90</v>
      </c>
      <c r="P131" t="b">
        <v>1</v>
      </c>
      <c r="Q131" s="5">
        <f>IF(N(O131)&lt;=0,0,MIN(Assumptions!$B$15,N(M131)/N(O131)))</f>
        <v/>
      </c>
      <c r="R131" s="4" t="n">
        <v>0.286</v>
      </c>
      <c r="S131" s="3" t="n">
        <v>0</v>
      </c>
      <c r="T131" t="inlineStr">
        <is>
          <t>blended xG</t>
        </is>
      </c>
      <c r="U131" s="3" t="n">
        <v>1</v>
      </c>
      <c r="V131" s="3" t="n">
        <v>1</v>
      </c>
      <c r="W131" s="3" t="n">
        <v>0</v>
      </c>
      <c r="X131" s="3" t="n">
        <v>0.0005999999999999999</v>
      </c>
      <c r="Y131" s="3" t="n">
        <v>0</v>
      </c>
      <c r="Z131" s="3" t="n">
        <v>0</v>
      </c>
      <c r="AA131" s="3" t="n">
        <v>0.2</v>
      </c>
      <c r="AB131" s="3" t="n">
        <v>70</v>
      </c>
      <c r="AC131" s="3" t="n">
        <v>2.5739</v>
      </c>
      <c r="AD131" s="3" t="n">
        <v>1.3096</v>
      </c>
      <c r="AE131" s="3" t="n">
        <v>-0.0420652993253894</v>
      </c>
      <c r="AF131" s="4" t="n">
        <v>0</v>
      </c>
      <c r="AG131" s="3" t="n">
        <v>0.028612790566365</v>
      </c>
      <c r="AH131" s="3" t="n">
        <v>0</v>
      </c>
      <c r="AI131" s="3" t="n">
        <v>0.002376</v>
      </c>
      <c r="AJ131" s="3">
        <f>N(R131)*N(BC131)</f>
        <v/>
      </c>
      <c r="AK131" s="3" t="n">
        <v>0.2</v>
      </c>
      <c r="AL131" s="3" t="n">
        <v>0.5235455255089686</v>
      </c>
      <c r="AM131" s="3" t="n">
        <v>-0.4230152821052008</v>
      </c>
      <c r="AN131" s="3" t="n">
        <v>-0.0420652993253894</v>
      </c>
      <c r="AO131" s="3">
        <f>SUM(AH131:AN131)</f>
        <v/>
      </c>
      <c r="AP131" s="5">
        <f>IF(OR(N(Q131)&lt;=0,N(BA131)=0),0,N(Q131)*IF(N(M131)/N(Q131)&gt;=60,N(BA131),1))</f>
        <v/>
      </c>
      <c r="AQ131" s="5">
        <f>N(Q131)*N(Z131)*N(BB131)</f>
        <v/>
      </c>
      <c r="AR131" s="5">
        <f>N(AF131)*(Assumptions!$B$13*N(BD131)-(1-Assumptions!$B$13)*Assumptions!$B$14)+N(AG131)</f>
        <v/>
      </c>
      <c r="AS131" s="5">
        <f>N(AO131)*N(M131)/90+N(AP131)+N(AQ131)+N(AR131)</f>
        <v/>
      </c>
      <c r="AT131" s="3">
        <f>IF(N(M131)&lt;=0,0,(N(AS131)-N(AR131))*90/N(M131))</f>
        <v/>
      </c>
      <c r="AU131" s="5">
        <f>IFERROR(AS131-VLOOKUP($C131,Assumptions!$A$36:$C$39,3,FALSE),"")</f>
        <v/>
      </c>
      <c r="AV131" s="3">
        <f>IFERROR(AU131/F131,"")</f>
        <v/>
      </c>
      <c r="AW131">
        <f>IF(AND($E131=TRUE,$C131="GKP"),AS131,"")</f>
        <v/>
      </c>
      <c r="AX131">
        <f>IF(AND($E131=TRUE,$C131="DEF"),AS131,"")</f>
        <v/>
      </c>
      <c r="AY131">
        <f>IF(AND($E131=TRUE,$C131="MID"),AS131,"")</f>
        <v/>
      </c>
      <c r="AZ131">
        <f>IF(AND($E131=TRUE,$C131="FWD"),AS131,"")</f>
        <v/>
      </c>
      <c r="BA131" t="n">
        <v>2</v>
      </c>
      <c r="BB131" t="n">
        <v>0</v>
      </c>
      <c r="BC131" t="n">
        <v>4</v>
      </c>
      <c r="BD131" t="n">
        <v>10</v>
      </c>
    </row>
    <row r="132">
      <c r="A132" t="inlineStr">
        <is>
          <t>Malo Gusto</t>
        </is>
      </c>
      <c r="B132" t="inlineStr">
        <is>
          <t>CHE</t>
        </is>
      </c>
      <c r="C132" t="inlineStr">
        <is>
          <t>DEF</t>
        </is>
      </c>
      <c r="D132" t="inlineStr">
        <is>
          <t>DEF</t>
        </is>
      </c>
      <c r="E132" t="b">
        <v>1</v>
      </c>
      <c r="F132" s="2" t="n">
        <v>5</v>
      </c>
      <c r="G132" t="inlineStr">
        <is>
          <t>a</t>
        </is>
      </c>
      <c r="I132" s="2" t="n">
        <v>2255</v>
      </c>
      <c r="J132" t="n">
        <v>96</v>
      </c>
      <c r="K132" s="3" t="n">
        <v>663</v>
      </c>
      <c r="L132" t="inlineStr">
        <is>
          <t>flat</t>
        </is>
      </c>
      <c r="M132" s="4" t="n">
        <v>663</v>
      </c>
      <c r="N132" t="inlineStr">
        <is>
          <t>Solio</t>
        </is>
      </c>
      <c r="O132" s="5" t="n">
        <v>79.7</v>
      </c>
      <c r="P132" t="b">
        <v>1</v>
      </c>
      <c r="Q132" s="5">
        <f>IF(N(O132)&lt;=0,0,MIN(Assumptions!$B$15,N(M132)/N(O132)))</f>
        <v/>
      </c>
      <c r="R132" s="4" t="n">
        <v>0.322</v>
      </c>
      <c r="S132" s="3" t="n">
        <v>0.0555</v>
      </c>
      <c r="T132" t="inlineStr">
        <is>
          <t>adjusted xGOT</t>
        </is>
      </c>
      <c r="U132" s="3" t="n">
        <v>1</v>
      </c>
      <c r="V132" s="3" t="n">
        <v>0.891</v>
      </c>
      <c r="W132" s="3" t="n">
        <v>4</v>
      </c>
      <c r="X132" s="3" t="n">
        <v>0.1352</v>
      </c>
      <c r="Y132" s="3" t="n">
        <v>5.672</v>
      </c>
      <c r="Z132" s="3" t="n">
        <v>0.03266509954883989</v>
      </c>
      <c r="AA132" s="3" t="n">
        <v>0.3193</v>
      </c>
      <c r="AB132" s="3" t="n">
        <v>57</v>
      </c>
      <c r="AC132" s="3" t="n">
        <v>2.4232</v>
      </c>
      <c r="AD132" s="3" t="n">
        <v>1.1851</v>
      </c>
      <c r="AE132" s="3" t="n">
        <v>-0.2032062374408385</v>
      </c>
      <c r="AF132" s="4" t="n">
        <v>0</v>
      </c>
      <c r="AG132" s="3" t="n">
        <v>0</v>
      </c>
      <c r="AH132" s="3" t="n">
        <v>0.333</v>
      </c>
      <c r="AI132" s="3" t="n">
        <v>0.535392</v>
      </c>
      <c r="AJ132" s="3">
        <f>N(R132)*N(BC132)</f>
        <v/>
      </c>
      <c r="AK132" s="3" t="n">
        <v>0.3193</v>
      </c>
      <c r="AL132" s="3" t="n">
        <v>0</v>
      </c>
      <c r="AM132" s="3" t="n">
        <v>-0.365915508000572</v>
      </c>
      <c r="AN132" s="3" t="n">
        <v>-0.2032062374408385</v>
      </c>
      <c r="AO132" s="3">
        <f>SUM(AH132:AN132)</f>
        <v/>
      </c>
      <c r="AP132" s="5">
        <f>IF(OR(N(Q132)&lt;=0,N(BA132)=0),0,N(Q132)*IF(N(M132)/N(Q132)&gt;=60,N(BA132),1))</f>
        <v/>
      </c>
      <c r="AQ132" s="5">
        <f>N(Q132)*N(Z132)*N(BB132)</f>
        <v/>
      </c>
      <c r="AR132" s="5">
        <f>N(AF132)*(Assumptions!$B$13*N(BD132)-(1-Assumptions!$B$13)*Assumptions!$B$14)+N(AG132)</f>
        <v/>
      </c>
      <c r="AS132" s="5">
        <f>N(AO132)*N(M132)/90+N(AP132)+N(AQ132)+N(AR132)</f>
        <v/>
      </c>
      <c r="AT132" s="3">
        <f>IF(N(M132)&lt;=0,0,(N(AS132)-N(AR132))*90/N(M132))</f>
        <v/>
      </c>
      <c r="AU132" s="5">
        <f>IFERROR(AS132-VLOOKUP($C132,Assumptions!$A$36:$C$39,3,FALSE),"")</f>
        <v/>
      </c>
      <c r="AV132" s="3">
        <f>IFERROR(AU132/F132,"")</f>
        <v/>
      </c>
      <c r="AW132">
        <f>IF(AND($E132=TRUE,$C132="GKP"),AS132,"")</f>
        <v/>
      </c>
      <c r="AX132">
        <f>IF(AND($E132=TRUE,$C132="DEF"),AS132,"")</f>
        <v/>
      </c>
      <c r="AY132">
        <f>IF(AND($E132=TRUE,$C132="MID"),AS132,"")</f>
        <v/>
      </c>
      <c r="AZ132">
        <f>IF(AND($E132=TRUE,$C132="FWD"),AS132,"")</f>
        <v/>
      </c>
      <c r="BA132" t="n">
        <v>2</v>
      </c>
      <c r="BB132" t="n">
        <v>2</v>
      </c>
      <c r="BC132" t="n">
        <v>4</v>
      </c>
      <c r="BD132" t="n">
        <v>6</v>
      </c>
    </row>
    <row r="133">
      <c r="A133" t="inlineStr">
        <is>
          <t>Jayden Bogle</t>
        </is>
      </c>
      <c r="B133" t="inlineStr">
        <is>
          <t>LEE</t>
        </is>
      </c>
      <c r="C133" t="inlineStr">
        <is>
          <t>DEF</t>
        </is>
      </c>
      <c r="D133" t="inlineStr">
        <is>
          <t>DEF</t>
        </is>
      </c>
      <c r="E133" t="b">
        <v>1</v>
      </c>
      <c r="F133" s="2" t="n">
        <v>4.5</v>
      </c>
      <c r="G133" t="inlineStr">
        <is>
          <t>a</t>
        </is>
      </c>
      <c r="I133" s="2" t="n">
        <v>2795</v>
      </c>
      <c r="J133" t="n">
        <v>96</v>
      </c>
      <c r="K133" s="3" t="n">
        <v>2440</v>
      </c>
      <c r="L133" t="inlineStr">
        <is>
          <t>flat</t>
        </is>
      </c>
      <c r="M133" s="4" t="n">
        <v>2440</v>
      </c>
      <c r="N133" t="inlineStr">
        <is>
          <t>Solio</t>
        </is>
      </c>
      <c r="O133" s="5" t="n">
        <v>85.7</v>
      </c>
      <c r="P133" t="b">
        <v>1</v>
      </c>
      <c r="Q133" s="5">
        <f>IF(N(O133)&lt;=0,0,MIN(Assumptions!$B$15,N(M133)/N(O133)))</f>
        <v/>
      </c>
      <c r="R133" s="4" t="n">
        <v>0.218</v>
      </c>
      <c r="S133" s="3" t="n">
        <v>0.0625</v>
      </c>
      <c r="T133" t="inlineStr">
        <is>
          <t>adjusted xGOT</t>
        </is>
      </c>
      <c r="U133" s="3" t="n">
        <v>1</v>
      </c>
      <c r="V133" s="3" t="n">
        <v>0.9320000000000001</v>
      </c>
      <c r="W133" s="3" t="n">
        <v>4.4</v>
      </c>
      <c r="X133" s="3" t="n">
        <v>0.1068</v>
      </c>
      <c r="Y133" s="3" t="n">
        <v>6.132</v>
      </c>
      <c r="Z133" s="3" t="n">
        <v>0.07328847801431904</v>
      </c>
      <c r="AA133" s="3" t="n">
        <v>0.0322</v>
      </c>
      <c r="AB133" s="3" t="n">
        <v>65</v>
      </c>
      <c r="AC133" s="3" t="n">
        <v>3.0611</v>
      </c>
      <c r="AD133" s="3" t="n">
        <v>1.5875</v>
      </c>
      <c r="AE133" s="3" t="n">
        <v>-0.2320454308872428</v>
      </c>
      <c r="AF133" s="4" t="n">
        <v>0</v>
      </c>
      <c r="AG133" s="3" t="n">
        <v>0</v>
      </c>
      <c r="AH133" s="3" t="n">
        <v>0.375</v>
      </c>
      <c r="AI133" s="3" t="n">
        <v>0.422928</v>
      </c>
      <c r="AJ133" s="3">
        <f>N(R133)*N(BC133)</f>
        <v/>
      </c>
      <c r="AK133" s="3" t="n">
        <v>0.0322</v>
      </c>
      <c r="AL133" s="3" t="n">
        <v>0</v>
      </c>
      <c r="AM133" s="3" t="n">
        <v>-0.5541985260210861</v>
      </c>
      <c r="AN133" s="3" t="n">
        <v>-0.2320454308872428</v>
      </c>
      <c r="AO133" s="3">
        <f>SUM(AH133:AN133)</f>
        <v/>
      </c>
      <c r="AP133" s="5">
        <f>IF(OR(N(Q133)&lt;=0,N(BA133)=0),0,N(Q133)*IF(N(M133)/N(Q133)&gt;=60,N(BA133),1))</f>
        <v/>
      </c>
      <c r="AQ133" s="5">
        <f>N(Q133)*N(Z133)*N(BB133)</f>
        <v/>
      </c>
      <c r="AR133" s="5">
        <f>N(AF133)*(Assumptions!$B$13*N(BD133)-(1-Assumptions!$B$13)*Assumptions!$B$14)+N(AG133)</f>
        <v/>
      </c>
      <c r="AS133" s="5">
        <f>N(AO133)*N(M133)/90+N(AP133)+N(AQ133)+N(AR133)</f>
        <v/>
      </c>
      <c r="AT133" s="3">
        <f>IF(N(M133)&lt;=0,0,(N(AS133)-N(AR133))*90/N(M133))</f>
        <v/>
      </c>
      <c r="AU133" s="5">
        <f>IFERROR(AS133-VLOOKUP($C133,Assumptions!$A$36:$C$39,3,FALSE),"")</f>
        <v/>
      </c>
      <c r="AV133" s="3">
        <f>IFERROR(AU133/F133,"")</f>
        <v/>
      </c>
      <c r="AW133">
        <f>IF(AND($E133=TRUE,$C133="GKP"),AS133,"")</f>
        <v/>
      </c>
      <c r="AX133">
        <f>IF(AND($E133=TRUE,$C133="DEF"),AS133,"")</f>
        <v/>
      </c>
      <c r="AY133">
        <f>IF(AND($E133=TRUE,$C133="MID"),AS133,"")</f>
        <v/>
      </c>
      <c r="AZ133">
        <f>IF(AND($E133=TRUE,$C133="FWD"),AS133,"")</f>
        <v/>
      </c>
      <c r="BA133" t="n">
        <v>2</v>
      </c>
      <c r="BB133" t="n">
        <v>2</v>
      </c>
      <c r="BC133" t="n">
        <v>4</v>
      </c>
      <c r="BD133" t="n">
        <v>6</v>
      </c>
    </row>
    <row r="134">
      <c r="A134" t="inlineStr">
        <is>
          <t>Nick Pope</t>
        </is>
      </c>
      <c r="B134" t="inlineStr">
        <is>
          <t>NEW</t>
        </is>
      </c>
      <c r="C134" t="inlineStr">
        <is>
          <t>GKP</t>
        </is>
      </c>
      <c r="D134" t="inlineStr">
        <is>
          <t>GKP</t>
        </is>
      </c>
      <c r="E134" t="b">
        <v>1</v>
      </c>
      <c r="F134" s="2" t="n">
        <v>5</v>
      </c>
      <c r="G134" t="inlineStr">
        <is>
          <t>a</t>
        </is>
      </c>
      <c r="I134" s="2" t="n">
        <v>2416</v>
      </c>
      <c r="J134" t="n">
        <v>96</v>
      </c>
      <c r="K134" s="3" t="n">
        <v>4</v>
      </c>
      <c r="L134" t="inlineStr">
        <is>
          <t>flat</t>
        </is>
      </c>
      <c r="M134" s="4" t="n">
        <v>4</v>
      </c>
      <c r="N134" t="inlineStr">
        <is>
          <t>Solio</t>
        </is>
      </c>
      <c r="O134" s="5" t="n">
        <v>89.5</v>
      </c>
      <c r="P134" t="b">
        <v>1</v>
      </c>
      <c r="Q134" s="5">
        <f>IF(N(O134)&lt;=0,0,MIN(Assumptions!$B$15,N(M134)/N(O134)))</f>
        <v/>
      </c>
      <c r="R134" s="4" t="n">
        <v>0.248</v>
      </c>
      <c r="S134" s="3" t="n">
        <v>0.006</v>
      </c>
      <c r="T134" t="inlineStr">
        <is>
          <t>adjusted xGOT</t>
        </is>
      </c>
      <c r="U134" s="3" t="n">
        <v>1</v>
      </c>
      <c r="V134" s="3" t="n">
        <v>1.015</v>
      </c>
      <c r="W134" s="3" t="n">
        <v>0.2</v>
      </c>
      <c r="X134" s="3" t="n">
        <v>0</v>
      </c>
      <c r="Y134" s="3" t="n">
        <v>0</v>
      </c>
      <c r="Z134" s="3" t="n">
        <v>0</v>
      </c>
      <c r="AA134" s="3" t="n">
        <v>0.1863</v>
      </c>
      <c r="AB134" s="3" t="n">
        <v>54</v>
      </c>
      <c r="AC134" s="3" t="n">
        <v>3.0912</v>
      </c>
      <c r="AD134" s="3" t="n">
        <v>1.4534</v>
      </c>
      <c r="AE134" s="3" t="n">
        <v>-0.0757070602473932</v>
      </c>
      <c r="AF134" s="4" t="n">
        <v>0</v>
      </c>
      <c r="AG134" s="3" t="n">
        <v>0.0036289312781513</v>
      </c>
      <c r="AH134" s="3" t="n">
        <v>0.06</v>
      </c>
      <c r="AI134" s="3" t="n">
        <v>0</v>
      </c>
      <c r="AJ134" s="3">
        <f>N(R134)*N(BC134)</f>
        <v/>
      </c>
      <c r="AK134" s="3" t="n">
        <v>0.1863</v>
      </c>
      <c r="AL134" s="3" t="n">
        <v>0.6950146973483665</v>
      </c>
      <c r="AM134" s="3" t="n">
        <v>-0.4903625828545308</v>
      </c>
      <c r="AN134" s="3" t="n">
        <v>-0.0757070602473932</v>
      </c>
      <c r="AO134" s="3">
        <f>SUM(AH134:AN134)</f>
        <v/>
      </c>
      <c r="AP134" s="5">
        <f>IF(OR(N(Q134)&lt;=0,N(BA134)=0),0,N(Q134)*IF(N(M134)/N(Q134)&gt;=60,N(BA134),1))</f>
        <v/>
      </c>
      <c r="AQ134" s="5">
        <f>N(Q134)*N(Z134)*N(BB134)</f>
        <v/>
      </c>
      <c r="AR134" s="5">
        <f>N(AF134)*(Assumptions!$B$13*N(BD134)-(1-Assumptions!$B$13)*Assumptions!$B$14)+N(AG134)</f>
        <v/>
      </c>
      <c r="AS134" s="5">
        <f>N(AO134)*N(M134)/90+N(AP134)+N(AQ134)+N(AR134)</f>
        <v/>
      </c>
      <c r="AT134" s="3">
        <f>IF(N(M134)&lt;=0,0,(N(AS134)-N(AR134))*90/N(M134))</f>
        <v/>
      </c>
      <c r="AU134" s="5">
        <f>IFERROR(AS134-VLOOKUP($C134,Assumptions!$A$36:$C$39,3,FALSE),"")</f>
        <v/>
      </c>
      <c r="AV134" s="3">
        <f>IFERROR(AU134/F134,"")</f>
        <v/>
      </c>
      <c r="AW134">
        <f>IF(AND($E134=TRUE,$C134="GKP"),AS134,"")</f>
        <v/>
      </c>
      <c r="AX134">
        <f>IF(AND($E134=TRUE,$C134="DEF"),AS134,"")</f>
        <v/>
      </c>
      <c r="AY134">
        <f>IF(AND($E134=TRUE,$C134="MID"),AS134,"")</f>
        <v/>
      </c>
      <c r="AZ134">
        <f>IF(AND($E134=TRUE,$C134="FWD"),AS134,"")</f>
        <v/>
      </c>
      <c r="BA134" t="n">
        <v>2</v>
      </c>
      <c r="BB134" t="n">
        <v>0</v>
      </c>
      <c r="BC134" t="n">
        <v>4</v>
      </c>
      <c r="BD134" t="n">
        <v>10</v>
      </c>
    </row>
    <row r="135">
      <c r="A135" t="inlineStr">
        <is>
          <t>Vitalii Mykolenko</t>
        </is>
      </c>
      <c r="B135" t="inlineStr">
        <is>
          <t>EVE</t>
        </is>
      </c>
      <c r="C135" t="inlineStr">
        <is>
          <t>DEF</t>
        </is>
      </c>
      <c r="D135" t="inlineStr">
        <is>
          <t>DEF</t>
        </is>
      </c>
      <c r="E135" t="b">
        <v>1</v>
      </c>
      <c r="F135" s="2" t="n">
        <v>4.5</v>
      </c>
      <c r="G135" t="inlineStr">
        <is>
          <t>a</t>
        </is>
      </c>
      <c r="I135" s="2" t="n">
        <v>2959</v>
      </c>
      <c r="J135" t="n">
        <v>95</v>
      </c>
      <c r="K135" s="3" t="n">
        <v>3004</v>
      </c>
      <c r="L135" t="inlineStr">
        <is>
          <t>flat</t>
        </is>
      </c>
      <c r="M135" s="4" t="n">
        <v>3004</v>
      </c>
      <c r="N135" t="inlineStr">
        <is>
          <t>Solio</t>
        </is>
      </c>
      <c r="O135" s="5" t="n">
        <v>89.7</v>
      </c>
      <c r="P135" t="b">
        <v>1</v>
      </c>
      <c r="Q135" s="5">
        <f>IF(N(O135)&lt;=0,0,MIN(Assumptions!$B$15,N(M135)/N(O135)))</f>
        <v/>
      </c>
      <c r="R135" s="4" t="n">
        <v>0.231</v>
      </c>
      <c r="S135" s="3" t="n">
        <v>0.0081</v>
      </c>
      <c r="T135" t="inlineStr">
        <is>
          <t>adjusted xGOT</t>
        </is>
      </c>
      <c r="U135" s="3" t="n">
        <v>1</v>
      </c>
      <c r="V135" s="3" t="n">
        <v>0.945</v>
      </c>
      <c r="W135" s="3" t="n">
        <v>2.8</v>
      </c>
      <c r="X135" s="3" t="n">
        <v>0.0548</v>
      </c>
      <c r="Y135" s="3" t="n">
        <v>7.155</v>
      </c>
      <c r="Z135" s="3" t="n">
        <v>0.1830484650703608</v>
      </c>
      <c r="AA135" s="3" t="n">
        <v>0.1217</v>
      </c>
      <c r="AB135" s="3" t="n">
        <v>66</v>
      </c>
      <c r="AC135" s="3" t="n">
        <v>3.0311</v>
      </c>
      <c r="AD135" s="3" t="n">
        <v>1.5252</v>
      </c>
      <c r="AE135" s="3" t="n">
        <v>-0.1671381260374793</v>
      </c>
      <c r="AF135" s="4" t="n">
        <v>0</v>
      </c>
      <c r="AG135" s="3" t="n">
        <v>0</v>
      </c>
      <c r="AH135" s="3" t="n">
        <v>0.0486</v>
      </c>
      <c r="AI135" s="3" t="n">
        <v>0.217008</v>
      </c>
      <c r="AJ135" s="3">
        <f>N(R135)*N(BC135)</f>
        <v/>
      </c>
      <c r="AK135" s="3" t="n">
        <v>0.1217</v>
      </c>
      <c r="AL135" s="3" t="n">
        <v>0</v>
      </c>
      <c r="AM135" s="3" t="n">
        <v>-0.524434996152324</v>
      </c>
      <c r="AN135" s="3" t="n">
        <v>-0.1671381260374793</v>
      </c>
      <c r="AO135" s="3">
        <f>SUM(AH135:AN135)</f>
        <v/>
      </c>
      <c r="AP135" s="5">
        <f>IF(OR(N(Q135)&lt;=0,N(BA135)=0),0,N(Q135)*IF(N(M135)/N(Q135)&gt;=60,N(BA135),1))</f>
        <v/>
      </c>
      <c r="AQ135" s="5">
        <f>N(Q135)*N(Z135)*N(BB135)</f>
        <v/>
      </c>
      <c r="AR135" s="5">
        <f>N(AF135)*(Assumptions!$B$13*N(BD135)-(1-Assumptions!$B$13)*Assumptions!$B$14)+N(AG135)</f>
        <v/>
      </c>
      <c r="AS135" s="5">
        <f>N(AO135)*N(M135)/90+N(AP135)+N(AQ135)+N(AR135)</f>
        <v/>
      </c>
      <c r="AT135" s="3">
        <f>IF(N(M135)&lt;=0,0,(N(AS135)-N(AR135))*90/N(M135))</f>
        <v/>
      </c>
      <c r="AU135" s="5">
        <f>IFERROR(AS135-VLOOKUP($C135,Assumptions!$A$36:$C$39,3,FALSE),"")</f>
        <v/>
      </c>
      <c r="AV135" s="3">
        <f>IFERROR(AU135/F135,"")</f>
        <v/>
      </c>
      <c r="AW135">
        <f>IF(AND($E135=TRUE,$C135="GKP"),AS135,"")</f>
        <v/>
      </c>
      <c r="AX135">
        <f>IF(AND($E135=TRUE,$C135="DEF"),AS135,"")</f>
        <v/>
      </c>
      <c r="AY135">
        <f>IF(AND($E135=TRUE,$C135="MID"),AS135,"")</f>
        <v/>
      </c>
      <c r="AZ135">
        <f>IF(AND($E135=TRUE,$C135="FWD"),AS135,"")</f>
        <v/>
      </c>
      <c r="BA135" t="n">
        <v>2</v>
      </c>
      <c r="BB135" t="n">
        <v>2</v>
      </c>
      <c r="BC135" t="n">
        <v>4</v>
      </c>
      <c r="BD135" t="n">
        <v>6</v>
      </c>
    </row>
    <row r="136">
      <c r="A136" t="inlineStr">
        <is>
          <t>Patrick Dorgu</t>
        </is>
      </c>
      <c r="B136" t="inlineStr">
        <is>
          <t>MUN</t>
        </is>
      </c>
      <c r="C136" t="inlineStr">
        <is>
          <t>MID</t>
        </is>
      </c>
      <c r="D136" t="inlineStr">
        <is>
          <t>DEF</t>
        </is>
      </c>
      <c r="E136" t="b">
        <v>1</v>
      </c>
      <c r="F136" s="2" t="n">
        <v>6</v>
      </c>
      <c r="G136" t="inlineStr">
        <is>
          <t>a</t>
        </is>
      </c>
      <c r="I136" s="2" t="n">
        <v>1440</v>
      </c>
      <c r="J136" t="n">
        <v>95</v>
      </c>
      <c r="K136" s="3" t="n">
        <v>812</v>
      </c>
      <c r="L136" t="inlineStr">
        <is>
          <t>fade (losing his place)</t>
        </is>
      </c>
      <c r="M136" s="4" t="n">
        <v>812</v>
      </c>
      <c r="N136" t="inlineStr">
        <is>
          <t>Solio</t>
        </is>
      </c>
      <c r="O136" s="5" t="n">
        <v>84.09999999999999</v>
      </c>
      <c r="P136" t="b">
        <v>1</v>
      </c>
      <c r="Q136" s="5">
        <f>IF(N(O136)&lt;=0,0,MIN(Assumptions!$B$15,N(M136)/N(O136)))</f>
        <v/>
      </c>
      <c r="R136" s="4" t="n">
        <v>0.334</v>
      </c>
      <c r="S136" s="3" t="n">
        <v>0.1477</v>
      </c>
      <c r="T136" t="inlineStr">
        <is>
          <t>adjusted xGOT</t>
        </is>
      </c>
      <c r="U136" s="3" t="n">
        <v>1</v>
      </c>
      <c r="V136" s="3" t="n">
        <v>0.989</v>
      </c>
      <c r="W136" s="3" t="n">
        <v>2.8</v>
      </c>
      <c r="X136" s="3" t="n">
        <v>0.1547</v>
      </c>
      <c r="Y136" s="3" t="n">
        <v>6.645</v>
      </c>
      <c r="Z136" s="3" t="n">
        <v>0.02523393139481689</v>
      </c>
      <c r="AA136" s="3" t="n">
        <v>0.6875</v>
      </c>
      <c r="AB136" s="3" t="n">
        <v>40</v>
      </c>
      <c r="AC136" s="3" t="n">
        <v>2.2165</v>
      </c>
      <c r="AD136" s="3" t="n">
        <v>1.1467</v>
      </c>
      <c r="AE136" s="3" t="n">
        <v>-0.2823405479327748</v>
      </c>
      <c r="AF136" s="4" t="n">
        <v>0</v>
      </c>
      <c r="AG136" s="3" t="n">
        <v>0</v>
      </c>
      <c r="AH136" s="3" t="n">
        <v>0.7384999999999999</v>
      </c>
      <c r="AI136" s="3" t="n">
        <v>0.612612</v>
      </c>
      <c r="AJ136" s="3">
        <f>N(R136)*N(BC136)</f>
        <v/>
      </c>
      <c r="AK136" s="3" t="n">
        <v>0.6875</v>
      </c>
      <c r="AL136" s="3" t="n">
        <v>0</v>
      </c>
      <c r="AM136" s="3" t="n">
        <v>-0</v>
      </c>
      <c r="AN136" s="3" t="n">
        <v>-0.2823405479327748</v>
      </c>
      <c r="AO136" s="3">
        <f>SUM(AH136:AN136)</f>
        <v/>
      </c>
      <c r="AP136" s="5">
        <f>IF(OR(N(Q136)&lt;=0,N(BA136)=0),0,N(Q136)*IF(N(M136)/N(Q136)&gt;=60,N(BA136),1))</f>
        <v/>
      </c>
      <c r="AQ136" s="5">
        <f>N(Q136)*N(Z136)*N(BB136)</f>
        <v/>
      </c>
      <c r="AR136" s="5">
        <f>N(AF136)*(Assumptions!$B$13*N(BD136)-(1-Assumptions!$B$13)*Assumptions!$B$14)+N(AG136)</f>
        <v/>
      </c>
      <c r="AS136" s="5">
        <f>N(AO136)*N(M136)/90+N(AP136)+N(AQ136)+N(AR136)</f>
        <v/>
      </c>
      <c r="AT136" s="3">
        <f>IF(N(M136)&lt;=0,0,(N(AS136)-N(AR136))*90/N(M136))</f>
        <v/>
      </c>
      <c r="AU136" s="5">
        <f>IFERROR(AS136-VLOOKUP($C136,Assumptions!$A$36:$C$39,3,FALSE),"")</f>
        <v/>
      </c>
      <c r="AV136" s="3">
        <f>IFERROR(AU136/F136,"")</f>
        <v/>
      </c>
      <c r="AW136">
        <f>IF(AND($E136=TRUE,$C136="GKP"),AS136,"")</f>
        <v/>
      </c>
      <c r="AX136">
        <f>IF(AND($E136=TRUE,$C136="DEF"),AS136,"")</f>
        <v/>
      </c>
      <c r="AY136">
        <f>IF(AND($E136=TRUE,$C136="MID"),AS136,"")</f>
        <v/>
      </c>
      <c r="AZ136">
        <f>IF(AND($E136=TRUE,$C136="FWD"),AS136,"")</f>
        <v/>
      </c>
      <c r="BA136" t="n">
        <v>2</v>
      </c>
      <c r="BB136" t="n">
        <v>2</v>
      </c>
      <c r="BC136" t="n">
        <v>1</v>
      </c>
      <c r="BD136" t="n">
        <v>5</v>
      </c>
    </row>
    <row r="137">
      <c r="A137" t="inlineStr">
        <is>
          <t>Ryan Sessegnon</t>
        </is>
      </c>
      <c r="B137" t="inlineStr">
        <is>
          <t>FUL</t>
        </is>
      </c>
      <c r="C137" t="inlineStr">
        <is>
          <t>DEF</t>
        </is>
      </c>
      <c r="D137" t="inlineStr">
        <is>
          <t>MID</t>
        </is>
      </c>
      <c r="E137" t="b">
        <v>1</v>
      </c>
      <c r="F137" s="2" t="n">
        <v>4.5</v>
      </c>
      <c r="G137" t="inlineStr">
        <is>
          <t>a</t>
        </is>
      </c>
      <c r="I137" s="2" t="n">
        <v>1816</v>
      </c>
      <c r="J137" t="n">
        <v>95</v>
      </c>
      <c r="K137" s="3" t="n">
        <v>1525</v>
      </c>
      <c r="L137" t="inlineStr">
        <is>
          <t>flat</t>
        </is>
      </c>
      <c r="M137" s="4" t="n">
        <v>1525</v>
      </c>
      <c r="N137" t="inlineStr">
        <is>
          <t>Solio</t>
        </is>
      </c>
      <c r="O137" s="5" t="n">
        <v>84.5</v>
      </c>
      <c r="P137" t="b">
        <v>1</v>
      </c>
      <c r="Q137" s="5">
        <f>IF(N(O137)&lt;=0,0,MIN(Assumptions!$B$15,N(M137)/N(O137)))</f>
        <v/>
      </c>
      <c r="R137" s="4" t="n">
        <v>0.214</v>
      </c>
      <c r="S137" s="3" t="n">
        <v>0.0893</v>
      </c>
      <c r="T137" t="inlineStr">
        <is>
          <t>adjusted xGOT</t>
        </is>
      </c>
      <c r="U137" s="3" t="n">
        <v>1</v>
      </c>
      <c r="V137" s="3" t="n">
        <v>1.126</v>
      </c>
      <c r="W137" s="3" t="n">
        <v>4.9</v>
      </c>
      <c r="X137" s="3" t="n">
        <v>0.0998</v>
      </c>
      <c r="Y137" s="3" t="n">
        <v>10.172</v>
      </c>
      <c r="Z137" s="3" t="n">
        <v>0.4847142669885125</v>
      </c>
      <c r="AA137" s="3" t="n">
        <v>0.3965</v>
      </c>
      <c r="AB137" s="3" t="n">
        <v>47</v>
      </c>
      <c r="AC137" s="3" t="n">
        <v>3.22</v>
      </c>
      <c r="AD137" s="3" t="n">
        <v>1.6019</v>
      </c>
      <c r="AE137" s="3" t="n">
        <v>-0.1095186729303973</v>
      </c>
      <c r="AF137" s="4" t="n">
        <v>0</v>
      </c>
      <c r="AG137" s="3" t="n">
        <v>0</v>
      </c>
      <c r="AH137" s="3" t="n">
        <v>0.5358000000000001</v>
      </c>
      <c r="AI137" s="3" t="n">
        <v>0.395208</v>
      </c>
      <c r="AJ137" s="3">
        <f>N(R137)*N(BC137)</f>
        <v/>
      </c>
      <c r="AK137" s="3" t="n">
        <v>0.3965</v>
      </c>
      <c r="AL137" s="3" t="n">
        <v>0</v>
      </c>
      <c r="AM137" s="3" t="n">
        <v>-0.5611019003833156</v>
      </c>
      <c r="AN137" s="3" t="n">
        <v>-0.1095186729303973</v>
      </c>
      <c r="AO137" s="3">
        <f>SUM(AH137:AN137)</f>
        <v/>
      </c>
      <c r="AP137" s="5">
        <f>IF(OR(N(Q137)&lt;=0,N(BA137)=0),0,N(Q137)*IF(N(M137)/N(Q137)&gt;=60,N(BA137),1))</f>
        <v/>
      </c>
      <c r="AQ137" s="5">
        <f>N(Q137)*N(Z137)*N(BB137)</f>
        <v/>
      </c>
      <c r="AR137" s="5">
        <f>N(AF137)*(Assumptions!$B$13*N(BD137)-(1-Assumptions!$B$13)*Assumptions!$B$14)+N(AG137)</f>
        <v/>
      </c>
      <c r="AS137" s="5">
        <f>N(AO137)*N(M137)/90+N(AP137)+N(AQ137)+N(AR137)</f>
        <v/>
      </c>
      <c r="AT137" s="3">
        <f>IF(N(M137)&lt;=0,0,(N(AS137)-N(AR137))*90/N(M137))</f>
        <v/>
      </c>
      <c r="AU137" s="5">
        <f>IFERROR(AS137-VLOOKUP($C137,Assumptions!$A$36:$C$39,3,FALSE),"")</f>
        <v/>
      </c>
      <c r="AV137" s="3">
        <f>IFERROR(AU137/F137,"")</f>
        <v/>
      </c>
      <c r="AW137">
        <f>IF(AND($E137=TRUE,$C137="GKP"),AS137,"")</f>
        <v/>
      </c>
      <c r="AX137">
        <f>IF(AND($E137=TRUE,$C137="DEF"),AS137,"")</f>
        <v/>
      </c>
      <c r="AY137">
        <f>IF(AND($E137=TRUE,$C137="MID"),AS137,"")</f>
        <v/>
      </c>
      <c r="AZ137">
        <f>IF(AND($E137=TRUE,$C137="FWD"),AS137,"")</f>
        <v/>
      </c>
      <c r="BA137" t="n">
        <v>2</v>
      </c>
      <c r="BB137" t="n">
        <v>2</v>
      </c>
      <c r="BC137" t="n">
        <v>4</v>
      </c>
      <c r="BD137" t="n">
        <v>6</v>
      </c>
    </row>
    <row r="138">
      <c r="A138" t="inlineStr">
        <is>
          <t>Thierno Barry</t>
        </is>
      </c>
      <c r="B138" t="inlineStr">
        <is>
          <t>EVE</t>
        </is>
      </c>
      <c r="C138" t="inlineStr">
        <is>
          <t>FWD</t>
        </is>
      </c>
      <c r="D138" t="inlineStr">
        <is>
          <t>FWD</t>
        </is>
      </c>
      <c r="E138" t="b">
        <v>1</v>
      </c>
      <c r="F138" s="2" t="n">
        <v>5.5</v>
      </c>
      <c r="G138" t="inlineStr">
        <is>
          <t>a</t>
        </is>
      </c>
      <c r="I138" s="2" t="n">
        <v>1898</v>
      </c>
      <c r="J138" t="n">
        <v>95</v>
      </c>
      <c r="K138" s="3" t="n">
        <v>2514</v>
      </c>
      <c r="L138" t="inlineStr">
        <is>
          <t>flat</t>
        </is>
      </c>
      <c r="M138" s="4" t="n">
        <v>2514</v>
      </c>
      <c r="N138" t="inlineStr">
        <is>
          <t>Solio</t>
        </is>
      </c>
      <c r="O138" s="5" t="n">
        <v>75.8</v>
      </c>
      <c r="P138" t="b">
        <v>1</v>
      </c>
      <c r="Q138" s="5">
        <f>IF(N(O138)&lt;=0,0,MIN(Assumptions!$B$15,N(M138)/N(O138)))</f>
        <v/>
      </c>
      <c r="R138" s="4" t="n">
        <v>0.231</v>
      </c>
      <c r="S138" s="3" t="n">
        <v>0.333</v>
      </c>
      <c r="T138" t="inlineStr">
        <is>
          <t>adjusted xGOT</t>
        </is>
      </c>
      <c r="U138" s="3" t="n">
        <v>1</v>
      </c>
      <c r="V138" s="3" t="n">
        <v>0.86</v>
      </c>
      <c r="W138" s="3" t="n">
        <v>8.199999999999999</v>
      </c>
      <c r="X138" s="3" t="n">
        <v>0.0342</v>
      </c>
      <c r="Y138" s="3" t="n">
        <v>3.862</v>
      </c>
      <c r="Z138" s="3" t="n">
        <v>0.0001499126614868951</v>
      </c>
      <c r="AA138" s="3" t="n">
        <v>0.4268</v>
      </c>
      <c r="AB138" s="3" t="n">
        <v>57</v>
      </c>
      <c r="AC138" s="3" t="n">
        <v>3.0311</v>
      </c>
      <c r="AD138" s="3" t="n">
        <v>1.5252</v>
      </c>
      <c r="AE138" s="3" t="n">
        <v>-0.1628586016462849</v>
      </c>
      <c r="AF138" s="4" t="n">
        <v>0.227372938242642</v>
      </c>
      <c r="AG138" s="3" t="n">
        <v>0</v>
      </c>
      <c r="AH138" s="3" t="n">
        <v>1.332</v>
      </c>
      <c r="AI138" s="3" t="n">
        <v>0.135432</v>
      </c>
      <c r="AJ138" s="3">
        <f>N(R138)*N(BC138)</f>
        <v/>
      </c>
      <c r="AK138" s="3" t="n">
        <v>0.4268</v>
      </c>
      <c r="AL138" s="3" t="n">
        <v>0</v>
      </c>
      <c r="AM138" s="3" t="n">
        <v>-0</v>
      </c>
      <c r="AN138" s="3" t="n">
        <v>-0.1628586016462849</v>
      </c>
      <c r="AO138" s="3">
        <f>SUM(AH138:AN138)</f>
        <v/>
      </c>
      <c r="AP138" s="5">
        <f>IF(OR(N(Q138)&lt;=0,N(BA138)=0),0,N(Q138)*IF(N(M138)/N(Q138)&gt;=60,N(BA138),1))</f>
        <v/>
      </c>
      <c r="AQ138" s="5">
        <f>N(Q138)*N(Z138)*N(BB138)</f>
        <v/>
      </c>
      <c r="AR138" s="5">
        <f>N(AF138)*(Assumptions!$B$13*N(BD138)-(1-Assumptions!$B$13)*Assumptions!$B$14)+N(AG138)</f>
        <v/>
      </c>
      <c r="AS138" s="5">
        <f>N(AO138)*N(M138)/90+N(AP138)+N(AQ138)+N(AR138)</f>
        <v/>
      </c>
      <c r="AT138" s="3">
        <f>IF(N(M138)&lt;=0,0,(N(AS138)-N(AR138))*90/N(M138))</f>
        <v/>
      </c>
      <c r="AU138" s="5">
        <f>IFERROR(AS138-VLOOKUP($C138,Assumptions!$A$36:$C$39,3,FALSE),"")</f>
        <v/>
      </c>
      <c r="AV138" s="3">
        <f>IFERROR(AU138/F138,"")</f>
        <v/>
      </c>
      <c r="AW138">
        <f>IF(AND($E138=TRUE,$C138="GKP"),AS138,"")</f>
        <v/>
      </c>
      <c r="AX138">
        <f>IF(AND($E138=TRUE,$C138="DEF"),AS138,"")</f>
        <v/>
      </c>
      <c r="AY138">
        <f>IF(AND($E138=TRUE,$C138="MID"),AS138,"")</f>
        <v/>
      </c>
      <c r="AZ138">
        <f>IF(AND($E138=TRUE,$C138="FWD"),AS138,"")</f>
        <v/>
      </c>
      <c r="BA138" t="n">
        <v>2</v>
      </c>
      <c r="BB138" t="n">
        <v>2</v>
      </c>
      <c r="BC138" t="n">
        <v>0</v>
      </c>
      <c r="BD138" t="n">
        <v>4</v>
      </c>
    </row>
    <row r="139">
      <c r="A139" t="inlineStr">
        <is>
          <t>Mats Wieffer</t>
        </is>
      </c>
      <c r="B139" t="inlineStr">
        <is>
          <t>BHA</t>
        </is>
      </c>
      <c r="C139" t="inlineStr">
        <is>
          <t>DEF</t>
        </is>
      </c>
      <c r="D139" t="inlineStr">
        <is>
          <t>MID</t>
        </is>
      </c>
      <c r="E139" t="b">
        <v>1</v>
      </c>
      <c r="F139" s="2" t="n">
        <v>5</v>
      </c>
      <c r="G139" t="inlineStr">
        <is>
          <t>a</t>
        </is>
      </c>
      <c r="I139" s="2" t="n">
        <v>1901</v>
      </c>
      <c r="J139" t="n">
        <v>94</v>
      </c>
      <c r="K139" s="3" t="n">
        <v>2787</v>
      </c>
      <c r="L139" t="inlineStr">
        <is>
          <t>flat</t>
        </is>
      </c>
      <c r="M139" s="4" t="n">
        <v>2787</v>
      </c>
      <c r="N139" t="inlineStr">
        <is>
          <t>Solio</t>
        </is>
      </c>
      <c r="O139" s="5" t="n">
        <v>79</v>
      </c>
      <c r="P139" t="b">
        <v>1</v>
      </c>
      <c r="Q139" s="5">
        <f>IF(N(O139)&lt;=0,0,MIN(Assumptions!$B$15,N(M139)/N(O139)))</f>
        <v/>
      </c>
      <c r="R139" s="4" t="n">
        <v>0.252</v>
      </c>
      <c r="S139" s="3" t="n">
        <v>0.0984</v>
      </c>
      <c r="T139" t="inlineStr">
        <is>
          <t>adjusted xGOT</t>
        </is>
      </c>
      <c r="U139" s="3" t="n">
        <v>1</v>
      </c>
      <c r="V139" s="3" t="n">
        <v>1.082</v>
      </c>
      <c r="W139" s="3" t="n">
        <v>2.7</v>
      </c>
      <c r="X139" s="3" t="n">
        <v>0.1119</v>
      </c>
      <c r="Y139" s="3" t="n">
        <v>11.593</v>
      </c>
      <c r="Z139" s="3" t="n">
        <v>0.5638965560126782</v>
      </c>
      <c r="AA139" s="3" t="n">
        <v>0.2367</v>
      </c>
      <c r="AB139" s="3" t="n">
        <v>46</v>
      </c>
      <c r="AC139" s="3" t="n">
        <v>2.8404</v>
      </c>
      <c r="AD139" s="3" t="n">
        <v>1.439</v>
      </c>
      <c r="AE139" s="3" t="n">
        <v>-0.3529394299384296</v>
      </c>
      <c r="AF139" s="4" t="n">
        <v>0</v>
      </c>
      <c r="AG139" s="3" t="n">
        <v>0</v>
      </c>
      <c r="AH139" s="3" t="n">
        <v>0.5904</v>
      </c>
      <c r="AI139" s="3" t="n">
        <v>0.443124</v>
      </c>
      <c r="AJ139" s="3">
        <f>N(R139)*N(BC139)</f>
        <v/>
      </c>
      <c r="AK139" s="3" t="n">
        <v>0.2367</v>
      </c>
      <c r="AL139" s="3" t="n">
        <v>0</v>
      </c>
      <c r="AM139" s="3" t="n">
        <v>-0.4835617861760246</v>
      </c>
      <c r="AN139" s="3" t="n">
        <v>-0.3529394299384296</v>
      </c>
      <c r="AO139" s="3">
        <f>SUM(AH139:AN139)</f>
        <v/>
      </c>
      <c r="AP139" s="5">
        <f>IF(OR(N(Q139)&lt;=0,N(BA139)=0),0,N(Q139)*IF(N(M139)/N(Q139)&gt;=60,N(BA139),1))</f>
        <v/>
      </c>
      <c r="AQ139" s="5">
        <f>N(Q139)*N(Z139)*N(BB139)</f>
        <v/>
      </c>
      <c r="AR139" s="5">
        <f>N(AF139)*(Assumptions!$B$13*N(BD139)-(1-Assumptions!$B$13)*Assumptions!$B$14)+N(AG139)</f>
        <v/>
      </c>
      <c r="AS139" s="5">
        <f>N(AO139)*N(M139)/90+N(AP139)+N(AQ139)+N(AR139)</f>
        <v/>
      </c>
      <c r="AT139" s="3">
        <f>IF(N(M139)&lt;=0,0,(N(AS139)-N(AR139))*90/N(M139))</f>
        <v/>
      </c>
      <c r="AU139" s="5">
        <f>IFERROR(AS139-VLOOKUP($C139,Assumptions!$A$36:$C$39,3,FALSE),"")</f>
        <v/>
      </c>
      <c r="AV139" s="3">
        <f>IFERROR(AU139/F139,"")</f>
        <v/>
      </c>
      <c r="AW139">
        <f>IF(AND($E139=TRUE,$C139="GKP"),AS139,"")</f>
        <v/>
      </c>
      <c r="AX139">
        <f>IF(AND($E139=TRUE,$C139="DEF"),AS139,"")</f>
        <v/>
      </c>
      <c r="AY139">
        <f>IF(AND($E139=TRUE,$C139="MID"),AS139,"")</f>
        <v/>
      </c>
      <c r="AZ139">
        <f>IF(AND($E139=TRUE,$C139="FWD"),AS139,"")</f>
        <v/>
      </c>
      <c r="BA139" t="n">
        <v>2</v>
      </c>
      <c r="BB139" t="n">
        <v>2</v>
      </c>
      <c r="BC139" t="n">
        <v>4</v>
      </c>
      <c r="BD139" t="n">
        <v>6</v>
      </c>
    </row>
    <row r="140">
      <c r="A140" t="inlineStr">
        <is>
          <t>James Justin</t>
        </is>
      </c>
      <c r="B140" t="inlineStr">
        <is>
          <t>LEE</t>
        </is>
      </c>
      <c r="C140" t="inlineStr">
        <is>
          <t>DEF</t>
        </is>
      </c>
      <c r="D140" t="inlineStr">
        <is>
          <t>DEF</t>
        </is>
      </c>
      <c r="E140" t="b">
        <v>1</v>
      </c>
      <c r="F140" s="2" t="n">
        <v>4.5</v>
      </c>
      <c r="G140" t="inlineStr">
        <is>
          <t>a</t>
        </is>
      </c>
      <c r="I140" s="2" t="n">
        <v>1893</v>
      </c>
      <c r="J140" t="n">
        <v>94</v>
      </c>
      <c r="K140" s="3" t="n">
        <v>2280</v>
      </c>
      <c r="L140" t="inlineStr">
        <is>
          <t>flat</t>
        </is>
      </c>
      <c r="M140" s="4" t="n">
        <v>2280</v>
      </c>
      <c r="N140" t="inlineStr">
        <is>
          <t>Solio</t>
        </is>
      </c>
      <c r="O140" s="5" t="n">
        <v>85.8</v>
      </c>
      <c r="P140" t="b">
        <v>1</v>
      </c>
      <c r="Q140" s="5">
        <f>IF(N(O140)&lt;=0,0,MIN(Assumptions!$B$15,N(M140)/N(O140)))</f>
        <v/>
      </c>
      <c r="R140" s="4" t="n">
        <v>0.218</v>
      </c>
      <c r="S140" s="3" t="n">
        <v>0.0727</v>
      </c>
      <c r="T140" t="inlineStr">
        <is>
          <t>adjusted xGOT</t>
        </is>
      </c>
      <c r="U140" s="3" t="n">
        <v>1</v>
      </c>
      <c r="V140" s="3" t="n">
        <v>0.836</v>
      </c>
      <c r="W140" s="3" t="n">
        <v>3.6</v>
      </c>
      <c r="X140" s="3" t="n">
        <v>0.0887</v>
      </c>
      <c r="Y140" s="3" t="n">
        <v>8.420999999999999</v>
      </c>
      <c r="Z140" s="3" t="n">
        <v>0.2868584080377919</v>
      </c>
      <c r="AA140" s="3" t="n">
        <v>0.3803</v>
      </c>
      <c r="AB140" s="3" t="n">
        <v>49</v>
      </c>
      <c r="AC140" s="3" t="n">
        <v>3.0611</v>
      </c>
      <c r="AD140" s="3" t="n">
        <v>1.5875</v>
      </c>
      <c r="AE140" s="3" t="n">
        <v>-0.2078031145580293</v>
      </c>
      <c r="AF140" s="4" t="n">
        <v>0</v>
      </c>
      <c r="AG140" s="3" t="n">
        <v>0</v>
      </c>
      <c r="AH140" s="3" t="n">
        <v>0.4362</v>
      </c>
      <c r="AI140" s="3" t="n">
        <v>0.351252</v>
      </c>
      <c r="AJ140" s="3">
        <f>N(R140)*N(BC140)</f>
        <v/>
      </c>
      <c r="AK140" s="3" t="n">
        <v>0.3803</v>
      </c>
      <c r="AL140" s="3" t="n">
        <v>0</v>
      </c>
      <c r="AM140" s="3" t="n">
        <v>-0.5541985260210861</v>
      </c>
      <c r="AN140" s="3" t="n">
        <v>-0.2078031145580293</v>
      </c>
      <c r="AO140" s="3">
        <f>SUM(AH140:AN140)</f>
        <v/>
      </c>
      <c r="AP140" s="5">
        <f>IF(OR(N(Q140)&lt;=0,N(BA140)=0),0,N(Q140)*IF(N(M140)/N(Q140)&gt;=60,N(BA140),1))</f>
        <v/>
      </c>
      <c r="AQ140" s="5">
        <f>N(Q140)*N(Z140)*N(BB140)</f>
        <v/>
      </c>
      <c r="AR140" s="5">
        <f>N(AF140)*(Assumptions!$B$13*N(BD140)-(1-Assumptions!$B$13)*Assumptions!$B$14)+N(AG140)</f>
        <v/>
      </c>
      <c r="AS140" s="5">
        <f>N(AO140)*N(M140)/90+N(AP140)+N(AQ140)+N(AR140)</f>
        <v/>
      </c>
      <c r="AT140" s="3">
        <f>IF(N(M140)&lt;=0,0,(N(AS140)-N(AR140))*90/N(M140))</f>
        <v/>
      </c>
      <c r="AU140" s="5">
        <f>IFERROR(AS140-VLOOKUP($C140,Assumptions!$A$36:$C$39,3,FALSE),"")</f>
        <v/>
      </c>
      <c r="AV140" s="3">
        <f>IFERROR(AU140/F140,"")</f>
        <v/>
      </c>
      <c r="AW140">
        <f>IF(AND($E140=TRUE,$C140="GKP"),AS140,"")</f>
        <v/>
      </c>
      <c r="AX140">
        <f>IF(AND($E140=TRUE,$C140="DEF"),AS140,"")</f>
        <v/>
      </c>
      <c r="AY140">
        <f>IF(AND($E140=TRUE,$C140="MID"),AS140,"")</f>
        <v/>
      </c>
      <c r="AZ140">
        <f>IF(AND($E140=TRUE,$C140="FWD"),AS140,"")</f>
        <v/>
      </c>
      <c r="BA140" t="n">
        <v>2</v>
      </c>
      <c r="BB140" t="n">
        <v>2</v>
      </c>
      <c r="BC140" t="n">
        <v>4</v>
      </c>
      <c r="BD140" t="n">
        <v>6</v>
      </c>
    </row>
    <row r="141">
      <c r="A141" t="inlineStr">
        <is>
          <t>Dan Burn</t>
        </is>
      </c>
      <c r="B141" t="inlineStr">
        <is>
          <t>NEW</t>
        </is>
      </c>
      <c r="C141" t="inlineStr">
        <is>
          <t>DEF</t>
        </is>
      </c>
      <c r="D141" t="inlineStr">
        <is>
          <t>DEF</t>
        </is>
      </c>
      <c r="E141" t="b">
        <v>1</v>
      </c>
      <c r="F141" s="2" t="n">
        <v>5</v>
      </c>
      <c r="G141" t="inlineStr">
        <is>
          <t>a</t>
        </is>
      </c>
      <c r="I141" s="2" t="n">
        <v>2195</v>
      </c>
      <c r="J141" t="n">
        <v>93</v>
      </c>
      <c r="K141" s="3" t="n">
        <v>1406</v>
      </c>
      <c r="L141" t="inlineStr">
        <is>
          <t>flat</t>
        </is>
      </c>
      <c r="M141" s="4" t="n">
        <v>1406</v>
      </c>
      <c r="N141" t="inlineStr">
        <is>
          <t>Solio</t>
        </is>
      </c>
      <c r="O141" s="5" t="n">
        <v>85.90000000000001</v>
      </c>
      <c r="P141" t="b">
        <v>1</v>
      </c>
      <c r="Q141" s="5">
        <f>IF(N(O141)&lt;=0,0,MIN(Assumptions!$B$15,N(M141)/N(O141)))</f>
        <v/>
      </c>
      <c r="R141" s="4" t="n">
        <v>0.248</v>
      </c>
      <c r="S141" s="3" t="n">
        <v>0.0397</v>
      </c>
      <c r="T141" t="inlineStr">
        <is>
          <t>adjusted xGOT</t>
        </is>
      </c>
      <c r="U141" s="3" t="n">
        <v>1</v>
      </c>
      <c r="V141" s="3" t="n">
        <v>0.896</v>
      </c>
      <c r="W141" s="3" t="n">
        <v>8.5</v>
      </c>
      <c r="X141" s="3" t="n">
        <v>0.0158</v>
      </c>
      <c r="Y141" s="3" t="n">
        <v>8.845000000000001</v>
      </c>
      <c r="Z141" s="3" t="n">
        <v>0.3395152313596981</v>
      </c>
      <c r="AA141" s="3" t="n">
        <v>0.123</v>
      </c>
      <c r="AB141" s="3" t="n">
        <v>53</v>
      </c>
      <c r="AC141" s="3" t="n">
        <v>3.0912</v>
      </c>
      <c r="AD141" s="3" t="n">
        <v>1.4534</v>
      </c>
      <c r="AE141" s="3" t="n">
        <v>-0.2907194972641908</v>
      </c>
      <c r="AF141" s="4" t="n">
        <v>0</v>
      </c>
      <c r="AG141" s="3" t="n">
        <v>0</v>
      </c>
      <c r="AH141" s="3" t="n">
        <v>0.2382</v>
      </c>
      <c r="AI141" s="3" t="n">
        <v>0.06256800000000001</v>
      </c>
      <c r="AJ141" s="3">
        <f>N(R141)*N(BC141)</f>
        <v/>
      </c>
      <c r="AK141" s="3" t="n">
        <v>0.123</v>
      </c>
      <c r="AL141" s="3" t="n">
        <v>0</v>
      </c>
      <c r="AM141" s="3" t="n">
        <v>-0.4903625828545308</v>
      </c>
      <c r="AN141" s="3" t="n">
        <v>-0.2907194972641908</v>
      </c>
      <c r="AO141" s="3">
        <f>SUM(AH141:AN141)</f>
        <v/>
      </c>
      <c r="AP141" s="5">
        <f>IF(OR(N(Q141)&lt;=0,N(BA141)=0),0,N(Q141)*IF(N(M141)/N(Q141)&gt;=60,N(BA141),1))</f>
        <v/>
      </c>
      <c r="AQ141" s="5">
        <f>N(Q141)*N(Z141)*N(BB141)</f>
        <v/>
      </c>
      <c r="AR141" s="5">
        <f>N(AF141)*(Assumptions!$B$13*N(BD141)-(1-Assumptions!$B$13)*Assumptions!$B$14)+N(AG141)</f>
        <v/>
      </c>
      <c r="AS141" s="5">
        <f>N(AO141)*N(M141)/90+N(AP141)+N(AQ141)+N(AR141)</f>
        <v/>
      </c>
      <c r="AT141" s="3">
        <f>IF(N(M141)&lt;=0,0,(N(AS141)-N(AR141))*90/N(M141))</f>
        <v/>
      </c>
      <c r="AU141" s="5">
        <f>IFERROR(AS141-VLOOKUP($C141,Assumptions!$A$36:$C$39,3,FALSE),"")</f>
        <v/>
      </c>
      <c r="AV141" s="3">
        <f>IFERROR(AU141/F141,"")</f>
        <v/>
      </c>
      <c r="AW141">
        <f>IF(AND($E141=TRUE,$C141="GKP"),AS141,"")</f>
        <v/>
      </c>
      <c r="AX141">
        <f>IF(AND($E141=TRUE,$C141="DEF"),AS141,"")</f>
        <v/>
      </c>
      <c r="AY141">
        <f>IF(AND($E141=TRUE,$C141="MID"),AS141,"")</f>
        <v/>
      </c>
      <c r="AZ141">
        <f>IF(AND($E141=TRUE,$C141="FWD"),AS141,"")</f>
        <v/>
      </c>
      <c r="BA141" t="n">
        <v>2</v>
      </c>
      <c r="BB141" t="n">
        <v>2</v>
      </c>
      <c r="BC141" t="n">
        <v>4</v>
      </c>
      <c r="BD141" t="n">
        <v>6</v>
      </c>
    </row>
    <row r="142">
      <c r="A142" t="inlineStr">
        <is>
          <t>Tijjani Reijnders</t>
        </is>
      </c>
      <c r="B142" t="inlineStr">
        <is>
          <t>MCI</t>
        </is>
      </c>
      <c r="C142" t="inlineStr">
        <is>
          <t>MID</t>
        </is>
      </c>
      <c r="D142" t="inlineStr">
        <is>
          <t>MID</t>
        </is>
      </c>
      <c r="E142" t="b">
        <v>1</v>
      </c>
      <c r="F142" s="2" t="n">
        <v>6</v>
      </c>
      <c r="G142" t="inlineStr">
        <is>
          <t>a</t>
        </is>
      </c>
      <c r="I142" s="2" t="n">
        <v>1623</v>
      </c>
      <c r="J142" t="n">
        <v>92</v>
      </c>
      <c r="K142" s="3" t="n">
        <v>247</v>
      </c>
      <c r="L142" t="inlineStr">
        <is>
          <t>flat</t>
        </is>
      </c>
      <c r="M142" s="4" t="n">
        <v>247</v>
      </c>
      <c r="N142" t="inlineStr">
        <is>
          <t>Solio</t>
        </is>
      </c>
      <c r="O142" s="5" t="n">
        <v>77.40000000000001</v>
      </c>
      <c r="P142" t="b">
        <v>1</v>
      </c>
      <c r="Q142" s="5">
        <f>IF(N(O142)&lt;=0,0,MIN(Assumptions!$B$15,N(M142)/N(O142)))</f>
        <v/>
      </c>
      <c r="R142" s="4" t="n">
        <v>0.371</v>
      </c>
      <c r="S142" s="3" t="n">
        <v>0.2473</v>
      </c>
      <c r="T142" t="inlineStr">
        <is>
          <t>adjusted xGOT</t>
        </is>
      </c>
      <c r="U142" s="3" t="n">
        <v>1</v>
      </c>
      <c r="V142" s="3" t="n">
        <v>0.968</v>
      </c>
      <c r="W142" s="3" t="n">
        <v>4.6</v>
      </c>
      <c r="X142" s="3" t="n">
        <v>0.1504</v>
      </c>
      <c r="Y142" s="3" t="n">
        <v>6.477</v>
      </c>
      <c r="Z142" s="3" t="n">
        <v>0.0120253855344693</v>
      </c>
      <c r="AA142" s="3" t="n">
        <v>0.3327</v>
      </c>
      <c r="AB142" s="3" t="n">
        <v>45</v>
      </c>
      <c r="AC142" s="3" t="n">
        <v>1.9737</v>
      </c>
      <c r="AD142" s="3" t="n">
        <v>1.0365</v>
      </c>
      <c r="AE142" s="3" t="n">
        <v>-0.1691481127379736</v>
      </c>
      <c r="AF142" s="4" t="n">
        <v>0</v>
      </c>
      <c r="AG142" s="3" t="n">
        <v>0</v>
      </c>
      <c r="AH142" s="3" t="n">
        <v>1.2365</v>
      </c>
      <c r="AI142" s="3" t="n">
        <v>0.5955840000000001</v>
      </c>
      <c r="AJ142" s="3">
        <f>N(R142)*N(BC142)</f>
        <v/>
      </c>
      <c r="AK142" s="3" t="n">
        <v>0.3327</v>
      </c>
      <c r="AL142" s="3" t="n">
        <v>0</v>
      </c>
      <c r="AM142" s="3" t="n">
        <v>-0</v>
      </c>
      <c r="AN142" s="3" t="n">
        <v>-0.1691481127379736</v>
      </c>
      <c r="AO142" s="3">
        <f>SUM(AH142:AN142)</f>
        <v/>
      </c>
      <c r="AP142" s="5">
        <f>IF(OR(N(Q142)&lt;=0,N(BA142)=0),0,N(Q142)*IF(N(M142)/N(Q142)&gt;=60,N(BA142),1))</f>
        <v/>
      </c>
      <c r="AQ142" s="5">
        <f>N(Q142)*N(Z142)*N(BB142)</f>
        <v/>
      </c>
      <c r="AR142" s="5">
        <f>N(AF142)*(Assumptions!$B$13*N(BD142)-(1-Assumptions!$B$13)*Assumptions!$B$14)+N(AG142)</f>
        <v/>
      </c>
      <c r="AS142" s="5">
        <f>N(AO142)*N(M142)/90+N(AP142)+N(AQ142)+N(AR142)</f>
        <v/>
      </c>
      <c r="AT142" s="3">
        <f>IF(N(M142)&lt;=0,0,(N(AS142)-N(AR142))*90/N(M142))</f>
        <v/>
      </c>
      <c r="AU142" s="5">
        <f>IFERROR(AS142-VLOOKUP($C142,Assumptions!$A$36:$C$39,3,FALSE),"")</f>
        <v/>
      </c>
      <c r="AV142" s="3">
        <f>IFERROR(AU142/F142,"")</f>
        <v/>
      </c>
      <c r="AW142">
        <f>IF(AND($E142=TRUE,$C142="GKP"),AS142,"")</f>
        <v/>
      </c>
      <c r="AX142">
        <f>IF(AND($E142=TRUE,$C142="DEF"),AS142,"")</f>
        <v/>
      </c>
      <c r="AY142">
        <f>IF(AND($E142=TRUE,$C142="MID"),AS142,"")</f>
        <v/>
      </c>
      <c r="AZ142">
        <f>IF(AND($E142=TRUE,$C142="FWD"),AS142,"")</f>
        <v/>
      </c>
      <c r="BA142" t="n">
        <v>2</v>
      </c>
      <c r="BB142" t="n">
        <v>2</v>
      </c>
      <c r="BC142" t="n">
        <v>1</v>
      </c>
      <c r="BD142" t="n">
        <v>5</v>
      </c>
    </row>
    <row r="143">
      <c r="A143" t="inlineStr">
        <is>
          <t>Brian Brobbey</t>
        </is>
      </c>
      <c r="B143" t="inlineStr">
        <is>
          <t>SUN</t>
        </is>
      </c>
      <c r="C143" t="inlineStr">
        <is>
          <t>FWD</t>
        </is>
      </c>
      <c r="D143" t="inlineStr">
        <is>
          <t>FWD</t>
        </is>
      </c>
      <c r="E143" t="b">
        <v>1</v>
      </c>
      <c r="F143" s="2" t="n">
        <v>6</v>
      </c>
      <c r="G143" t="inlineStr">
        <is>
          <t>a</t>
        </is>
      </c>
      <c r="I143" s="2" t="n">
        <v>1920</v>
      </c>
      <c r="J143" t="n">
        <v>92</v>
      </c>
      <c r="K143" s="3" t="n">
        <v>2884</v>
      </c>
      <c r="L143" t="inlineStr">
        <is>
          <t>flat</t>
        </is>
      </c>
      <c r="M143" s="4" t="n">
        <v>2884</v>
      </c>
      <c r="N143" t="inlineStr">
        <is>
          <t>Solio</t>
        </is>
      </c>
      <c r="O143" s="5" t="n">
        <v>78.5</v>
      </c>
      <c r="P143" t="b">
        <v>1</v>
      </c>
      <c r="Q143" s="5">
        <f>IF(N(O143)&lt;=0,0,MIN(Assumptions!$B$15,N(M143)/N(O143)))</f>
        <v/>
      </c>
      <c r="R143" s="4" t="n">
        <v>0.204</v>
      </c>
      <c r="S143" s="3" t="n">
        <v>0.3039</v>
      </c>
      <c r="T143" t="inlineStr">
        <is>
          <t>adjusted xGOT</t>
        </is>
      </c>
      <c r="U143" s="3" t="n">
        <v>1</v>
      </c>
      <c r="V143" s="3" t="n">
        <v>1.077</v>
      </c>
      <c r="W143" s="3" t="n">
        <v>6</v>
      </c>
      <c r="X143" s="3" t="n">
        <v>0.0511</v>
      </c>
      <c r="Y143" s="3" t="n">
        <v>3.83</v>
      </c>
      <c r="Z143" s="3" t="n">
        <v>0.0001907227640456366</v>
      </c>
      <c r="AA143" s="3" t="n">
        <v>0.6094000000000001</v>
      </c>
      <c r="AB143" s="3" t="n">
        <v>52</v>
      </c>
      <c r="AC143" s="3" t="n">
        <v>3.3348</v>
      </c>
      <c r="AD143" s="3" t="n">
        <v>1.6498</v>
      </c>
      <c r="AE143" s="3" t="n">
        <v>-0.2422255324303657</v>
      </c>
      <c r="AF143" s="4" t="n">
        <v>0</v>
      </c>
      <c r="AG143" s="3" t="n">
        <v>0</v>
      </c>
      <c r="AH143" s="3" t="n">
        <v>1.2156</v>
      </c>
      <c r="AI143" s="3" t="n">
        <v>0.202356</v>
      </c>
      <c r="AJ143" s="3">
        <f>N(R143)*N(BC143)</f>
        <v/>
      </c>
      <c r="AK143" s="3" t="n">
        <v>0.6094000000000001</v>
      </c>
      <c r="AL143" s="3" t="n">
        <v>0</v>
      </c>
      <c r="AM143" s="3" t="n">
        <v>-0</v>
      </c>
      <c r="AN143" s="3" t="n">
        <v>-0.2422255324303657</v>
      </c>
      <c r="AO143" s="3">
        <f>SUM(AH143:AN143)</f>
        <v/>
      </c>
      <c r="AP143" s="5">
        <f>IF(OR(N(Q143)&lt;=0,N(BA143)=0),0,N(Q143)*IF(N(M143)/N(Q143)&gt;=60,N(BA143),1))</f>
        <v/>
      </c>
      <c r="AQ143" s="5">
        <f>N(Q143)*N(Z143)*N(BB143)</f>
        <v/>
      </c>
      <c r="AR143" s="5">
        <f>N(AF143)*(Assumptions!$B$13*N(BD143)-(1-Assumptions!$B$13)*Assumptions!$B$14)+N(AG143)</f>
        <v/>
      </c>
      <c r="AS143" s="5">
        <f>N(AO143)*N(M143)/90+N(AP143)+N(AQ143)+N(AR143)</f>
        <v/>
      </c>
      <c r="AT143" s="3">
        <f>IF(N(M143)&lt;=0,0,(N(AS143)-N(AR143))*90/N(M143))</f>
        <v/>
      </c>
      <c r="AU143" s="5">
        <f>IFERROR(AS143-VLOOKUP($C143,Assumptions!$A$36:$C$39,3,FALSE),"")</f>
        <v/>
      </c>
      <c r="AV143" s="3">
        <f>IFERROR(AU143/F143,"")</f>
        <v/>
      </c>
      <c r="AW143">
        <f>IF(AND($E143=TRUE,$C143="GKP"),AS143,"")</f>
        <v/>
      </c>
      <c r="AX143">
        <f>IF(AND($E143=TRUE,$C143="DEF"),AS143,"")</f>
        <v/>
      </c>
      <c r="AY143">
        <f>IF(AND($E143=TRUE,$C143="MID"),AS143,"")</f>
        <v/>
      </c>
      <c r="AZ143">
        <f>IF(AND($E143=TRUE,$C143="FWD"),AS143,"")</f>
        <v/>
      </c>
      <c r="BA143" t="n">
        <v>2</v>
      </c>
      <c r="BB143" t="n">
        <v>2</v>
      </c>
      <c r="BC143" t="n">
        <v>0</v>
      </c>
      <c r="BD143" t="n">
        <v>4</v>
      </c>
    </row>
    <row r="144">
      <c r="A144" t="inlineStr">
        <is>
          <t>Jack Hinshelwood</t>
        </is>
      </c>
      <c r="B144" t="inlineStr">
        <is>
          <t>BHA</t>
        </is>
      </c>
      <c r="C144" t="inlineStr">
        <is>
          <t>MID</t>
        </is>
      </c>
      <c r="D144" t="inlineStr">
        <is>
          <t>MID</t>
        </is>
      </c>
      <c r="E144" t="b">
        <v>1</v>
      </c>
      <c r="F144" s="2" t="n">
        <v>6</v>
      </c>
      <c r="G144" t="inlineStr">
        <is>
          <t>a</t>
        </is>
      </c>
      <c r="I144" s="2" t="n">
        <v>1736</v>
      </c>
      <c r="J144" t="n">
        <v>91</v>
      </c>
      <c r="K144" s="3" t="n">
        <v>2782</v>
      </c>
      <c r="L144" t="inlineStr">
        <is>
          <t>flat</t>
        </is>
      </c>
      <c r="M144" s="4" t="n">
        <v>2782</v>
      </c>
      <c r="N144" t="inlineStr">
        <is>
          <t>Solio</t>
        </is>
      </c>
      <c r="O144" s="5" t="n">
        <v>75.8</v>
      </c>
      <c r="P144" t="b">
        <v>1</v>
      </c>
      <c r="Q144" s="5">
        <f>IF(N(O144)&lt;=0,0,MIN(Assumptions!$B$15,N(M144)/N(O144)))</f>
        <v/>
      </c>
      <c r="R144" s="4" t="n">
        <v>0.252</v>
      </c>
      <c r="S144" s="3" t="n">
        <v>0.2866</v>
      </c>
      <c r="T144" t="inlineStr">
        <is>
          <t>adjusted xGOT</t>
        </is>
      </c>
      <c r="U144" s="3" t="n">
        <v>1</v>
      </c>
      <c r="V144" s="3" t="n">
        <v>1.119</v>
      </c>
      <c r="W144" s="3" t="n">
        <v>9.800000000000001</v>
      </c>
      <c r="X144" s="3" t="n">
        <v>0.1218</v>
      </c>
      <c r="Y144" s="3" t="n">
        <v>6.692</v>
      </c>
      <c r="Z144" s="3" t="n">
        <v>0.0130661023481925</v>
      </c>
      <c r="AA144" s="3" t="n">
        <v>0.1037</v>
      </c>
      <c r="AB144" s="3" t="n">
        <v>47</v>
      </c>
      <c r="AC144" s="3" t="n">
        <v>2.8404</v>
      </c>
      <c r="AD144" s="3" t="n">
        <v>1.439</v>
      </c>
      <c r="AE144" s="3" t="n">
        <v>-0.1448608691693078</v>
      </c>
      <c r="AF144" s="4" t="n">
        <v>0</v>
      </c>
      <c r="AG144" s="3" t="n">
        <v>0</v>
      </c>
      <c r="AH144" s="3" t="n">
        <v>1.433</v>
      </c>
      <c r="AI144" s="3" t="n">
        <v>0.482328</v>
      </c>
      <c r="AJ144" s="3">
        <f>N(R144)*N(BC144)</f>
        <v/>
      </c>
      <c r="AK144" s="3" t="n">
        <v>0.1037</v>
      </c>
      <c r="AL144" s="3" t="n">
        <v>0</v>
      </c>
      <c r="AM144" s="3" t="n">
        <v>-0</v>
      </c>
      <c r="AN144" s="3" t="n">
        <v>-0.1448608691693078</v>
      </c>
      <c r="AO144" s="3">
        <f>SUM(AH144:AN144)</f>
        <v/>
      </c>
      <c r="AP144" s="5">
        <f>IF(OR(N(Q144)&lt;=0,N(BA144)=0),0,N(Q144)*IF(N(M144)/N(Q144)&gt;=60,N(BA144),1))</f>
        <v/>
      </c>
      <c r="AQ144" s="5">
        <f>N(Q144)*N(Z144)*N(BB144)</f>
        <v/>
      </c>
      <c r="AR144" s="5">
        <f>N(AF144)*(Assumptions!$B$13*N(BD144)-(1-Assumptions!$B$13)*Assumptions!$B$14)+N(AG144)</f>
        <v/>
      </c>
      <c r="AS144" s="5">
        <f>N(AO144)*N(M144)/90+N(AP144)+N(AQ144)+N(AR144)</f>
        <v/>
      </c>
      <c r="AT144" s="3">
        <f>IF(N(M144)&lt;=0,0,(N(AS144)-N(AR144))*90/N(M144))</f>
        <v/>
      </c>
      <c r="AU144" s="5">
        <f>IFERROR(AS144-VLOOKUP($C144,Assumptions!$A$36:$C$39,3,FALSE),"")</f>
        <v/>
      </c>
      <c r="AV144" s="3">
        <f>IFERROR(AU144/F144,"")</f>
        <v/>
      </c>
      <c r="AW144">
        <f>IF(AND($E144=TRUE,$C144="GKP"),AS144,"")</f>
        <v/>
      </c>
      <c r="AX144">
        <f>IF(AND($E144=TRUE,$C144="DEF"),AS144,"")</f>
        <v/>
      </c>
      <c r="AY144">
        <f>IF(AND($E144=TRUE,$C144="MID"),AS144,"")</f>
        <v/>
      </c>
      <c r="AZ144">
        <f>IF(AND($E144=TRUE,$C144="FWD"),AS144,"")</f>
        <v/>
      </c>
      <c r="BA144" t="n">
        <v>2</v>
      </c>
      <c r="BB144" t="n">
        <v>2</v>
      </c>
      <c r="BC144" t="n">
        <v>1</v>
      </c>
      <c r="BD144" t="n">
        <v>5</v>
      </c>
    </row>
    <row r="145">
      <c r="A145" t="inlineStr">
        <is>
          <t>Cristian Romero</t>
        </is>
      </c>
      <c r="B145" t="inlineStr">
        <is>
          <t>TOT</t>
        </is>
      </c>
      <c r="C145" t="inlineStr">
        <is>
          <t>DEF</t>
        </is>
      </c>
      <c r="D145" t="inlineStr">
        <is>
          <t>DEF</t>
        </is>
      </c>
      <c r="E145" t="b">
        <v>1</v>
      </c>
      <c r="F145" s="2" t="n">
        <v>5</v>
      </c>
      <c r="G145" t="inlineStr">
        <is>
          <t>a</t>
        </is>
      </c>
      <c r="I145" s="2" t="n">
        <v>1869</v>
      </c>
      <c r="J145" t="n">
        <v>91</v>
      </c>
      <c r="K145" s="3" t="n">
        <v>5</v>
      </c>
      <c r="L145" t="inlineStr">
        <is>
          <t>flat</t>
        </is>
      </c>
      <c r="M145" s="4" t="n">
        <v>5</v>
      </c>
      <c r="N145" t="inlineStr">
        <is>
          <t>Solio</t>
        </is>
      </c>
      <c r="O145" s="5" t="n">
        <v>83.59999999999999</v>
      </c>
      <c r="P145" t="b">
        <v>1</v>
      </c>
      <c r="Q145" s="5">
        <f>IF(N(O145)&lt;=0,0,MIN(Assumptions!$B$15,N(M145)/N(O145)))</f>
        <v/>
      </c>
      <c r="R145" s="4" t="n">
        <v>0.286</v>
      </c>
      <c r="S145" s="3" t="n">
        <v>0.0701</v>
      </c>
      <c r="T145" t="inlineStr">
        <is>
          <t>adjusted xGOT</t>
        </is>
      </c>
      <c r="U145" s="3" t="n">
        <v>1</v>
      </c>
      <c r="V145" s="3" t="n">
        <v>1.047</v>
      </c>
      <c r="W145" s="3" t="n">
        <v>7.7</v>
      </c>
      <c r="X145" s="3" t="n">
        <v>0.0738</v>
      </c>
      <c r="Y145" s="3" t="n">
        <v>8.984999999999999</v>
      </c>
      <c r="Z145" s="3" t="n">
        <v>0.3271353226400481</v>
      </c>
      <c r="AA145" s="3" t="n">
        <v>0.4815</v>
      </c>
      <c r="AB145" s="3" t="n">
        <v>43</v>
      </c>
      <c r="AC145" s="3" t="n">
        <v>2.5739</v>
      </c>
      <c r="AD145" s="3" t="n">
        <v>1.3096</v>
      </c>
      <c r="AE145" s="3" t="n">
        <v>-0.303303089842538</v>
      </c>
      <c r="AF145" s="4" t="n">
        <v>0</v>
      </c>
      <c r="AG145" s="3" t="n">
        <v>0</v>
      </c>
      <c r="AH145" s="3" t="n">
        <v>0.4206</v>
      </c>
      <c r="AI145" s="3" t="n">
        <v>0.292248</v>
      </c>
      <c r="AJ145" s="3">
        <f>N(R145)*N(BC145)</f>
        <v/>
      </c>
      <c r="AK145" s="3" t="n">
        <v>0.4815</v>
      </c>
      <c r="AL145" s="3" t="n">
        <v>0</v>
      </c>
      <c r="AM145" s="3" t="n">
        <v>-0.4230152821052008</v>
      </c>
      <c r="AN145" s="3" t="n">
        <v>-0.303303089842538</v>
      </c>
      <c r="AO145" s="3">
        <f>SUM(AH145:AN145)</f>
        <v/>
      </c>
      <c r="AP145" s="5">
        <f>IF(OR(N(Q145)&lt;=0,N(BA145)=0),0,N(Q145)*IF(N(M145)/N(Q145)&gt;=60,N(BA145),1))</f>
        <v/>
      </c>
      <c r="AQ145" s="5">
        <f>N(Q145)*N(Z145)*N(BB145)</f>
        <v/>
      </c>
      <c r="AR145" s="5">
        <f>N(AF145)*(Assumptions!$B$13*N(BD145)-(1-Assumptions!$B$13)*Assumptions!$B$14)+N(AG145)</f>
        <v/>
      </c>
      <c r="AS145" s="5">
        <f>N(AO145)*N(M145)/90+N(AP145)+N(AQ145)+N(AR145)</f>
        <v/>
      </c>
      <c r="AT145" s="3">
        <f>IF(N(M145)&lt;=0,0,(N(AS145)-N(AR145))*90/N(M145))</f>
        <v/>
      </c>
      <c r="AU145" s="5">
        <f>IFERROR(AS145-VLOOKUP($C145,Assumptions!$A$36:$C$39,3,FALSE),"")</f>
        <v/>
      </c>
      <c r="AV145" s="3">
        <f>IFERROR(AU145/F145,"")</f>
        <v/>
      </c>
      <c r="AW145">
        <f>IF(AND($E145=TRUE,$C145="GKP"),AS145,"")</f>
        <v/>
      </c>
      <c r="AX145">
        <f>IF(AND($E145=TRUE,$C145="DEF"),AS145,"")</f>
        <v/>
      </c>
      <c r="AY145">
        <f>IF(AND($E145=TRUE,$C145="MID"),AS145,"")</f>
        <v/>
      </c>
      <c r="AZ145">
        <f>IF(AND($E145=TRUE,$C145="FWD"),AS145,"")</f>
        <v/>
      </c>
      <c r="BA145" t="n">
        <v>2</v>
      </c>
      <c r="BB145" t="n">
        <v>2</v>
      </c>
      <c r="BC145" t="n">
        <v>4</v>
      </c>
      <c r="BD145" t="n">
        <v>6</v>
      </c>
    </row>
    <row r="146">
      <c r="A146" t="inlineStr">
        <is>
          <t>Sander Berge</t>
        </is>
      </c>
      <c r="B146" t="inlineStr">
        <is>
          <t>FUL</t>
        </is>
      </c>
      <c r="C146" t="inlineStr">
        <is>
          <t>MID</t>
        </is>
      </c>
      <c r="D146" t="inlineStr">
        <is>
          <t>MID</t>
        </is>
      </c>
      <c r="E146" t="b">
        <v>1</v>
      </c>
      <c r="F146" s="2" t="n">
        <v>5</v>
      </c>
      <c r="G146" t="inlineStr">
        <is>
          <t>a</t>
        </is>
      </c>
      <c r="I146" s="2" t="n">
        <v>2904</v>
      </c>
      <c r="J146" t="n">
        <v>91</v>
      </c>
      <c r="K146" s="3" t="n">
        <v>2337</v>
      </c>
      <c r="L146" t="inlineStr">
        <is>
          <t>flat</t>
        </is>
      </c>
      <c r="M146" s="4" t="n">
        <v>2337</v>
      </c>
      <c r="N146" t="inlineStr">
        <is>
          <t>Solio</t>
        </is>
      </c>
      <c r="O146" s="5" t="n">
        <v>84.90000000000001</v>
      </c>
      <c r="P146" t="b">
        <v>1</v>
      </c>
      <c r="Q146" s="5">
        <f>IF(N(O146)&lt;=0,0,MIN(Assumptions!$B$15,N(M146)/N(O146)))</f>
        <v/>
      </c>
      <c r="R146" s="4" t="n">
        <v>0.214</v>
      </c>
      <c r="S146" s="3" t="n">
        <v>0.0373</v>
      </c>
      <c r="T146" t="inlineStr">
        <is>
          <t>adjusted xGOT</t>
        </is>
      </c>
      <c r="U146" s="3" t="n">
        <v>1</v>
      </c>
      <c r="V146" s="3" t="n">
        <v>0.781</v>
      </c>
      <c r="W146" s="3" t="n">
        <v>4</v>
      </c>
      <c r="X146" s="3" t="n">
        <v>0.054</v>
      </c>
      <c r="Y146" s="3" t="n">
        <v>8.657999999999999</v>
      </c>
      <c r="Z146" s="3" t="n">
        <v>0.1243844211227401</v>
      </c>
      <c r="AA146" s="3" t="n">
        <v>0.093</v>
      </c>
      <c r="AB146" s="3" t="n">
        <v>68</v>
      </c>
      <c r="AC146" s="3" t="n">
        <v>3.22</v>
      </c>
      <c r="AD146" s="3" t="n">
        <v>1.6019</v>
      </c>
      <c r="AE146" s="3" t="n">
        <v>-0.2128060229925173</v>
      </c>
      <c r="AF146" s="4" t="n">
        <v>0</v>
      </c>
      <c r="AG146" s="3" t="n">
        <v>0</v>
      </c>
      <c r="AH146" s="3" t="n">
        <v>0.1865</v>
      </c>
      <c r="AI146" s="3" t="n">
        <v>0.21384</v>
      </c>
      <c r="AJ146" s="3">
        <f>N(R146)*N(BC146)</f>
        <v/>
      </c>
      <c r="AK146" s="3" t="n">
        <v>0.093</v>
      </c>
      <c r="AL146" s="3" t="n">
        <v>0</v>
      </c>
      <c r="AM146" s="3" t="n">
        <v>-0</v>
      </c>
      <c r="AN146" s="3" t="n">
        <v>-0.2128060229925173</v>
      </c>
      <c r="AO146" s="3">
        <f>SUM(AH146:AN146)</f>
        <v/>
      </c>
      <c r="AP146" s="5">
        <f>IF(OR(N(Q146)&lt;=0,N(BA146)=0),0,N(Q146)*IF(N(M146)/N(Q146)&gt;=60,N(BA146),1))</f>
        <v/>
      </c>
      <c r="AQ146" s="5">
        <f>N(Q146)*N(Z146)*N(BB146)</f>
        <v/>
      </c>
      <c r="AR146" s="5">
        <f>N(AF146)*(Assumptions!$B$13*N(BD146)-(1-Assumptions!$B$13)*Assumptions!$B$14)+N(AG146)</f>
        <v/>
      </c>
      <c r="AS146" s="5">
        <f>N(AO146)*N(M146)/90+N(AP146)+N(AQ146)+N(AR146)</f>
        <v/>
      </c>
      <c r="AT146" s="3">
        <f>IF(N(M146)&lt;=0,0,(N(AS146)-N(AR146))*90/N(M146))</f>
        <v/>
      </c>
      <c r="AU146" s="5">
        <f>IFERROR(AS146-VLOOKUP($C146,Assumptions!$A$36:$C$39,3,FALSE),"")</f>
        <v/>
      </c>
      <c r="AV146" s="3">
        <f>IFERROR(AU146/F146,"")</f>
        <v/>
      </c>
      <c r="AW146">
        <f>IF(AND($E146=TRUE,$C146="GKP"),AS146,"")</f>
        <v/>
      </c>
      <c r="AX146">
        <f>IF(AND($E146=TRUE,$C146="DEF"),AS146,"")</f>
        <v/>
      </c>
      <c r="AY146">
        <f>IF(AND($E146=TRUE,$C146="MID"),AS146,"")</f>
        <v/>
      </c>
      <c r="AZ146">
        <f>IF(AND($E146=TRUE,$C146="FWD"),AS146,"")</f>
        <v/>
      </c>
      <c r="BA146" t="n">
        <v>2</v>
      </c>
      <c r="BB146" t="n">
        <v>2</v>
      </c>
      <c r="BC146" t="n">
        <v>1</v>
      </c>
      <c r="BD146" t="n">
        <v>5</v>
      </c>
    </row>
    <row r="147">
      <c r="A147" t="inlineStr">
        <is>
          <t>Amad Diallo</t>
        </is>
      </c>
      <c r="B147" t="inlineStr">
        <is>
          <t>MUN</t>
        </is>
      </c>
      <c r="C147" t="inlineStr">
        <is>
          <t>MID</t>
        </is>
      </c>
      <c r="D147" t="inlineStr">
        <is>
          <t>MID</t>
        </is>
      </c>
      <c r="E147" t="b">
        <v>1</v>
      </c>
      <c r="F147" s="2" t="n">
        <v>6</v>
      </c>
      <c r="G147" t="inlineStr">
        <is>
          <t>a</t>
        </is>
      </c>
      <c r="I147" s="2" t="n">
        <v>2339</v>
      </c>
      <c r="J147" t="n">
        <v>91</v>
      </c>
      <c r="K147" s="3" t="n">
        <v>1653</v>
      </c>
      <c r="L147" t="inlineStr">
        <is>
          <t>fade (losing his place)</t>
        </is>
      </c>
      <c r="M147" s="4" t="n">
        <v>1653</v>
      </c>
      <c r="N147" t="inlineStr">
        <is>
          <t>Solio</t>
        </is>
      </c>
      <c r="O147" s="5" t="n">
        <v>82.2</v>
      </c>
      <c r="P147" t="b">
        <v>1</v>
      </c>
      <c r="Q147" s="5">
        <f>IF(N(O147)&lt;=0,0,MIN(Assumptions!$B$15,N(M147)/N(O147)))</f>
        <v/>
      </c>
      <c r="R147" s="4" t="n">
        <v>0.334</v>
      </c>
      <c r="S147" s="3" t="n">
        <v>0.2011</v>
      </c>
      <c r="T147" t="inlineStr">
        <is>
          <t>adjusted xGOT</t>
        </is>
      </c>
      <c r="U147" s="3" t="n">
        <v>1</v>
      </c>
      <c r="V147" s="3" t="n">
        <v>0.957</v>
      </c>
      <c r="W147" s="3" t="n">
        <v>10.7</v>
      </c>
      <c r="X147" s="3" t="n">
        <v>0.1998</v>
      </c>
      <c r="Y147" s="3" t="n">
        <v>7.844</v>
      </c>
      <c r="Z147" s="3" t="n">
        <v>0.06111725286415637</v>
      </c>
      <c r="AA147" s="3" t="n">
        <v>0.2309</v>
      </c>
      <c r="AB147" s="3" t="n">
        <v>55</v>
      </c>
      <c r="AC147" s="3" t="n">
        <v>2.2165</v>
      </c>
      <c r="AD147" s="3" t="n">
        <v>1.1467</v>
      </c>
      <c r="AE147" s="3" t="n">
        <v>-0.169075376276899</v>
      </c>
      <c r="AF147" s="4" t="n">
        <v>0</v>
      </c>
      <c r="AG147" s="3" t="n">
        <v>0</v>
      </c>
      <c r="AH147" s="3" t="n">
        <v>1.0055</v>
      </c>
      <c r="AI147" s="3" t="n">
        <v>0.7912080000000001</v>
      </c>
      <c r="AJ147" s="3">
        <f>N(R147)*N(BC147)</f>
        <v/>
      </c>
      <c r="AK147" s="3" t="n">
        <v>0.2309</v>
      </c>
      <c r="AL147" s="3" t="n">
        <v>0</v>
      </c>
      <c r="AM147" s="3" t="n">
        <v>-0</v>
      </c>
      <c r="AN147" s="3" t="n">
        <v>-0.169075376276899</v>
      </c>
      <c r="AO147" s="3">
        <f>SUM(AH147:AN147)</f>
        <v/>
      </c>
      <c r="AP147" s="5">
        <f>IF(OR(N(Q147)&lt;=0,N(BA147)=0),0,N(Q147)*IF(N(M147)/N(Q147)&gt;=60,N(BA147),1))</f>
        <v/>
      </c>
      <c r="AQ147" s="5">
        <f>N(Q147)*N(Z147)*N(BB147)</f>
        <v/>
      </c>
      <c r="AR147" s="5">
        <f>N(AF147)*(Assumptions!$B$13*N(BD147)-(1-Assumptions!$B$13)*Assumptions!$B$14)+N(AG147)</f>
        <v/>
      </c>
      <c r="AS147" s="5">
        <f>N(AO147)*N(M147)/90+N(AP147)+N(AQ147)+N(AR147)</f>
        <v/>
      </c>
      <c r="AT147" s="3">
        <f>IF(N(M147)&lt;=0,0,(N(AS147)-N(AR147))*90/N(M147))</f>
        <v/>
      </c>
      <c r="AU147" s="5">
        <f>IFERROR(AS147-VLOOKUP($C147,Assumptions!$A$36:$C$39,3,FALSE),"")</f>
        <v/>
      </c>
      <c r="AV147" s="3">
        <f>IFERROR(AU147/F147,"")</f>
        <v/>
      </c>
      <c r="AW147">
        <f>IF(AND($E147=TRUE,$C147="GKP"),AS147,"")</f>
        <v/>
      </c>
      <c r="AX147">
        <f>IF(AND($E147=TRUE,$C147="DEF"),AS147,"")</f>
        <v/>
      </c>
      <c r="AY147">
        <f>IF(AND($E147=TRUE,$C147="MID"),AS147,"")</f>
        <v/>
      </c>
      <c r="AZ147">
        <f>IF(AND($E147=TRUE,$C147="FWD"),AS147,"")</f>
        <v/>
      </c>
      <c r="BA147" t="n">
        <v>2</v>
      </c>
      <c r="BB147" t="n">
        <v>2</v>
      </c>
      <c r="BC147" t="n">
        <v>1</v>
      </c>
      <c r="BD147" t="n">
        <v>5</v>
      </c>
    </row>
    <row r="148">
      <c r="A148" t="inlineStr">
        <is>
          <t>Alisson Becker</t>
        </is>
      </c>
      <c r="B148" t="inlineStr">
        <is>
          <t>LIV</t>
        </is>
      </c>
      <c r="C148" t="inlineStr">
        <is>
          <t>GKP</t>
        </is>
      </c>
      <c r="D148" t="inlineStr">
        <is>
          <t>GKP</t>
        </is>
      </c>
      <c r="E148" t="b">
        <v>1</v>
      </c>
      <c r="F148" s="2" t="n">
        <v>5.5</v>
      </c>
      <c r="G148" t="inlineStr">
        <is>
          <t>a</t>
        </is>
      </c>
      <c r="I148" s="2" t="n">
        <v>2340</v>
      </c>
      <c r="J148" t="n">
        <v>91</v>
      </c>
      <c r="K148" s="3" t="n">
        <v>3385</v>
      </c>
      <c r="L148" t="inlineStr">
        <is>
          <t>flat</t>
        </is>
      </c>
      <c r="M148" s="4" t="n">
        <v>3385</v>
      </c>
      <c r="N148" t="inlineStr">
        <is>
          <t>Solio</t>
        </is>
      </c>
      <c r="O148" s="5" t="n">
        <v>90</v>
      </c>
      <c r="P148" t="b">
        <v>1</v>
      </c>
      <c r="Q148" s="5">
        <f>IF(N(O148)&lt;=0,0,MIN(Assumptions!$B$15,N(M148)/N(O148)))</f>
        <v/>
      </c>
      <c r="R148" s="4" t="n">
        <v>0.342</v>
      </c>
      <c r="S148" s="3" t="n">
        <v>0</v>
      </c>
      <c r="T148" t="inlineStr">
        <is>
          <t>blended xG</t>
        </is>
      </c>
      <c r="U148" s="3" t="n">
        <v>1</v>
      </c>
      <c r="V148" s="3" t="n">
        <v>1</v>
      </c>
      <c r="W148" s="3" t="n">
        <v>0</v>
      </c>
      <c r="X148" s="3" t="n">
        <v>0.0005999999999999999</v>
      </c>
      <c r="Y148" s="3" t="n">
        <v>0</v>
      </c>
      <c r="Z148" s="3" t="n">
        <v>0</v>
      </c>
      <c r="AA148" s="3" t="n">
        <v>0.3077</v>
      </c>
      <c r="AB148" s="3" t="n">
        <v>52</v>
      </c>
      <c r="AC148" s="3" t="n">
        <v>2.409</v>
      </c>
      <c r="AD148" s="3" t="n">
        <v>1.1228</v>
      </c>
      <c r="AE148" s="3" t="n">
        <v>-0.03977102677674</v>
      </c>
      <c r="AF148" s="4" t="n">
        <v>0</v>
      </c>
      <c r="AG148" s="3" t="n">
        <v>2.372410619817758</v>
      </c>
      <c r="AH148" s="3" t="n">
        <v>0</v>
      </c>
      <c r="AI148" s="3" t="n">
        <v>0.002376</v>
      </c>
      <c r="AJ148" s="3">
        <f>N(R148)*N(BC148)</f>
        <v/>
      </c>
      <c r="AK148" s="3" t="n">
        <v>0.3077</v>
      </c>
      <c r="AL148" s="3" t="n">
        <v>0.4697511244203511</v>
      </c>
      <c r="AM148" s="3" t="n">
        <v>-0.3378660007281162</v>
      </c>
      <c r="AN148" s="3" t="n">
        <v>-0.03977102677674</v>
      </c>
      <c r="AO148" s="3">
        <f>SUM(AH148:AN148)</f>
        <v/>
      </c>
      <c r="AP148" s="5">
        <f>IF(OR(N(Q148)&lt;=0,N(BA148)=0),0,N(Q148)*IF(N(M148)/N(Q148)&gt;=60,N(BA148),1))</f>
        <v/>
      </c>
      <c r="AQ148" s="5">
        <f>N(Q148)*N(Z148)*N(BB148)</f>
        <v/>
      </c>
      <c r="AR148" s="5">
        <f>N(AF148)*(Assumptions!$B$13*N(BD148)-(1-Assumptions!$B$13)*Assumptions!$B$14)+N(AG148)</f>
        <v/>
      </c>
      <c r="AS148" s="5">
        <f>N(AO148)*N(M148)/90+N(AP148)+N(AQ148)+N(AR148)</f>
        <v/>
      </c>
      <c r="AT148" s="3">
        <f>IF(N(M148)&lt;=0,0,(N(AS148)-N(AR148))*90/N(M148))</f>
        <v/>
      </c>
      <c r="AU148" s="5">
        <f>IFERROR(AS148-VLOOKUP($C148,Assumptions!$A$36:$C$39,3,FALSE),"")</f>
        <v/>
      </c>
      <c r="AV148" s="3">
        <f>IFERROR(AU148/F148,"")</f>
        <v/>
      </c>
      <c r="AW148">
        <f>IF(AND($E148=TRUE,$C148="GKP"),AS148,"")</f>
        <v/>
      </c>
      <c r="AX148">
        <f>IF(AND($E148=TRUE,$C148="DEF"),AS148,"")</f>
        <v/>
      </c>
      <c r="AY148">
        <f>IF(AND($E148=TRUE,$C148="MID"),AS148,"")</f>
        <v/>
      </c>
      <c r="AZ148">
        <f>IF(AND($E148=TRUE,$C148="FWD"),AS148,"")</f>
        <v/>
      </c>
      <c r="BA148" t="n">
        <v>2</v>
      </c>
      <c r="BB148" t="n">
        <v>0</v>
      </c>
      <c r="BC148" t="n">
        <v>4</v>
      </c>
      <c r="BD148" t="n">
        <v>10</v>
      </c>
    </row>
    <row r="149">
      <c r="A149" t="inlineStr">
        <is>
          <t>Guglielmo Vicario</t>
        </is>
      </c>
      <c r="B149" t="inlineStr">
        <is>
          <t>TOT</t>
        </is>
      </c>
      <c r="C149" t="inlineStr">
        <is>
          <t>GKP</t>
        </is>
      </c>
      <c r="D149" t="inlineStr">
        <is>
          <t>GKP</t>
        </is>
      </c>
      <c r="E149" t="b">
        <v>1</v>
      </c>
      <c r="F149" s="2" t="n">
        <v>4.5</v>
      </c>
      <c r="G149" t="inlineStr">
        <is>
          <t>a</t>
        </is>
      </c>
      <c r="I149" s="2" t="n">
        <v>2790</v>
      </c>
      <c r="J149" t="n">
        <v>90</v>
      </c>
      <c r="K149" s="3" t="n">
        <v>0</v>
      </c>
      <c r="L149" t="inlineStr">
        <is>
          <t>flat</t>
        </is>
      </c>
      <c r="M149" s="4" t="n">
        <v>0</v>
      </c>
      <c r="N149" t="inlineStr">
        <is>
          <t>Solio</t>
        </is>
      </c>
      <c r="O149" s="5" t="n">
        <v>90</v>
      </c>
      <c r="P149" t="b">
        <v>1</v>
      </c>
      <c r="Q149" s="5">
        <f>IF(N(O149)&lt;=0,0,MIN(Assumptions!$B$15,N(M149)/N(O149)))</f>
        <v/>
      </c>
      <c r="R149" s="4" t="n">
        <v>0.286</v>
      </c>
      <c r="S149" s="3" t="n">
        <v>0</v>
      </c>
      <c r="T149" t="inlineStr">
        <is>
          <t>blended xG</t>
        </is>
      </c>
      <c r="U149" s="3" t="n">
        <v>1</v>
      </c>
      <c r="V149" s="3" t="n">
        <v>1</v>
      </c>
      <c r="W149" s="3" t="n">
        <v>0</v>
      </c>
      <c r="X149" s="3" t="n">
        <v>0.0018</v>
      </c>
      <c r="Y149" s="3" t="n">
        <v>0</v>
      </c>
      <c r="Z149" s="3" t="n">
        <v>0</v>
      </c>
      <c r="AA149" s="3" t="n">
        <v>0.2258</v>
      </c>
      <c r="AB149" s="3" t="n">
        <v>62</v>
      </c>
      <c r="AC149" s="3" t="n">
        <v>2.5739</v>
      </c>
      <c r="AD149" s="3" t="n">
        <v>1.3096</v>
      </c>
      <c r="AE149" s="3" t="n">
        <v>-0.0496157705751257</v>
      </c>
      <c r="AF149" s="4" t="n">
        <v>0</v>
      </c>
      <c r="AG149" s="3" t="n">
        <v>0</v>
      </c>
      <c r="AH149" s="3" t="n">
        <v>0</v>
      </c>
      <c r="AI149" s="3" t="n">
        <v>0.007128000000000001</v>
      </c>
      <c r="AJ149" s="3">
        <f>N(R149)*N(BC149)</f>
        <v/>
      </c>
      <c r="AK149" s="3" t="n">
        <v>0.2258</v>
      </c>
      <c r="AL149" s="3" t="n">
        <v>0.5235455255089686</v>
      </c>
      <c r="AM149" s="3" t="n">
        <v>-0.4230152821052008</v>
      </c>
      <c r="AN149" s="3" t="n">
        <v>-0.0496157705751257</v>
      </c>
      <c r="AO149" s="3">
        <f>SUM(AH149:AN149)</f>
        <v/>
      </c>
      <c r="AP149" s="5">
        <f>IF(OR(N(Q149)&lt;=0,N(BA149)=0),0,N(Q149)*IF(N(M149)/N(Q149)&gt;=60,N(BA149),1))</f>
        <v/>
      </c>
      <c r="AQ149" s="5">
        <f>N(Q149)*N(Z149)*N(BB149)</f>
        <v/>
      </c>
      <c r="AR149" s="5">
        <f>N(AF149)*(Assumptions!$B$13*N(BD149)-(1-Assumptions!$B$13)*Assumptions!$B$14)+N(AG149)</f>
        <v/>
      </c>
      <c r="AS149" s="5">
        <f>N(AO149)*N(M149)/90+N(AP149)+N(AQ149)+N(AR149)</f>
        <v/>
      </c>
      <c r="AT149" s="3">
        <f>IF(N(M149)&lt;=0,0,(N(AS149)-N(AR149))*90/N(M149))</f>
        <v/>
      </c>
      <c r="AU149" s="5">
        <f>IFERROR(AS149-VLOOKUP($C149,Assumptions!$A$36:$C$39,3,FALSE),"")</f>
        <v/>
      </c>
      <c r="AV149" s="3">
        <f>IFERROR(AU149/F149,"")</f>
        <v/>
      </c>
      <c r="AW149">
        <f>IF(AND($E149=TRUE,$C149="GKP"),AS149,"")</f>
        <v/>
      </c>
      <c r="AX149">
        <f>IF(AND($E149=TRUE,$C149="DEF"),AS149,"")</f>
        <v/>
      </c>
      <c r="AY149">
        <f>IF(AND($E149=TRUE,$C149="MID"),AS149,"")</f>
        <v/>
      </c>
      <c r="AZ149">
        <f>IF(AND($E149=TRUE,$C149="FWD"),AS149,"")</f>
        <v/>
      </c>
      <c r="BA149" t="n">
        <v>2</v>
      </c>
      <c r="BB149" t="n">
        <v>0</v>
      </c>
      <c r="BC149" t="n">
        <v>4</v>
      </c>
      <c r="BD149" t="n">
        <v>10</v>
      </c>
    </row>
    <row r="150">
      <c r="A150" t="inlineStr">
        <is>
          <t>Harry Maguire</t>
        </is>
      </c>
      <c r="B150" t="inlineStr">
        <is>
          <t>MUN</t>
        </is>
      </c>
      <c r="C150" t="inlineStr">
        <is>
          <t>DEF</t>
        </is>
      </c>
      <c r="D150" t="inlineStr">
        <is>
          <t>DEF</t>
        </is>
      </c>
      <c r="E150" t="b">
        <v>1</v>
      </c>
      <c r="F150" s="2" t="n">
        <v>5</v>
      </c>
      <c r="G150" t="inlineStr">
        <is>
          <t>a</t>
        </is>
      </c>
      <c r="I150" s="2" t="n">
        <v>1649</v>
      </c>
      <c r="J150" t="n">
        <v>90</v>
      </c>
      <c r="K150" s="3" t="n">
        <v>1972</v>
      </c>
      <c r="L150" t="inlineStr">
        <is>
          <t>flat</t>
        </is>
      </c>
      <c r="M150" s="4" t="n">
        <v>1972</v>
      </c>
      <c r="N150" t="inlineStr">
        <is>
          <t>Solio</t>
        </is>
      </c>
      <c r="O150" s="5" t="n">
        <v>84.40000000000001</v>
      </c>
      <c r="P150" t="b">
        <v>1</v>
      </c>
      <c r="Q150" s="5">
        <f>IF(N(O150)&lt;=0,0,MIN(Assumptions!$B$15,N(M150)/N(O150)))</f>
        <v/>
      </c>
      <c r="R150" s="4" t="n">
        <v>0.334</v>
      </c>
      <c r="S150" s="3" t="n">
        <v>0.0541</v>
      </c>
      <c r="T150" t="inlineStr">
        <is>
          <t>adjusted xGOT</t>
        </is>
      </c>
      <c r="U150" s="3" t="n">
        <v>1</v>
      </c>
      <c r="V150" s="3" t="n">
        <v>0.885</v>
      </c>
      <c r="W150" s="3" t="n">
        <v>5.2</v>
      </c>
      <c r="X150" s="3" t="n">
        <v>0.0334</v>
      </c>
      <c r="Y150" s="3" t="n">
        <v>8.071999999999999</v>
      </c>
      <c r="Z150" s="3" t="n">
        <v>0.2316286034901445</v>
      </c>
      <c r="AA150" s="3" t="n">
        <v>0.2183</v>
      </c>
      <c r="AB150" s="3" t="n">
        <v>42</v>
      </c>
      <c r="AC150" s="3" t="n">
        <v>2.2165</v>
      </c>
      <c r="AD150" s="3" t="n">
        <v>1.1467</v>
      </c>
      <c r="AE150" s="3" t="n">
        <v>-0.2337138364565698</v>
      </c>
      <c r="AF150" s="4" t="n">
        <v>0</v>
      </c>
      <c r="AG150" s="3" t="n">
        <v>0</v>
      </c>
      <c r="AH150" s="3" t="n">
        <v>0.3246</v>
      </c>
      <c r="AI150" s="3" t="n">
        <v>0.132264</v>
      </c>
      <c r="AJ150" s="3">
        <f>N(R150)*N(BC150)</f>
        <v/>
      </c>
      <c r="AK150" s="3" t="n">
        <v>0.2183</v>
      </c>
      <c r="AL150" s="3" t="n">
        <v>0</v>
      </c>
      <c r="AM150" s="3" t="n">
        <v>-0.348580685135232</v>
      </c>
      <c r="AN150" s="3" t="n">
        <v>-0.2337138364565698</v>
      </c>
      <c r="AO150" s="3">
        <f>SUM(AH150:AN150)</f>
        <v/>
      </c>
      <c r="AP150" s="5">
        <f>IF(OR(N(Q150)&lt;=0,N(BA150)=0),0,N(Q150)*IF(N(M150)/N(Q150)&gt;=60,N(BA150),1))</f>
        <v/>
      </c>
      <c r="AQ150" s="5">
        <f>N(Q150)*N(Z150)*N(BB150)</f>
        <v/>
      </c>
      <c r="AR150" s="5">
        <f>N(AF150)*(Assumptions!$B$13*N(BD150)-(1-Assumptions!$B$13)*Assumptions!$B$14)+N(AG150)</f>
        <v/>
      </c>
      <c r="AS150" s="5">
        <f>N(AO150)*N(M150)/90+N(AP150)+N(AQ150)+N(AR150)</f>
        <v/>
      </c>
      <c r="AT150" s="3">
        <f>IF(N(M150)&lt;=0,0,(N(AS150)-N(AR150))*90/N(M150))</f>
        <v/>
      </c>
      <c r="AU150" s="5">
        <f>IFERROR(AS150-VLOOKUP($C150,Assumptions!$A$36:$C$39,3,FALSE),"")</f>
        <v/>
      </c>
      <c r="AV150" s="3">
        <f>IFERROR(AU150/F150,"")</f>
        <v/>
      </c>
      <c r="AW150">
        <f>IF(AND($E150=TRUE,$C150="GKP"),AS150,"")</f>
        <v/>
      </c>
      <c r="AX150">
        <f>IF(AND($E150=TRUE,$C150="DEF"),AS150,"")</f>
        <v/>
      </c>
      <c r="AY150">
        <f>IF(AND($E150=TRUE,$C150="MID"),AS150,"")</f>
        <v/>
      </c>
      <c r="AZ150">
        <f>IF(AND($E150=TRUE,$C150="FWD"),AS150,"")</f>
        <v/>
      </c>
      <c r="BA150" t="n">
        <v>2</v>
      </c>
      <c r="BB150" t="n">
        <v>2</v>
      </c>
      <c r="BC150" t="n">
        <v>4</v>
      </c>
      <c r="BD150" t="n">
        <v>6</v>
      </c>
    </row>
    <row r="151">
      <c r="A151" t="inlineStr">
        <is>
          <t>Sven Botman</t>
        </is>
      </c>
      <c r="B151" t="inlineStr">
        <is>
          <t>NEW</t>
        </is>
      </c>
      <c r="C151" t="inlineStr">
        <is>
          <t>DEF</t>
        </is>
      </c>
      <c r="D151" t="inlineStr">
        <is>
          <t>DEF</t>
        </is>
      </c>
      <c r="E151" t="b">
        <v>1</v>
      </c>
      <c r="F151" s="2" t="n">
        <v>5</v>
      </c>
      <c r="G151" t="inlineStr">
        <is>
          <t>a</t>
        </is>
      </c>
      <c r="I151" s="2" t="n">
        <v>1834</v>
      </c>
      <c r="J151" t="n">
        <v>89</v>
      </c>
      <c r="K151" s="3" t="n">
        <v>2440</v>
      </c>
      <c r="L151" t="inlineStr">
        <is>
          <t>flat</t>
        </is>
      </c>
      <c r="M151" s="4" t="n">
        <v>2440</v>
      </c>
      <c r="N151" t="inlineStr">
        <is>
          <t>Solio</t>
        </is>
      </c>
      <c r="O151" s="5" t="n">
        <v>84.5</v>
      </c>
      <c r="P151" t="b">
        <v>1</v>
      </c>
      <c r="Q151" s="5">
        <f>IF(N(O151)&lt;=0,0,MIN(Assumptions!$B$15,N(M151)/N(O151)))</f>
        <v/>
      </c>
      <c r="R151" s="4" t="n">
        <v>0.248</v>
      </c>
      <c r="S151" s="3" t="n">
        <v>0.0794</v>
      </c>
      <c r="T151" t="inlineStr">
        <is>
          <t>adjusted xGOT</t>
        </is>
      </c>
      <c r="U151" s="3" t="n">
        <v>1</v>
      </c>
      <c r="V151" s="3" t="n">
        <v>0.9350000000000001</v>
      </c>
      <c r="W151" s="3" t="n">
        <v>5.7</v>
      </c>
      <c r="X151" s="3" t="n">
        <v>0.0575</v>
      </c>
      <c r="Y151" s="3" t="n">
        <v>9.778</v>
      </c>
      <c r="Z151" s="3" t="n">
        <v>0.4363536046050489</v>
      </c>
      <c r="AA151" s="3" t="n">
        <v>0.2944</v>
      </c>
      <c r="AB151" s="3" t="n">
        <v>45</v>
      </c>
      <c r="AC151" s="3" t="n">
        <v>3.0912</v>
      </c>
      <c r="AD151" s="3" t="n">
        <v>1.4534</v>
      </c>
      <c r="AE151" s="3" t="n">
        <v>-0.1612034639024684</v>
      </c>
      <c r="AF151" s="4" t="n">
        <v>0</v>
      </c>
      <c r="AG151" s="3" t="n">
        <v>0</v>
      </c>
      <c r="AH151" s="3" t="n">
        <v>0.4764</v>
      </c>
      <c r="AI151" s="3" t="n">
        <v>0.2277</v>
      </c>
      <c r="AJ151" s="3">
        <f>N(R151)*N(BC151)</f>
        <v/>
      </c>
      <c r="AK151" s="3" t="n">
        <v>0.2944</v>
      </c>
      <c r="AL151" s="3" t="n">
        <v>0</v>
      </c>
      <c r="AM151" s="3" t="n">
        <v>-0.4903625828545308</v>
      </c>
      <c r="AN151" s="3" t="n">
        <v>-0.1612034639024684</v>
      </c>
      <c r="AO151" s="3">
        <f>SUM(AH151:AN151)</f>
        <v/>
      </c>
      <c r="AP151" s="5">
        <f>IF(OR(N(Q151)&lt;=0,N(BA151)=0),0,N(Q151)*IF(N(M151)/N(Q151)&gt;=60,N(BA151),1))</f>
        <v/>
      </c>
      <c r="AQ151" s="5">
        <f>N(Q151)*N(Z151)*N(BB151)</f>
        <v/>
      </c>
      <c r="AR151" s="5">
        <f>N(AF151)*(Assumptions!$B$13*N(BD151)-(1-Assumptions!$B$13)*Assumptions!$B$14)+N(AG151)</f>
        <v/>
      </c>
      <c r="AS151" s="5">
        <f>N(AO151)*N(M151)/90+N(AP151)+N(AQ151)+N(AR151)</f>
        <v/>
      </c>
      <c r="AT151" s="3">
        <f>IF(N(M151)&lt;=0,0,(N(AS151)-N(AR151))*90/N(M151))</f>
        <v/>
      </c>
      <c r="AU151" s="5">
        <f>IFERROR(AS151-VLOOKUP($C151,Assumptions!$A$36:$C$39,3,FALSE),"")</f>
        <v/>
      </c>
      <c r="AV151" s="3">
        <f>IFERROR(AU151/F151,"")</f>
        <v/>
      </c>
      <c r="AW151">
        <f>IF(AND($E151=TRUE,$C151="GKP"),AS151,"")</f>
        <v/>
      </c>
      <c r="AX151">
        <f>IF(AND($E151=TRUE,$C151="DEF"),AS151,"")</f>
        <v/>
      </c>
      <c r="AY151">
        <f>IF(AND($E151=TRUE,$C151="MID"),AS151,"")</f>
        <v/>
      </c>
      <c r="AZ151">
        <f>IF(AND($E151=TRUE,$C151="FWD"),AS151,"")</f>
        <v/>
      </c>
      <c r="BA151" t="n">
        <v>2</v>
      </c>
      <c r="BB151" t="n">
        <v>2</v>
      </c>
      <c r="BC151" t="n">
        <v>4</v>
      </c>
      <c r="BD151" t="n">
        <v>6</v>
      </c>
    </row>
    <row r="152">
      <c r="A152" t="inlineStr">
        <is>
          <t>Ibrahim Sangaré</t>
        </is>
      </c>
      <c r="B152" t="inlineStr">
        <is>
          <t>NFO</t>
        </is>
      </c>
      <c r="C152" t="inlineStr">
        <is>
          <t>MID</t>
        </is>
      </c>
      <c r="D152" t="inlineStr">
        <is>
          <t>MID</t>
        </is>
      </c>
      <c r="E152" t="b">
        <v>1</v>
      </c>
      <c r="F152" s="2" t="n">
        <v>5</v>
      </c>
      <c r="G152" t="inlineStr">
        <is>
          <t>a</t>
        </is>
      </c>
      <c r="I152" s="2" t="n">
        <v>2073</v>
      </c>
      <c r="J152" t="n">
        <v>89</v>
      </c>
      <c r="K152" s="3" t="n">
        <v>2998</v>
      </c>
      <c r="L152" t="inlineStr">
        <is>
          <t>flat</t>
        </is>
      </c>
      <c r="M152" s="4" t="n">
        <v>2998</v>
      </c>
      <c r="N152" t="inlineStr">
        <is>
          <t>Solio</t>
        </is>
      </c>
      <c r="O152" s="5" t="n">
        <v>81.5</v>
      </c>
      <c r="P152" t="b">
        <v>1</v>
      </c>
      <c r="Q152" s="5">
        <f>IF(N(O152)&lt;=0,0,MIN(Assumptions!$B$15,N(M152)/N(O152)))</f>
        <v/>
      </c>
      <c r="R152" s="4" t="n">
        <v>0.224</v>
      </c>
      <c r="S152" s="3" t="n">
        <v>0.0511</v>
      </c>
      <c r="T152" t="inlineStr">
        <is>
          <t>adjusted xGOT</t>
        </is>
      </c>
      <c r="U152" s="3" t="n">
        <v>1</v>
      </c>
      <c r="V152" s="3" t="n">
        <v>1.015</v>
      </c>
      <c r="W152" s="3" t="n">
        <v>1.8</v>
      </c>
      <c r="X152" s="3" t="n">
        <v>0.07049999999999999</v>
      </c>
      <c r="Y152" s="3" t="n">
        <v>10.815</v>
      </c>
      <c r="Z152" s="3" t="n">
        <v>0.2800056433808187</v>
      </c>
      <c r="AA152" s="3" t="n">
        <v>0.0868</v>
      </c>
      <c r="AB152" s="3" t="n">
        <v>50</v>
      </c>
      <c r="AC152" s="3" t="n">
        <v>3.1134</v>
      </c>
      <c r="AD152" s="3" t="n">
        <v>1.5588</v>
      </c>
      <c r="AE152" s="3" t="n">
        <v>-0.2774393696749703</v>
      </c>
      <c r="AF152" s="4" t="n">
        <v>0</v>
      </c>
      <c r="AG152" s="3" t="n">
        <v>0</v>
      </c>
      <c r="AH152" s="3" t="n">
        <v>0.2555</v>
      </c>
      <c r="AI152" s="3" t="n">
        <v>0.27918</v>
      </c>
      <c r="AJ152" s="3">
        <f>N(R152)*N(BC152)</f>
        <v/>
      </c>
      <c r="AK152" s="3" t="n">
        <v>0.0868</v>
      </c>
      <c r="AL152" s="3" t="n">
        <v>0</v>
      </c>
      <c r="AM152" s="3" t="n">
        <v>-0</v>
      </c>
      <c r="AN152" s="3" t="n">
        <v>-0.2774393696749703</v>
      </c>
      <c r="AO152" s="3">
        <f>SUM(AH152:AN152)</f>
        <v/>
      </c>
      <c r="AP152" s="5">
        <f>IF(OR(N(Q152)&lt;=0,N(BA152)=0),0,N(Q152)*IF(N(M152)/N(Q152)&gt;=60,N(BA152),1))</f>
        <v/>
      </c>
      <c r="AQ152" s="5">
        <f>N(Q152)*N(Z152)*N(BB152)</f>
        <v/>
      </c>
      <c r="AR152" s="5">
        <f>N(AF152)*(Assumptions!$B$13*N(BD152)-(1-Assumptions!$B$13)*Assumptions!$B$14)+N(AG152)</f>
        <v/>
      </c>
      <c r="AS152" s="5">
        <f>N(AO152)*N(M152)/90+N(AP152)+N(AQ152)+N(AR152)</f>
        <v/>
      </c>
      <c r="AT152" s="3">
        <f>IF(N(M152)&lt;=0,0,(N(AS152)-N(AR152))*90/N(M152))</f>
        <v/>
      </c>
      <c r="AU152" s="5">
        <f>IFERROR(AS152-VLOOKUP($C152,Assumptions!$A$36:$C$39,3,FALSE),"")</f>
        <v/>
      </c>
      <c r="AV152" s="3">
        <f>IFERROR(AU152/F152,"")</f>
        <v/>
      </c>
      <c r="AW152">
        <f>IF(AND($E152=TRUE,$C152="GKP"),AS152,"")</f>
        <v/>
      </c>
      <c r="AX152">
        <f>IF(AND($E152=TRUE,$C152="DEF"),AS152,"")</f>
        <v/>
      </c>
      <c r="AY152">
        <f>IF(AND($E152=TRUE,$C152="MID"),AS152,"")</f>
        <v/>
      </c>
      <c r="AZ152">
        <f>IF(AND($E152=TRUE,$C152="FWD"),AS152,"")</f>
        <v/>
      </c>
      <c r="BA152" t="n">
        <v>2</v>
      </c>
      <c r="BB152" t="n">
        <v>2</v>
      </c>
      <c r="BC152" t="n">
        <v>1</v>
      </c>
      <c r="BD152" t="n">
        <v>5</v>
      </c>
    </row>
    <row r="153">
      <c r="A153" t="inlineStr">
        <is>
          <t>Callum Hudson-Odoi</t>
        </is>
      </c>
      <c r="B153" t="inlineStr">
        <is>
          <t>NFO</t>
        </is>
      </c>
      <c r="C153" t="inlineStr">
        <is>
          <t>MID</t>
        </is>
      </c>
      <c r="D153" t="inlineStr">
        <is>
          <t>MID</t>
        </is>
      </c>
      <c r="E153" t="b">
        <v>1</v>
      </c>
      <c r="F153" s="2" t="n">
        <v>6</v>
      </c>
      <c r="G153" t="inlineStr">
        <is>
          <t>a</t>
        </is>
      </c>
      <c r="I153" s="2" t="n">
        <v>1838</v>
      </c>
      <c r="J153" t="n">
        <v>88</v>
      </c>
      <c r="K153" s="3" t="n">
        <v>739</v>
      </c>
      <c r="L153" t="inlineStr">
        <is>
          <t>flat</t>
        </is>
      </c>
      <c r="M153" s="4" t="n">
        <v>739</v>
      </c>
      <c r="N153" t="inlineStr">
        <is>
          <t>Solio</t>
        </is>
      </c>
      <c r="O153" s="5" t="n">
        <v>74.8</v>
      </c>
      <c r="P153" t="b">
        <v>1</v>
      </c>
      <c r="Q153" s="5">
        <f>IF(N(O153)&lt;=0,0,MIN(Assumptions!$B$15,N(M153)/N(O153)))</f>
        <v/>
      </c>
      <c r="R153" s="4" t="n">
        <v>0.224</v>
      </c>
      <c r="S153" s="3" t="n">
        <v>0.1583</v>
      </c>
      <c r="T153" t="inlineStr">
        <is>
          <t>adjusted xGOT</t>
        </is>
      </c>
      <c r="U153" s="3" t="n">
        <v>1</v>
      </c>
      <c r="V153" s="3" t="n">
        <v>1.167</v>
      </c>
      <c r="W153" s="3" t="n">
        <v>7.9</v>
      </c>
      <c r="X153" s="3" t="n">
        <v>0.1703</v>
      </c>
      <c r="Y153" s="3" t="n">
        <v>6.144</v>
      </c>
      <c r="Z153" s="3" t="n">
        <v>0.006387215296527193</v>
      </c>
      <c r="AA153" s="3" t="n">
        <v>0.3917</v>
      </c>
      <c r="AB153" s="3" t="n">
        <v>47</v>
      </c>
      <c r="AC153" s="3" t="n">
        <v>3.1134</v>
      </c>
      <c r="AD153" s="3" t="n">
        <v>1.5588</v>
      </c>
      <c r="AE153" s="3" t="n">
        <v>-0.0907658396755127</v>
      </c>
      <c r="AF153" s="4" t="n">
        <v>0</v>
      </c>
      <c r="AG153" s="3" t="n">
        <v>0</v>
      </c>
      <c r="AH153" s="3" t="n">
        <v>0.7915</v>
      </c>
      <c r="AI153" s="3" t="n">
        <v>0.6743880000000001</v>
      </c>
      <c r="AJ153" s="3">
        <f>N(R153)*N(BC153)</f>
        <v/>
      </c>
      <c r="AK153" s="3" t="n">
        <v>0.3917</v>
      </c>
      <c r="AL153" s="3" t="n">
        <v>0</v>
      </c>
      <c r="AM153" s="3" t="n">
        <v>-0</v>
      </c>
      <c r="AN153" s="3" t="n">
        <v>-0.0907658396755127</v>
      </c>
      <c r="AO153" s="3">
        <f>SUM(AH153:AN153)</f>
        <v/>
      </c>
      <c r="AP153" s="5">
        <f>IF(OR(N(Q153)&lt;=0,N(BA153)=0),0,N(Q153)*IF(N(M153)/N(Q153)&gt;=60,N(BA153),1))</f>
        <v/>
      </c>
      <c r="AQ153" s="5">
        <f>N(Q153)*N(Z153)*N(BB153)</f>
        <v/>
      </c>
      <c r="AR153" s="5">
        <f>N(AF153)*(Assumptions!$B$13*N(BD153)-(1-Assumptions!$B$13)*Assumptions!$B$14)+N(AG153)</f>
        <v/>
      </c>
      <c r="AS153" s="5">
        <f>N(AO153)*N(M153)/90+N(AP153)+N(AQ153)+N(AR153)</f>
        <v/>
      </c>
      <c r="AT153" s="3">
        <f>IF(N(M153)&lt;=0,0,(N(AS153)-N(AR153))*90/N(M153))</f>
        <v/>
      </c>
      <c r="AU153" s="5">
        <f>IFERROR(AS153-VLOOKUP($C153,Assumptions!$A$36:$C$39,3,FALSE),"")</f>
        <v/>
      </c>
      <c r="AV153" s="3">
        <f>IFERROR(AU153/F153,"")</f>
        <v/>
      </c>
      <c r="AW153">
        <f>IF(AND($E153=TRUE,$C153="GKP"),AS153,"")</f>
        <v/>
      </c>
      <c r="AX153">
        <f>IF(AND($E153=TRUE,$C153="DEF"),AS153,"")</f>
        <v/>
      </c>
      <c r="AY153">
        <f>IF(AND($E153=TRUE,$C153="MID"),AS153,"")</f>
        <v/>
      </c>
      <c r="AZ153">
        <f>IF(AND($E153=TRUE,$C153="FWD"),AS153,"")</f>
        <v/>
      </c>
      <c r="BA153" t="n">
        <v>2</v>
      </c>
      <c r="BB153" t="n">
        <v>2</v>
      </c>
      <c r="BC153" t="n">
        <v>1</v>
      </c>
      <c r="BD153" t="n">
        <v>5</v>
      </c>
    </row>
    <row r="154">
      <c r="A154" t="inlineStr">
        <is>
          <t>Georginio Rutter</t>
        </is>
      </c>
      <c r="B154" t="inlineStr">
        <is>
          <t>BHA</t>
        </is>
      </c>
      <c r="C154" t="inlineStr">
        <is>
          <t>FWD</t>
        </is>
      </c>
      <c r="D154" t="inlineStr">
        <is>
          <t>MID</t>
        </is>
      </c>
      <c r="E154" t="b">
        <v>1</v>
      </c>
      <c r="F154" s="2" t="n">
        <v>5.5</v>
      </c>
      <c r="G154" t="inlineStr">
        <is>
          <t>a</t>
        </is>
      </c>
      <c r="I154" s="2" t="n">
        <v>1776</v>
      </c>
      <c r="J154" t="n">
        <v>87</v>
      </c>
      <c r="K154" s="3" t="n">
        <v>2611</v>
      </c>
      <c r="L154" t="inlineStr">
        <is>
          <t>flat</t>
        </is>
      </c>
      <c r="M154" s="4" t="n">
        <v>2611</v>
      </c>
      <c r="N154" t="inlineStr">
        <is>
          <t>Solio</t>
        </is>
      </c>
      <c r="O154" s="5" t="n">
        <v>77.8</v>
      </c>
      <c r="P154" t="b">
        <v>1</v>
      </c>
      <c r="Q154" s="5">
        <f>IF(N(O154)&lt;=0,0,MIN(Assumptions!$B$15,N(M154)/N(O154)))</f>
        <v/>
      </c>
      <c r="R154" s="4" t="n">
        <v>0.252</v>
      </c>
      <c r="S154" s="3" t="n">
        <v>0.1425</v>
      </c>
      <c r="T154" t="inlineStr">
        <is>
          <t>adjusted xGOT</t>
        </is>
      </c>
      <c r="U154" s="3" t="n">
        <v>1</v>
      </c>
      <c r="V154" s="3" t="n">
        <v>0.97</v>
      </c>
      <c r="W154" s="3" t="n">
        <v>7.9</v>
      </c>
      <c r="X154" s="3" t="n">
        <v>0.19</v>
      </c>
      <c r="Y154" s="3" t="n">
        <v>7.198</v>
      </c>
      <c r="Z154" s="3" t="n">
        <v>0.02557908471711767</v>
      </c>
      <c r="AA154" s="3" t="n">
        <v>0.1014</v>
      </c>
      <c r="AB154" s="3" t="n">
        <v>50</v>
      </c>
      <c r="AC154" s="3" t="n">
        <v>2.8404</v>
      </c>
      <c r="AD154" s="3" t="n">
        <v>1.439</v>
      </c>
      <c r="AE154" s="3" t="n">
        <v>-0.1359103647373657</v>
      </c>
      <c r="AF154" s="4" t="n">
        <v>0</v>
      </c>
      <c r="AG154" s="3" t="n">
        <v>0</v>
      </c>
      <c r="AH154" s="3" t="n">
        <v>0.57</v>
      </c>
      <c r="AI154" s="3" t="n">
        <v>0.7524000000000001</v>
      </c>
      <c r="AJ154" s="3">
        <f>N(R154)*N(BC154)</f>
        <v/>
      </c>
      <c r="AK154" s="3" t="n">
        <v>0.1014</v>
      </c>
      <c r="AL154" s="3" t="n">
        <v>0</v>
      </c>
      <c r="AM154" s="3" t="n">
        <v>-0</v>
      </c>
      <c r="AN154" s="3" t="n">
        <v>-0.1359103647373657</v>
      </c>
      <c r="AO154" s="3">
        <f>SUM(AH154:AN154)</f>
        <v/>
      </c>
      <c r="AP154" s="5">
        <f>IF(OR(N(Q154)&lt;=0,N(BA154)=0),0,N(Q154)*IF(N(M154)/N(Q154)&gt;=60,N(BA154),1))</f>
        <v/>
      </c>
      <c r="AQ154" s="5">
        <f>N(Q154)*N(Z154)*N(BB154)</f>
        <v/>
      </c>
      <c r="AR154" s="5">
        <f>N(AF154)*(Assumptions!$B$13*N(BD154)-(1-Assumptions!$B$13)*Assumptions!$B$14)+N(AG154)</f>
        <v/>
      </c>
      <c r="AS154" s="5">
        <f>N(AO154)*N(M154)/90+N(AP154)+N(AQ154)+N(AR154)</f>
        <v/>
      </c>
      <c r="AT154" s="3">
        <f>IF(N(M154)&lt;=0,0,(N(AS154)-N(AR154))*90/N(M154))</f>
        <v/>
      </c>
      <c r="AU154" s="5">
        <f>IFERROR(AS154-VLOOKUP($C154,Assumptions!$A$36:$C$39,3,FALSE),"")</f>
        <v/>
      </c>
      <c r="AV154" s="3">
        <f>IFERROR(AU154/F154,"")</f>
        <v/>
      </c>
      <c r="AW154">
        <f>IF(AND($E154=TRUE,$C154="GKP"),AS154,"")</f>
        <v/>
      </c>
      <c r="AX154">
        <f>IF(AND($E154=TRUE,$C154="DEF"),AS154,"")</f>
        <v/>
      </c>
      <c r="AY154">
        <f>IF(AND($E154=TRUE,$C154="MID"),AS154,"")</f>
        <v/>
      </c>
      <c r="AZ154">
        <f>IF(AND($E154=TRUE,$C154="FWD"),AS154,"")</f>
        <v/>
      </c>
      <c r="BA154" t="n">
        <v>2</v>
      </c>
      <c r="BB154" t="n">
        <v>2</v>
      </c>
      <c r="BC154" t="n">
        <v>0</v>
      </c>
      <c r="BD154" t="n">
        <v>4</v>
      </c>
    </row>
    <row r="155">
      <c r="A155" t="inlineStr">
        <is>
          <t>Piero Hincapié</t>
        </is>
      </c>
      <c r="B155" t="inlineStr">
        <is>
          <t>ARS</t>
        </is>
      </c>
      <c r="C155" t="inlineStr">
        <is>
          <t>DEF</t>
        </is>
      </c>
      <c r="D155" t="inlineStr">
        <is>
          <t>DEF</t>
        </is>
      </c>
      <c r="E155" t="b">
        <v>1</v>
      </c>
      <c r="F155" s="2" t="n">
        <v>5.5</v>
      </c>
      <c r="G155" t="inlineStr">
        <is>
          <t>a</t>
        </is>
      </c>
      <c r="I155" s="2" t="n">
        <v>1787</v>
      </c>
      <c r="J155" t="n">
        <v>87</v>
      </c>
      <c r="K155" s="3" t="n">
        <v>1043</v>
      </c>
      <c r="L155" t="inlineStr">
        <is>
          <t>flat</t>
        </is>
      </c>
      <c r="M155" s="4" t="n">
        <v>1043</v>
      </c>
      <c r="N155" t="inlineStr">
        <is>
          <t>Solio</t>
        </is>
      </c>
      <c r="O155" s="5" t="n">
        <v>85.2</v>
      </c>
      <c r="P155" t="b">
        <v>1</v>
      </c>
      <c r="Q155" s="5">
        <f>IF(N(O155)&lt;=0,0,MIN(Assumptions!$B$15,N(M155)/N(O155)))</f>
        <v/>
      </c>
      <c r="R155" s="4" t="n">
        <v>0.391</v>
      </c>
      <c r="S155" s="3" t="n">
        <v>0.018</v>
      </c>
      <c r="T155" t="inlineStr">
        <is>
          <t>adjusted xGOT</t>
        </is>
      </c>
      <c r="U155" s="3" t="n">
        <v>1</v>
      </c>
      <c r="V155" s="3" t="n">
        <v>0.993</v>
      </c>
      <c r="W155" s="3" t="n">
        <v>0.4</v>
      </c>
      <c r="X155" s="3" t="n">
        <v>0.0956</v>
      </c>
      <c r="Y155" s="3" t="n">
        <v>8.346</v>
      </c>
      <c r="Z155" s="3" t="n">
        <v>0.2711559354545912</v>
      </c>
      <c r="AA155" s="3" t="n">
        <v>0.2518</v>
      </c>
      <c r="AB155" s="3" t="n">
        <v>43</v>
      </c>
      <c r="AC155" s="3" t="n">
        <v>2.067</v>
      </c>
      <c r="AD155" s="3" t="n">
        <v>0.9838</v>
      </c>
      <c r="AE155" s="3" t="n">
        <v>-0.15878379459564</v>
      </c>
      <c r="AF155" s="4" t="n">
        <v>0</v>
      </c>
      <c r="AG155" s="3" t="n">
        <v>0</v>
      </c>
      <c r="AH155" s="3" t="n">
        <v>0.108</v>
      </c>
      <c r="AI155" s="3" t="n">
        <v>0.378576</v>
      </c>
      <c r="AJ155" s="3">
        <f>N(R155)*N(BC155)</f>
        <v/>
      </c>
      <c r="AK155" s="3" t="n">
        <v>0.2518</v>
      </c>
      <c r="AL155" s="3" t="n">
        <v>0</v>
      </c>
      <c r="AM155" s="3" t="n">
        <v>-0.2768479886568037</v>
      </c>
      <c r="AN155" s="3" t="n">
        <v>-0.15878379459564</v>
      </c>
      <c r="AO155" s="3">
        <f>SUM(AH155:AN155)</f>
        <v/>
      </c>
      <c r="AP155" s="5">
        <f>IF(OR(N(Q155)&lt;=0,N(BA155)=0),0,N(Q155)*IF(N(M155)/N(Q155)&gt;=60,N(BA155),1))</f>
        <v/>
      </c>
      <c r="AQ155" s="5">
        <f>N(Q155)*N(Z155)*N(BB155)</f>
        <v/>
      </c>
      <c r="AR155" s="5">
        <f>N(AF155)*(Assumptions!$B$13*N(BD155)-(1-Assumptions!$B$13)*Assumptions!$B$14)+N(AG155)</f>
        <v/>
      </c>
      <c r="AS155" s="5">
        <f>N(AO155)*N(M155)/90+N(AP155)+N(AQ155)+N(AR155)</f>
        <v/>
      </c>
      <c r="AT155" s="3">
        <f>IF(N(M155)&lt;=0,0,(N(AS155)-N(AR155))*90/N(M155))</f>
        <v/>
      </c>
      <c r="AU155" s="5">
        <f>IFERROR(AS155-VLOOKUP($C155,Assumptions!$A$36:$C$39,3,FALSE),"")</f>
        <v/>
      </c>
      <c r="AV155" s="3">
        <f>IFERROR(AU155/F155,"")</f>
        <v/>
      </c>
      <c r="AW155">
        <f>IF(AND($E155=TRUE,$C155="GKP"),AS155,"")</f>
        <v/>
      </c>
      <c r="AX155">
        <f>IF(AND($E155=TRUE,$C155="DEF"),AS155,"")</f>
        <v/>
      </c>
      <c r="AY155">
        <f>IF(AND($E155=TRUE,$C155="MID"),AS155,"")</f>
        <v/>
      </c>
      <c r="AZ155">
        <f>IF(AND($E155=TRUE,$C155="FWD"),AS155,"")</f>
        <v/>
      </c>
      <c r="BA155" t="n">
        <v>2</v>
      </c>
      <c r="BB155" t="n">
        <v>2</v>
      </c>
      <c r="BC155" t="n">
        <v>4</v>
      </c>
      <c r="BD155" t="n">
        <v>6</v>
      </c>
    </row>
    <row r="156">
      <c r="A156" t="inlineStr">
        <is>
          <t>Rodrigo Bentancur</t>
        </is>
      </c>
      <c r="B156" t="inlineStr">
        <is>
          <t>TOT</t>
        </is>
      </c>
      <c r="C156" t="inlineStr">
        <is>
          <t>MID</t>
        </is>
      </c>
      <c r="D156" t="inlineStr">
        <is>
          <t>MID</t>
        </is>
      </c>
      <c r="E156" t="b">
        <v>1</v>
      </c>
      <c r="F156" s="2" t="n">
        <v>5.5</v>
      </c>
      <c r="G156" t="inlineStr">
        <is>
          <t>a</t>
        </is>
      </c>
      <c r="I156" s="2" t="n">
        <v>1880</v>
      </c>
      <c r="J156" t="n">
        <v>86</v>
      </c>
      <c r="K156" s="3" t="n">
        <v>356</v>
      </c>
      <c r="L156" t="inlineStr">
        <is>
          <t>fade (losing his place)</t>
        </is>
      </c>
      <c r="M156" s="4" t="n">
        <v>356</v>
      </c>
      <c r="N156" t="inlineStr">
        <is>
          <t>Solio</t>
        </is>
      </c>
      <c r="O156" s="5" t="n">
        <v>79.09999999999999</v>
      </c>
      <c r="P156" t="b">
        <v>1</v>
      </c>
      <c r="Q156" s="5">
        <f>IF(N(O156)&lt;=0,0,MIN(Assumptions!$B$15,N(M156)/N(O156)))</f>
        <v/>
      </c>
      <c r="R156" s="4" t="n">
        <v>0.286</v>
      </c>
      <c r="S156" s="3" t="n">
        <v>0.0346</v>
      </c>
      <c r="T156" t="inlineStr">
        <is>
          <t>adjusted xGOT</t>
        </is>
      </c>
      <c r="U156" s="3" t="n">
        <v>1</v>
      </c>
      <c r="V156" s="3" t="n">
        <v>1.004</v>
      </c>
      <c r="W156" s="3" t="n">
        <v>6.4</v>
      </c>
      <c r="X156" s="3" t="n">
        <v>0.0411</v>
      </c>
      <c r="Y156" s="3" t="n">
        <v>11.998</v>
      </c>
      <c r="Z156" s="3" t="n">
        <v>0.3665789371329788</v>
      </c>
      <c r="AA156" s="3" t="n">
        <v>0.1915</v>
      </c>
      <c r="AB156" s="3" t="n">
        <v>47</v>
      </c>
      <c r="AC156" s="3" t="n">
        <v>2.5739</v>
      </c>
      <c r="AD156" s="3" t="n">
        <v>1.3096</v>
      </c>
      <c r="AE156" s="3" t="n">
        <v>-0.368584307643905</v>
      </c>
      <c r="AF156" s="4" t="n">
        <v>0</v>
      </c>
      <c r="AG156" s="3" t="n">
        <v>0</v>
      </c>
      <c r="AH156" s="3" t="n">
        <v>0.173</v>
      </c>
      <c r="AI156" s="3" t="n">
        <v>0.162756</v>
      </c>
      <c r="AJ156" s="3">
        <f>N(R156)*N(BC156)</f>
        <v/>
      </c>
      <c r="AK156" s="3" t="n">
        <v>0.1915</v>
      </c>
      <c r="AL156" s="3" t="n">
        <v>0</v>
      </c>
      <c r="AM156" s="3" t="n">
        <v>-0</v>
      </c>
      <c r="AN156" s="3" t="n">
        <v>-0.368584307643905</v>
      </c>
      <c r="AO156" s="3">
        <f>SUM(AH156:AN156)</f>
        <v/>
      </c>
      <c r="AP156" s="5">
        <f>IF(OR(N(Q156)&lt;=0,N(BA156)=0),0,N(Q156)*IF(N(M156)/N(Q156)&gt;=60,N(BA156),1))</f>
        <v/>
      </c>
      <c r="AQ156" s="5">
        <f>N(Q156)*N(Z156)*N(BB156)</f>
        <v/>
      </c>
      <c r="AR156" s="5">
        <f>N(AF156)*(Assumptions!$B$13*N(BD156)-(1-Assumptions!$B$13)*Assumptions!$B$14)+N(AG156)</f>
        <v/>
      </c>
      <c r="AS156" s="5">
        <f>N(AO156)*N(M156)/90+N(AP156)+N(AQ156)+N(AR156)</f>
        <v/>
      </c>
      <c r="AT156" s="3">
        <f>IF(N(M156)&lt;=0,0,(N(AS156)-N(AR156))*90/N(M156))</f>
        <v/>
      </c>
      <c r="AU156" s="5">
        <f>IFERROR(AS156-VLOOKUP($C156,Assumptions!$A$36:$C$39,3,FALSE),"")</f>
        <v/>
      </c>
      <c r="AV156" s="3">
        <f>IFERROR(AU156/F156,"")</f>
        <v/>
      </c>
      <c r="AW156">
        <f>IF(AND($E156=TRUE,$C156="GKP"),AS156,"")</f>
        <v/>
      </c>
      <c r="AX156">
        <f>IF(AND($E156=TRUE,$C156="DEF"),AS156,"")</f>
        <v/>
      </c>
      <c r="AY156">
        <f>IF(AND($E156=TRUE,$C156="MID"),AS156,"")</f>
        <v/>
      </c>
      <c r="AZ156">
        <f>IF(AND($E156=TRUE,$C156="FWD"),AS156,"")</f>
        <v/>
      </c>
      <c r="BA156" t="n">
        <v>2</v>
      </c>
      <c r="BB156" t="n">
        <v>2</v>
      </c>
      <c r="BC156" t="n">
        <v>1</v>
      </c>
      <c r="BD156" t="n">
        <v>5</v>
      </c>
    </row>
    <row r="157">
      <c r="A157" t="inlineStr">
        <is>
          <t>Milos Kerkez</t>
        </is>
      </c>
      <c r="B157" t="inlineStr">
        <is>
          <t>LIV</t>
        </is>
      </c>
      <c r="C157" t="inlineStr">
        <is>
          <t>DEF</t>
        </is>
      </c>
      <c r="D157" t="inlineStr">
        <is>
          <t>DEF</t>
        </is>
      </c>
      <c r="E157" t="b">
        <v>1</v>
      </c>
      <c r="F157" s="2" t="n">
        <v>5.5</v>
      </c>
      <c r="G157" t="inlineStr">
        <is>
          <t>a</t>
        </is>
      </c>
      <c r="I157" s="2" t="n">
        <v>2251</v>
      </c>
      <c r="J157" t="n">
        <v>85</v>
      </c>
      <c r="K157" s="3" t="n">
        <v>3137</v>
      </c>
      <c r="L157" t="inlineStr">
        <is>
          <t>flat</t>
        </is>
      </c>
      <c r="M157" s="4" t="n">
        <v>3137</v>
      </c>
      <c r="N157" t="inlineStr">
        <is>
          <t>Solio</t>
        </is>
      </c>
      <c r="O157" s="5" t="n">
        <v>79.40000000000001</v>
      </c>
      <c r="P157" t="b">
        <v>1</v>
      </c>
      <c r="Q157" s="5">
        <f>IF(N(O157)&lt;=0,0,MIN(Assumptions!$B$15,N(M157)/N(O157)))</f>
        <v/>
      </c>
      <c r="R157" s="4" t="n">
        <v>0.342</v>
      </c>
      <c r="S157" s="3" t="n">
        <v>0.0573</v>
      </c>
      <c r="T157" t="inlineStr">
        <is>
          <t>adjusted xGOT</t>
        </is>
      </c>
      <c r="U157" s="3" t="n">
        <v>1</v>
      </c>
      <c r="V157" s="3" t="n">
        <v>0.954</v>
      </c>
      <c r="W157" s="3" t="n">
        <v>3.4</v>
      </c>
      <c r="X157" s="3" t="n">
        <v>0.051</v>
      </c>
      <c r="Y157" s="3" t="n">
        <v>5.922</v>
      </c>
      <c r="Z157" s="3" t="n">
        <v>0.04071997329531107</v>
      </c>
      <c r="AA157" s="3" t="n">
        <v>0.1199</v>
      </c>
      <c r="AB157" s="3" t="n">
        <v>57</v>
      </c>
      <c r="AC157" s="3" t="n">
        <v>2.409</v>
      </c>
      <c r="AD157" s="3" t="n">
        <v>1.1228</v>
      </c>
      <c r="AE157" s="3" t="n">
        <v>-0.1730721735107377</v>
      </c>
      <c r="AF157" s="4" t="n">
        <v>0</v>
      </c>
      <c r="AG157" s="3" t="n">
        <v>0</v>
      </c>
      <c r="AH157" s="3" t="n">
        <v>0.3438</v>
      </c>
      <c r="AI157" s="3" t="n">
        <v>0.20196</v>
      </c>
      <c r="AJ157" s="3">
        <f>N(R157)*N(BC157)</f>
        <v/>
      </c>
      <c r="AK157" s="3" t="n">
        <v>0.1199</v>
      </c>
      <c r="AL157" s="3" t="n">
        <v>0</v>
      </c>
      <c r="AM157" s="3" t="n">
        <v>-0.3378660007281162</v>
      </c>
      <c r="AN157" s="3" t="n">
        <v>-0.1730721735107377</v>
      </c>
      <c r="AO157" s="3">
        <f>SUM(AH157:AN157)</f>
        <v/>
      </c>
      <c r="AP157" s="5">
        <f>IF(OR(N(Q157)&lt;=0,N(BA157)=0),0,N(Q157)*IF(N(M157)/N(Q157)&gt;=60,N(BA157),1))</f>
        <v/>
      </c>
      <c r="AQ157" s="5">
        <f>N(Q157)*N(Z157)*N(BB157)</f>
        <v/>
      </c>
      <c r="AR157" s="5">
        <f>N(AF157)*(Assumptions!$B$13*N(BD157)-(1-Assumptions!$B$13)*Assumptions!$B$14)+N(AG157)</f>
        <v/>
      </c>
      <c r="AS157" s="5">
        <f>N(AO157)*N(M157)/90+N(AP157)+N(AQ157)+N(AR157)</f>
        <v/>
      </c>
      <c r="AT157" s="3">
        <f>IF(N(M157)&lt;=0,0,(N(AS157)-N(AR157))*90/N(M157))</f>
        <v/>
      </c>
      <c r="AU157" s="5">
        <f>IFERROR(AS157-VLOOKUP($C157,Assumptions!$A$36:$C$39,3,FALSE),"")</f>
        <v/>
      </c>
      <c r="AV157" s="3">
        <f>IFERROR(AU157/F157,"")</f>
        <v/>
      </c>
      <c r="AW157">
        <f>IF(AND($E157=TRUE,$C157="GKP"),AS157,"")</f>
        <v/>
      </c>
      <c r="AX157">
        <f>IF(AND($E157=TRUE,$C157="DEF"),AS157,"")</f>
        <v/>
      </c>
      <c r="AY157">
        <f>IF(AND($E157=TRUE,$C157="MID"),AS157,"")</f>
        <v/>
      </c>
      <c r="AZ157">
        <f>IF(AND($E157=TRUE,$C157="FWD"),AS157,"")</f>
        <v/>
      </c>
      <c r="BA157" t="n">
        <v>2</v>
      </c>
      <c r="BB157" t="n">
        <v>2</v>
      </c>
      <c r="BC157" t="n">
        <v>4</v>
      </c>
      <c r="BD157" t="n">
        <v>6</v>
      </c>
    </row>
    <row r="158">
      <c r="A158" t="inlineStr">
        <is>
          <t>Maxim De Cuyper</t>
        </is>
      </c>
      <c r="B158" t="inlineStr">
        <is>
          <t>BHA</t>
        </is>
      </c>
      <c r="C158" t="inlineStr">
        <is>
          <t>DEF</t>
        </is>
      </c>
      <c r="D158" t="inlineStr">
        <is>
          <t>DEF</t>
        </is>
      </c>
      <c r="E158" t="b">
        <v>1</v>
      </c>
      <c r="F158" s="2" t="n">
        <v>4.5</v>
      </c>
      <c r="G158" t="inlineStr">
        <is>
          <t>a</t>
        </is>
      </c>
      <c r="I158" s="2" t="n">
        <v>1404</v>
      </c>
      <c r="J158" t="n">
        <v>84</v>
      </c>
      <c r="K158" s="3" t="n">
        <v>830</v>
      </c>
      <c r="L158" t="inlineStr">
        <is>
          <t>fade (losing his place)</t>
        </is>
      </c>
      <c r="M158" s="4" t="n">
        <v>830</v>
      </c>
      <c r="N158" t="inlineStr">
        <is>
          <t>Solio</t>
        </is>
      </c>
      <c r="O158" s="5" t="n">
        <v>69.8</v>
      </c>
      <c r="P158" t="b">
        <v>1</v>
      </c>
      <c r="Q158" s="5">
        <f>IF(N(O158)&lt;=0,0,MIN(Assumptions!$B$15,N(M158)/N(O158)))</f>
        <v/>
      </c>
      <c r="R158" s="4" t="n">
        <v>0.252</v>
      </c>
      <c r="S158" s="3" t="n">
        <v>0.109</v>
      </c>
      <c r="T158" t="inlineStr">
        <is>
          <t>adjusted xGOT</t>
        </is>
      </c>
      <c r="U158" s="3" t="n">
        <v>1</v>
      </c>
      <c r="V158" s="3" t="n">
        <v>1.025</v>
      </c>
      <c r="W158" s="3" t="n">
        <v>1.7</v>
      </c>
      <c r="X158" s="3" t="n">
        <v>0.2809</v>
      </c>
      <c r="Y158" s="3" t="n">
        <v>5.317</v>
      </c>
      <c r="Z158" s="3" t="n">
        <v>0.009898572865915556</v>
      </c>
      <c r="AA158" s="3" t="n">
        <v>0.5769</v>
      </c>
      <c r="AB158" s="3" t="n">
        <v>42</v>
      </c>
      <c r="AC158" s="3" t="n">
        <v>2.8404</v>
      </c>
      <c r="AD158" s="3" t="n">
        <v>1.439</v>
      </c>
      <c r="AE158" s="3" t="n">
        <v>-0.1773122607005057</v>
      </c>
      <c r="AF158" s="4" t="n">
        <v>0</v>
      </c>
      <c r="AG158" s="3" t="n">
        <v>0</v>
      </c>
      <c r="AH158" s="3" t="n">
        <v>0.654</v>
      </c>
      <c r="AI158" s="3" t="n">
        <v>1.112364</v>
      </c>
      <c r="AJ158" s="3">
        <f>N(R158)*N(BC158)</f>
        <v/>
      </c>
      <c r="AK158" s="3" t="n">
        <v>0.5769</v>
      </c>
      <c r="AL158" s="3" t="n">
        <v>0</v>
      </c>
      <c r="AM158" s="3" t="n">
        <v>-0.4835617861760246</v>
      </c>
      <c r="AN158" s="3" t="n">
        <v>-0.1773122607005057</v>
      </c>
      <c r="AO158" s="3">
        <f>SUM(AH158:AN158)</f>
        <v/>
      </c>
      <c r="AP158" s="5">
        <f>IF(OR(N(Q158)&lt;=0,N(BA158)=0),0,N(Q158)*IF(N(M158)/N(Q158)&gt;=60,N(BA158),1))</f>
        <v/>
      </c>
      <c r="AQ158" s="5">
        <f>N(Q158)*N(Z158)*N(BB158)</f>
        <v/>
      </c>
      <c r="AR158" s="5">
        <f>N(AF158)*(Assumptions!$B$13*N(BD158)-(1-Assumptions!$B$13)*Assumptions!$B$14)+N(AG158)</f>
        <v/>
      </c>
      <c r="AS158" s="5">
        <f>N(AO158)*N(M158)/90+N(AP158)+N(AQ158)+N(AR158)</f>
        <v/>
      </c>
      <c r="AT158" s="3">
        <f>IF(N(M158)&lt;=0,0,(N(AS158)-N(AR158))*90/N(M158))</f>
        <v/>
      </c>
      <c r="AU158" s="5">
        <f>IFERROR(AS158-VLOOKUP($C158,Assumptions!$A$36:$C$39,3,FALSE),"")</f>
        <v/>
      </c>
      <c r="AV158" s="3">
        <f>IFERROR(AU158/F158,"")</f>
        <v/>
      </c>
      <c r="AW158">
        <f>IF(AND($E158=TRUE,$C158="GKP"),AS158,"")</f>
        <v/>
      </c>
      <c r="AX158">
        <f>IF(AND($E158=TRUE,$C158="DEF"),AS158,"")</f>
        <v/>
      </c>
      <c r="AY158">
        <f>IF(AND($E158=TRUE,$C158="MID"),AS158,"")</f>
        <v/>
      </c>
      <c r="AZ158">
        <f>IF(AND($E158=TRUE,$C158="FWD"),AS158,"")</f>
        <v/>
      </c>
      <c r="BA158" t="n">
        <v>2</v>
      </c>
      <c r="BB158" t="n">
        <v>2</v>
      </c>
      <c r="BC158" t="n">
        <v>4</v>
      </c>
      <c r="BD158" t="n">
        <v>6</v>
      </c>
    </row>
    <row r="159">
      <c r="A159" t="inlineStr">
        <is>
          <t>Florentino</t>
        </is>
      </c>
      <c r="B159" t="inlineStr">
        <is>
          <t>IPS</t>
        </is>
      </c>
      <c r="C159" t="inlineStr">
        <is>
          <t>MID</t>
        </is>
      </c>
      <c r="D159" t="inlineStr">
        <is>
          <t>MID</t>
        </is>
      </c>
      <c r="E159" t="b">
        <v>1</v>
      </c>
      <c r="F159" s="2" t="n">
        <v>5</v>
      </c>
      <c r="G159" t="inlineStr">
        <is>
          <t>a</t>
        </is>
      </c>
      <c r="I159" s="2" t="n">
        <v>2100</v>
      </c>
      <c r="J159" t="n">
        <v>84</v>
      </c>
      <c r="K159" s="3" t="n">
        <v>1881</v>
      </c>
      <c r="L159" t="inlineStr">
        <is>
          <t>flat</t>
        </is>
      </c>
      <c r="M159" s="4" t="n">
        <v>1881</v>
      </c>
      <c r="N159" t="inlineStr">
        <is>
          <t>Solio</t>
        </is>
      </c>
      <c r="O159" s="5" t="n">
        <v>79.40000000000001</v>
      </c>
      <c r="P159" t="b">
        <v>1</v>
      </c>
      <c r="Q159" s="5">
        <f>IF(N(O159)&lt;=0,0,MIN(Assumptions!$B$15,N(M159)/N(O159)))</f>
        <v/>
      </c>
      <c r="R159" s="4" t="n">
        <v>0.17</v>
      </c>
      <c r="S159" s="3" t="n">
        <v>0.0257</v>
      </c>
      <c r="T159" t="inlineStr">
        <is>
          <t>adjusted xGOT</t>
        </is>
      </c>
      <c r="U159" s="3" t="n">
        <v>1</v>
      </c>
      <c r="V159" s="3" t="n">
        <v>0.9379999999999999</v>
      </c>
      <c r="W159" s="3" t="n">
        <v>0.6</v>
      </c>
      <c r="X159" s="3" t="n">
        <v>0.0227</v>
      </c>
      <c r="Y159" s="3" t="n">
        <v>12.179</v>
      </c>
      <c r="Z159" s="3" t="n">
        <v>0.3902726894277273</v>
      </c>
      <c r="AA159" s="3" t="n">
        <v>0</v>
      </c>
      <c r="AB159" s="3" t="n">
        <v>54</v>
      </c>
      <c r="AC159" s="3" t="n">
        <v>3.5741</v>
      </c>
      <c r="AD159" s="3" t="n">
        <v>1.8319</v>
      </c>
      <c r="AE159" s="3" t="n">
        <v>-0.2502924944666128</v>
      </c>
      <c r="AF159" s="4" t="n">
        <v>0</v>
      </c>
      <c r="AG159" s="3" t="n">
        <v>0</v>
      </c>
      <c r="AH159" s="3" t="n">
        <v>0.1285</v>
      </c>
      <c r="AI159" s="3" t="n">
        <v>0.08989200000000001</v>
      </c>
      <c r="AJ159" s="3">
        <f>N(R159)*N(BC159)</f>
        <v/>
      </c>
      <c r="AK159" s="3" t="n">
        <v>0</v>
      </c>
      <c r="AL159" s="3" t="n">
        <v>0</v>
      </c>
      <c r="AM159" s="3" t="n">
        <v>-0</v>
      </c>
      <c r="AN159" s="3" t="n">
        <v>-0.2502924944666128</v>
      </c>
      <c r="AO159" s="3">
        <f>SUM(AH159:AN159)</f>
        <v/>
      </c>
      <c r="AP159" s="5">
        <f>IF(OR(N(Q159)&lt;=0,N(BA159)=0),0,N(Q159)*IF(N(M159)/N(Q159)&gt;=60,N(BA159),1))</f>
        <v/>
      </c>
      <c r="AQ159" s="5">
        <f>N(Q159)*N(Z159)*N(BB159)</f>
        <v/>
      </c>
      <c r="AR159" s="5">
        <f>N(AF159)*(Assumptions!$B$13*N(BD159)-(1-Assumptions!$B$13)*Assumptions!$B$14)+N(AG159)</f>
        <v/>
      </c>
      <c r="AS159" s="5">
        <f>N(AO159)*N(M159)/90+N(AP159)+N(AQ159)+N(AR159)</f>
        <v/>
      </c>
      <c r="AT159" s="3">
        <f>IF(N(M159)&lt;=0,0,(N(AS159)-N(AR159))*90/N(M159))</f>
        <v/>
      </c>
      <c r="AU159" s="5">
        <f>IFERROR(AS159-VLOOKUP($C159,Assumptions!$A$36:$C$39,3,FALSE),"")</f>
        <v/>
      </c>
      <c r="AV159" s="3">
        <f>IFERROR(AU159/F159,"")</f>
        <v/>
      </c>
      <c r="AW159">
        <f>IF(AND($E159=TRUE,$C159="GKP"),AS159,"")</f>
        <v/>
      </c>
      <c r="AX159">
        <f>IF(AND($E159=TRUE,$C159="DEF"),AS159,"")</f>
        <v/>
      </c>
      <c r="AY159">
        <f>IF(AND($E159=TRUE,$C159="MID"),AS159,"")</f>
        <v/>
      </c>
      <c r="AZ159">
        <f>IF(AND($E159=TRUE,$C159="FWD"),AS159,"")</f>
        <v/>
      </c>
      <c r="BA159" t="n">
        <v>2</v>
      </c>
      <c r="BB159" t="n">
        <v>2</v>
      </c>
      <c r="BC159" t="n">
        <v>1</v>
      </c>
      <c r="BD159" t="n">
        <v>5</v>
      </c>
    </row>
    <row r="160">
      <c r="A160" t="inlineStr">
        <is>
          <t>Murillo</t>
        </is>
      </c>
      <c r="B160" t="inlineStr">
        <is>
          <t>NFO</t>
        </is>
      </c>
      <c r="C160" t="inlineStr">
        <is>
          <t>DEF</t>
        </is>
      </c>
      <c r="D160" t="inlineStr">
        <is>
          <t>DEF</t>
        </is>
      </c>
      <c r="E160" t="b">
        <v>1</v>
      </c>
      <c r="F160" s="2" t="n">
        <v>5.5</v>
      </c>
      <c r="G160" t="inlineStr">
        <is>
          <t>a</t>
        </is>
      </c>
      <c r="I160" s="2" t="n">
        <v>2130</v>
      </c>
      <c r="J160" t="n">
        <v>83</v>
      </c>
      <c r="K160" s="3" t="n">
        <v>3101</v>
      </c>
      <c r="L160" t="inlineStr">
        <is>
          <t>flat</t>
        </is>
      </c>
      <c r="M160" s="4" t="n">
        <v>3101</v>
      </c>
      <c r="N160" t="inlineStr">
        <is>
          <t>Solio</t>
        </is>
      </c>
      <c r="O160" s="5" t="n">
        <v>85.2</v>
      </c>
      <c r="P160" t="b">
        <v>1</v>
      </c>
      <c r="Q160" s="5">
        <f>IF(N(O160)&lt;=0,0,MIN(Assumptions!$B$15,N(M160)/N(O160)))</f>
        <v/>
      </c>
      <c r="R160" s="4" t="n">
        <v>0.224</v>
      </c>
      <c r="S160" s="3" t="n">
        <v>0.0299</v>
      </c>
      <c r="T160" t="inlineStr">
        <is>
          <t>adjusted xGOT</t>
        </is>
      </c>
      <c r="U160" s="3" t="n">
        <v>1</v>
      </c>
      <c r="V160" s="3" t="n">
        <v>0.968</v>
      </c>
      <c r="W160" s="3" t="n">
        <v>4</v>
      </c>
      <c r="X160" s="3" t="n">
        <v>0.0163</v>
      </c>
      <c r="Y160" s="3" t="n">
        <v>8.984</v>
      </c>
      <c r="Z160" s="3" t="n">
        <v>0.3476567272800053</v>
      </c>
      <c r="AA160" s="3" t="n">
        <v>0.1268</v>
      </c>
      <c r="AB160" s="3" t="n">
        <v>48</v>
      </c>
      <c r="AC160" s="3" t="n">
        <v>3.1134</v>
      </c>
      <c r="AD160" s="3" t="n">
        <v>1.5588</v>
      </c>
      <c r="AE160" s="3" t="n">
        <v>-0.2057759377817235</v>
      </c>
      <c r="AF160" s="4" t="n">
        <v>0</v>
      </c>
      <c r="AG160" s="3" t="n">
        <v>0</v>
      </c>
      <c r="AH160" s="3" t="n">
        <v>0.1794</v>
      </c>
      <c r="AI160" s="3" t="n">
        <v>0.06454800000000001</v>
      </c>
      <c r="AJ160" s="3">
        <f>N(R160)*N(BC160)</f>
        <v/>
      </c>
      <c r="AK160" s="3" t="n">
        <v>0.1268</v>
      </c>
      <c r="AL160" s="3" t="n">
        <v>0</v>
      </c>
      <c r="AM160" s="3" t="n">
        <v>-0.5404658182244797</v>
      </c>
      <c r="AN160" s="3" t="n">
        <v>-0.2057759377817235</v>
      </c>
      <c r="AO160" s="3">
        <f>SUM(AH160:AN160)</f>
        <v/>
      </c>
      <c r="AP160" s="5">
        <f>IF(OR(N(Q160)&lt;=0,N(BA160)=0),0,N(Q160)*IF(N(M160)/N(Q160)&gt;=60,N(BA160),1))</f>
        <v/>
      </c>
      <c r="AQ160" s="5">
        <f>N(Q160)*N(Z160)*N(BB160)</f>
        <v/>
      </c>
      <c r="AR160" s="5">
        <f>N(AF160)*(Assumptions!$B$13*N(BD160)-(1-Assumptions!$B$13)*Assumptions!$B$14)+N(AG160)</f>
        <v/>
      </c>
      <c r="AS160" s="5">
        <f>N(AO160)*N(M160)/90+N(AP160)+N(AQ160)+N(AR160)</f>
        <v/>
      </c>
      <c r="AT160" s="3">
        <f>IF(N(M160)&lt;=0,0,(N(AS160)-N(AR160))*90/N(M160))</f>
        <v/>
      </c>
      <c r="AU160" s="5">
        <f>IFERROR(AS160-VLOOKUP($C160,Assumptions!$A$36:$C$39,3,FALSE),"")</f>
        <v/>
      </c>
      <c r="AV160" s="3">
        <f>IFERROR(AU160/F160,"")</f>
        <v/>
      </c>
      <c r="AW160">
        <f>IF(AND($E160=TRUE,$C160="GKP"),AS160,"")</f>
        <v/>
      </c>
      <c r="AX160">
        <f>IF(AND($E160=TRUE,$C160="DEF"),AS160,"")</f>
        <v/>
      </c>
      <c r="AY160">
        <f>IF(AND($E160=TRUE,$C160="MID"),AS160,"")</f>
        <v/>
      </c>
      <c r="AZ160">
        <f>IF(AND($E160=TRUE,$C160="FWD"),AS160,"")</f>
        <v/>
      </c>
      <c r="BA160" t="n">
        <v>2</v>
      </c>
      <c r="BB160" t="n">
        <v>2</v>
      </c>
      <c r="BC160" t="n">
        <v>4</v>
      </c>
      <c r="BD160" t="n">
        <v>6</v>
      </c>
    </row>
    <row r="161">
      <c r="A161" t="inlineStr">
        <is>
          <t>Chemsdine Talbi</t>
        </is>
      </c>
      <c r="B161" t="inlineStr">
        <is>
          <t>SUN</t>
        </is>
      </c>
      <c r="C161" t="inlineStr">
        <is>
          <t>MID</t>
        </is>
      </c>
      <c r="D161" t="inlineStr">
        <is>
          <t>MID</t>
        </is>
      </c>
      <c r="E161" t="b">
        <v>1</v>
      </c>
      <c r="F161" s="2" t="n">
        <v>5.5</v>
      </c>
      <c r="G161" t="inlineStr">
        <is>
          <t>a</t>
        </is>
      </c>
      <c r="I161" s="2" t="n">
        <v>1553</v>
      </c>
      <c r="J161" t="n">
        <v>83</v>
      </c>
      <c r="K161" s="3" t="n">
        <v>2263</v>
      </c>
      <c r="L161" t="inlineStr">
        <is>
          <t>flat</t>
        </is>
      </c>
      <c r="M161" s="4" t="n">
        <v>2263</v>
      </c>
      <c r="N161" t="inlineStr">
        <is>
          <t>Solio</t>
        </is>
      </c>
      <c r="O161" s="5" t="n">
        <v>78.40000000000001</v>
      </c>
      <c r="P161" t="b">
        <v>1</v>
      </c>
      <c r="Q161" s="5">
        <f>IF(N(O161)&lt;=0,0,MIN(Assumptions!$B$15,N(M161)/N(O161)))</f>
        <v/>
      </c>
      <c r="R161" s="4" t="n">
        <v>0.204</v>
      </c>
      <c r="S161" s="3" t="n">
        <v>0.1438</v>
      </c>
      <c r="T161" t="inlineStr">
        <is>
          <t>adjusted xGOT</t>
        </is>
      </c>
      <c r="U161" s="3" t="n">
        <v>1</v>
      </c>
      <c r="V161" s="3" t="n">
        <v>1.165</v>
      </c>
      <c r="W161" s="3" t="n">
        <v>2.1</v>
      </c>
      <c r="X161" s="3" t="n">
        <v>0.0516</v>
      </c>
      <c r="Y161" s="3" t="n">
        <v>6.36</v>
      </c>
      <c r="Z161" s="3" t="n">
        <v>0.01157413089442327</v>
      </c>
      <c r="AA161" s="3" t="n">
        <v>0.4057</v>
      </c>
      <c r="AB161" s="3" t="n">
        <v>44</v>
      </c>
      <c r="AC161" s="3" t="n">
        <v>3.3348</v>
      </c>
      <c r="AD161" s="3" t="n">
        <v>1.6498</v>
      </c>
      <c r="AE161" s="3" t="n">
        <v>-0.1125747540818522</v>
      </c>
      <c r="AF161" s="4" t="n">
        <v>0</v>
      </c>
      <c r="AG161" s="3" t="n">
        <v>0</v>
      </c>
      <c r="AH161" s="3" t="n">
        <v>0.7190000000000001</v>
      </c>
      <c r="AI161" s="3" t="n">
        <v>0.204336</v>
      </c>
      <c r="AJ161" s="3">
        <f>N(R161)*N(BC161)</f>
        <v/>
      </c>
      <c r="AK161" s="3" t="n">
        <v>0.4057</v>
      </c>
      <c r="AL161" s="3" t="n">
        <v>0</v>
      </c>
      <c r="AM161" s="3" t="n">
        <v>-0</v>
      </c>
      <c r="AN161" s="3" t="n">
        <v>-0.1125747540818522</v>
      </c>
      <c r="AO161" s="3">
        <f>SUM(AH161:AN161)</f>
        <v/>
      </c>
      <c r="AP161" s="5">
        <f>IF(OR(N(Q161)&lt;=0,N(BA161)=0),0,N(Q161)*IF(N(M161)/N(Q161)&gt;=60,N(BA161),1))</f>
        <v/>
      </c>
      <c r="AQ161" s="5">
        <f>N(Q161)*N(Z161)*N(BB161)</f>
        <v/>
      </c>
      <c r="AR161" s="5">
        <f>N(AF161)*(Assumptions!$B$13*N(BD161)-(1-Assumptions!$B$13)*Assumptions!$B$14)+N(AG161)</f>
        <v/>
      </c>
      <c r="AS161" s="5">
        <f>N(AO161)*N(M161)/90+N(AP161)+N(AQ161)+N(AR161)</f>
        <v/>
      </c>
      <c r="AT161" s="3">
        <f>IF(N(M161)&lt;=0,0,(N(AS161)-N(AR161))*90/N(M161))</f>
        <v/>
      </c>
      <c r="AU161" s="5">
        <f>IFERROR(AS161-VLOOKUP($C161,Assumptions!$A$36:$C$39,3,FALSE),"")</f>
        <v/>
      </c>
      <c r="AV161" s="3">
        <f>IFERROR(AU161/F161,"")</f>
        <v/>
      </c>
      <c r="AW161">
        <f>IF(AND($E161=TRUE,$C161="GKP"),AS161,"")</f>
        <v/>
      </c>
      <c r="AX161">
        <f>IF(AND($E161=TRUE,$C161="DEF"),AS161,"")</f>
        <v/>
      </c>
      <c r="AY161">
        <f>IF(AND($E161=TRUE,$C161="MID"),AS161,"")</f>
        <v/>
      </c>
      <c r="AZ161">
        <f>IF(AND($E161=TRUE,$C161="FWD"),AS161,"")</f>
        <v/>
      </c>
      <c r="BA161" t="n">
        <v>2</v>
      </c>
      <c r="BB161" t="n">
        <v>2</v>
      </c>
      <c r="BC161" t="n">
        <v>1</v>
      </c>
      <c r="BD161" t="n">
        <v>5</v>
      </c>
    </row>
    <row r="162">
      <c r="A162" t="inlineStr">
        <is>
          <t>Omari Hutchinson</t>
        </is>
      </c>
      <c r="B162" t="inlineStr">
        <is>
          <t>NFO</t>
        </is>
      </c>
      <c r="C162" t="inlineStr">
        <is>
          <t>MID</t>
        </is>
      </c>
      <c r="D162" t="inlineStr">
        <is>
          <t>MID</t>
        </is>
      </c>
      <c r="E162" t="b">
        <v>1</v>
      </c>
      <c r="F162" s="2" t="n">
        <v>5.5</v>
      </c>
      <c r="G162" t="inlineStr">
        <is>
          <t>a</t>
        </is>
      </c>
      <c r="I162" s="2" t="n">
        <v>1676</v>
      </c>
      <c r="J162" t="n">
        <v>82</v>
      </c>
      <c r="K162" s="3" t="n">
        <v>443</v>
      </c>
      <c r="L162" t="inlineStr">
        <is>
          <t>flat</t>
        </is>
      </c>
      <c r="M162" s="4" t="n">
        <v>443</v>
      </c>
      <c r="N162" t="inlineStr">
        <is>
          <t>Solio</t>
        </is>
      </c>
      <c r="O162" s="5" t="n">
        <v>78.09999999999999</v>
      </c>
      <c r="P162" t="b">
        <v>1</v>
      </c>
      <c r="Q162" s="5">
        <f>IF(N(O162)&lt;=0,0,MIN(Assumptions!$B$15,N(M162)/N(O162)))</f>
        <v/>
      </c>
      <c r="R162" s="4" t="n">
        <v>0.224</v>
      </c>
      <c r="S162" s="3" t="n">
        <v>0.1126</v>
      </c>
      <c r="T162" t="inlineStr">
        <is>
          <t>adjusted xGOT</t>
        </is>
      </c>
      <c r="U162" s="3" t="n">
        <v>1</v>
      </c>
      <c r="V162" s="3" t="n">
        <v>1.043</v>
      </c>
      <c r="W162" s="3" t="n">
        <v>4.9</v>
      </c>
      <c r="X162" s="3" t="n">
        <v>0.2363</v>
      </c>
      <c r="Y162" s="3" t="n">
        <v>7.423</v>
      </c>
      <c r="Z162" s="3" t="n">
        <v>0.03199070252623082</v>
      </c>
      <c r="AA162" s="3" t="n">
        <v>0.1611</v>
      </c>
      <c r="AB162" s="3" t="n">
        <v>46</v>
      </c>
      <c r="AC162" s="3" t="n">
        <v>3.1134</v>
      </c>
      <c r="AD162" s="3" t="n">
        <v>1.5588</v>
      </c>
      <c r="AE162" s="3" t="n">
        <v>-0.1552994984010327</v>
      </c>
      <c r="AF162" s="4" t="n">
        <v>0</v>
      </c>
      <c r="AG162" s="3" t="n">
        <v>0</v>
      </c>
      <c r="AH162" s="3" t="n">
        <v>0.5630000000000001</v>
      </c>
      <c r="AI162" s="3" t="n">
        <v>0.9357480000000001</v>
      </c>
      <c r="AJ162" s="3">
        <f>N(R162)*N(BC162)</f>
        <v/>
      </c>
      <c r="AK162" s="3" t="n">
        <v>0.1611</v>
      </c>
      <c r="AL162" s="3" t="n">
        <v>0</v>
      </c>
      <c r="AM162" s="3" t="n">
        <v>-0</v>
      </c>
      <c r="AN162" s="3" t="n">
        <v>-0.1552994984010327</v>
      </c>
      <c r="AO162" s="3">
        <f>SUM(AH162:AN162)</f>
        <v/>
      </c>
      <c r="AP162" s="5">
        <f>IF(OR(N(Q162)&lt;=0,N(BA162)=0),0,N(Q162)*IF(N(M162)/N(Q162)&gt;=60,N(BA162),1))</f>
        <v/>
      </c>
      <c r="AQ162" s="5">
        <f>N(Q162)*N(Z162)*N(BB162)</f>
        <v/>
      </c>
      <c r="AR162" s="5">
        <f>N(AF162)*(Assumptions!$B$13*N(BD162)-(1-Assumptions!$B$13)*Assumptions!$B$14)+N(AG162)</f>
        <v/>
      </c>
      <c r="AS162" s="5">
        <f>N(AO162)*N(M162)/90+N(AP162)+N(AQ162)+N(AR162)</f>
        <v/>
      </c>
      <c r="AT162" s="3">
        <f>IF(N(M162)&lt;=0,0,(N(AS162)-N(AR162))*90/N(M162))</f>
        <v/>
      </c>
      <c r="AU162" s="5">
        <f>IFERROR(AS162-VLOOKUP($C162,Assumptions!$A$36:$C$39,3,FALSE),"")</f>
        <v/>
      </c>
      <c r="AV162" s="3">
        <f>IFERROR(AU162/F162,"")</f>
        <v/>
      </c>
      <c r="AW162">
        <f>IF(AND($E162=TRUE,$C162="GKP"),AS162,"")</f>
        <v/>
      </c>
      <c r="AX162">
        <f>IF(AND($E162=TRUE,$C162="DEF"),AS162,"")</f>
        <v/>
      </c>
      <c r="AY162">
        <f>IF(AND($E162=TRUE,$C162="MID"),AS162,"")</f>
        <v/>
      </c>
      <c r="AZ162">
        <f>IF(AND($E162=TRUE,$C162="FWD"),AS162,"")</f>
        <v/>
      </c>
      <c r="BA162" t="n">
        <v>2</v>
      </c>
      <c r="BB162" t="n">
        <v>2</v>
      </c>
      <c r="BC162" t="n">
        <v>1</v>
      </c>
      <c r="BD162" t="n">
        <v>5</v>
      </c>
    </row>
    <row r="163">
      <c r="A163" t="inlineStr">
        <is>
          <t>Jacob Murphy</t>
        </is>
      </c>
      <c r="B163" t="inlineStr">
        <is>
          <t>NEW</t>
        </is>
      </c>
      <c r="C163" t="inlineStr">
        <is>
          <t>MID</t>
        </is>
      </c>
      <c r="D163" t="inlineStr">
        <is>
          <t>MID</t>
        </is>
      </c>
      <c r="E163" t="b">
        <v>1</v>
      </c>
      <c r="F163" s="2" t="n">
        <v>6</v>
      </c>
      <c r="G163" t="inlineStr">
        <is>
          <t>a</t>
        </is>
      </c>
      <c r="I163" s="2" t="n">
        <v>1606</v>
      </c>
      <c r="J163" t="n">
        <v>82</v>
      </c>
      <c r="K163" s="3" t="n">
        <v>1835</v>
      </c>
      <c r="L163" t="inlineStr">
        <is>
          <t>flat</t>
        </is>
      </c>
      <c r="M163" s="4" t="n">
        <v>1835</v>
      </c>
      <c r="N163" t="inlineStr">
        <is>
          <t>Solio</t>
        </is>
      </c>
      <c r="O163" s="5" t="n">
        <v>69.40000000000001</v>
      </c>
      <c r="P163" t="b">
        <v>1</v>
      </c>
      <c r="Q163" s="5">
        <f>IF(N(O163)&lt;=0,0,MIN(Assumptions!$B$15,N(M163)/N(O163)))</f>
        <v/>
      </c>
      <c r="R163" s="4" t="n">
        <v>0.248</v>
      </c>
      <c r="S163" s="3" t="n">
        <v>0.1588</v>
      </c>
      <c r="T163" t="inlineStr">
        <is>
          <t>adjusted xGOT</t>
        </is>
      </c>
      <c r="U163" s="3" t="n">
        <v>1</v>
      </c>
      <c r="V163" s="3" t="n">
        <v>0.923</v>
      </c>
      <c r="W163" s="3" t="n">
        <v>14.6</v>
      </c>
      <c r="X163" s="3" t="n">
        <v>0.2086</v>
      </c>
      <c r="Y163" s="3" t="n">
        <v>6.137</v>
      </c>
      <c r="Z163" s="3" t="n">
        <v>0.003575358133501516</v>
      </c>
      <c r="AA163" s="3" t="n">
        <v>0.2802</v>
      </c>
      <c r="AB163" s="3" t="n">
        <v>50</v>
      </c>
      <c r="AC163" s="3" t="n">
        <v>3.0912</v>
      </c>
      <c r="AD163" s="3" t="n">
        <v>1.4534</v>
      </c>
      <c r="AE163" s="3" t="n">
        <v>-0.1624120086980674</v>
      </c>
      <c r="AF163" s="4" t="n">
        <v>0</v>
      </c>
      <c r="AG163" s="3" t="n">
        <v>0</v>
      </c>
      <c r="AH163" s="3" t="n">
        <v>0.794</v>
      </c>
      <c r="AI163" s="3" t="n">
        <v>0.8260560000000001</v>
      </c>
      <c r="AJ163" s="3">
        <f>N(R163)*N(BC163)</f>
        <v/>
      </c>
      <c r="AK163" s="3" t="n">
        <v>0.2802</v>
      </c>
      <c r="AL163" s="3" t="n">
        <v>0</v>
      </c>
      <c r="AM163" s="3" t="n">
        <v>-0</v>
      </c>
      <c r="AN163" s="3" t="n">
        <v>-0.1624120086980674</v>
      </c>
      <c r="AO163" s="3">
        <f>SUM(AH163:AN163)</f>
        <v/>
      </c>
      <c r="AP163" s="5">
        <f>IF(OR(N(Q163)&lt;=0,N(BA163)=0),0,N(Q163)*IF(N(M163)/N(Q163)&gt;=60,N(BA163),1))</f>
        <v/>
      </c>
      <c r="AQ163" s="5">
        <f>N(Q163)*N(Z163)*N(BB163)</f>
        <v/>
      </c>
      <c r="AR163" s="5">
        <f>N(AF163)*(Assumptions!$B$13*N(BD163)-(1-Assumptions!$B$13)*Assumptions!$B$14)+N(AG163)</f>
        <v/>
      </c>
      <c r="AS163" s="5">
        <f>N(AO163)*N(M163)/90+N(AP163)+N(AQ163)+N(AR163)</f>
        <v/>
      </c>
      <c r="AT163" s="3">
        <f>IF(N(M163)&lt;=0,0,(N(AS163)-N(AR163))*90/N(M163))</f>
        <v/>
      </c>
      <c r="AU163" s="5">
        <f>IFERROR(AS163-VLOOKUP($C163,Assumptions!$A$36:$C$39,3,FALSE),"")</f>
        <v/>
      </c>
      <c r="AV163" s="3">
        <f>IFERROR(AU163/F163,"")</f>
        <v/>
      </c>
      <c r="AW163">
        <f>IF(AND($E163=TRUE,$C163="GKP"),AS163,"")</f>
        <v/>
      </c>
      <c r="AX163">
        <f>IF(AND($E163=TRUE,$C163="DEF"),AS163,"")</f>
        <v/>
      </c>
      <c r="AY163">
        <f>IF(AND($E163=TRUE,$C163="MID"),AS163,"")</f>
        <v/>
      </c>
      <c r="AZ163">
        <f>IF(AND($E163=TRUE,$C163="FWD"),AS163,"")</f>
        <v/>
      </c>
      <c r="BA163" t="n">
        <v>2</v>
      </c>
      <c r="BB163" t="n">
        <v>2</v>
      </c>
      <c r="BC163" t="n">
        <v>1</v>
      </c>
      <c r="BD163" t="n">
        <v>5</v>
      </c>
    </row>
    <row r="164">
      <c r="A164" t="inlineStr">
        <is>
          <t>Kenny Tete</t>
        </is>
      </c>
      <c r="B164" t="inlineStr">
        <is>
          <t>FUL</t>
        </is>
      </c>
      <c r="C164" t="inlineStr">
        <is>
          <t>DEF</t>
        </is>
      </c>
      <c r="D164" t="inlineStr">
        <is>
          <t>DEF</t>
        </is>
      </c>
      <c r="E164" t="b">
        <v>1</v>
      </c>
      <c r="F164" s="2" t="n">
        <v>4.5</v>
      </c>
      <c r="G164" t="inlineStr">
        <is>
          <t>a</t>
        </is>
      </c>
      <c r="I164" s="2" t="n">
        <v>1791</v>
      </c>
      <c r="J164" t="n">
        <v>81</v>
      </c>
      <c r="K164" s="3" t="n">
        <v>1528</v>
      </c>
      <c r="L164" t="inlineStr">
        <is>
          <t>flat</t>
        </is>
      </c>
      <c r="M164" s="4" t="n">
        <v>1528</v>
      </c>
      <c r="N164" t="inlineStr">
        <is>
          <t>Solio</t>
        </is>
      </c>
      <c r="O164" s="5" t="n">
        <v>85</v>
      </c>
      <c r="P164" t="b">
        <v>1</v>
      </c>
      <c r="Q164" s="5">
        <f>IF(N(O164)&lt;=0,0,MIN(Assumptions!$B$15,N(M164)/N(O164)))</f>
        <v/>
      </c>
      <c r="R164" s="4" t="n">
        <v>0.214</v>
      </c>
      <c r="S164" s="3" t="n">
        <v>0.0396</v>
      </c>
      <c r="T164" t="inlineStr">
        <is>
          <t>adjusted xGOT</t>
        </is>
      </c>
      <c r="U164" s="3" t="n">
        <v>1</v>
      </c>
      <c r="V164" s="3" t="n">
        <v>0.858</v>
      </c>
      <c r="W164" s="3" t="n">
        <v>3.9</v>
      </c>
      <c r="X164" s="3" t="n">
        <v>0.0605</v>
      </c>
      <c r="Y164" s="3" t="n">
        <v>8.118</v>
      </c>
      <c r="Z164" s="3" t="n">
        <v>0.243012291454944</v>
      </c>
      <c r="AA164" s="3" t="n">
        <v>0.2513</v>
      </c>
      <c r="AB164" s="3" t="n">
        <v>41</v>
      </c>
      <c r="AC164" s="3" t="n">
        <v>3.22</v>
      </c>
      <c r="AD164" s="3" t="n">
        <v>1.6019</v>
      </c>
      <c r="AE164" s="3" t="n">
        <v>-0.1905925778562175</v>
      </c>
      <c r="AF164" s="4" t="n">
        <v>0</v>
      </c>
      <c r="AG164" s="3" t="n">
        <v>0</v>
      </c>
      <c r="AH164" s="3" t="n">
        <v>0.2376</v>
      </c>
      <c r="AI164" s="3" t="n">
        <v>0.23958</v>
      </c>
      <c r="AJ164" s="3">
        <f>N(R164)*N(BC164)</f>
        <v/>
      </c>
      <c r="AK164" s="3" t="n">
        <v>0.2513</v>
      </c>
      <c r="AL164" s="3" t="n">
        <v>0</v>
      </c>
      <c r="AM164" s="3" t="n">
        <v>-0.5611019003833156</v>
      </c>
      <c r="AN164" s="3" t="n">
        <v>-0.1905925778562175</v>
      </c>
      <c r="AO164" s="3">
        <f>SUM(AH164:AN164)</f>
        <v/>
      </c>
      <c r="AP164" s="5">
        <f>IF(OR(N(Q164)&lt;=0,N(BA164)=0),0,N(Q164)*IF(N(M164)/N(Q164)&gt;=60,N(BA164),1))</f>
        <v/>
      </c>
      <c r="AQ164" s="5">
        <f>N(Q164)*N(Z164)*N(BB164)</f>
        <v/>
      </c>
      <c r="AR164" s="5">
        <f>N(AF164)*(Assumptions!$B$13*N(BD164)-(1-Assumptions!$B$13)*Assumptions!$B$14)+N(AG164)</f>
        <v/>
      </c>
      <c r="AS164" s="5">
        <f>N(AO164)*N(M164)/90+N(AP164)+N(AQ164)+N(AR164)</f>
        <v/>
      </c>
      <c r="AT164" s="3">
        <f>IF(N(M164)&lt;=0,0,(N(AS164)-N(AR164))*90/N(M164))</f>
        <v/>
      </c>
      <c r="AU164" s="5">
        <f>IFERROR(AS164-VLOOKUP($C164,Assumptions!$A$36:$C$39,3,FALSE),"")</f>
        <v/>
      </c>
      <c r="AV164" s="3">
        <f>IFERROR(AU164/F164,"")</f>
        <v/>
      </c>
      <c r="AW164">
        <f>IF(AND($E164=TRUE,$C164="GKP"),AS164,"")</f>
        <v/>
      </c>
      <c r="AX164">
        <f>IF(AND($E164=TRUE,$C164="DEF"),AS164,"")</f>
        <v/>
      </c>
      <c r="AY164">
        <f>IF(AND($E164=TRUE,$C164="MID"),AS164,"")</f>
        <v/>
      </c>
      <c r="AZ164">
        <f>IF(AND($E164=TRUE,$C164="FWD"),AS164,"")</f>
        <v/>
      </c>
      <c r="BA164" t="n">
        <v>2</v>
      </c>
      <c r="BB164" t="n">
        <v>2</v>
      </c>
      <c r="BC164" t="n">
        <v>4</v>
      </c>
      <c r="BD164" t="n">
        <v>6</v>
      </c>
    </row>
    <row r="165">
      <c r="A165" t="inlineStr">
        <is>
          <t>Sandro Tonali</t>
        </is>
      </c>
      <c r="B165" t="inlineStr">
        <is>
          <t>TOT</t>
        </is>
      </c>
      <c r="C165" t="inlineStr">
        <is>
          <t>MID</t>
        </is>
      </c>
      <c r="D165" t="inlineStr">
        <is>
          <t>MID</t>
        </is>
      </c>
      <c r="E165" t="b">
        <v>1</v>
      </c>
      <c r="F165" s="2" t="n">
        <v>5.5</v>
      </c>
      <c r="G165" t="inlineStr">
        <is>
          <t>a</t>
        </is>
      </c>
      <c r="I165" s="2" t="n">
        <v>2534</v>
      </c>
      <c r="J165" t="n">
        <v>81</v>
      </c>
      <c r="K165" s="3" t="n">
        <v>2918</v>
      </c>
      <c r="L165" t="inlineStr">
        <is>
          <t>flat</t>
        </is>
      </c>
      <c r="M165" s="4" t="n">
        <v>2918</v>
      </c>
      <c r="N165" t="inlineStr">
        <is>
          <t>Solio</t>
        </is>
      </c>
      <c r="O165" s="5" t="n">
        <v>80.3</v>
      </c>
      <c r="P165" t="b">
        <v>1</v>
      </c>
      <c r="Q165" s="5">
        <f>IF(N(O165)&lt;=0,0,MIN(Assumptions!$B$15,N(M165)/N(O165)))</f>
        <v/>
      </c>
      <c r="R165" s="4" t="n">
        <v>0.286</v>
      </c>
      <c r="S165" s="3" t="n">
        <v>0.0645</v>
      </c>
      <c r="T165" t="inlineStr">
        <is>
          <t>adjusted xGOT</t>
        </is>
      </c>
      <c r="U165" s="3" t="n">
        <v>1</v>
      </c>
      <c r="V165" s="3" t="n">
        <v>1.038</v>
      </c>
      <c r="W165" s="3" t="n">
        <v>6.8</v>
      </c>
      <c r="X165" s="3" t="n">
        <v>0.1177</v>
      </c>
      <c r="Y165" s="3" t="n">
        <v>9.006</v>
      </c>
      <c r="Z165" s="3" t="n">
        <v>0.1144930660373242</v>
      </c>
      <c r="AA165" s="3" t="n">
        <v>0.0355</v>
      </c>
      <c r="AB165" s="3" t="n">
        <v>62</v>
      </c>
      <c r="AC165" s="3" t="n">
        <v>2.5739</v>
      </c>
      <c r="AD165" s="3" t="n">
        <v>1.3096</v>
      </c>
      <c r="AE165" s="3" t="n">
        <v>-0.1894479769331817</v>
      </c>
      <c r="AF165" s="4" t="n">
        <v>0</v>
      </c>
      <c r="AG165" s="3" t="n">
        <v>0</v>
      </c>
      <c r="AH165" s="3" t="n">
        <v>0.3225</v>
      </c>
      <c r="AI165" s="3" t="n">
        <v>0.466092</v>
      </c>
      <c r="AJ165" s="3">
        <f>N(R165)*N(BC165)</f>
        <v/>
      </c>
      <c r="AK165" s="3" t="n">
        <v>0.0355</v>
      </c>
      <c r="AL165" s="3" t="n">
        <v>0</v>
      </c>
      <c r="AM165" s="3" t="n">
        <v>-0</v>
      </c>
      <c r="AN165" s="3" t="n">
        <v>-0.1894479769331817</v>
      </c>
      <c r="AO165" s="3">
        <f>SUM(AH165:AN165)</f>
        <v/>
      </c>
      <c r="AP165" s="5">
        <f>IF(OR(N(Q165)&lt;=0,N(BA165)=0),0,N(Q165)*IF(N(M165)/N(Q165)&gt;=60,N(BA165),1))</f>
        <v/>
      </c>
      <c r="AQ165" s="5">
        <f>N(Q165)*N(Z165)*N(BB165)</f>
        <v/>
      </c>
      <c r="AR165" s="5">
        <f>N(AF165)*(Assumptions!$B$13*N(BD165)-(1-Assumptions!$B$13)*Assumptions!$B$14)+N(AG165)</f>
        <v/>
      </c>
      <c r="AS165" s="5">
        <f>N(AO165)*N(M165)/90+N(AP165)+N(AQ165)+N(AR165)</f>
        <v/>
      </c>
      <c r="AT165" s="3">
        <f>IF(N(M165)&lt;=0,0,(N(AS165)-N(AR165))*90/N(M165))</f>
        <v/>
      </c>
      <c r="AU165" s="5">
        <f>IFERROR(AS165-VLOOKUP($C165,Assumptions!$A$36:$C$39,3,FALSE),"")</f>
        <v/>
      </c>
      <c r="AV165" s="3">
        <f>IFERROR(AU165/F165,"")</f>
        <v/>
      </c>
      <c r="AW165">
        <f>IF(AND($E165=TRUE,$C165="GKP"),AS165,"")</f>
        <v/>
      </c>
      <c r="AX165">
        <f>IF(AND($E165=TRUE,$C165="DEF"),AS165,"")</f>
        <v/>
      </c>
      <c r="AY165">
        <f>IF(AND($E165=TRUE,$C165="MID"),AS165,"")</f>
        <v/>
      </c>
      <c r="AZ165">
        <f>IF(AND($E165=TRUE,$C165="FWD"),AS165,"")</f>
        <v/>
      </c>
      <c r="BA165" t="n">
        <v>2</v>
      </c>
      <c r="BB165" t="n">
        <v>2</v>
      </c>
      <c r="BC165" t="n">
        <v>1</v>
      </c>
      <c r="BD165" t="n">
        <v>5</v>
      </c>
    </row>
    <row r="166">
      <c r="A166" t="inlineStr">
        <is>
          <t>Curtis Jones</t>
        </is>
      </c>
      <c r="B166" t="inlineStr">
        <is>
          <t>LIV</t>
        </is>
      </c>
      <c r="C166" t="inlineStr">
        <is>
          <t>MID</t>
        </is>
      </c>
      <c r="D166" t="inlineStr">
        <is>
          <t>MID</t>
        </is>
      </c>
      <c r="E166" t="b">
        <v>1</v>
      </c>
      <c r="F166" s="2" t="n">
        <v>5.5</v>
      </c>
      <c r="G166" t="inlineStr">
        <is>
          <t>a</t>
        </is>
      </c>
      <c r="I166" s="2" t="n">
        <v>1923</v>
      </c>
      <c r="J166" t="n">
        <v>81</v>
      </c>
      <c r="K166" s="3" t="n">
        <v>697</v>
      </c>
      <c r="L166" t="inlineStr">
        <is>
          <t>fade (losing his place)</t>
        </is>
      </c>
      <c r="M166" s="4" t="n">
        <v>697</v>
      </c>
      <c r="N166" t="inlineStr">
        <is>
          <t>Solio</t>
        </is>
      </c>
      <c r="O166" s="5" t="n">
        <v>83</v>
      </c>
      <c r="P166" t="b">
        <v>1</v>
      </c>
      <c r="Q166" s="5">
        <f>IF(N(O166)&lt;=0,0,MIN(Assumptions!$B$15,N(M166)/N(O166)))</f>
        <v/>
      </c>
      <c r="R166" s="4" t="n">
        <v>0.342</v>
      </c>
      <c r="S166" s="3" t="n">
        <v>0.1026</v>
      </c>
      <c r="T166" t="inlineStr">
        <is>
          <t>adjusted xGOT</t>
        </is>
      </c>
      <c r="U166" s="3" t="n">
        <v>1</v>
      </c>
      <c r="V166" s="3" t="n">
        <v>0.992</v>
      </c>
      <c r="W166" s="3" t="n">
        <v>10.4</v>
      </c>
      <c r="X166" s="3" t="n">
        <v>0.1311</v>
      </c>
      <c r="Y166" s="3" t="n">
        <v>10.407</v>
      </c>
      <c r="Z166" s="3" t="n">
        <v>0.2584955119345143</v>
      </c>
      <c r="AA166" s="3" t="n">
        <v>0.2808</v>
      </c>
      <c r="AB166" s="3" t="n">
        <v>52</v>
      </c>
      <c r="AC166" s="3" t="n">
        <v>2.409</v>
      </c>
      <c r="AD166" s="3" t="n">
        <v>1.1228</v>
      </c>
      <c r="AE166" s="3" t="n">
        <v>-0.1464470669376201</v>
      </c>
      <c r="AF166" s="4" t="n">
        <v>0</v>
      </c>
      <c r="AG166" s="3" t="n">
        <v>0</v>
      </c>
      <c r="AH166" s="3" t="n">
        <v>0.513</v>
      </c>
      <c r="AI166" s="3" t="n">
        <v>0.519156</v>
      </c>
      <c r="AJ166" s="3">
        <f>N(R166)*N(BC166)</f>
        <v/>
      </c>
      <c r="AK166" s="3" t="n">
        <v>0.2808</v>
      </c>
      <c r="AL166" s="3" t="n">
        <v>0</v>
      </c>
      <c r="AM166" s="3" t="n">
        <v>-0</v>
      </c>
      <c r="AN166" s="3" t="n">
        <v>-0.1464470669376201</v>
      </c>
      <c r="AO166" s="3">
        <f>SUM(AH166:AN166)</f>
        <v/>
      </c>
      <c r="AP166" s="5">
        <f>IF(OR(N(Q166)&lt;=0,N(BA166)=0),0,N(Q166)*IF(N(M166)/N(Q166)&gt;=60,N(BA166),1))</f>
        <v/>
      </c>
      <c r="AQ166" s="5">
        <f>N(Q166)*N(Z166)*N(BB166)</f>
        <v/>
      </c>
      <c r="AR166" s="5">
        <f>N(AF166)*(Assumptions!$B$13*N(BD166)-(1-Assumptions!$B$13)*Assumptions!$B$14)+N(AG166)</f>
        <v/>
      </c>
      <c r="AS166" s="5">
        <f>N(AO166)*N(M166)/90+N(AP166)+N(AQ166)+N(AR166)</f>
        <v/>
      </c>
      <c r="AT166" s="3">
        <f>IF(N(M166)&lt;=0,0,(N(AS166)-N(AR166))*90/N(M166))</f>
        <v/>
      </c>
      <c r="AU166" s="5">
        <f>IFERROR(AS166-VLOOKUP($C166,Assumptions!$A$36:$C$39,3,FALSE),"")</f>
        <v/>
      </c>
      <c r="AV166" s="3">
        <f>IFERROR(AU166/F166,"")</f>
        <v/>
      </c>
      <c r="AW166">
        <f>IF(AND($E166=TRUE,$C166="GKP"),AS166,"")</f>
        <v/>
      </c>
      <c r="AX166">
        <f>IF(AND($E166=TRUE,$C166="DEF"),AS166,"")</f>
        <v/>
      </c>
      <c r="AY166">
        <f>IF(AND($E166=TRUE,$C166="MID"),AS166,"")</f>
        <v/>
      </c>
      <c r="AZ166">
        <f>IF(AND($E166=TRUE,$C166="FWD"),AS166,"")</f>
        <v/>
      </c>
      <c r="BA166" t="n">
        <v>2</v>
      </c>
      <c r="BB166" t="n">
        <v>2</v>
      </c>
      <c r="BC166" t="n">
        <v>1</v>
      </c>
      <c r="BD166" t="n">
        <v>5</v>
      </c>
    </row>
    <row r="167">
      <c r="A167" t="inlineStr">
        <is>
          <t>Noah Sadiki</t>
        </is>
      </c>
      <c r="B167" t="inlineStr">
        <is>
          <t>SUN</t>
        </is>
      </c>
      <c r="C167" t="inlineStr">
        <is>
          <t>MID</t>
        </is>
      </c>
      <c r="D167" t="inlineStr">
        <is>
          <t>MID</t>
        </is>
      </c>
      <c r="E167" t="b">
        <v>1</v>
      </c>
      <c r="F167" s="2" t="n">
        <v>5</v>
      </c>
      <c r="G167" t="inlineStr">
        <is>
          <t>a</t>
        </is>
      </c>
      <c r="I167" s="2" t="n">
        <v>2891</v>
      </c>
      <c r="J167" t="n">
        <v>80</v>
      </c>
      <c r="K167" s="3" t="n">
        <v>2842</v>
      </c>
      <c r="L167" t="inlineStr">
        <is>
          <t>flat</t>
        </is>
      </c>
      <c r="M167" s="4" t="n">
        <v>2842</v>
      </c>
      <c r="N167" t="inlineStr">
        <is>
          <t>Solio</t>
        </is>
      </c>
      <c r="O167" s="5" t="n">
        <v>87.59999999999999</v>
      </c>
      <c r="P167" t="b">
        <v>1</v>
      </c>
      <c r="Q167" s="5">
        <f>IF(N(O167)&lt;=0,0,MIN(Assumptions!$B$15,N(M167)/N(O167)))</f>
        <v/>
      </c>
      <c r="R167" s="4" t="n">
        <v>0.204</v>
      </c>
      <c r="S167" s="3" t="n">
        <v>0.0411</v>
      </c>
      <c r="T167" t="inlineStr">
        <is>
          <t>adjusted xGOT</t>
        </is>
      </c>
      <c r="U167" s="3" t="n">
        <v>1</v>
      </c>
      <c r="V167" s="3" t="n">
        <v>0.923</v>
      </c>
      <c r="W167" s="3" t="n">
        <v>1.4</v>
      </c>
      <c r="X167" s="3" t="n">
        <v>0.0372</v>
      </c>
      <c r="Y167" s="3" t="n">
        <v>7.891</v>
      </c>
      <c r="Z167" s="3" t="n">
        <v>0.09025479168648853</v>
      </c>
      <c r="AA167" s="3" t="n">
        <v>0</v>
      </c>
      <c r="AB167" s="3" t="n">
        <v>66</v>
      </c>
      <c r="AC167" s="3" t="n">
        <v>3.3348</v>
      </c>
      <c r="AD167" s="3" t="n">
        <v>1.6498</v>
      </c>
      <c r="AE167" s="3" t="n">
        <v>-0.2699592457539504</v>
      </c>
      <c r="AF167" s="4" t="n">
        <v>0</v>
      </c>
      <c r="AG167" s="3" t="n">
        <v>0</v>
      </c>
      <c r="AH167" s="3" t="n">
        <v>0.2055</v>
      </c>
      <c r="AI167" s="3" t="n">
        <v>0.147312</v>
      </c>
      <c r="AJ167" s="3">
        <f>N(R167)*N(BC167)</f>
        <v/>
      </c>
      <c r="AK167" s="3" t="n">
        <v>0</v>
      </c>
      <c r="AL167" s="3" t="n">
        <v>0</v>
      </c>
      <c r="AM167" s="3" t="n">
        <v>-0</v>
      </c>
      <c r="AN167" s="3" t="n">
        <v>-0.2699592457539504</v>
      </c>
      <c r="AO167" s="3">
        <f>SUM(AH167:AN167)</f>
        <v/>
      </c>
      <c r="AP167" s="5">
        <f>IF(OR(N(Q167)&lt;=0,N(BA167)=0),0,N(Q167)*IF(N(M167)/N(Q167)&gt;=60,N(BA167),1))</f>
        <v/>
      </c>
      <c r="AQ167" s="5">
        <f>N(Q167)*N(Z167)*N(BB167)</f>
        <v/>
      </c>
      <c r="AR167" s="5">
        <f>N(AF167)*(Assumptions!$B$13*N(BD167)-(1-Assumptions!$B$13)*Assumptions!$B$14)+N(AG167)</f>
        <v/>
      </c>
      <c r="AS167" s="5">
        <f>N(AO167)*N(M167)/90+N(AP167)+N(AQ167)+N(AR167)</f>
        <v/>
      </c>
      <c r="AT167" s="3">
        <f>IF(N(M167)&lt;=0,0,(N(AS167)-N(AR167))*90/N(M167))</f>
        <v/>
      </c>
      <c r="AU167" s="5">
        <f>IFERROR(AS167-VLOOKUP($C167,Assumptions!$A$36:$C$39,3,FALSE),"")</f>
        <v/>
      </c>
      <c r="AV167" s="3">
        <f>IFERROR(AU167/F167,"")</f>
        <v/>
      </c>
      <c r="AW167">
        <f>IF(AND($E167=TRUE,$C167="GKP"),AS167,"")</f>
        <v/>
      </c>
      <c r="AX167">
        <f>IF(AND($E167=TRUE,$C167="DEF"),AS167,"")</f>
        <v/>
      </c>
      <c r="AY167">
        <f>IF(AND($E167=TRUE,$C167="MID"),AS167,"")</f>
        <v/>
      </c>
      <c r="AZ167">
        <f>IF(AND($E167=TRUE,$C167="FWD"),AS167,"")</f>
        <v/>
      </c>
      <c r="BA167" t="n">
        <v>2</v>
      </c>
      <c r="BB167" t="n">
        <v>2</v>
      </c>
      <c r="BC167" t="n">
        <v>1</v>
      </c>
      <c r="BD167" t="n">
        <v>5</v>
      </c>
    </row>
    <row r="168">
      <c r="A168" t="inlineStr">
        <is>
          <t>Xavi Simons</t>
        </is>
      </c>
      <c r="B168" t="inlineStr">
        <is>
          <t>TOT</t>
        </is>
      </c>
      <c r="C168" t="inlineStr">
        <is>
          <t>MID</t>
        </is>
      </c>
      <c r="D168" t="inlineStr">
        <is>
          <t>MID</t>
        </is>
      </c>
      <c r="E168" t="b">
        <v>1</v>
      </c>
      <c r="F168" s="2" t="n">
        <v>6</v>
      </c>
      <c r="G168" t="inlineStr">
        <is>
          <t>i</t>
        </is>
      </c>
      <c r="H168" t="inlineStr">
        <is>
          <t>Knee injury - Unknown return date</t>
        </is>
      </c>
      <c r="I168" s="2" t="n">
        <v>1747</v>
      </c>
      <c r="J168" t="n">
        <v>80</v>
      </c>
      <c r="K168" s="3" t="n">
        <v>2160</v>
      </c>
      <c r="L168" t="inlineStr">
        <is>
          <t>ramp-up (injury / late WC return)</t>
        </is>
      </c>
      <c r="M168" s="4" t="n">
        <v>2160</v>
      </c>
      <c r="N168" t="inlineStr">
        <is>
          <t>Solio</t>
        </is>
      </c>
      <c r="O168" s="5" t="n">
        <v>78.3</v>
      </c>
      <c r="P168" t="b">
        <v>1</v>
      </c>
      <c r="Q168" s="5">
        <f>IF(N(O168)&lt;=0,0,MIN(Assumptions!$B$15,N(M168)/N(O168)))</f>
        <v/>
      </c>
      <c r="R168" s="4" t="n">
        <v>0.286</v>
      </c>
      <c r="S168" s="3" t="n">
        <v>0.1625</v>
      </c>
      <c r="T168" t="inlineStr">
        <is>
          <t>adjusted xGOT</t>
        </is>
      </c>
      <c r="U168" s="3" t="n">
        <v>1</v>
      </c>
      <c r="V168" s="3" t="n">
        <v>1.031</v>
      </c>
      <c r="W168" s="3" t="n">
        <v>3.1</v>
      </c>
      <c r="X168" s="3" t="n">
        <v>0.219</v>
      </c>
      <c r="Y168" s="3" t="n">
        <v>7.939</v>
      </c>
      <c r="Z168" s="3" t="n">
        <v>0.0492566966992114</v>
      </c>
      <c r="AA168" s="3" t="n">
        <v>0.3606</v>
      </c>
      <c r="AB168" s="3" t="n">
        <v>46</v>
      </c>
      <c r="AC168" s="3" t="n">
        <v>2.5739</v>
      </c>
      <c r="AD168" s="3" t="n">
        <v>1.3096</v>
      </c>
      <c r="AE168" s="3" t="n">
        <v>-0.2479332834975935</v>
      </c>
      <c r="AF168" s="4" t="n">
        <v>0.3044840511740968</v>
      </c>
      <c r="AG168" s="3" t="n">
        <v>0</v>
      </c>
      <c r="AH168" s="3" t="n">
        <v>0.8125</v>
      </c>
      <c r="AI168" s="3" t="n">
        <v>0.8672400000000001</v>
      </c>
      <c r="AJ168" s="3">
        <f>N(R168)*N(BC168)</f>
        <v/>
      </c>
      <c r="AK168" s="3" t="n">
        <v>0.3606</v>
      </c>
      <c r="AL168" s="3" t="n">
        <v>0</v>
      </c>
      <c r="AM168" s="3" t="n">
        <v>-0</v>
      </c>
      <c r="AN168" s="3" t="n">
        <v>-0.2479332834975935</v>
      </c>
      <c r="AO168" s="3">
        <f>SUM(AH168:AN168)</f>
        <v/>
      </c>
      <c r="AP168" s="5">
        <f>IF(OR(N(Q168)&lt;=0,N(BA168)=0),0,N(Q168)*IF(N(M168)/N(Q168)&gt;=60,N(BA168),1))</f>
        <v/>
      </c>
      <c r="AQ168" s="5">
        <f>N(Q168)*N(Z168)*N(BB168)</f>
        <v/>
      </c>
      <c r="AR168" s="5">
        <f>N(AF168)*(Assumptions!$B$13*N(BD168)-(1-Assumptions!$B$13)*Assumptions!$B$14)+N(AG168)</f>
        <v/>
      </c>
      <c r="AS168" s="5">
        <f>N(AO168)*N(M168)/90+N(AP168)+N(AQ168)+N(AR168)</f>
        <v/>
      </c>
      <c r="AT168" s="3">
        <f>IF(N(M168)&lt;=0,0,(N(AS168)-N(AR168))*90/N(M168))</f>
        <v/>
      </c>
      <c r="AU168" s="5">
        <f>IFERROR(AS168-VLOOKUP($C168,Assumptions!$A$36:$C$39,3,FALSE),"")</f>
        <v/>
      </c>
      <c r="AV168" s="3">
        <f>IFERROR(AU168/F168,"")</f>
        <v/>
      </c>
      <c r="AW168">
        <f>IF(AND($E168=TRUE,$C168="GKP"),AS168,"")</f>
        <v/>
      </c>
      <c r="AX168">
        <f>IF(AND($E168=TRUE,$C168="DEF"),AS168,"")</f>
        <v/>
      </c>
      <c r="AY168">
        <f>IF(AND($E168=TRUE,$C168="MID"),AS168,"")</f>
        <v/>
      </c>
      <c r="AZ168">
        <f>IF(AND($E168=TRUE,$C168="FWD"),AS168,"")</f>
        <v/>
      </c>
      <c r="BA168" t="n">
        <v>2</v>
      </c>
      <c r="BB168" t="n">
        <v>2</v>
      </c>
      <c r="BC168" t="n">
        <v>1</v>
      </c>
      <c r="BD168" t="n">
        <v>5</v>
      </c>
    </row>
    <row r="169">
      <c r="A169" t="inlineStr">
        <is>
          <t>Emile Smith Rowe</t>
        </is>
      </c>
      <c r="B169" t="inlineStr">
        <is>
          <t>FUL</t>
        </is>
      </c>
      <c r="C169" t="inlineStr">
        <is>
          <t>MID</t>
        </is>
      </c>
      <c r="D169" t="inlineStr">
        <is>
          <t>MID</t>
        </is>
      </c>
      <c r="E169" t="b">
        <v>1</v>
      </c>
      <c r="F169" s="2" t="n">
        <v>5.5</v>
      </c>
      <c r="G169" t="inlineStr">
        <is>
          <t>a</t>
        </is>
      </c>
      <c r="I169" s="2" t="n">
        <v>1909</v>
      </c>
      <c r="J169" t="n">
        <v>80</v>
      </c>
      <c r="K169" s="3" t="n">
        <v>1744</v>
      </c>
      <c r="L169" t="inlineStr">
        <is>
          <t>flat</t>
        </is>
      </c>
      <c r="M169" s="4" t="n">
        <v>1744</v>
      </c>
      <c r="N169" t="inlineStr">
        <is>
          <t>Solio</t>
        </is>
      </c>
      <c r="O169" s="5" t="n">
        <v>73.09999999999999</v>
      </c>
      <c r="P169" t="b">
        <v>1</v>
      </c>
      <c r="Q169" s="5">
        <f>IF(N(O169)&lt;=0,0,MIN(Assumptions!$B$15,N(M169)/N(O169)))</f>
        <v/>
      </c>
      <c r="R169" s="4" t="n">
        <v>0.214</v>
      </c>
      <c r="S169" s="3" t="n">
        <v>0.2074</v>
      </c>
      <c r="T169" t="inlineStr">
        <is>
          <t>adjusted xGOT</t>
        </is>
      </c>
      <c r="U169" s="3" t="n">
        <v>1</v>
      </c>
      <c r="V169" s="3" t="n">
        <v>0.9340000000000001</v>
      </c>
      <c r="W169" s="3" t="n">
        <v>11.3</v>
      </c>
      <c r="X169" s="3" t="n">
        <v>0.0598</v>
      </c>
      <c r="Y169" s="3" t="n">
        <v>7.416</v>
      </c>
      <c r="Z169" s="3" t="n">
        <v>0.02062521871443301</v>
      </c>
      <c r="AA169" s="3" t="n">
        <v>0.09429999999999999</v>
      </c>
      <c r="AB169" s="3" t="n">
        <v>56</v>
      </c>
      <c r="AC169" s="3" t="n">
        <v>3.22</v>
      </c>
      <c r="AD169" s="3" t="n">
        <v>1.6019</v>
      </c>
      <c r="AE169" s="3" t="n">
        <v>-0.1311571127881695</v>
      </c>
      <c r="AF169" s="4" t="n">
        <v>0</v>
      </c>
      <c r="AG169" s="3" t="n">
        <v>0</v>
      </c>
      <c r="AH169" s="3" t="n">
        <v>1.037</v>
      </c>
      <c r="AI169" s="3" t="n">
        <v>0.236808</v>
      </c>
      <c r="AJ169" s="3">
        <f>N(R169)*N(BC169)</f>
        <v/>
      </c>
      <c r="AK169" s="3" t="n">
        <v>0.09429999999999999</v>
      </c>
      <c r="AL169" s="3" t="n">
        <v>0</v>
      </c>
      <c r="AM169" s="3" t="n">
        <v>-0</v>
      </c>
      <c r="AN169" s="3" t="n">
        <v>-0.1311571127881695</v>
      </c>
      <c r="AO169" s="3">
        <f>SUM(AH169:AN169)</f>
        <v/>
      </c>
      <c r="AP169" s="5">
        <f>IF(OR(N(Q169)&lt;=0,N(BA169)=0),0,N(Q169)*IF(N(M169)/N(Q169)&gt;=60,N(BA169),1))</f>
        <v/>
      </c>
      <c r="AQ169" s="5">
        <f>N(Q169)*N(Z169)*N(BB169)</f>
        <v/>
      </c>
      <c r="AR169" s="5">
        <f>N(AF169)*(Assumptions!$B$13*N(BD169)-(1-Assumptions!$B$13)*Assumptions!$B$14)+N(AG169)</f>
        <v/>
      </c>
      <c r="AS169" s="5">
        <f>N(AO169)*N(M169)/90+N(AP169)+N(AQ169)+N(AR169)</f>
        <v/>
      </c>
      <c r="AT169" s="3">
        <f>IF(N(M169)&lt;=0,0,(N(AS169)-N(AR169))*90/N(M169))</f>
        <v/>
      </c>
      <c r="AU169" s="5">
        <f>IFERROR(AS169-VLOOKUP($C169,Assumptions!$A$36:$C$39,3,FALSE),"")</f>
        <v/>
      </c>
      <c r="AV169" s="3">
        <f>IFERROR(AU169/F169,"")</f>
        <v/>
      </c>
      <c r="AW169">
        <f>IF(AND($E169=TRUE,$C169="GKP"),AS169,"")</f>
        <v/>
      </c>
      <c r="AX169">
        <f>IF(AND($E169=TRUE,$C169="DEF"),AS169,"")</f>
        <v/>
      </c>
      <c r="AY169">
        <f>IF(AND($E169=TRUE,$C169="MID"),AS169,"")</f>
        <v/>
      </c>
      <c r="AZ169">
        <f>IF(AND($E169=TRUE,$C169="FWD"),AS169,"")</f>
        <v/>
      </c>
      <c r="BA169" t="n">
        <v>2</v>
      </c>
      <c r="BB169" t="n">
        <v>2</v>
      </c>
      <c r="BC169" t="n">
        <v>1</v>
      </c>
      <c r="BD169" t="n">
        <v>5</v>
      </c>
    </row>
    <row r="170">
      <c r="A170" t="inlineStr">
        <is>
          <t>Callum Wilson</t>
        </is>
      </c>
      <c r="B170" t="inlineStr">
        <is>
          <t>BRE</t>
        </is>
      </c>
      <c r="C170" t="inlineStr">
        <is>
          <t>FWD</t>
        </is>
      </c>
      <c r="D170" t="inlineStr">
        <is>
          <t>FWD</t>
        </is>
      </c>
      <c r="E170" t="b">
        <v>1</v>
      </c>
      <c r="F170" s="2" t="n">
        <v>5.5</v>
      </c>
      <c r="G170" t="inlineStr">
        <is>
          <t>a</t>
        </is>
      </c>
      <c r="I170" s="2" t="n">
        <v>1234</v>
      </c>
      <c r="J170" t="n">
        <v>80</v>
      </c>
      <c r="K170" s="3" t="n">
        <v>258</v>
      </c>
      <c r="L170" t="inlineStr">
        <is>
          <t>flat</t>
        </is>
      </c>
      <c r="M170" s="4" t="n">
        <v>258</v>
      </c>
      <c r="N170" t="inlineStr">
        <is>
          <t>Solio</t>
        </is>
      </c>
      <c r="O170" s="5" t="n">
        <v>69</v>
      </c>
      <c r="P170" t="b">
        <v>1</v>
      </c>
      <c r="Q170" s="5">
        <f>IF(N(O170)&lt;=0,0,MIN(Assumptions!$B$15,N(M170)/N(O170)))</f>
        <v/>
      </c>
      <c r="R170" s="4" t="n">
        <v>0.228</v>
      </c>
      <c r="S170" s="3" t="n">
        <v>0.5348000000000001</v>
      </c>
      <c r="T170" t="inlineStr">
        <is>
          <t>adjusted xGOT</t>
        </is>
      </c>
      <c r="U170" s="3" t="n">
        <v>1</v>
      </c>
      <c r="V170" s="3" t="n">
        <v>0.965</v>
      </c>
      <c r="W170" s="3" t="n">
        <v>33.4</v>
      </c>
      <c r="X170" s="3" t="n">
        <v>0.0571</v>
      </c>
      <c r="Y170" s="3" t="n">
        <v>3.655</v>
      </c>
      <c r="Z170" s="3" t="n">
        <v>3.766130975457749e-05</v>
      </c>
      <c r="AA170" s="3" t="n">
        <v>0.6564</v>
      </c>
      <c r="AB170" s="3" t="n">
        <v>40</v>
      </c>
      <c r="AC170" s="3" t="n">
        <v>3.2371</v>
      </c>
      <c r="AD170" s="3" t="n">
        <v>1.5396</v>
      </c>
      <c r="AE170" s="3" t="n">
        <v>-0.1600721827938566</v>
      </c>
      <c r="AF170" s="4" t="n">
        <v>0</v>
      </c>
      <c r="AG170" s="3" t="n">
        <v>0</v>
      </c>
      <c r="AH170" s="3" t="n">
        <v>2.1392</v>
      </c>
      <c r="AI170" s="3" t="n">
        <v>0.226116</v>
      </c>
      <c r="AJ170" s="3">
        <f>N(R170)*N(BC170)</f>
        <v/>
      </c>
      <c r="AK170" s="3" t="n">
        <v>0.6564</v>
      </c>
      <c r="AL170" s="3" t="n">
        <v>0</v>
      </c>
      <c r="AM170" s="3" t="n">
        <v>-0</v>
      </c>
      <c r="AN170" s="3" t="n">
        <v>-0.1600721827938566</v>
      </c>
      <c r="AO170" s="3">
        <f>SUM(AH170:AN170)</f>
        <v/>
      </c>
      <c r="AP170" s="5">
        <f>IF(OR(N(Q170)&lt;=0,N(BA170)=0),0,N(Q170)*IF(N(M170)/N(Q170)&gt;=60,N(BA170),1))</f>
        <v/>
      </c>
      <c r="AQ170" s="5">
        <f>N(Q170)*N(Z170)*N(BB170)</f>
        <v/>
      </c>
      <c r="AR170" s="5">
        <f>N(AF170)*(Assumptions!$B$13*N(BD170)-(1-Assumptions!$B$13)*Assumptions!$B$14)+N(AG170)</f>
        <v/>
      </c>
      <c r="AS170" s="5">
        <f>N(AO170)*N(M170)/90+N(AP170)+N(AQ170)+N(AR170)</f>
        <v/>
      </c>
      <c r="AT170" s="3">
        <f>IF(N(M170)&lt;=0,0,(N(AS170)-N(AR170))*90/N(M170))</f>
        <v/>
      </c>
      <c r="AU170" s="5">
        <f>IFERROR(AS170-VLOOKUP($C170,Assumptions!$A$36:$C$39,3,FALSE),"")</f>
        <v/>
      </c>
      <c r="AV170" s="3">
        <f>IFERROR(AU170/F170,"")</f>
        <v/>
      </c>
      <c r="AW170">
        <f>IF(AND($E170=TRUE,$C170="GKP"),AS170,"")</f>
        <v/>
      </c>
      <c r="AX170">
        <f>IF(AND($E170=TRUE,$C170="DEF"),AS170,"")</f>
        <v/>
      </c>
      <c r="AY170">
        <f>IF(AND($E170=TRUE,$C170="MID"),AS170,"")</f>
        <v/>
      </c>
      <c r="AZ170">
        <f>IF(AND($E170=TRUE,$C170="FWD"),AS170,"")</f>
        <v/>
      </c>
      <c r="BA170" t="n">
        <v>2</v>
      </c>
      <c r="BB170" t="n">
        <v>2</v>
      </c>
      <c r="BC170" t="n">
        <v>0</v>
      </c>
      <c r="BD170" t="n">
        <v>4</v>
      </c>
    </row>
    <row r="171">
      <c r="A171" t="inlineStr">
        <is>
          <t>Lewis Hall</t>
        </is>
      </c>
      <c r="B171" t="inlineStr">
        <is>
          <t>NEW</t>
        </is>
      </c>
      <c r="C171" t="inlineStr">
        <is>
          <t>DEF</t>
        </is>
      </c>
      <c r="D171" t="inlineStr">
        <is>
          <t>DEF</t>
        </is>
      </c>
      <c r="E171" t="b">
        <v>1</v>
      </c>
      <c r="F171" s="2" t="n">
        <v>5</v>
      </c>
      <c r="G171" t="inlineStr">
        <is>
          <t>a</t>
        </is>
      </c>
      <c r="I171" s="2" t="n">
        <v>2176</v>
      </c>
      <c r="J171" t="n">
        <v>79</v>
      </c>
      <c r="K171" s="3" t="n">
        <v>2702</v>
      </c>
      <c r="L171" t="inlineStr">
        <is>
          <t>flat</t>
        </is>
      </c>
      <c r="M171" s="4" t="n">
        <v>2702</v>
      </c>
      <c r="N171" t="inlineStr">
        <is>
          <t>Solio</t>
        </is>
      </c>
      <c r="O171" s="5" t="n">
        <v>86.2</v>
      </c>
      <c r="P171" t="b">
        <v>1</v>
      </c>
      <c r="Q171" s="5">
        <f>IF(N(O171)&lt;=0,0,MIN(Assumptions!$B$15,N(M171)/N(O171)))</f>
        <v/>
      </c>
      <c r="R171" s="4" t="n">
        <v>0.248</v>
      </c>
      <c r="S171" s="3" t="n">
        <v>0.0413</v>
      </c>
      <c r="T171" t="inlineStr">
        <is>
          <t>adjusted xGOT</t>
        </is>
      </c>
      <c r="U171" s="3" t="n">
        <v>1</v>
      </c>
      <c r="V171" s="3" t="n">
        <v>0.989</v>
      </c>
      <c r="W171" s="3" t="n">
        <v>2.6</v>
      </c>
      <c r="X171" s="3" t="n">
        <v>0.1099</v>
      </c>
      <c r="Y171" s="3" t="n">
        <v>7.287</v>
      </c>
      <c r="Z171" s="3" t="n">
        <v>0.1674138966883353</v>
      </c>
      <c r="AA171" s="3" t="n">
        <v>0.2068</v>
      </c>
      <c r="AB171" s="3" t="n">
        <v>53</v>
      </c>
      <c r="AC171" s="3" t="n">
        <v>3.0912</v>
      </c>
      <c r="AD171" s="3" t="n">
        <v>1.4534</v>
      </c>
      <c r="AE171" s="3" t="n">
        <v>-0.1849993494642588</v>
      </c>
      <c r="AF171" s="4" t="n">
        <v>0</v>
      </c>
      <c r="AG171" s="3" t="n">
        <v>0</v>
      </c>
      <c r="AH171" s="3" t="n">
        <v>0.2478</v>
      </c>
      <c r="AI171" s="3" t="n">
        <v>0.435204</v>
      </c>
      <c r="AJ171" s="3">
        <f>N(R171)*N(BC171)</f>
        <v/>
      </c>
      <c r="AK171" s="3" t="n">
        <v>0.2068</v>
      </c>
      <c r="AL171" s="3" t="n">
        <v>0</v>
      </c>
      <c r="AM171" s="3" t="n">
        <v>-0.4903625828545308</v>
      </c>
      <c r="AN171" s="3" t="n">
        <v>-0.1849993494642588</v>
      </c>
      <c r="AO171" s="3">
        <f>SUM(AH171:AN171)</f>
        <v/>
      </c>
      <c r="AP171" s="5">
        <f>IF(OR(N(Q171)&lt;=0,N(BA171)=0),0,N(Q171)*IF(N(M171)/N(Q171)&gt;=60,N(BA171),1))</f>
        <v/>
      </c>
      <c r="AQ171" s="5">
        <f>N(Q171)*N(Z171)*N(BB171)</f>
        <v/>
      </c>
      <c r="AR171" s="5">
        <f>N(AF171)*(Assumptions!$B$13*N(BD171)-(1-Assumptions!$B$13)*Assumptions!$B$14)+N(AG171)</f>
        <v/>
      </c>
      <c r="AS171" s="5">
        <f>N(AO171)*N(M171)/90+N(AP171)+N(AQ171)+N(AR171)</f>
        <v/>
      </c>
      <c r="AT171" s="3">
        <f>IF(N(M171)&lt;=0,0,(N(AS171)-N(AR171))*90/N(M171))</f>
        <v/>
      </c>
      <c r="AU171" s="5">
        <f>IFERROR(AS171-VLOOKUP($C171,Assumptions!$A$36:$C$39,3,FALSE),"")</f>
        <v/>
      </c>
      <c r="AV171" s="3">
        <f>IFERROR(AU171/F171,"")</f>
        <v/>
      </c>
      <c r="AW171">
        <f>IF(AND($E171=TRUE,$C171="GKP"),AS171,"")</f>
        <v/>
      </c>
      <c r="AX171">
        <f>IF(AND($E171=TRUE,$C171="DEF"),AS171,"")</f>
        <v/>
      </c>
      <c r="AY171">
        <f>IF(AND($E171=TRUE,$C171="MID"),AS171,"")</f>
        <v/>
      </c>
      <c r="AZ171">
        <f>IF(AND($E171=TRUE,$C171="FWD"),AS171,"")</f>
        <v/>
      </c>
      <c r="BA171" t="n">
        <v>2</v>
      </c>
      <c r="BB171" t="n">
        <v>2</v>
      </c>
      <c r="BC171" t="n">
        <v>4</v>
      </c>
      <c r="BD171" t="n">
        <v>6</v>
      </c>
    </row>
    <row r="172">
      <c r="A172" t="inlineStr">
        <is>
          <t>Jack Grealish</t>
        </is>
      </c>
      <c r="B172" t="inlineStr">
        <is>
          <t>MCI</t>
        </is>
      </c>
      <c r="C172" t="inlineStr">
        <is>
          <t>MID</t>
        </is>
      </c>
      <c r="D172" t="inlineStr">
        <is>
          <t>MID</t>
        </is>
      </c>
      <c r="E172" t="b">
        <v>1</v>
      </c>
      <c r="F172" s="2" t="n">
        <v>6.5</v>
      </c>
      <c r="G172" t="inlineStr">
        <is>
          <t>d</t>
        </is>
      </c>
      <c r="H172" t="inlineStr">
        <is>
          <t>Foot injury - 75% chance of playing</t>
        </is>
      </c>
      <c r="I172" s="2" t="n">
        <v>1627</v>
      </c>
      <c r="J172" t="n">
        <v>79</v>
      </c>
      <c r="K172" s="3" t="n">
        <v>27</v>
      </c>
      <c r="L172" t="inlineStr">
        <is>
          <t>flat</t>
        </is>
      </c>
      <c r="M172" s="4" t="n">
        <v>27</v>
      </c>
      <c r="N172" t="inlineStr">
        <is>
          <t>Solio</t>
        </is>
      </c>
      <c r="O172" s="5" t="n">
        <v>88.3</v>
      </c>
      <c r="P172" t="b">
        <v>1</v>
      </c>
      <c r="Q172" s="5">
        <f>IF(N(O172)&lt;=0,0,MIN(Assumptions!$B$15,N(M172)/N(O172)))</f>
        <v/>
      </c>
      <c r="R172" s="4" t="n">
        <v>0.371</v>
      </c>
      <c r="S172" s="3" t="n">
        <v>0.1214</v>
      </c>
      <c r="T172" t="inlineStr">
        <is>
          <t>adjusted xGOT</t>
        </is>
      </c>
      <c r="U172" s="3" t="n">
        <v>1</v>
      </c>
      <c r="V172" s="3" t="n">
        <v>1.07</v>
      </c>
      <c r="W172" s="3" t="n">
        <v>9.800000000000001</v>
      </c>
      <c r="X172" s="3" t="n">
        <v>0.2193</v>
      </c>
      <c r="Y172" s="3" t="n">
        <v>7.808</v>
      </c>
      <c r="Z172" s="3" t="n">
        <v>0.08898731470850485</v>
      </c>
      <c r="AA172" s="3" t="n">
        <v>0.6637999999999999</v>
      </c>
      <c r="AB172" s="3" t="n">
        <v>38</v>
      </c>
      <c r="AC172" s="3" t="n">
        <v>1.9737</v>
      </c>
      <c r="AD172" s="3" t="n">
        <v>1.0365</v>
      </c>
      <c r="AE172" s="3" t="n">
        <v>-0.2568969165359863</v>
      </c>
      <c r="AF172" s="4" t="n">
        <v>0</v>
      </c>
      <c r="AG172" s="3" t="n">
        <v>0</v>
      </c>
      <c r="AH172" s="3" t="n">
        <v>0.607</v>
      </c>
      <c r="AI172" s="3" t="n">
        <v>0.868428</v>
      </c>
      <c r="AJ172" s="3">
        <f>N(R172)*N(BC172)</f>
        <v/>
      </c>
      <c r="AK172" s="3" t="n">
        <v>0.6637999999999999</v>
      </c>
      <c r="AL172" s="3" t="n">
        <v>0</v>
      </c>
      <c r="AM172" s="3" t="n">
        <v>-0</v>
      </c>
      <c r="AN172" s="3" t="n">
        <v>-0.2568969165359863</v>
      </c>
      <c r="AO172" s="3">
        <f>SUM(AH172:AN172)</f>
        <v/>
      </c>
      <c r="AP172" s="5">
        <f>IF(OR(N(Q172)&lt;=0,N(BA172)=0),0,N(Q172)*IF(N(M172)/N(Q172)&gt;=60,N(BA172),1))</f>
        <v/>
      </c>
      <c r="AQ172" s="5">
        <f>N(Q172)*N(Z172)*N(BB172)</f>
        <v/>
      </c>
      <c r="AR172" s="5">
        <f>N(AF172)*(Assumptions!$B$13*N(BD172)-(1-Assumptions!$B$13)*Assumptions!$B$14)+N(AG172)</f>
        <v/>
      </c>
      <c r="AS172" s="5">
        <f>N(AO172)*N(M172)/90+N(AP172)+N(AQ172)+N(AR172)</f>
        <v/>
      </c>
      <c r="AT172" s="3">
        <f>IF(N(M172)&lt;=0,0,(N(AS172)-N(AR172))*90/N(M172))</f>
        <v/>
      </c>
      <c r="AU172" s="5">
        <f>IFERROR(AS172-VLOOKUP($C172,Assumptions!$A$36:$C$39,3,FALSE),"")</f>
        <v/>
      </c>
      <c r="AV172" s="3">
        <f>IFERROR(AU172/F172,"")</f>
        <v/>
      </c>
      <c r="AW172">
        <f>IF(AND($E172=TRUE,$C172="GKP"),AS172,"")</f>
        <v/>
      </c>
      <c r="AX172">
        <f>IF(AND($E172=TRUE,$C172="DEF"),AS172,"")</f>
        <v/>
      </c>
      <c r="AY172">
        <f>IF(AND($E172=TRUE,$C172="MID"),AS172,"")</f>
        <v/>
      </c>
      <c r="AZ172">
        <f>IF(AND($E172=TRUE,$C172="FWD"),AS172,"")</f>
        <v/>
      </c>
      <c r="BA172" t="n">
        <v>2</v>
      </c>
      <c r="BB172" t="n">
        <v>2</v>
      </c>
      <c r="BC172" t="n">
        <v>1</v>
      </c>
      <c r="BD172" t="n">
        <v>5</v>
      </c>
    </row>
    <row r="173">
      <c r="A173" t="inlineStr">
        <is>
          <t>Josko Gvardiol</t>
        </is>
      </c>
      <c r="B173" t="inlineStr">
        <is>
          <t>MCI</t>
        </is>
      </c>
      <c r="C173" t="inlineStr">
        <is>
          <t>DEF</t>
        </is>
      </c>
      <c r="D173" t="inlineStr">
        <is>
          <t>DEF</t>
        </is>
      </c>
      <c r="E173" t="b">
        <v>1</v>
      </c>
      <c r="F173" s="2" t="n">
        <v>5.5</v>
      </c>
      <c r="G173" t="inlineStr">
        <is>
          <t>a</t>
        </is>
      </c>
      <c r="I173" s="2" t="n">
        <v>1370</v>
      </c>
      <c r="J173" t="n">
        <v>79</v>
      </c>
      <c r="K173" s="3" t="n">
        <v>3038</v>
      </c>
      <c r="L173" t="inlineStr">
        <is>
          <t>flat</t>
        </is>
      </c>
      <c r="M173" s="4" t="n">
        <v>3038</v>
      </c>
      <c r="N173" t="inlineStr">
        <is>
          <t>Solio</t>
        </is>
      </c>
      <c r="O173" s="5" t="n">
        <v>82.8</v>
      </c>
      <c r="P173" t="b">
        <v>1</v>
      </c>
      <c r="Q173" s="5">
        <f>IF(N(O173)&lt;=0,0,MIN(Assumptions!$B$15,N(M173)/N(O173)))</f>
        <v/>
      </c>
      <c r="R173" s="4" t="n">
        <v>0.371</v>
      </c>
      <c r="S173" s="3" t="n">
        <v>0.1364</v>
      </c>
      <c r="T173" t="inlineStr">
        <is>
          <t>adjusted xGOT</t>
        </is>
      </c>
      <c r="U173" s="3" t="n">
        <v>1</v>
      </c>
      <c r="V173" s="3" t="n">
        <v>0.923</v>
      </c>
      <c r="W173" s="3" t="n">
        <v>10</v>
      </c>
      <c r="X173" s="3" t="n">
        <v>0.0374</v>
      </c>
      <c r="Y173" s="3" t="n">
        <v>7.083</v>
      </c>
      <c r="Z173" s="3" t="n">
        <v>0.1240242316112838</v>
      </c>
      <c r="AA173" s="3" t="n">
        <v>0.1971</v>
      </c>
      <c r="AB173" s="3" t="n">
        <v>32</v>
      </c>
      <c r="AC173" s="3" t="n">
        <v>1.9737</v>
      </c>
      <c r="AD173" s="3" t="n">
        <v>1.0365</v>
      </c>
      <c r="AE173" s="3" t="n">
        <v>-0.1368318848300927</v>
      </c>
      <c r="AF173" s="4" t="n">
        <v>0</v>
      </c>
      <c r="AG173" s="3" t="n">
        <v>0</v>
      </c>
      <c r="AH173" s="3" t="n">
        <v>0.8184</v>
      </c>
      <c r="AI173" s="3" t="n">
        <v>0.148104</v>
      </c>
      <c r="AJ173" s="3">
        <f>N(R173)*N(BC173)</f>
        <v/>
      </c>
      <c r="AK173" s="3" t="n">
        <v>0.1971</v>
      </c>
      <c r="AL173" s="3" t="n">
        <v>0</v>
      </c>
      <c r="AM173" s="3" t="n">
        <v>-0.2997019479071323</v>
      </c>
      <c r="AN173" s="3" t="n">
        <v>-0.1368318848300927</v>
      </c>
      <c r="AO173" s="3">
        <f>SUM(AH173:AN173)</f>
        <v/>
      </c>
      <c r="AP173" s="5">
        <f>IF(OR(N(Q173)&lt;=0,N(BA173)=0),0,N(Q173)*IF(N(M173)/N(Q173)&gt;=60,N(BA173),1))</f>
        <v/>
      </c>
      <c r="AQ173" s="5">
        <f>N(Q173)*N(Z173)*N(BB173)</f>
        <v/>
      </c>
      <c r="AR173" s="5">
        <f>N(AF173)*(Assumptions!$B$13*N(BD173)-(1-Assumptions!$B$13)*Assumptions!$B$14)+N(AG173)</f>
        <v/>
      </c>
      <c r="AS173" s="5">
        <f>N(AO173)*N(M173)/90+N(AP173)+N(AQ173)+N(AR173)</f>
        <v/>
      </c>
      <c r="AT173" s="3">
        <f>IF(N(M173)&lt;=0,0,(N(AS173)-N(AR173))*90/N(M173))</f>
        <v/>
      </c>
      <c r="AU173" s="5">
        <f>IFERROR(AS173-VLOOKUP($C173,Assumptions!$A$36:$C$39,3,FALSE),"")</f>
        <v/>
      </c>
      <c r="AV173" s="3">
        <f>IFERROR(AU173/F173,"")</f>
        <v/>
      </c>
      <c r="AW173">
        <f>IF(AND($E173=TRUE,$C173="GKP"),AS173,"")</f>
        <v/>
      </c>
      <c r="AX173">
        <f>IF(AND($E173=TRUE,$C173="DEF"),AS173,"")</f>
        <v/>
      </c>
      <c r="AY173">
        <f>IF(AND($E173=TRUE,$C173="MID"),AS173,"")</f>
        <v/>
      </c>
      <c r="AZ173">
        <f>IF(AND($E173=TRUE,$C173="FWD"),AS173,"")</f>
        <v/>
      </c>
      <c r="BA173" t="n">
        <v>2</v>
      </c>
      <c r="BB173" t="n">
        <v>2</v>
      </c>
      <c r="BC173" t="n">
        <v>4</v>
      </c>
      <c r="BD173" t="n">
        <v>6</v>
      </c>
    </row>
    <row r="174">
      <c r="A174" t="inlineStr">
        <is>
          <t>Pascal Groß</t>
        </is>
      </c>
      <c r="B174" t="inlineStr">
        <is>
          <t>BHA</t>
        </is>
      </c>
      <c r="C174" t="inlineStr">
        <is>
          <t>MID</t>
        </is>
      </c>
      <c r="D174" t="inlineStr">
        <is>
          <t>MID</t>
        </is>
      </c>
      <c r="E174" t="b">
        <v>1</v>
      </c>
      <c r="F174" s="2" t="n">
        <v>5.5</v>
      </c>
      <c r="G174" t="inlineStr">
        <is>
          <t>a</t>
        </is>
      </c>
      <c r="I174" s="2" t="n">
        <v>1636</v>
      </c>
      <c r="J174" t="n">
        <v>78</v>
      </c>
      <c r="K174" s="3" t="n">
        <v>3164</v>
      </c>
      <c r="L174" t="inlineStr">
        <is>
          <t>flat</t>
        </is>
      </c>
      <c r="M174" s="4" t="n">
        <v>3164</v>
      </c>
      <c r="N174" t="inlineStr">
        <is>
          <t>Solio</t>
        </is>
      </c>
      <c r="O174" s="5" t="n">
        <v>89.8</v>
      </c>
      <c r="P174" t="b">
        <v>1</v>
      </c>
      <c r="Q174" s="5">
        <f>IF(N(O174)&lt;=0,0,MIN(Assumptions!$B$15,N(M174)/N(O174)))</f>
        <v/>
      </c>
      <c r="R174" s="4" t="n">
        <v>0.252</v>
      </c>
      <c r="S174" s="3" t="n">
        <v>0.0791</v>
      </c>
      <c r="T174" t="inlineStr">
        <is>
          <t>adjusted xGOT</t>
        </is>
      </c>
      <c r="U174" s="3" t="n">
        <v>1</v>
      </c>
      <c r="V174" s="3" t="n">
        <v>1.034</v>
      </c>
      <c r="W174" s="3" t="n">
        <v>13</v>
      </c>
      <c r="X174" s="3" t="n">
        <v>0.1993</v>
      </c>
      <c r="Y174" s="3" t="n">
        <v>8.16</v>
      </c>
      <c r="Z174" s="3" t="n">
        <v>0.1224366137025351</v>
      </c>
      <c r="AA174" s="3" t="n">
        <v>0.5501</v>
      </c>
      <c r="AB174" s="3" t="n">
        <v>37</v>
      </c>
      <c r="AC174" s="3" t="n">
        <v>2.8404</v>
      </c>
      <c r="AD174" s="3" t="n">
        <v>1.439</v>
      </c>
      <c r="AE174" s="3" t="n">
        <v>-0.174741672658704</v>
      </c>
      <c r="AF174" s="4" t="n">
        <v>4.494438105382158</v>
      </c>
      <c r="AG174" s="3" t="n">
        <v>0</v>
      </c>
      <c r="AH174" s="3" t="n">
        <v>0.3955</v>
      </c>
      <c r="AI174" s="3" t="n">
        <v>0.789228</v>
      </c>
      <c r="AJ174" s="3">
        <f>N(R174)*N(BC174)</f>
        <v/>
      </c>
      <c r="AK174" s="3" t="n">
        <v>0.5501</v>
      </c>
      <c r="AL174" s="3" t="n">
        <v>0</v>
      </c>
      <c r="AM174" s="3" t="n">
        <v>-0</v>
      </c>
      <c r="AN174" s="3" t="n">
        <v>-0.174741672658704</v>
      </c>
      <c r="AO174" s="3">
        <f>SUM(AH174:AN174)</f>
        <v/>
      </c>
      <c r="AP174" s="5">
        <f>IF(OR(N(Q174)&lt;=0,N(BA174)=0),0,N(Q174)*IF(N(M174)/N(Q174)&gt;=60,N(BA174),1))</f>
        <v/>
      </c>
      <c r="AQ174" s="5">
        <f>N(Q174)*N(Z174)*N(BB174)</f>
        <v/>
      </c>
      <c r="AR174" s="5">
        <f>N(AF174)*(Assumptions!$B$13*N(BD174)-(1-Assumptions!$B$13)*Assumptions!$B$14)+N(AG174)</f>
        <v/>
      </c>
      <c r="AS174" s="5">
        <f>N(AO174)*N(M174)/90+N(AP174)+N(AQ174)+N(AR174)</f>
        <v/>
      </c>
      <c r="AT174" s="3">
        <f>IF(N(M174)&lt;=0,0,(N(AS174)-N(AR174))*90/N(M174))</f>
        <v/>
      </c>
      <c r="AU174" s="5">
        <f>IFERROR(AS174-VLOOKUP($C174,Assumptions!$A$36:$C$39,3,FALSE),"")</f>
        <v/>
      </c>
      <c r="AV174" s="3">
        <f>IFERROR(AU174/F174,"")</f>
        <v/>
      </c>
      <c r="AW174">
        <f>IF(AND($E174=TRUE,$C174="GKP"),AS174,"")</f>
        <v/>
      </c>
      <c r="AX174">
        <f>IF(AND($E174=TRUE,$C174="DEF"),AS174,"")</f>
        <v/>
      </c>
      <c r="AY174">
        <f>IF(AND($E174=TRUE,$C174="MID"),AS174,"")</f>
        <v/>
      </c>
      <c r="AZ174">
        <f>IF(AND($E174=TRUE,$C174="FWD"),AS174,"")</f>
        <v/>
      </c>
      <c r="BA174" t="n">
        <v>2</v>
      </c>
      <c r="BB174" t="n">
        <v>2</v>
      </c>
      <c r="BC174" t="n">
        <v>1</v>
      </c>
      <c r="BD174" t="n">
        <v>5</v>
      </c>
    </row>
    <row r="175">
      <c r="A175" t="inlineStr">
        <is>
          <t>Mathys Tel</t>
        </is>
      </c>
      <c r="B175" t="inlineStr">
        <is>
          <t>TOT</t>
        </is>
      </c>
      <c r="C175" t="inlineStr">
        <is>
          <t>MID</t>
        </is>
      </c>
      <c r="D175" t="inlineStr">
        <is>
          <t>MID</t>
        </is>
      </c>
      <c r="E175" t="b">
        <v>1</v>
      </c>
      <c r="F175" s="2" t="n">
        <v>6</v>
      </c>
      <c r="G175" t="inlineStr">
        <is>
          <t>a</t>
        </is>
      </c>
      <c r="I175" s="2" t="n">
        <v>1334</v>
      </c>
      <c r="J175" t="n">
        <v>78</v>
      </c>
      <c r="K175" s="3" t="n">
        <v>1097</v>
      </c>
      <c r="L175" t="inlineStr">
        <is>
          <t>fade (losing his place)</t>
        </is>
      </c>
      <c r="M175" s="4" t="n">
        <v>1097</v>
      </c>
      <c r="N175" t="inlineStr">
        <is>
          <t>Solio</t>
        </is>
      </c>
      <c r="O175" s="5" t="n">
        <v>77.90000000000001</v>
      </c>
      <c r="P175" t="b">
        <v>1</v>
      </c>
      <c r="Q175" s="5">
        <f>IF(N(O175)&lt;=0,0,MIN(Assumptions!$B$15,N(M175)/N(O175)))</f>
        <v/>
      </c>
      <c r="R175" s="4" t="n">
        <v>0.286</v>
      </c>
      <c r="S175" s="3" t="n">
        <v>0.1737</v>
      </c>
      <c r="T175" t="inlineStr">
        <is>
          <t>adjusted xGOT</t>
        </is>
      </c>
      <c r="U175" s="3" t="n">
        <v>1</v>
      </c>
      <c r="V175" s="3" t="n">
        <v>1.042</v>
      </c>
      <c r="W175" s="3" t="n">
        <v>5.4</v>
      </c>
      <c r="X175" s="3" t="n">
        <v>0.1971</v>
      </c>
      <c r="Y175" s="3" t="n">
        <v>7.87</v>
      </c>
      <c r="Z175" s="3" t="n">
        <v>0.04530503765110661</v>
      </c>
      <c r="AA175" s="3" t="n">
        <v>0.4048</v>
      </c>
      <c r="AB175" s="3" t="n">
        <v>43</v>
      </c>
      <c r="AC175" s="3" t="n">
        <v>2.5739</v>
      </c>
      <c r="AD175" s="3" t="n">
        <v>1.3096</v>
      </c>
      <c r="AE175" s="3" t="n">
        <v>-0.162816629657591</v>
      </c>
      <c r="AF175" s="4" t="n">
        <v>0</v>
      </c>
      <c r="AG175" s="3" t="n">
        <v>0</v>
      </c>
      <c r="AH175" s="3" t="n">
        <v>0.8684999999999999</v>
      </c>
      <c r="AI175" s="3" t="n">
        <v>0.780516</v>
      </c>
      <c r="AJ175" s="3">
        <f>N(R175)*N(BC175)</f>
        <v/>
      </c>
      <c r="AK175" s="3" t="n">
        <v>0.4048</v>
      </c>
      <c r="AL175" s="3" t="n">
        <v>0</v>
      </c>
      <c r="AM175" s="3" t="n">
        <v>-0</v>
      </c>
      <c r="AN175" s="3" t="n">
        <v>-0.162816629657591</v>
      </c>
      <c r="AO175" s="3">
        <f>SUM(AH175:AN175)</f>
        <v/>
      </c>
      <c r="AP175" s="5">
        <f>IF(OR(N(Q175)&lt;=0,N(BA175)=0),0,N(Q175)*IF(N(M175)/N(Q175)&gt;=60,N(BA175),1))</f>
        <v/>
      </c>
      <c r="AQ175" s="5">
        <f>N(Q175)*N(Z175)*N(BB175)</f>
        <v/>
      </c>
      <c r="AR175" s="5">
        <f>N(AF175)*(Assumptions!$B$13*N(BD175)-(1-Assumptions!$B$13)*Assumptions!$B$14)+N(AG175)</f>
        <v/>
      </c>
      <c r="AS175" s="5">
        <f>N(AO175)*N(M175)/90+N(AP175)+N(AQ175)+N(AR175)</f>
        <v/>
      </c>
      <c r="AT175" s="3">
        <f>IF(N(M175)&lt;=0,0,(N(AS175)-N(AR175))*90/N(M175))</f>
        <v/>
      </c>
      <c r="AU175" s="5">
        <f>IFERROR(AS175-VLOOKUP($C175,Assumptions!$A$36:$C$39,3,FALSE),"")</f>
        <v/>
      </c>
      <c r="AV175" s="3">
        <f>IFERROR(AU175/F175,"")</f>
        <v/>
      </c>
      <c r="AW175">
        <f>IF(AND($E175=TRUE,$C175="GKP"),AS175,"")</f>
        <v/>
      </c>
      <c r="AX175">
        <f>IF(AND($E175=TRUE,$C175="DEF"),AS175,"")</f>
        <v/>
      </c>
      <c r="AY175">
        <f>IF(AND($E175=TRUE,$C175="MID"),AS175,"")</f>
        <v/>
      </c>
      <c r="AZ175">
        <f>IF(AND($E175=TRUE,$C175="FWD"),AS175,"")</f>
        <v/>
      </c>
      <c r="BA175" t="n">
        <v>2</v>
      </c>
      <c r="BB175" t="n">
        <v>2</v>
      </c>
      <c r="BC175" t="n">
        <v>1</v>
      </c>
      <c r="BD175" t="n">
        <v>5</v>
      </c>
    </row>
    <row r="176">
      <c r="A176" t="inlineStr">
        <is>
          <t>Djed Spence</t>
        </is>
      </c>
      <c r="B176" t="inlineStr">
        <is>
          <t>TOT</t>
        </is>
      </c>
      <c r="C176" t="inlineStr">
        <is>
          <t>DEF</t>
        </is>
      </c>
      <c r="D176" t="inlineStr">
        <is>
          <t>DEF</t>
        </is>
      </c>
      <c r="E176" t="b">
        <v>1</v>
      </c>
      <c r="F176" s="2" t="n">
        <v>4.5</v>
      </c>
      <c r="G176" t="inlineStr">
        <is>
          <t>a</t>
        </is>
      </c>
      <c r="I176" s="2" t="n">
        <v>2049</v>
      </c>
      <c r="J176" t="n">
        <v>78</v>
      </c>
      <c r="K176" s="3" t="n">
        <v>1955</v>
      </c>
      <c r="L176" t="inlineStr">
        <is>
          <t>flat</t>
        </is>
      </c>
      <c r="M176" s="4" t="n">
        <v>1955</v>
      </c>
      <c r="N176" t="inlineStr">
        <is>
          <t>Solio</t>
        </is>
      </c>
      <c r="O176" s="5" t="n">
        <v>83.09999999999999</v>
      </c>
      <c r="P176" t="b">
        <v>1</v>
      </c>
      <c r="Q176" s="5">
        <f>IF(N(O176)&lt;=0,0,MIN(Assumptions!$B$15,N(M176)/N(O176)))</f>
        <v/>
      </c>
      <c r="R176" s="4" t="n">
        <v>0.286</v>
      </c>
      <c r="S176" s="3" t="n">
        <v>0.041</v>
      </c>
      <c r="T176" t="inlineStr">
        <is>
          <t>adjusted xGOT</t>
        </is>
      </c>
      <c r="U176" s="3" t="n">
        <v>1</v>
      </c>
      <c r="V176" s="3" t="n">
        <v>1.038</v>
      </c>
      <c r="W176" s="3" t="n">
        <v>1.5</v>
      </c>
      <c r="X176" s="3" t="n">
        <v>0.07969999999999999</v>
      </c>
      <c r="Y176" s="3" t="n">
        <v>5.769</v>
      </c>
      <c r="Z176" s="3" t="n">
        <v>0.04527998335483352</v>
      </c>
      <c r="AA176" s="3" t="n">
        <v>0.1318</v>
      </c>
      <c r="AB176" s="3" t="n">
        <v>52</v>
      </c>
      <c r="AC176" s="3" t="n">
        <v>2.5739</v>
      </c>
      <c r="AD176" s="3" t="n">
        <v>1.3096</v>
      </c>
      <c r="AE176" s="3" t="n">
        <v>-0.1816167509287117</v>
      </c>
      <c r="AF176" s="4" t="n">
        <v>0</v>
      </c>
      <c r="AG176" s="3" t="n">
        <v>0</v>
      </c>
      <c r="AH176" s="3" t="n">
        <v>0.246</v>
      </c>
      <c r="AI176" s="3" t="n">
        <v>0.315612</v>
      </c>
      <c r="AJ176" s="3">
        <f>N(R176)*N(BC176)</f>
        <v/>
      </c>
      <c r="AK176" s="3" t="n">
        <v>0.1318</v>
      </c>
      <c r="AL176" s="3" t="n">
        <v>0</v>
      </c>
      <c r="AM176" s="3" t="n">
        <v>-0.4230152821052008</v>
      </c>
      <c r="AN176" s="3" t="n">
        <v>-0.1816167509287117</v>
      </c>
      <c r="AO176" s="3">
        <f>SUM(AH176:AN176)</f>
        <v/>
      </c>
      <c r="AP176" s="5">
        <f>IF(OR(N(Q176)&lt;=0,N(BA176)=0),0,N(Q176)*IF(N(M176)/N(Q176)&gt;=60,N(BA176),1))</f>
        <v/>
      </c>
      <c r="AQ176" s="5">
        <f>N(Q176)*N(Z176)*N(BB176)</f>
        <v/>
      </c>
      <c r="AR176" s="5">
        <f>N(AF176)*(Assumptions!$B$13*N(BD176)-(1-Assumptions!$B$13)*Assumptions!$B$14)+N(AG176)</f>
        <v/>
      </c>
      <c r="AS176" s="5">
        <f>N(AO176)*N(M176)/90+N(AP176)+N(AQ176)+N(AR176)</f>
        <v/>
      </c>
      <c r="AT176" s="3">
        <f>IF(N(M176)&lt;=0,0,(N(AS176)-N(AR176))*90/N(M176))</f>
        <v/>
      </c>
      <c r="AU176" s="5">
        <f>IFERROR(AS176-VLOOKUP($C176,Assumptions!$A$36:$C$39,3,FALSE),"")</f>
        <v/>
      </c>
      <c r="AV176" s="3">
        <f>IFERROR(AU176/F176,"")</f>
        <v/>
      </c>
      <c r="AW176">
        <f>IF(AND($E176=TRUE,$C176="GKP"),AS176,"")</f>
        <v/>
      </c>
      <c r="AX176">
        <f>IF(AND($E176=TRUE,$C176="DEF"),AS176,"")</f>
        <v/>
      </c>
      <c r="AY176">
        <f>IF(AND($E176=TRUE,$C176="MID"),AS176,"")</f>
        <v/>
      </c>
      <c r="AZ176">
        <f>IF(AND($E176=TRUE,$C176="FWD"),AS176,"")</f>
        <v/>
      </c>
      <c r="BA176" t="n">
        <v>2</v>
      </c>
      <c r="BB176" t="n">
        <v>2</v>
      </c>
      <c r="BC176" t="n">
        <v>4</v>
      </c>
      <c r="BD176" t="n">
        <v>6</v>
      </c>
    </row>
    <row r="177">
      <c r="A177" t="inlineStr">
        <is>
          <t>Tyler Adams</t>
        </is>
      </c>
      <c r="B177" t="inlineStr">
        <is>
          <t>BOU</t>
        </is>
      </c>
      <c r="C177" t="inlineStr">
        <is>
          <t>MID</t>
        </is>
      </c>
      <c r="D177" t="inlineStr">
        <is>
          <t>MID</t>
        </is>
      </c>
      <c r="E177" t="b">
        <v>1</v>
      </c>
      <c r="F177" s="2" t="n">
        <v>5</v>
      </c>
      <c r="G177" t="inlineStr">
        <is>
          <t>a</t>
        </is>
      </c>
      <c r="I177" s="2" t="n">
        <v>1769</v>
      </c>
      <c r="J177" t="n">
        <v>77</v>
      </c>
      <c r="K177" s="3" t="n">
        <v>2633</v>
      </c>
      <c r="L177" t="inlineStr">
        <is>
          <t>flat</t>
        </is>
      </c>
      <c r="M177" s="4" t="n">
        <v>2633</v>
      </c>
      <c r="N177" t="inlineStr">
        <is>
          <t>Solio</t>
        </is>
      </c>
      <c r="O177" s="5" t="n">
        <v>79</v>
      </c>
      <c r="P177" t="b">
        <v>1</v>
      </c>
      <c r="Q177" s="5">
        <f>IF(N(O177)&lt;=0,0,MIN(Assumptions!$B$15,N(M177)/N(O177)))</f>
        <v/>
      </c>
      <c r="R177" s="4" t="n">
        <v>0.23</v>
      </c>
      <c r="S177" s="3" t="n">
        <v>0.034</v>
      </c>
      <c r="T177" t="inlineStr">
        <is>
          <t>adjusted xGOT</t>
        </is>
      </c>
      <c r="U177" s="3" t="n">
        <v>1</v>
      </c>
      <c r="V177" s="3" t="n">
        <v>1.063</v>
      </c>
      <c r="W177" s="3" t="n">
        <v>2.1</v>
      </c>
      <c r="X177" s="3" t="n">
        <v>0.0473</v>
      </c>
      <c r="Y177" s="3" t="n">
        <v>10.87</v>
      </c>
      <c r="Z177" s="3" t="n">
        <v>0.2524452441215141</v>
      </c>
      <c r="AA177" s="3" t="n">
        <v>0.1526</v>
      </c>
      <c r="AB177" s="3" t="n">
        <v>45</v>
      </c>
      <c r="AC177" s="3" t="n">
        <v>3.0957</v>
      </c>
      <c r="AD177" s="3" t="n">
        <v>1.53</v>
      </c>
      <c r="AE177" s="3" t="n">
        <v>-0.3291964405902342</v>
      </c>
      <c r="AF177" s="4" t="n">
        <v>0</v>
      </c>
      <c r="AG177" s="3" t="n">
        <v>0</v>
      </c>
      <c r="AH177" s="3" t="n">
        <v>0.17</v>
      </c>
      <c r="AI177" s="3" t="n">
        <v>0.187308</v>
      </c>
      <c r="AJ177" s="3">
        <f>N(R177)*N(BC177)</f>
        <v/>
      </c>
      <c r="AK177" s="3" t="n">
        <v>0.1526</v>
      </c>
      <c r="AL177" s="3" t="n">
        <v>0</v>
      </c>
      <c r="AM177" s="3" t="n">
        <v>-0</v>
      </c>
      <c r="AN177" s="3" t="n">
        <v>-0.3291964405902342</v>
      </c>
      <c r="AO177" s="3">
        <f>SUM(AH177:AN177)</f>
        <v/>
      </c>
      <c r="AP177" s="5">
        <f>IF(OR(N(Q177)&lt;=0,N(BA177)=0),0,N(Q177)*IF(N(M177)/N(Q177)&gt;=60,N(BA177),1))</f>
        <v/>
      </c>
      <c r="AQ177" s="5">
        <f>N(Q177)*N(Z177)*N(BB177)</f>
        <v/>
      </c>
      <c r="AR177" s="5">
        <f>N(AF177)*(Assumptions!$B$13*N(BD177)-(1-Assumptions!$B$13)*Assumptions!$B$14)+N(AG177)</f>
        <v/>
      </c>
      <c r="AS177" s="5">
        <f>N(AO177)*N(M177)/90+N(AP177)+N(AQ177)+N(AR177)</f>
        <v/>
      </c>
      <c r="AT177" s="3">
        <f>IF(N(M177)&lt;=0,0,(N(AS177)-N(AR177))*90/N(M177))</f>
        <v/>
      </c>
      <c r="AU177" s="5">
        <f>IFERROR(AS177-VLOOKUP($C177,Assumptions!$A$36:$C$39,3,FALSE),"")</f>
        <v/>
      </c>
      <c r="AV177" s="3">
        <f>IFERROR(AU177/F177,"")</f>
        <v/>
      </c>
      <c r="AW177">
        <f>IF(AND($E177=TRUE,$C177="GKP"),AS177,"")</f>
        <v/>
      </c>
      <c r="AX177">
        <f>IF(AND($E177=TRUE,$C177="DEF"),AS177,"")</f>
        <v/>
      </c>
      <c r="AY177">
        <f>IF(AND($E177=TRUE,$C177="MID"),AS177,"")</f>
        <v/>
      </c>
      <c r="AZ177">
        <f>IF(AND($E177=TRUE,$C177="FWD"),AS177,"")</f>
        <v/>
      </c>
      <c r="BA177" t="n">
        <v>2</v>
      </c>
      <c r="BB177" t="n">
        <v>2</v>
      </c>
      <c r="BC177" t="n">
        <v>1</v>
      </c>
      <c r="BD177" t="n">
        <v>5</v>
      </c>
    </row>
    <row r="178">
      <c r="A178" t="inlineStr">
        <is>
          <t>Yéremy Pino</t>
        </is>
      </c>
      <c r="B178" t="inlineStr">
        <is>
          <t>CRY</t>
        </is>
      </c>
      <c r="C178" t="inlineStr">
        <is>
          <t>MID</t>
        </is>
      </c>
      <c r="D178" t="inlineStr">
        <is>
          <t>MID</t>
        </is>
      </c>
      <c r="E178" t="b">
        <v>1</v>
      </c>
      <c r="F178" s="2" t="n">
        <v>5.5</v>
      </c>
      <c r="G178" t="inlineStr">
        <is>
          <t>a</t>
        </is>
      </c>
      <c r="I178" s="2" t="n">
        <v>2074</v>
      </c>
      <c r="J178" t="n">
        <v>77</v>
      </c>
      <c r="K178" s="3" t="n">
        <v>2371</v>
      </c>
      <c r="L178" t="inlineStr">
        <is>
          <t>flat</t>
        </is>
      </c>
      <c r="M178" s="4" t="n">
        <v>2371</v>
      </c>
      <c r="N178" t="inlineStr">
        <is>
          <t>Solio</t>
        </is>
      </c>
      <c r="O178" s="5" t="n">
        <v>73</v>
      </c>
      <c r="P178" t="b">
        <v>1</v>
      </c>
      <c r="Q178" s="5">
        <f>IF(N(O178)&lt;=0,0,MIN(Assumptions!$B$15,N(M178)/N(O178)))</f>
        <v/>
      </c>
      <c r="R178" s="4" t="n">
        <v>0.216</v>
      </c>
      <c r="S178" s="3" t="n">
        <v>0.1914</v>
      </c>
      <c r="T178" t="inlineStr">
        <is>
          <t>adjusted xGOT</t>
        </is>
      </c>
      <c r="U178" s="3" t="n">
        <v>1</v>
      </c>
      <c r="V178" s="3" t="n">
        <v>0.974</v>
      </c>
      <c r="W178" s="3" t="n">
        <v>4.5</v>
      </c>
      <c r="X178" s="3" t="n">
        <v>0.3173</v>
      </c>
      <c r="Y178" s="3" t="n">
        <v>7.59</v>
      </c>
      <c r="Z178" s="3" t="n">
        <v>0.02384894047883013</v>
      </c>
      <c r="AA178" s="3" t="n">
        <v>0.1302</v>
      </c>
      <c r="AB178" s="3" t="n">
        <v>53</v>
      </c>
      <c r="AC178" s="3" t="n">
        <v>3.2035</v>
      </c>
      <c r="AD178" s="3" t="n">
        <v>1.5923</v>
      </c>
      <c r="AE178" s="3" t="n">
        <v>-0.2007976459051203</v>
      </c>
      <c r="AF178" s="4" t="n">
        <v>0</v>
      </c>
      <c r="AG178" s="3" t="n">
        <v>0</v>
      </c>
      <c r="AH178" s="3" t="n">
        <v>0.957</v>
      </c>
      <c r="AI178" s="3" t="n">
        <v>1.256508</v>
      </c>
      <c r="AJ178" s="3">
        <f>N(R178)*N(BC178)</f>
        <v/>
      </c>
      <c r="AK178" s="3" t="n">
        <v>0.1302</v>
      </c>
      <c r="AL178" s="3" t="n">
        <v>0</v>
      </c>
      <c r="AM178" s="3" t="n">
        <v>-0</v>
      </c>
      <c r="AN178" s="3" t="n">
        <v>-0.2007976459051203</v>
      </c>
      <c r="AO178" s="3">
        <f>SUM(AH178:AN178)</f>
        <v/>
      </c>
      <c r="AP178" s="5">
        <f>IF(OR(N(Q178)&lt;=0,N(BA178)=0),0,N(Q178)*IF(N(M178)/N(Q178)&gt;=60,N(BA178),1))</f>
        <v/>
      </c>
      <c r="AQ178" s="5">
        <f>N(Q178)*N(Z178)*N(BB178)</f>
        <v/>
      </c>
      <c r="AR178" s="5">
        <f>N(AF178)*(Assumptions!$B$13*N(BD178)-(1-Assumptions!$B$13)*Assumptions!$B$14)+N(AG178)</f>
        <v/>
      </c>
      <c r="AS178" s="5">
        <f>N(AO178)*N(M178)/90+N(AP178)+N(AQ178)+N(AR178)</f>
        <v/>
      </c>
      <c r="AT178" s="3">
        <f>IF(N(M178)&lt;=0,0,(N(AS178)-N(AR178))*90/N(M178))</f>
        <v/>
      </c>
      <c r="AU178" s="5">
        <f>IFERROR(AS178-VLOOKUP($C178,Assumptions!$A$36:$C$39,3,FALSE),"")</f>
        <v/>
      </c>
      <c r="AV178" s="3">
        <f>IFERROR(AU178/F178,"")</f>
        <v/>
      </c>
      <c r="AW178">
        <f>IF(AND($E178=TRUE,$C178="GKP"),AS178,"")</f>
        <v/>
      </c>
      <c r="AX178">
        <f>IF(AND($E178=TRUE,$C178="DEF"),AS178,"")</f>
        <v/>
      </c>
      <c r="AY178">
        <f>IF(AND($E178=TRUE,$C178="MID"),AS178,"")</f>
        <v/>
      </c>
      <c r="AZ178">
        <f>IF(AND($E178=TRUE,$C178="FWD"),AS178,"")</f>
        <v/>
      </c>
      <c r="BA178" t="n">
        <v>2</v>
      </c>
      <c r="BB178" t="n">
        <v>2</v>
      </c>
      <c r="BC178" t="n">
        <v>1</v>
      </c>
      <c r="BD178" t="n">
        <v>5</v>
      </c>
    </row>
    <row r="179">
      <c r="A179" t="inlineStr">
        <is>
          <t>Jordan Henderson</t>
        </is>
      </c>
      <c r="B179" t="inlineStr">
        <is>
          <t>CHE</t>
        </is>
      </c>
      <c r="C179" t="inlineStr">
        <is>
          <t>MID</t>
        </is>
      </c>
      <c r="D179" t="inlineStr">
        <is>
          <t>MID</t>
        </is>
      </c>
      <c r="E179" t="b">
        <v>1</v>
      </c>
      <c r="F179" s="2" t="n">
        <v>5</v>
      </c>
      <c r="G179" t="inlineStr">
        <is>
          <t>d</t>
        </is>
      </c>
      <c r="H179" t="inlineStr">
        <is>
          <t>Wrist injury - 75% chance of playing</t>
        </is>
      </c>
      <c r="I179" s="2" t="n">
        <v>1911</v>
      </c>
      <c r="J179" t="n">
        <v>76</v>
      </c>
      <c r="K179" s="3" t="n">
        <v>137</v>
      </c>
      <c r="L179" t="inlineStr">
        <is>
          <t>flat</t>
        </is>
      </c>
      <c r="M179" s="4" t="n">
        <v>137</v>
      </c>
      <c r="N179" t="inlineStr">
        <is>
          <t>Solio</t>
        </is>
      </c>
      <c r="O179" s="5" t="n">
        <v>79</v>
      </c>
      <c r="P179" t="b">
        <v>1</v>
      </c>
      <c r="Q179" s="5">
        <f>IF(N(O179)&lt;=0,0,MIN(Assumptions!$B$15,N(M179)/N(O179)))</f>
        <v/>
      </c>
      <c r="R179" s="4" t="n">
        <v>0.322</v>
      </c>
      <c r="S179" s="3" t="n">
        <v>0.0143</v>
      </c>
      <c r="T179" t="inlineStr">
        <is>
          <t>adjusted xGOT</t>
        </is>
      </c>
      <c r="U179" s="3" t="n">
        <v>1</v>
      </c>
      <c r="V179" s="3" t="n">
        <v>0.919</v>
      </c>
      <c r="W179" s="3" t="n">
        <v>1.7</v>
      </c>
      <c r="X179" s="3" t="n">
        <v>0.1326</v>
      </c>
      <c r="Y179" s="3" t="n">
        <v>8.606999999999999</v>
      </c>
      <c r="Z179" s="3" t="n">
        <v>0.08250328844226662</v>
      </c>
      <c r="AA179" s="3" t="n">
        <v>0.2355</v>
      </c>
      <c r="AB179" s="3" t="n">
        <v>51</v>
      </c>
      <c r="AC179" s="3" t="n">
        <v>2.4232</v>
      </c>
      <c r="AD179" s="3" t="n">
        <v>1.1851</v>
      </c>
      <c r="AE179" s="3" t="n">
        <v>-0.2634710440072666</v>
      </c>
      <c r="AF179" s="4" t="n">
        <v>0</v>
      </c>
      <c r="AG179" s="3" t="n">
        <v>0</v>
      </c>
      <c r="AH179" s="3" t="n">
        <v>0.07150000000000001</v>
      </c>
      <c r="AI179" s="3" t="n">
        <v>0.525096</v>
      </c>
      <c r="AJ179" s="3">
        <f>N(R179)*N(BC179)</f>
        <v/>
      </c>
      <c r="AK179" s="3" t="n">
        <v>0.2355</v>
      </c>
      <c r="AL179" s="3" t="n">
        <v>0</v>
      </c>
      <c r="AM179" s="3" t="n">
        <v>-0</v>
      </c>
      <c r="AN179" s="3" t="n">
        <v>-0.2634710440072666</v>
      </c>
      <c r="AO179" s="3">
        <f>SUM(AH179:AN179)</f>
        <v/>
      </c>
      <c r="AP179" s="5">
        <f>IF(OR(N(Q179)&lt;=0,N(BA179)=0),0,N(Q179)*IF(N(M179)/N(Q179)&gt;=60,N(BA179),1))</f>
        <v/>
      </c>
      <c r="AQ179" s="5">
        <f>N(Q179)*N(Z179)*N(BB179)</f>
        <v/>
      </c>
      <c r="AR179" s="5">
        <f>N(AF179)*(Assumptions!$B$13*N(BD179)-(1-Assumptions!$B$13)*Assumptions!$B$14)+N(AG179)</f>
        <v/>
      </c>
      <c r="AS179" s="5">
        <f>N(AO179)*N(M179)/90+N(AP179)+N(AQ179)+N(AR179)</f>
        <v/>
      </c>
      <c r="AT179" s="3">
        <f>IF(N(M179)&lt;=0,0,(N(AS179)-N(AR179))*90/N(M179))</f>
        <v/>
      </c>
      <c r="AU179" s="5">
        <f>IFERROR(AS179-VLOOKUP($C179,Assumptions!$A$36:$C$39,3,FALSE),"")</f>
        <v/>
      </c>
      <c r="AV179" s="3">
        <f>IFERROR(AU179/F179,"")</f>
        <v/>
      </c>
      <c r="AW179">
        <f>IF(AND($E179=TRUE,$C179="GKP"),AS179,"")</f>
        <v/>
      </c>
      <c r="AX179">
        <f>IF(AND($E179=TRUE,$C179="DEF"),AS179,"")</f>
        <v/>
      </c>
      <c r="AY179">
        <f>IF(AND($E179=TRUE,$C179="MID"),AS179,"")</f>
        <v/>
      </c>
      <c r="AZ179">
        <f>IF(AND($E179=TRUE,$C179="FWD"),AS179,"")</f>
        <v/>
      </c>
      <c r="BA179" t="n">
        <v>2</v>
      </c>
      <c r="BB179" t="n">
        <v>2</v>
      </c>
      <c r="BC179" t="n">
        <v>1</v>
      </c>
      <c r="BD179" t="n">
        <v>5</v>
      </c>
    </row>
    <row r="180">
      <c r="A180" t="inlineStr">
        <is>
          <t>Amadou Onana</t>
        </is>
      </c>
      <c r="B180" t="inlineStr">
        <is>
          <t>AVL</t>
        </is>
      </c>
      <c r="C180" t="inlineStr">
        <is>
          <t>MID</t>
        </is>
      </c>
      <c r="D180" t="inlineStr">
        <is>
          <t>MID</t>
        </is>
      </c>
      <c r="E180" t="b">
        <v>1</v>
      </c>
      <c r="F180" s="2" t="n">
        <v>5</v>
      </c>
      <c r="G180" t="inlineStr">
        <is>
          <t>i</t>
        </is>
      </c>
      <c r="H180" t="inlineStr">
        <is>
          <t>Knee injury - Unknown return date</t>
        </is>
      </c>
      <c r="I180" s="2" t="n">
        <v>1755</v>
      </c>
      <c r="J180" t="n">
        <v>76</v>
      </c>
      <c r="K180" s="3" t="n">
        <v>1285</v>
      </c>
      <c r="L180" t="inlineStr">
        <is>
          <t>ramp-up (injury / late WC return)</t>
        </is>
      </c>
      <c r="M180" s="4" t="n">
        <v>1285</v>
      </c>
      <c r="N180" t="inlineStr">
        <is>
          <t>Solio</t>
        </is>
      </c>
      <c r="O180" s="5" t="n">
        <v>80.5</v>
      </c>
      <c r="P180" t="b">
        <v>1</v>
      </c>
      <c r="Q180" s="5">
        <f>IF(N(O180)&lt;=0,0,MIN(Assumptions!$B$15,N(M180)/N(O180)))</f>
        <v/>
      </c>
      <c r="R180" s="4" t="n">
        <v>0.273</v>
      </c>
      <c r="S180" s="3" t="n">
        <v>0.0853</v>
      </c>
      <c r="T180" t="inlineStr">
        <is>
          <t>adjusted xGOT</t>
        </is>
      </c>
      <c r="U180" s="3" t="n">
        <v>1</v>
      </c>
      <c r="V180" s="3" t="n">
        <v>0.99</v>
      </c>
      <c r="W180" s="3" t="n">
        <v>9</v>
      </c>
      <c r="X180" s="3" t="n">
        <v>0.0306</v>
      </c>
      <c r="Y180" s="3" t="n">
        <v>10.459</v>
      </c>
      <c r="Z180" s="3" t="n">
        <v>0.2327261823296435</v>
      </c>
      <c r="AA180" s="3" t="n">
        <v>0.2051</v>
      </c>
      <c r="AB180" s="3" t="n">
        <v>45</v>
      </c>
      <c r="AC180" s="3" t="n">
        <v>2.7451</v>
      </c>
      <c r="AD180" s="3" t="n">
        <v>1.3575</v>
      </c>
      <c r="AE180" s="3" t="n">
        <v>-0.2073865052544347</v>
      </c>
      <c r="AF180" s="4" t="n">
        <v>0</v>
      </c>
      <c r="AG180" s="3" t="n">
        <v>0</v>
      </c>
      <c r="AH180" s="3" t="n">
        <v>0.4265</v>
      </c>
      <c r="AI180" s="3" t="n">
        <v>0.121176</v>
      </c>
      <c r="AJ180" s="3">
        <f>N(R180)*N(BC180)</f>
        <v/>
      </c>
      <c r="AK180" s="3" t="n">
        <v>0.2051</v>
      </c>
      <c r="AL180" s="3" t="n">
        <v>0</v>
      </c>
      <c r="AM180" s="3" t="n">
        <v>-0</v>
      </c>
      <c r="AN180" s="3" t="n">
        <v>-0.2073865052544347</v>
      </c>
      <c r="AO180" s="3">
        <f>SUM(AH180:AN180)</f>
        <v/>
      </c>
      <c r="AP180" s="5">
        <f>IF(OR(N(Q180)&lt;=0,N(BA180)=0),0,N(Q180)*IF(N(M180)/N(Q180)&gt;=60,N(BA180),1))</f>
        <v/>
      </c>
      <c r="AQ180" s="5">
        <f>N(Q180)*N(Z180)*N(BB180)</f>
        <v/>
      </c>
      <c r="AR180" s="5">
        <f>N(AF180)*(Assumptions!$B$13*N(BD180)-(1-Assumptions!$B$13)*Assumptions!$B$14)+N(AG180)</f>
        <v/>
      </c>
      <c r="AS180" s="5">
        <f>N(AO180)*N(M180)/90+N(AP180)+N(AQ180)+N(AR180)</f>
        <v/>
      </c>
      <c r="AT180" s="3">
        <f>IF(N(M180)&lt;=0,0,(N(AS180)-N(AR180))*90/N(M180))</f>
        <v/>
      </c>
      <c r="AU180" s="5">
        <f>IFERROR(AS180-VLOOKUP($C180,Assumptions!$A$36:$C$39,3,FALSE),"")</f>
        <v/>
      </c>
      <c r="AV180" s="3">
        <f>IFERROR(AU180/F180,"")</f>
        <v/>
      </c>
      <c r="AW180">
        <f>IF(AND($E180=TRUE,$C180="GKP"),AS180,"")</f>
        <v/>
      </c>
      <c r="AX180">
        <f>IF(AND($E180=TRUE,$C180="DEF"),AS180,"")</f>
        <v/>
      </c>
      <c r="AY180">
        <f>IF(AND($E180=TRUE,$C180="MID"),AS180,"")</f>
        <v/>
      </c>
      <c r="AZ180">
        <f>IF(AND($E180=TRUE,$C180="FWD"),AS180,"")</f>
        <v/>
      </c>
      <c r="BA180" t="n">
        <v>2</v>
      </c>
      <c r="BB180" t="n">
        <v>2</v>
      </c>
      <c r="BC180" t="n">
        <v>1</v>
      </c>
      <c r="BD180" t="n">
        <v>5</v>
      </c>
    </row>
    <row r="181">
      <c r="A181" t="inlineStr">
        <is>
          <t>William Osula</t>
        </is>
      </c>
      <c r="B181" t="inlineStr">
        <is>
          <t>NEW</t>
        </is>
      </c>
      <c r="C181" t="inlineStr">
        <is>
          <t>FWD</t>
        </is>
      </c>
      <c r="D181" t="inlineStr">
        <is>
          <t>FWD</t>
        </is>
      </c>
      <c r="E181" t="b">
        <v>1</v>
      </c>
      <c r="F181" s="2" t="n">
        <v>6</v>
      </c>
      <c r="G181" t="inlineStr">
        <is>
          <t>a</t>
        </is>
      </c>
      <c r="I181" s="2" t="n">
        <v>805</v>
      </c>
      <c r="J181" t="n">
        <v>76</v>
      </c>
      <c r="K181" s="3" t="n">
        <v>2069</v>
      </c>
      <c r="L181" t="inlineStr">
        <is>
          <t>flat</t>
        </is>
      </c>
      <c r="M181" s="4" t="n">
        <v>2069</v>
      </c>
      <c r="N181" t="inlineStr">
        <is>
          <t>Solio</t>
        </is>
      </c>
      <c r="O181" s="5" t="n">
        <v>76.8</v>
      </c>
      <c r="P181" t="b">
        <v>1</v>
      </c>
      <c r="Q181" s="5">
        <f>IF(N(O181)&lt;=0,0,MIN(Assumptions!$B$15,N(M181)/N(O181)))</f>
        <v/>
      </c>
      <c r="R181" s="4" t="n">
        <v>0.248</v>
      </c>
      <c r="S181" s="3" t="n">
        <v>0.5302</v>
      </c>
      <c r="T181" t="inlineStr">
        <is>
          <t>adjusted xGOT</t>
        </is>
      </c>
      <c r="U181" s="3" t="n">
        <v>1</v>
      </c>
      <c r="V181" s="3" t="n">
        <v>1.108</v>
      </c>
      <c r="W181" s="3" t="n">
        <v>6.1</v>
      </c>
      <c r="X181" s="3" t="n">
        <v>0.0596</v>
      </c>
      <c r="Y181" s="3" t="n">
        <v>4.092</v>
      </c>
      <c r="Z181" s="3" t="n">
        <v>0.000283084002275058</v>
      </c>
      <c r="AA181" s="3" t="n">
        <v>1.4534</v>
      </c>
      <c r="AB181" s="3" t="n">
        <v>32</v>
      </c>
      <c r="AC181" s="3" t="n">
        <v>3.0912</v>
      </c>
      <c r="AD181" s="3" t="n">
        <v>1.4534</v>
      </c>
      <c r="AE181" s="3" t="n">
        <v>-0.1556289932753388</v>
      </c>
      <c r="AF181" s="4" t="n">
        <v>0.8910399935823637</v>
      </c>
      <c r="AG181" s="3" t="n">
        <v>0</v>
      </c>
      <c r="AH181" s="3" t="n">
        <v>2.1208</v>
      </c>
      <c r="AI181" s="3" t="n">
        <v>0.236016</v>
      </c>
      <c r="AJ181" s="3">
        <f>N(R181)*N(BC181)</f>
        <v/>
      </c>
      <c r="AK181" s="3" t="n">
        <v>1.4534</v>
      </c>
      <c r="AL181" s="3" t="n">
        <v>0</v>
      </c>
      <c r="AM181" s="3" t="n">
        <v>-0</v>
      </c>
      <c r="AN181" s="3" t="n">
        <v>-0.1556289932753388</v>
      </c>
      <c r="AO181" s="3">
        <f>SUM(AH181:AN181)</f>
        <v/>
      </c>
      <c r="AP181" s="5">
        <f>IF(OR(N(Q181)&lt;=0,N(BA181)=0),0,N(Q181)*IF(N(M181)/N(Q181)&gt;=60,N(BA181),1))</f>
        <v/>
      </c>
      <c r="AQ181" s="5">
        <f>N(Q181)*N(Z181)*N(BB181)</f>
        <v/>
      </c>
      <c r="AR181" s="5">
        <f>N(AF181)*(Assumptions!$B$13*N(BD181)-(1-Assumptions!$B$13)*Assumptions!$B$14)+N(AG181)</f>
        <v/>
      </c>
      <c r="AS181" s="5">
        <f>N(AO181)*N(M181)/90+N(AP181)+N(AQ181)+N(AR181)</f>
        <v/>
      </c>
      <c r="AT181" s="3">
        <f>IF(N(M181)&lt;=0,0,(N(AS181)-N(AR181))*90/N(M181))</f>
        <v/>
      </c>
      <c r="AU181" s="5">
        <f>IFERROR(AS181-VLOOKUP($C181,Assumptions!$A$36:$C$39,3,FALSE),"")</f>
        <v/>
      </c>
      <c r="AV181" s="3">
        <f>IFERROR(AU181/F181,"")</f>
        <v/>
      </c>
      <c r="AW181">
        <f>IF(AND($E181=TRUE,$C181="GKP"),AS181,"")</f>
        <v/>
      </c>
      <c r="AX181">
        <f>IF(AND($E181=TRUE,$C181="DEF"),AS181,"")</f>
        <v/>
      </c>
      <c r="AY181">
        <f>IF(AND($E181=TRUE,$C181="MID"),AS181,"")</f>
        <v/>
      </c>
      <c r="AZ181">
        <f>IF(AND($E181=TRUE,$C181="FWD"),AS181,"")</f>
        <v/>
      </c>
      <c r="BA181" t="n">
        <v>2</v>
      </c>
      <c r="BB181" t="n">
        <v>2</v>
      </c>
      <c r="BC181" t="n">
        <v>0</v>
      </c>
      <c r="BD181" t="n">
        <v>4</v>
      </c>
    </row>
    <row r="182">
      <c r="A182" t="inlineStr">
        <is>
          <t>Kristoffer Ajer</t>
        </is>
      </c>
      <c r="B182" t="inlineStr">
        <is>
          <t>BRE</t>
        </is>
      </c>
      <c r="C182" t="inlineStr">
        <is>
          <t>DEF</t>
        </is>
      </c>
      <c r="D182" t="inlineStr">
        <is>
          <t>DEF</t>
        </is>
      </c>
      <c r="E182" t="b">
        <v>1</v>
      </c>
      <c r="F182" s="2" t="n">
        <v>4.5</v>
      </c>
      <c r="G182" t="inlineStr">
        <is>
          <t>a</t>
        </is>
      </c>
      <c r="I182" s="2" t="n">
        <v>1805</v>
      </c>
      <c r="J182" t="n">
        <v>76</v>
      </c>
      <c r="K182" s="3" t="n">
        <v>1619</v>
      </c>
      <c r="L182" t="inlineStr">
        <is>
          <t>fade (losing his place)</t>
        </is>
      </c>
      <c r="M182" s="4" t="n">
        <v>1619</v>
      </c>
      <c r="N182" t="inlineStr">
        <is>
          <t>Solio</t>
        </is>
      </c>
      <c r="O182" s="5" t="n">
        <v>83.59999999999999</v>
      </c>
      <c r="P182" t="b">
        <v>1</v>
      </c>
      <c r="Q182" s="5">
        <f>IF(N(O182)&lt;=0,0,MIN(Assumptions!$B$15,N(M182)/N(O182)))</f>
        <v/>
      </c>
      <c r="R182" s="4" t="n">
        <v>0.228</v>
      </c>
      <c r="S182" s="3" t="n">
        <v>0.0362</v>
      </c>
      <c r="T182" t="inlineStr">
        <is>
          <t>adjusted xGOT</t>
        </is>
      </c>
      <c r="U182" s="3" t="n">
        <v>1</v>
      </c>
      <c r="V182" s="3" t="n">
        <v>1.053</v>
      </c>
      <c r="W182" s="3" t="n">
        <v>2.9</v>
      </c>
      <c r="X182" s="3" t="n">
        <v>0.0407</v>
      </c>
      <c r="Y182" s="3" t="n">
        <v>9.035</v>
      </c>
      <c r="Z182" s="3" t="n">
        <v>0.3331143011804237</v>
      </c>
      <c r="AA182" s="3" t="n">
        <v>0.0499</v>
      </c>
      <c r="AB182" s="3" t="n">
        <v>46</v>
      </c>
      <c r="AC182" s="3" t="n">
        <v>3.2371</v>
      </c>
      <c r="AD182" s="3" t="n">
        <v>1.5396</v>
      </c>
      <c r="AE182" s="3" t="n">
        <v>-0.2433172600094551</v>
      </c>
      <c r="AF182" s="4" t="n">
        <v>0</v>
      </c>
      <c r="AG182" s="3" t="n">
        <v>0</v>
      </c>
      <c r="AH182" s="3" t="n">
        <v>0.2172</v>
      </c>
      <c r="AI182" s="3" t="n">
        <v>0.161172</v>
      </c>
      <c r="AJ182" s="3">
        <f>N(R182)*N(BC182)</f>
        <v/>
      </c>
      <c r="AK182" s="3" t="n">
        <v>0.0499</v>
      </c>
      <c r="AL182" s="3" t="n">
        <v>0</v>
      </c>
      <c r="AM182" s="3" t="n">
        <v>-0.5312990096912251</v>
      </c>
      <c r="AN182" s="3" t="n">
        <v>-0.2433172600094551</v>
      </c>
      <c r="AO182" s="3">
        <f>SUM(AH182:AN182)</f>
        <v/>
      </c>
      <c r="AP182" s="5">
        <f>IF(OR(N(Q182)&lt;=0,N(BA182)=0),0,N(Q182)*IF(N(M182)/N(Q182)&gt;=60,N(BA182),1))</f>
        <v/>
      </c>
      <c r="AQ182" s="5">
        <f>N(Q182)*N(Z182)*N(BB182)</f>
        <v/>
      </c>
      <c r="AR182" s="5">
        <f>N(AF182)*(Assumptions!$B$13*N(BD182)-(1-Assumptions!$B$13)*Assumptions!$B$14)+N(AG182)</f>
        <v/>
      </c>
      <c r="AS182" s="5">
        <f>N(AO182)*N(M182)/90+N(AP182)+N(AQ182)+N(AR182)</f>
        <v/>
      </c>
      <c r="AT182" s="3">
        <f>IF(N(M182)&lt;=0,0,(N(AS182)-N(AR182))*90/N(M182))</f>
        <v/>
      </c>
      <c r="AU182" s="5">
        <f>IFERROR(AS182-VLOOKUP($C182,Assumptions!$A$36:$C$39,3,FALSE),"")</f>
        <v/>
      </c>
      <c r="AV182" s="3">
        <f>IFERROR(AU182/F182,"")</f>
        <v/>
      </c>
      <c r="AW182">
        <f>IF(AND($E182=TRUE,$C182="GKP"),AS182,"")</f>
        <v/>
      </c>
      <c r="AX182">
        <f>IF(AND($E182=TRUE,$C182="DEF"),AS182,"")</f>
        <v/>
      </c>
      <c r="AY182">
        <f>IF(AND($E182=TRUE,$C182="MID"),AS182,"")</f>
        <v/>
      </c>
      <c r="AZ182">
        <f>IF(AND($E182=TRUE,$C182="FWD"),AS182,"")</f>
        <v/>
      </c>
      <c r="BA182" t="n">
        <v>2</v>
      </c>
      <c r="BB182" t="n">
        <v>2</v>
      </c>
      <c r="BC182" t="n">
        <v>4</v>
      </c>
      <c r="BD182" t="n">
        <v>6</v>
      </c>
    </row>
    <row r="183">
      <c r="A183" t="inlineStr">
        <is>
          <t>Jørgen Strand Larsen</t>
        </is>
      </c>
      <c r="B183" t="inlineStr">
        <is>
          <t>CRY</t>
        </is>
      </c>
      <c r="C183" t="inlineStr">
        <is>
          <t>FWD</t>
        </is>
      </c>
      <c r="D183" t="inlineStr">
        <is>
          <t>FWD</t>
        </is>
      </c>
      <c r="E183" t="b">
        <v>1</v>
      </c>
      <c r="F183" s="2" t="n">
        <v>6</v>
      </c>
      <c r="G183" t="inlineStr">
        <is>
          <t>a</t>
        </is>
      </c>
      <c r="I183" s="2" t="n">
        <v>2301</v>
      </c>
      <c r="J183" t="n">
        <v>75</v>
      </c>
      <c r="K183" s="3" t="n">
        <v>953</v>
      </c>
      <c r="L183" t="inlineStr">
        <is>
          <t>flat</t>
        </is>
      </c>
      <c r="M183" s="4" t="n">
        <v>953</v>
      </c>
      <c r="N183" t="inlineStr">
        <is>
          <t>Solio</t>
        </is>
      </c>
      <c r="O183" s="5" t="n">
        <v>77.3</v>
      </c>
      <c r="P183" t="b">
        <v>1</v>
      </c>
      <c r="Q183" s="5">
        <f>IF(N(O183)&lt;=0,0,MIN(Assumptions!$B$15,N(M183)/N(O183)))</f>
        <v/>
      </c>
      <c r="R183" s="4" t="n">
        <v>0.216</v>
      </c>
      <c r="S183" s="3" t="n">
        <v>0.1776</v>
      </c>
      <c r="T183" t="inlineStr">
        <is>
          <t>adjusted xGOT</t>
        </is>
      </c>
      <c r="U183" s="3" t="n">
        <v>0.766</v>
      </c>
      <c r="V183" s="3" t="n">
        <v>1.118</v>
      </c>
      <c r="W183" s="3" t="n">
        <v>15.4</v>
      </c>
      <c r="X183" s="3" t="n">
        <v>0.0353</v>
      </c>
      <c r="Y183" s="3" t="n">
        <v>3.973</v>
      </c>
      <c r="Z183" s="3" t="n">
        <v>0.0002306993347063191</v>
      </c>
      <c r="AA183" s="3" t="n">
        <v>0.1173</v>
      </c>
      <c r="AB183" s="3" t="n">
        <v>59</v>
      </c>
      <c r="AC183" s="3" t="n">
        <v>3.2035</v>
      </c>
      <c r="AD183" s="3" t="n">
        <v>1.5923</v>
      </c>
      <c r="AE183" s="3" t="n">
        <v>-0.1648064653887614</v>
      </c>
      <c r="AF183" s="4" t="n">
        <v>0</v>
      </c>
      <c r="AG183" s="3" t="n">
        <v>0</v>
      </c>
      <c r="AH183" s="3" t="n">
        <v>0.7104</v>
      </c>
      <c r="AI183" s="3" t="n">
        <v>0.139788</v>
      </c>
      <c r="AJ183" s="3">
        <f>N(R183)*N(BC183)</f>
        <v/>
      </c>
      <c r="AK183" s="3" t="n">
        <v>0.1173</v>
      </c>
      <c r="AL183" s="3" t="n">
        <v>0</v>
      </c>
      <c r="AM183" s="3" t="n">
        <v>-0</v>
      </c>
      <c r="AN183" s="3" t="n">
        <v>-0.1648064653887614</v>
      </c>
      <c r="AO183" s="3">
        <f>SUM(AH183:AN183)</f>
        <v/>
      </c>
      <c r="AP183" s="5">
        <f>IF(OR(N(Q183)&lt;=0,N(BA183)=0),0,N(Q183)*IF(N(M183)/N(Q183)&gt;=60,N(BA183),1))</f>
        <v/>
      </c>
      <c r="AQ183" s="5">
        <f>N(Q183)*N(Z183)*N(BB183)</f>
        <v/>
      </c>
      <c r="AR183" s="5">
        <f>N(AF183)*(Assumptions!$B$13*N(BD183)-(1-Assumptions!$B$13)*Assumptions!$B$14)+N(AG183)</f>
        <v/>
      </c>
      <c r="AS183" s="5">
        <f>N(AO183)*N(M183)/90+N(AP183)+N(AQ183)+N(AR183)</f>
        <v/>
      </c>
      <c r="AT183" s="3">
        <f>IF(N(M183)&lt;=0,0,(N(AS183)-N(AR183))*90/N(M183))</f>
        <v/>
      </c>
      <c r="AU183" s="5">
        <f>IFERROR(AS183-VLOOKUP($C183,Assumptions!$A$36:$C$39,3,FALSE),"")</f>
        <v/>
      </c>
      <c r="AV183" s="3">
        <f>IFERROR(AU183/F183,"")</f>
        <v/>
      </c>
      <c r="AW183">
        <f>IF(AND($E183=TRUE,$C183="GKP"),AS183,"")</f>
        <v/>
      </c>
      <c r="AX183">
        <f>IF(AND($E183=TRUE,$C183="DEF"),AS183,"")</f>
        <v/>
      </c>
      <c r="AY183">
        <f>IF(AND($E183=TRUE,$C183="MID"),AS183,"")</f>
        <v/>
      </c>
      <c r="AZ183">
        <f>IF(AND($E183=TRUE,$C183="FWD"),AS183,"")</f>
        <v/>
      </c>
      <c r="BA183" t="n">
        <v>2</v>
      </c>
      <c r="BB183" t="n">
        <v>2</v>
      </c>
      <c r="BC183" t="n">
        <v>0</v>
      </c>
      <c r="BD183" t="n">
        <v>4</v>
      </c>
    </row>
    <row r="184">
      <c r="A184" t="inlineStr">
        <is>
          <t>Mohammed Kudus</t>
        </is>
      </c>
      <c r="B184" t="inlineStr">
        <is>
          <t>TOT</t>
        </is>
      </c>
      <c r="C184" t="inlineStr">
        <is>
          <t>MID</t>
        </is>
      </c>
      <c r="D184" t="inlineStr">
        <is>
          <t>MID</t>
        </is>
      </c>
      <c r="E184" t="b">
        <v>1</v>
      </c>
      <c r="F184" s="2" t="n">
        <v>6.5</v>
      </c>
      <c r="G184" t="inlineStr">
        <is>
          <t>d</t>
        </is>
      </c>
      <c r="H184" t="inlineStr">
        <is>
          <t>Thigh injury - 75% chance of playing</t>
        </is>
      </c>
      <c r="I184" s="2" t="n">
        <v>1535</v>
      </c>
      <c r="J184" t="n">
        <v>75</v>
      </c>
      <c r="K184" s="3" t="n">
        <v>1858</v>
      </c>
      <c r="L184" t="inlineStr">
        <is>
          <t>flat</t>
        </is>
      </c>
      <c r="M184" s="4" t="n">
        <v>1858</v>
      </c>
      <c r="N184" t="inlineStr">
        <is>
          <t>Solio</t>
        </is>
      </c>
      <c r="O184" s="5" t="n">
        <v>80.8</v>
      </c>
      <c r="P184" t="b">
        <v>1</v>
      </c>
      <c r="Q184" s="5">
        <f>IF(N(O184)&lt;=0,0,MIN(Assumptions!$B$15,N(M184)/N(O184)))</f>
        <v/>
      </c>
      <c r="R184" s="4" t="n">
        <v>0.286</v>
      </c>
      <c r="S184" s="3" t="n">
        <v>0.1118</v>
      </c>
      <c r="T184" t="inlineStr">
        <is>
          <t>adjusted xGOT</t>
        </is>
      </c>
      <c r="U184" s="3" t="n">
        <v>1</v>
      </c>
      <c r="V184" s="3" t="n">
        <v>0.993</v>
      </c>
      <c r="W184" s="3" t="n">
        <v>14</v>
      </c>
      <c r="X184" s="3" t="n">
        <v>0.1461</v>
      </c>
      <c r="Y184" s="3" t="n">
        <v>8.047000000000001</v>
      </c>
      <c r="Z184" s="3" t="n">
        <v>0.0641448582974069</v>
      </c>
      <c r="AA184" s="3" t="n">
        <v>0.4691</v>
      </c>
      <c r="AB184" s="3" t="n">
        <v>36</v>
      </c>
      <c r="AC184" s="3" t="n">
        <v>2.5739</v>
      </c>
      <c r="AD184" s="3" t="n">
        <v>1.3096</v>
      </c>
      <c r="AE184" s="3" t="n">
        <v>-0.1761937016347322</v>
      </c>
      <c r="AF184" s="4" t="n">
        <v>0.5734579585226187</v>
      </c>
      <c r="AG184" s="3" t="n">
        <v>0</v>
      </c>
      <c r="AH184" s="3" t="n">
        <v>0.5589999999999999</v>
      </c>
      <c r="AI184" s="3" t="n">
        <v>0.5785560000000001</v>
      </c>
      <c r="AJ184" s="3">
        <f>N(R184)*N(BC184)</f>
        <v/>
      </c>
      <c r="AK184" s="3" t="n">
        <v>0.4691</v>
      </c>
      <c r="AL184" s="3" t="n">
        <v>0</v>
      </c>
      <c r="AM184" s="3" t="n">
        <v>-0</v>
      </c>
      <c r="AN184" s="3" t="n">
        <v>-0.1761937016347322</v>
      </c>
      <c r="AO184" s="3">
        <f>SUM(AH184:AN184)</f>
        <v/>
      </c>
      <c r="AP184" s="5">
        <f>IF(OR(N(Q184)&lt;=0,N(BA184)=0),0,N(Q184)*IF(N(M184)/N(Q184)&gt;=60,N(BA184),1))</f>
        <v/>
      </c>
      <c r="AQ184" s="5">
        <f>N(Q184)*N(Z184)*N(BB184)</f>
        <v/>
      </c>
      <c r="AR184" s="5">
        <f>N(AF184)*(Assumptions!$B$13*N(BD184)-(1-Assumptions!$B$13)*Assumptions!$B$14)+N(AG184)</f>
        <v/>
      </c>
      <c r="AS184" s="5">
        <f>N(AO184)*N(M184)/90+N(AP184)+N(AQ184)+N(AR184)</f>
        <v/>
      </c>
      <c r="AT184" s="3">
        <f>IF(N(M184)&lt;=0,0,(N(AS184)-N(AR184))*90/N(M184))</f>
        <v/>
      </c>
      <c r="AU184" s="5">
        <f>IFERROR(AS184-VLOOKUP($C184,Assumptions!$A$36:$C$39,3,FALSE),"")</f>
        <v/>
      </c>
      <c r="AV184" s="3">
        <f>IFERROR(AU184/F184,"")</f>
        <v/>
      </c>
      <c r="AW184">
        <f>IF(AND($E184=TRUE,$C184="GKP"),AS184,"")</f>
        <v/>
      </c>
      <c r="AX184">
        <f>IF(AND($E184=TRUE,$C184="DEF"),AS184,"")</f>
        <v/>
      </c>
      <c r="AY184">
        <f>IF(AND($E184=TRUE,$C184="MID"),AS184,"")</f>
        <v/>
      </c>
      <c r="AZ184">
        <f>IF(AND($E184=TRUE,$C184="FWD"),AS184,"")</f>
        <v/>
      </c>
      <c r="BA184" t="n">
        <v>2</v>
      </c>
      <c r="BB184" t="n">
        <v>2</v>
      </c>
      <c r="BC184" t="n">
        <v>1</v>
      </c>
      <c r="BD184" t="n">
        <v>5</v>
      </c>
    </row>
    <row r="185">
      <c r="A185" t="inlineStr">
        <is>
          <t>Martin Ødegaard</t>
        </is>
      </c>
      <c r="B185" t="inlineStr">
        <is>
          <t>ARS</t>
        </is>
      </c>
      <c r="C185" t="inlineStr">
        <is>
          <t>MID</t>
        </is>
      </c>
      <c r="D185" t="inlineStr">
        <is>
          <t>MID</t>
        </is>
      </c>
      <c r="E185" t="b">
        <v>1</v>
      </c>
      <c r="F185" s="2" t="n">
        <v>6.5</v>
      </c>
      <c r="G185" t="inlineStr">
        <is>
          <t>a</t>
        </is>
      </c>
      <c r="I185" s="2" t="n">
        <v>1363</v>
      </c>
      <c r="J185" t="n">
        <v>74</v>
      </c>
      <c r="K185" s="3" t="n">
        <v>1864</v>
      </c>
      <c r="L185" t="inlineStr">
        <is>
          <t>flat</t>
        </is>
      </c>
      <c r="M185" s="4" t="n">
        <v>1864</v>
      </c>
      <c r="N185" t="inlineStr">
        <is>
          <t>Solio</t>
        </is>
      </c>
      <c r="O185" s="5" t="n">
        <v>72.40000000000001</v>
      </c>
      <c r="P185" t="b">
        <v>1</v>
      </c>
      <c r="Q185" s="5">
        <f>IF(N(O185)&lt;=0,0,MIN(Assumptions!$B$15,N(M185)/N(O185)))</f>
        <v/>
      </c>
      <c r="R185" s="4" t="n">
        <v>0.391</v>
      </c>
      <c r="S185" s="3" t="n">
        <v>0.0789</v>
      </c>
      <c r="T185" t="inlineStr">
        <is>
          <t>adjusted xGOT</t>
        </is>
      </c>
      <c r="U185" s="3" t="n">
        <v>1</v>
      </c>
      <c r="V185" s="3" t="n">
        <v>0.956</v>
      </c>
      <c r="W185" s="3" t="n">
        <v>23.4</v>
      </c>
      <c r="X185" s="3" t="n">
        <v>0.2849</v>
      </c>
      <c r="Y185" s="3" t="n">
        <v>7.372</v>
      </c>
      <c r="Z185" s="3" t="n">
        <v>0.01856817097429975</v>
      </c>
      <c r="AA185" s="3" t="n">
        <v>0.3302</v>
      </c>
      <c r="AB185" s="3" t="n">
        <v>35</v>
      </c>
      <c r="AC185" s="3" t="n">
        <v>2.067</v>
      </c>
      <c r="AD185" s="3" t="n">
        <v>0.9838</v>
      </c>
      <c r="AE185" s="3" t="n">
        <v>-0.1224617090783342</v>
      </c>
      <c r="AF185" s="4" t="n">
        <v>0.3597186046144329</v>
      </c>
      <c r="AG185" s="3" t="n">
        <v>0</v>
      </c>
      <c r="AH185" s="3" t="n">
        <v>0.3945</v>
      </c>
      <c r="AI185" s="3" t="n">
        <v>1.128204</v>
      </c>
      <c r="AJ185" s="3">
        <f>N(R185)*N(BC185)</f>
        <v/>
      </c>
      <c r="AK185" s="3" t="n">
        <v>0.3302</v>
      </c>
      <c r="AL185" s="3" t="n">
        <v>0</v>
      </c>
      <c r="AM185" s="3" t="n">
        <v>-0</v>
      </c>
      <c r="AN185" s="3" t="n">
        <v>-0.1224617090783342</v>
      </c>
      <c r="AO185" s="3">
        <f>SUM(AH185:AN185)</f>
        <v/>
      </c>
      <c r="AP185" s="5">
        <f>IF(OR(N(Q185)&lt;=0,N(BA185)=0),0,N(Q185)*IF(N(M185)/N(Q185)&gt;=60,N(BA185),1))</f>
        <v/>
      </c>
      <c r="AQ185" s="5">
        <f>N(Q185)*N(Z185)*N(BB185)</f>
        <v/>
      </c>
      <c r="AR185" s="5">
        <f>N(AF185)*(Assumptions!$B$13*N(BD185)-(1-Assumptions!$B$13)*Assumptions!$B$14)+N(AG185)</f>
        <v/>
      </c>
      <c r="AS185" s="5">
        <f>N(AO185)*N(M185)/90+N(AP185)+N(AQ185)+N(AR185)</f>
        <v/>
      </c>
      <c r="AT185" s="3">
        <f>IF(N(M185)&lt;=0,0,(N(AS185)-N(AR185))*90/N(M185))</f>
        <v/>
      </c>
      <c r="AU185" s="5">
        <f>IFERROR(AS185-VLOOKUP($C185,Assumptions!$A$36:$C$39,3,FALSE),"")</f>
        <v/>
      </c>
      <c r="AV185" s="3">
        <f>IFERROR(AU185/F185,"")</f>
        <v/>
      </c>
      <c r="AW185">
        <f>IF(AND($E185=TRUE,$C185="GKP"),AS185,"")</f>
        <v/>
      </c>
      <c r="AX185">
        <f>IF(AND($E185=TRUE,$C185="DEF"),AS185,"")</f>
        <v/>
      </c>
      <c r="AY185">
        <f>IF(AND($E185=TRUE,$C185="MID"),AS185,"")</f>
        <v/>
      </c>
      <c r="AZ185">
        <f>IF(AND($E185=TRUE,$C185="FWD"),AS185,"")</f>
        <v/>
      </c>
      <c r="BA185" t="n">
        <v>2</v>
      </c>
      <c r="BB185" t="n">
        <v>2</v>
      </c>
      <c r="BC185" t="n">
        <v>1</v>
      </c>
      <c r="BD185" t="n">
        <v>5</v>
      </c>
    </row>
    <row r="186">
      <c r="A186" t="inlineStr">
        <is>
          <t>Wilson Isidor</t>
        </is>
      </c>
      <c r="B186" t="inlineStr">
        <is>
          <t>SUN</t>
        </is>
      </c>
      <c r="C186" t="inlineStr">
        <is>
          <t>FWD</t>
        </is>
      </c>
      <c r="D186" t="inlineStr">
        <is>
          <t>FWD</t>
        </is>
      </c>
      <c r="E186" t="b">
        <v>1</v>
      </c>
      <c r="F186" s="2" t="n">
        <v>5.5</v>
      </c>
      <c r="G186" t="inlineStr">
        <is>
          <t>a</t>
        </is>
      </c>
      <c r="I186" s="2" t="n">
        <v>1148</v>
      </c>
      <c r="J186" t="n">
        <v>74</v>
      </c>
      <c r="K186" s="3" t="n">
        <v>481</v>
      </c>
      <c r="L186" t="inlineStr">
        <is>
          <t>flat</t>
        </is>
      </c>
      <c r="M186" s="4" t="n">
        <v>481</v>
      </c>
      <c r="N186" t="inlineStr">
        <is>
          <t>Solio</t>
        </is>
      </c>
      <c r="O186" s="5" t="n">
        <v>71.3</v>
      </c>
      <c r="P186" t="b">
        <v>1</v>
      </c>
      <c r="Q186" s="5">
        <f>IF(N(O186)&lt;=0,0,MIN(Assumptions!$B$15,N(M186)/N(O186)))</f>
        <v/>
      </c>
      <c r="R186" s="4" t="n">
        <v>0.204</v>
      </c>
      <c r="S186" s="3" t="n">
        <v>0.383</v>
      </c>
      <c r="T186" t="inlineStr">
        <is>
          <t>adjusted xGOT</t>
        </is>
      </c>
      <c r="U186" s="3" t="n">
        <v>1</v>
      </c>
      <c r="V186" s="3" t="n">
        <v>1.039</v>
      </c>
      <c r="W186" s="3" t="n">
        <v>4.7</v>
      </c>
      <c r="X186" s="3" t="n">
        <v>0.0149</v>
      </c>
      <c r="Y186" s="3" t="n">
        <v>4.305</v>
      </c>
      <c r="Z186" s="3" t="n">
        <v>0.0002295863172926405</v>
      </c>
      <c r="AA186" s="3" t="n">
        <v>0.6272</v>
      </c>
      <c r="AB186" s="3" t="n">
        <v>41</v>
      </c>
      <c r="AC186" s="3" t="n">
        <v>3.3348</v>
      </c>
      <c r="AD186" s="3" t="n">
        <v>1.6498</v>
      </c>
      <c r="AE186" s="3" t="n">
        <v>-0.1371338303963969</v>
      </c>
      <c r="AF186" s="4" t="n">
        <v>0</v>
      </c>
      <c r="AG186" s="3" t="n">
        <v>0</v>
      </c>
      <c r="AH186" s="3" t="n">
        <v>1.532</v>
      </c>
      <c r="AI186" s="3" t="n">
        <v>0.05900400000000001</v>
      </c>
      <c r="AJ186" s="3">
        <f>N(R186)*N(BC186)</f>
        <v/>
      </c>
      <c r="AK186" s="3" t="n">
        <v>0.6272</v>
      </c>
      <c r="AL186" s="3" t="n">
        <v>0</v>
      </c>
      <c r="AM186" s="3" t="n">
        <v>-0</v>
      </c>
      <c r="AN186" s="3" t="n">
        <v>-0.1371338303963969</v>
      </c>
      <c r="AO186" s="3">
        <f>SUM(AH186:AN186)</f>
        <v/>
      </c>
      <c r="AP186" s="5">
        <f>IF(OR(N(Q186)&lt;=0,N(BA186)=0),0,N(Q186)*IF(N(M186)/N(Q186)&gt;=60,N(BA186),1))</f>
        <v/>
      </c>
      <c r="AQ186" s="5">
        <f>N(Q186)*N(Z186)*N(BB186)</f>
        <v/>
      </c>
      <c r="AR186" s="5">
        <f>N(AF186)*(Assumptions!$B$13*N(BD186)-(1-Assumptions!$B$13)*Assumptions!$B$14)+N(AG186)</f>
        <v/>
      </c>
      <c r="AS186" s="5">
        <f>N(AO186)*N(M186)/90+N(AP186)+N(AQ186)+N(AR186)</f>
        <v/>
      </c>
      <c r="AT186" s="3">
        <f>IF(N(M186)&lt;=0,0,(N(AS186)-N(AR186))*90/N(M186))</f>
        <v/>
      </c>
      <c r="AU186" s="5">
        <f>IFERROR(AS186-VLOOKUP($C186,Assumptions!$A$36:$C$39,3,FALSE),"")</f>
        <v/>
      </c>
      <c r="AV186" s="3">
        <f>IFERROR(AU186/F186,"")</f>
        <v/>
      </c>
      <c r="AW186">
        <f>IF(AND($E186=TRUE,$C186="GKP"),AS186,"")</f>
        <v/>
      </c>
      <c r="AX186">
        <f>IF(AND($E186=TRUE,$C186="DEF"),AS186,"")</f>
        <v/>
      </c>
      <c r="AY186">
        <f>IF(AND($E186=TRUE,$C186="MID"),AS186,"")</f>
        <v/>
      </c>
      <c r="AZ186">
        <f>IF(AND($E186=TRUE,$C186="FWD"),AS186,"")</f>
        <v/>
      </c>
      <c r="BA186" t="n">
        <v>2</v>
      </c>
      <c r="BB186" t="n">
        <v>2</v>
      </c>
      <c r="BC186" t="n">
        <v>0</v>
      </c>
      <c r="BD186" t="n">
        <v>4</v>
      </c>
    </row>
    <row r="187">
      <c r="A187" t="inlineStr">
        <is>
          <t>Reinildo Mandava</t>
        </is>
      </c>
      <c r="B187" t="inlineStr">
        <is>
          <t>SUN</t>
        </is>
      </c>
      <c r="C187" t="inlineStr">
        <is>
          <t>DEF</t>
        </is>
      </c>
      <c r="D187" t="inlineStr">
        <is>
          <t>DEF</t>
        </is>
      </c>
      <c r="E187" t="b">
        <v>1</v>
      </c>
      <c r="F187" s="2" t="n">
        <v>4.5</v>
      </c>
      <c r="G187" t="inlineStr">
        <is>
          <t>a</t>
        </is>
      </c>
      <c r="I187" s="2" t="n">
        <v>1966</v>
      </c>
      <c r="J187" t="n">
        <v>74</v>
      </c>
      <c r="K187" s="3" t="n">
        <v>3067</v>
      </c>
      <c r="L187" t="inlineStr">
        <is>
          <t>flat</t>
        </is>
      </c>
      <c r="M187" s="4" t="n">
        <v>3067</v>
      </c>
      <c r="N187" t="inlineStr">
        <is>
          <t>Solio</t>
        </is>
      </c>
      <c r="O187" s="5" t="n">
        <v>83.5</v>
      </c>
      <c r="P187" t="b">
        <v>1</v>
      </c>
      <c r="Q187" s="5">
        <f>IF(N(O187)&lt;=0,0,MIN(Assumptions!$B$15,N(M187)/N(O187)))</f>
        <v/>
      </c>
      <c r="R187" s="4" t="n">
        <v>0.204</v>
      </c>
      <c r="S187" s="3" t="n">
        <v>0.0059</v>
      </c>
      <c r="T187" t="inlineStr">
        <is>
          <t>adjusted xGOT</t>
        </is>
      </c>
      <c r="U187" s="3" t="n">
        <v>1</v>
      </c>
      <c r="V187" s="3" t="n">
        <v>0.984</v>
      </c>
      <c r="W187" s="3" t="n">
        <v>0.1</v>
      </c>
      <c r="X187" s="3" t="n">
        <v>0.021</v>
      </c>
      <c r="Y187" s="3" t="n">
        <v>7.555</v>
      </c>
      <c r="Z187" s="3" t="n">
        <v>0.1704545911697775</v>
      </c>
      <c r="AA187" s="3" t="n">
        <v>0.2289</v>
      </c>
      <c r="AB187" s="3" t="n">
        <v>46</v>
      </c>
      <c r="AC187" s="3" t="n">
        <v>3.3348</v>
      </c>
      <c r="AD187" s="3" t="n">
        <v>1.6498</v>
      </c>
      <c r="AE187" s="3" t="n">
        <v>-0.2836729110137559</v>
      </c>
      <c r="AF187" s="4" t="n">
        <v>0</v>
      </c>
      <c r="AG187" s="3" t="n">
        <v>0</v>
      </c>
      <c r="AH187" s="3" t="n">
        <v>0.0354</v>
      </c>
      <c r="AI187" s="3" t="n">
        <v>0.08316</v>
      </c>
      <c r="AJ187" s="3">
        <f>N(R187)*N(BC187)</f>
        <v/>
      </c>
      <c r="AK187" s="3" t="n">
        <v>0.2289</v>
      </c>
      <c r="AL187" s="3" t="n">
        <v>0</v>
      </c>
      <c r="AM187" s="3" t="n">
        <v>-0.5841244809045405</v>
      </c>
      <c r="AN187" s="3" t="n">
        <v>-0.2836729110137559</v>
      </c>
      <c r="AO187" s="3">
        <f>SUM(AH187:AN187)</f>
        <v/>
      </c>
      <c r="AP187" s="5">
        <f>IF(OR(N(Q187)&lt;=0,N(BA187)=0),0,N(Q187)*IF(N(M187)/N(Q187)&gt;=60,N(BA187),1))</f>
        <v/>
      </c>
      <c r="AQ187" s="5">
        <f>N(Q187)*N(Z187)*N(BB187)</f>
        <v/>
      </c>
      <c r="AR187" s="5">
        <f>N(AF187)*(Assumptions!$B$13*N(BD187)-(1-Assumptions!$B$13)*Assumptions!$B$14)+N(AG187)</f>
        <v/>
      </c>
      <c r="AS187" s="5">
        <f>N(AO187)*N(M187)/90+N(AP187)+N(AQ187)+N(AR187)</f>
        <v/>
      </c>
      <c r="AT187" s="3">
        <f>IF(N(M187)&lt;=0,0,(N(AS187)-N(AR187))*90/N(M187))</f>
        <v/>
      </c>
      <c r="AU187" s="5">
        <f>IFERROR(AS187-VLOOKUP($C187,Assumptions!$A$36:$C$39,3,FALSE),"")</f>
        <v/>
      </c>
      <c r="AV187" s="3">
        <f>IFERROR(AU187/F187,"")</f>
        <v/>
      </c>
      <c r="AW187">
        <f>IF(AND($E187=TRUE,$C187="GKP"),AS187,"")</f>
        <v/>
      </c>
      <c r="AX187">
        <f>IF(AND($E187=TRUE,$C187="DEF"),AS187,"")</f>
        <v/>
      </c>
      <c r="AY187">
        <f>IF(AND($E187=TRUE,$C187="MID"),AS187,"")</f>
        <v/>
      </c>
      <c r="AZ187">
        <f>IF(AND($E187=TRUE,$C187="FWD"),AS187,"")</f>
        <v/>
      </c>
      <c r="BA187" t="n">
        <v>2</v>
      </c>
      <c r="BB187" t="n">
        <v>2</v>
      </c>
      <c r="BC187" t="n">
        <v>4</v>
      </c>
      <c r="BD187" t="n">
        <v>6</v>
      </c>
    </row>
    <row r="188">
      <c r="A188" t="inlineStr">
        <is>
          <t>Vitaly Janelt</t>
        </is>
      </c>
      <c r="B188" t="inlineStr">
        <is>
          <t>BRE</t>
        </is>
      </c>
      <c r="C188" t="inlineStr">
        <is>
          <t>MID</t>
        </is>
      </c>
      <c r="D188" t="inlineStr">
        <is>
          <t>MID</t>
        </is>
      </c>
      <c r="E188" t="b">
        <v>1</v>
      </c>
      <c r="F188" s="2" t="n">
        <v>5</v>
      </c>
      <c r="G188" t="inlineStr">
        <is>
          <t>a</t>
        </is>
      </c>
      <c r="I188" s="2" t="n">
        <v>1434</v>
      </c>
      <c r="J188" t="n">
        <v>74</v>
      </c>
      <c r="K188" s="3" t="n">
        <v>780</v>
      </c>
      <c r="L188" t="inlineStr">
        <is>
          <t>fade (losing his place)</t>
        </is>
      </c>
      <c r="M188" s="4" t="n">
        <v>780</v>
      </c>
      <c r="N188" t="inlineStr">
        <is>
          <t>Solio</t>
        </is>
      </c>
      <c r="O188" s="5" t="n">
        <v>82.40000000000001</v>
      </c>
      <c r="P188" t="b">
        <v>1</v>
      </c>
      <c r="Q188" s="5">
        <f>IF(N(O188)&lt;=0,0,MIN(Assumptions!$B$15,N(M188)/N(O188)))</f>
        <v/>
      </c>
      <c r="R188" s="4" t="n">
        <v>0.228</v>
      </c>
      <c r="S188" s="3" t="n">
        <v>0.0522</v>
      </c>
      <c r="T188" t="inlineStr">
        <is>
          <t>adjusted xGOT</t>
        </is>
      </c>
      <c r="U188" s="3" t="n">
        <v>1</v>
      </c>
      <c r="V188" s="3" t="n">
        <v>1.014</v>
      </c>
      <c r="W188" s="3" t="n">
        <v>5.8</v>
      </c>
      <c r="X188" s="3" t="n">
        <v>0.1908</v>
      </c>
      <c r="Y188" s="3" t="n">
        <v>10.513</v>
      </c>
      <c r="Z188" s="3" t="n">
        <v>0.2614968153100417</v>
      </c>
      <c r="AA188" s="3" t="n">
        <v>0.3766</v>
      </c>
      <c r="AB188" s="3" t="n">
        <v>40</v>
      </c>
      <c r="AC188" s="3" t="n">
        <v>3.2371</v>
      </c>
      <c r="AD188" s="3" t="n">
        <v>1.5396</v>
      </c>
      <c r="AE188" s="3" t="n">
        <v>-0.2841879718516938</v>
      </c>
      <c r="AF188" s="4" t="n">
        <v>0</v>
      </c>
      <c r="AG188" s="3" t="n">
        <v>0</v>
      </c>
      <c r="AH188" s="3" t="n">
        <v>0.261</v>
      </c>
      <c r="AI188" s="3" t="n">
        <v>0.755568</v>
      </c>
      <c r="AJ188" s="3">
        <f>N(R188)*N(BC188)</f>
        <v/>
      </c>
      <c r="AK188" s="3" t="n">
        <v>0.3766</v>
      </c>
      <c r="AL188" s="3" t="n">
        <v>0</v>
      </c>
      <c r="AM188" s="3" t="n">
        <v>-0</v>
      </c>
      <c r="AN188" s="3" t="n">
        <v>-0.2841879718516938</v>
      </c>
      <c r="AO188" s="3">
        <f>SUM(AH188:AN188)</f>
        <v/>
      </c>
      <c r="AP188" s="5">
        <f>IF(OR(N(Q188)&lt;=0,N(BA188)=0),0,N(Q188)*IF(N(M188)/N(Q188)&gt;=60,N(BA188),1))</f>
        <v/>
      </c>
      <c r="AQ188" s="5">
        <f>N(Q188)*N(Z188)*N(BB188)</f>
        <v/>
      </c>
      <c r="AR188" s="5">
        <f>N(AF188)*(Assumptions!$B$13*N(BD188)-(1-Assumptions!$B$13)*Assumptions!$B$14)+N(AG188)</f>
        <v/>
      </c>
      <c r="AS188" s="5">
        <f>N(AO188)*N(M188)/90+N(AP188)+N(AQ188)+N(AR188)</f>
        <v/>
      </c>
      <c r="AT188" s="3">
        <f>IF(N(M188)&lt;=0,0,(N(AS188)-N(AR188))*90/N(M188))</f>
        <v/>
      </c>
      <c r="AU188" s="5">
        <f>IFERROR(AS188-VLOOKUP($C188,Assumptions!$A$36:$C$39,3,FALSE),"")</f>
        <v/>
      </c>
      <c r="AV188" s="3">
        <f>IFERROR(AU188/F188,"")</f>
        <v/>
      </c>
      <c r="AW188">
        <f>IF(AND($E188=TRUE,$C188="GKP"),AS188,"")</f>
        <v/>
      </c>
      <c r="AX188">
        <f>IF(AND($E188=TRUE,$C188="DEF"),AS188,"")</f>
        <v/>
      </c>
      <c r="AY188">
        <f>IF(AND($E188=TRUE,$C188="MID"),AS188,"")</f>
        <v/>
      </c>
      <c r="AZ188">
        <f>IF(AND($E188=TRUE,$C188="FWD"),AS188,"")</f>
        <v/>
      </c>
      <c r="BA188" t="n">
        <v>2</v>
      </c>
      <c r="BB188" t="n">
        <v>2</v>
      </c>
      <c r="BC188" t="n">
        <v>1</v>
      </c>
      <c r="BD188" t="n">
        <v>5</v>
      </c>
    </row>
    <row r="189">
      <c r="A189" t="inlineStr">
        <is>
          <t>Joelinton</t>
        </is>
      </c>
      <c r="B189" t="inlineStr">
        <is>
          <t>NEW</t>
        </is>
      </c>
      <c r="C189" t="inlineStr">
        <is>
          <t>MID</t>
        </is>
      </c>
      <c r="D189" t="inlineStr">
        <is>
          <t>MID</t>
        </is>
      </c>
      <c r="E189" t="b">
        <v>1</v>
      </c>
      <c r="F189" s="2" t="n">
        <v>5.5</v>
      </c>
      <c r="G189" t="inlineStr">
        <is>
          <t>a</t>
        </is>
      </c>
      <c r="I189" s="2" t="n">
        <v>1950</v>
      </c>
      <c r="J189" t="n">
        <v>73</v>
      </c>
      <c r="K189" s="3" t="n">
        <v>1448</v>
      </c>
      <c r="L189" t="inlineStr">
        <is>
          <t>flat</t>
        </is>
      </c>
      <c r="M189" s="4" t="n">
        <v>1448</v>
      </c>
      <c r="N189" t="inlineStr">
        <is>
          <t>Solio</t>
        </is>
      </c>
      <c r="O189" s="5" t="n">
        <v>80.8</v>
      </c>
      <c r="P189" t="b">
        <v>1</v>
      </c>
      <c r="Q189" s="5">
        <f>IF(N(O189)&lt;=0,0,MIN(Assumptions!$B$15,N(M189)/N(O189)))</f>
        <v/>
      </c>
      <c r="R189" s="4" t="n">
        <v>0.248</v>
      </c>
      <c r="S189" s="3" t="n">
        <v>0.1074</v>
      </c>
      <c r="T189" t="inlineStr">
        <is>
          <t>adjusted xGOT</t>
        </is>
      </c>
      <c r="U189" s="3" t="n">
        <v>1</v>
      </c>
      <c r="V189" s="3" t="n">
        <v>0.986</v>
      </c>
      <c r="W189" s="3" t="n">
        <v>16</v>
      </c>
      <c r="X189" s="3" t="n">
        <v>0.0741</v>
      </c>
      <c r="Y189" s="3" t="n">
        <v>10.335</v>
      </c>
      <c r="Z189" s="3" t="n">
        <v>0.2248199099613647</v>
      </c>
      <c r="AA189" s="3" t="n">
        <v>0.09229999999999999</v>
      </c>
      <c r="AB189" s="3" t="n">
        <v>47</v>
      </c>
      <c r="AC189" s="3" t="n">
        <v>3.0912</v>
      </c>
      <c r="AD189" s="3" t="n">
        <v>1.4534</v>
      </c>
      <c r="AE189" s="3" t="n">
        <v>-0.380738400166716</v>
      </c>
      <c r="AF189" s="4" t="n">
        <v>0</v>
      </c>
      <c r="AG189" s="3" t="n">
        <v>0</v>
      </c>
      <c r="AH189" s="3" t="n">
        <v>0.5369999999999999</v>
      </c>
      <c r="AI189" s="3" t="n">
        <v>0.293436</v>
      </c>
      <c r="AJ189" s="3">
        <f>N(R189)*N(BC189)</f>
        <v/>
      </c>
      <c r="AK189" s="3" t="n">
        <v>0.09229999999999999</v>
      </c>
      <c r="AL189" s="3" t="n">
        <v>0</v>
      </c>
      <c r="AM189" s="3" t="n">
        <v>-0</v>
      </c>
      <c r="AN189" s="3" t="n">
        <v>-0.380738400166716</v>
      </c>
      <c r="AO189" s="3">
        <f>SUM(AH189:AN189)</f>
        <v/>
      </c>
      <c r="AP189" s="5">
        <f>IF(OR(N(Q189)&lt;=0,N(BA189)=0),0,N(Q189)*IF(N(M189)/N(Q189)&gt;=60,N(BA189),1))</f>
        <v/>
      </c>
      <c r="AQ189" s="5">
        <f>N(Q189)*N(Z189)*N(BB189)</f>
        <v/>
      </c>
      <c r="AR189" s="5">
        <f>N(AF189)*(Assumptions!$B$13*N(BD189)-(1-Assumptions!$B$13)*Assumptions!$B$14)+N(AG189)</f>
        <v/>
      </c>
      <c r="AS189" s="5">
        <f>N(AO189)*N(M189)/90+N(AP189)+N(AQ189)+N(AR189)</f>
        <v/>
      </c>
      <c r="AT189" s="3">
        <f>IF(N(M189)&lt;=0,0,(N(AS189)-N(AR189))*90/N(M189))</f>
        <v/>
      </c>
      <c r="AU189" s="5">
        <f>IFERROR(AS189-VLOOKUP($C189,Assumptions!$A$36:$C$39,3,FALSE),"")</f>
        <v/>
      </c>
      <c r="AV189" s="3">
        <f>IFERROR(AU189/F189,"")</f>
        <v/>
      </c>
      <c r="AW189">
        <f>IF(AND($E189=TRUE,$C189="GKP"),AS189,"")</f>
        <v/>
      </c>
      <c r="AX189">
        <f>IF(AND($E189=TRUE,$C189="DEF"),AS189,"")</f>
        <v/>
      </c>
      <c r="AY189">
        <f>IF(AND($E189=TRUE,$C189="MID"),AS189,"")</f>
        <v/>
      </c>
      <c r="AZ189">
        <f>IF(AND($E189=TRUE,$C189="FWD"),AS189,"")</f>
        <v/>
      </c>
      <c r="BA189" t="n">
        <v>2</v>
      </c>
      <c r="BB189" t="n">
        <v>2</v>
      </c>
      <c r="BC189" t="n">
        <v>1</v>
      </c>
      <c r="BD189" t="n">
        <v>5</v>
      </c>
    </row>
    <row r="190">
      <c r="A190" t="inlineStr">
        <is>
          <t>Kobbie Mainoo</t>
        </is>
      </c>
      <c r="B190" t="inlineStr">
        <is>
          <t>MUN</t>
        </is>
      </c>
      <c r="C190" t="inlineStr">
        <is>
          <t>MID</t>
        </is>
      </c>
      <c r="D190" t="inlineStr">
        <is>
          <t>MID</t>
        </is>
      </c>
      <c r="E190" t="b">
        <v>1</v>
      </c>
      <c r="F190" s="2" t="n">
        <v>5.5</v>
      </c>
      <c r="G190" t="inlineStr">
        <is>
          <t>a</t>
        </is>
      </c>
      <c r="I190" s="2" t="n">
        <v>1653</v>
      </c>
      <c r="J190" t="n">
        <v>73</v>
      </c>
      <c r="K190" s="3" t="n">
        <v>691</v>
      </c>
      <c r="L190" t="inlineStr">
        <is>
          <t>flat</t>
        </is>
      </c>
      <c r="M190" s="4" t="n">
        <v>691</v>
      </c>
      <c r="N190" t="inlineStr">
        <is>
          <t>Solio</t>
        </is>
      </c>
      <c r="O190" s="5" t="n">
        <v>89.09999999999999</v>
      </c>
      <c r="P190" t="b">
        <v>1</v>
      </c>
      <c r="Q190" s="5">
        <f>IF(N(O190)&lt;=0,0,MIN(Assumptions!$B$15,N(M190)/N(O190)))</f>
        <v/>
      </c>
      <c r="R190" s="4" t="n">
        <v>0.334</v>
      </c>
      <c r="S190" s="3" t="n">
        <v>0.0256</v>
      </c>
      <c r="T190" t="inlineStr">
        <is>
          <t>adjusted xGOT</t>
        </is>
      </c>
      <c r="U190" s="3" t="n">
        <v>1</v>
      </c>
      <c r="V190" s="3" t="n">
        <v>0.981</v>
      </c>
      <c r="W190" s="3" t="n">
        <v>2.2</v>
      </c>
      <c r="X190" s="3" t="n">
        <v>0.067</v>
      </c>
      <c r="Y190" s="3" t="n">
        <v>9.695</v>
      </c>
      <c r="Z190" s="3" t="n">
        <v>0.2585478368617845</v>
      </c>
      <c r="AA190" s="3" t="n">
        <v>0.1089</v>
      </c>
      <c r="AB190" s="3" t="n">
        <v>44</v>
      </c>
      <c r="AC190" s="3" t="n">
        <v>2.2165</v>
      </c>
      <c r="AD190" s="3" t="n">
        <v>1.1467</v>
      </c>
      <c r="AE190" s="3" t="n">
        <v>-0.1908418603439011</v>
      </c>
      <c r="AF190" s="4" t="n">
        <v>0</v>
      </c>
      <c r="AG190" s="3" t="n">
        <v>0</v>
      </c>
      <c r="AH190" s="3" t="n">
        <v>0.128</v>
      </c>
      <c r="AI190" s="3" t="n">
        <v>0.2653200000000001</v>
      </c>
      <c r="AJ190" s="3">
        <f>N(R190)*N(BC190)</f>
        <v/>
      </c>
      <c r="AK190" s="3" t="n">
        <v>0.1089</v>
      </c>
      <c r="AL190" s="3" t="n">
        <v>0</v>
      </c>
      <c r="AM190" s="3" t="n">
        <v>-0</v>
      </c>
      <c r="AN190" s="3" t="n">
        <v>-0.1908418603439011</v>
      </c>
      <c r="AO190" s="3">
        <f>SUM(AH190:AN190)</f>
        <v/>
      </c>
      <c r="AP190" s="5">
        <f>IF(OR(N(Q190)&lt;=0,N(BA190)=0),0,N(Q190)*IF(N(M190)/N(Q190)&gt;=60,N(BA190),1))</f>
        <v/>
      </c>
      <c r="AQ190" s="5">
        <f>N(Q190)*N(Z190)*N(BB190)</f>
        <v/>
      </c>
      <c r="AR190" s="5">
        <f>N(AF190)*(Assumptions!$B$13*N(BD190)-(1-Assumptions!$B$13)*Assumptions!$B$14)+N(AG190)</f>
        <v/>
      </c>
      <c r="AS190" s="5">
        <f>N(AO190)*N(M190)/90+N(AP190)+N(AQ190)+N(AR190)</f>
        <v/>
      </c>
      <c r="AT190" s="3">
        <f>IF(N(M190)&lt;=0,0,(N(AS190)-N(AR190))*90/N(M190))</f>
        <v/>
      </c>
      <c r="AU190" s="5">
        <f>IFERROR(AS190-VLOOKUP($C190,Assumptions!$A$36:$C$39,3,FALSE),"")</f>
        <v/>
      </c>
      <c r="AV190" s="3">
        <f>IFERROR(AU190/F190,"")</f>
        <v/>
      </c>
      <c r="AW190">
        <f>IF(AND($E190=TRUE,$C190="GKP"),AS190,"")</f>
        <v/>
      </c>
      <c r="AX190">
        <f>IF(AND($E190=TRUE,$C190="DEF"),AS190,"")</f>
        <v/>
      </c>
      <c r="AY190">
        <f>IF(AND($E190=TRUE,$C190="MID"),AS190,"")</f>
        <v/>
      </c>
      <c r="AZ190">
        <f>IF(AND($E190=TRUE,$C190="FWD"),AS190,"")</f>
        <v/>
      </c>
      <c r="BA190" t="n">
        <v>2</v>
      </c>
      <c r="BB190" t="n">
        <v>2</v>
      </c>
      <c r="BC190" t="n">
        <v>1</v>
      </c>
      <c r="BD190" t="n">
        <v>5</v>
      </c>
    </row>
    <row r="191">
      <c r="A191" t="inlineStr">
        <is>
          <t>Lukas Nmecha</t>
        </is>
      </c>
      <c r="B191" t="inlineStr">
        <is>
          <t>LEE</t>
        </is>
      </c>
      <c r="C191" t="inlineStr">
        <is>
          <t>FWD</t>
        </is>
      </c>
      <c r="D191" t="inlineStr">
        <is>
          <t>FWD</t>
        </is>
      </c>
      <c r="E191" t="b">
        <v>1</v>
      </c>
      <c r="F191" s="2" t="n">
        <v>5.5</v>
      </c>
      <c r="G191" t="inlineStr">
        <is>
          <t>a</t>
        </is>
      </c>
      <c r="I191" s="2" t="n">
        <v>1065</v>
      </c>
      <c r="J191" t="n">
        <v>73</v>
      </c>
      <c r="K191" s="3" t="n">
        <v>268</v>
      </c>
      <c r="L191" t="inlineStr">
        <is>
          <t>flat</t>
        </is>
      </c>
      <c r="M191" s="4" t="n">
        <v>268</v>
      </c>
      <c r="N191" t="inlineStr">
        <is>
          <t>Solio</t>
        </is>
      </c>
      <c r="O191" s="5" t="n">
        <v>71.2</v>
      </c>
      <c r="P191" t="b">
        <v>1</v>
      </c>
      <c r="Q191" s="5">
        <f>IF(N(O191)&lt;=0,0,MIN(Assumptions!$B$15,N(M191)/N(O191)))</f>
        <v/>
      </c>
      <c r="R191" s="4" t="n">
        <v>0.218</v>
      </c>
      <c r="S191" s="3" t="n">
        <v>0.4625</v>
      </c>
      <c r="T191" t="inlineStr">
        <is>
          <t>adjusted xGOT</t>
        </is>
      </c>
      <c r="U191" s="3" t="n">
        <v>0.719</v>
      </c>
      <c r="V191" s="3" t="n">
        <v>1.049</v>
      </c>
      <c r="W191" s="3" t="n">
        <v>7.2</v>
      </c>
      <c r="X191" s="3" t="n">
        <v>0.1379</v>
      </c>
      <c r="Y191" s="3" t="n">
        <v>4.807</v>
      </c>
      <c r="Z191" s="3" t="n">
        <v>0.0005957021482726477</v>
      </c>
      <c r="AA191" s="3" t="n">
        <v>0.6761</v>
      </c>
      <c r="AB191" s="3" t="n">
        <v>40</v>
      </c>
      <c r="AC191" s="3" t="n">
        <v>3.0611</v>
      </c>
      <c r="AD191" s="3" t="n">
        <v>1.5875</v>
      </c>
      <c r="AE191" s="3" t="n">
        <v>-0.1053642225327288</v>
      </c>
      <c r="AF191" s="4" t="n">
        <v>0.0329284026885676</v>
      </c>
      <c r="AG191" s="3" t="n">
        <v>0</v>
      </c>
      <c r="AH191" s="3" t="n">
        <v>1.85</v>
      </c>
      <c r="AI191" s="3" t="n">
        <v>0.546084</v>
      </c>
      <c r="AJ191" s="3">
        <f>N(R191)*N(BC191)</f>
        <v/>
      </c>
      <c r="AK191" s="3" t="n">
        <v>0.6761</v>
      </c>
      <c r="AL191" s="3" t="n">
        <v>0</v>
      </c>
      <c r="AM191" s="3" t="n">
        <v>-0</v>
      </c>
      <c r="AN191" s="3" t="n">
        <v>-0.1053642225327288</v>
      </c>
      <c r="AO191" s="3">
        <f>SUM(AH191:AN191)</f>
        <v/>
      </c>
      <c r="AP191" s="5">
        <f>IF(OR(N(Q191)&lt;=0,N(BA191)=0),0,N(Q191)*IF(N(M191)/N(Q191)&gt;=60,N(BA191),1))</f>
        <v/>
      </c>
      <c r="AQ191" s="5">
        <f>N(Q191)*N(Z191)*N(BB191)</f>
        <v/>
      </c>
      <c r="AR191" s="5">
        <f>N(AF191)*(Assumptions!$B$13*N(BD191)-(1-Assumptions!$B$13)*Assumptions!$B$14)+N(AG191)</f>
        <v/>
      </c>
      <c r="AS191" s="5">
        <f>N(AO191)*N(M191)/90+N(AP191)+N(AQ191)+N(AR191)</f>
        <v/>
      </c>
      <c r="AT191" s="3">
        <f>IF(N(M191)&lt;=0,0,(N(AS191)-N(AR191))*90/N(M191))</f>
        <v/>
      </c>
      <c r="AU191" s="5">
        <f>IFERROR(AS191-VLOOKUP($C191,Assumptions!$A$36:$C$39,3,FALSE),"")</f>
        <v/>
      </c>
      <c r="AV191" s="3">
        <f>IFERROR(AU191/F191,"")</f>
        <v/>
      </c>
      <c r="AW191">
        <f>IF(AND($E191=TRUE,$C191="GKP"),AS191,"")</f>
        <v/>
      </c>
      <c r="AX191">
        <f>IF(AND($E191=TRUE,$C191="DEF"),AS191,"")</f>
        <v/>
      </c>
      <c r="AY191">
        <f>IF(AND($E191=TRUE,$C191="MID"),AS191,"")</f>
        <v/>
      </c>
      <c r="AZ191">
        <f>IF(AND($E191=TRUE,$C191="FWD"),AS191,"")</f>
        <v/>
      </c>
      <c r="BA191" t="n">
        <v>2</v>
      </c>
      <c r="BB191" t="n">
        <v>2</v>
      </c>
      <c r="BC191" t="n">
        <v>0</v>
      </c>
      <c r="BD191" t="n">
        <v>4</v>
      </c>
    </row>
    <row r="192">
      <c r="A192" t="inlineStr">
        <is>
          <t>Noni Madueke</t>
        </is>
      </c>
      <c r="B192" t="inlineStr">
        <is>
          <t>ARS</t>
        </is>
      </c>
      <c r="C192" t="inlineStr">
        <is>
          <t>MID</t>
        </is>
      </c>
      <c r="D192" t="inlineStr">
        <is>
          <t>MID</t>
        </is>
      </c>
      <c r="E192" t="b">
        <v>1</v>
      </c>
      <c r="F192" s="2" t="n">
        <v>6.5</v>
      </c>
      <c r="G192" t="inlineStr">
        <is>
          <t>a</t>
        </is>
      </c>
      <c r="I192" s="2" t="n">
        <v>1205</v>
      </c>
      <c r="J192" t="n">
        <v>72</v>
      </c>
      <c r="K192" s="3" t="n">
        <v>600</v>
      </c>
      <c r="L192" t="inlineStr">
        <is>
          <t>fade (losing his place)</t>
        </is>
      </c>
      <c r="M192" s="4" t="n">
        <v>600</v>
      </c>
      <c r="N192" t="inlineStr">
        <is>
          <t>Solio</t>
        </is>
      </c>
      <c r="O192" s="5" t="n">
        <v>64.3</v>
      </c>
      <c r="P192" t="b">
        <v>1</v>
      </c>
      <c r="Q192" s="5">
        <f>IF(N(O192)&lt;=0,0,MIN(Assumptions!$B$15,N(M192)/N(O192)))</f>
        <v/>
      </c>
      <c r="R192" s="4" t="n">
        <v>0.391</v>
      </c>
      <c r="S192" s="3" t="n">
        <v>0.0982</v>
      </c>
      <c r="T192" t="inlineStr">
        <is>
          <t>adjusted xGOT</t>
        </is>
      </c>
      <c r="U192" s="3" t="n">
        <v>1</v>
      </c>
      <c r="V192" s="3" t="n">
        <v>1.069</v>
      </c>
      <c r="W192" s="3" t="n">
        <v>14.3</v>
      </c>
      <c r="X192" s="3" t="n">
        <v>0.2566</v>
      </c>
      <c r="Y192" s="3" t="n">
        <v>6.481</v>
      </c>
      <c r="Z192" s="3" t="n">
        <v>0.00301476925062627</v>
      </c>
      <c r="AA192" s="3" t="n">
        <v>0.6722</v>
      </c>
      <c r="AB192" s="3" t="n">
        <v>37</v>
      </c>
      <c r="AC192" s="3" t="n">
        <v>2.067</v>
      </c>
      <c r="AD192" s="3" t="n">
        <v>0.9838</v>
      </c>
      <c r="AE192" s="3" t="n">
        <v>-0.138415465216067</v>
      </c>
      <c r="AF192" s="4" t="n">
        <v>0</v>
      </c>
      <c r="AG192" s="3" t="n">
        <v>0</v>
      </c>
      <c r="AH192" s="3" t="n">
        <v>0.491</v>
      </c>
      <c r="AI192" s="3" t="n">
        <v>1.016136</v>
      </c>
      <c r="AJ192" s="3">
        <f>N(R192)*N(BC192)</f>
        <v/>
      </c>
      <c r="AK192" s="3" t="n">
        <v>0.6722</v>
      </c>
      <c r="AL192" s="3" t="n">
        <v>0</v>
      </c>
      <c r="AM192" s="3" t="n">
        <v>-0</v>
      </c>
      <c r="AN192" s="3" t="n">
        <v>-0.138415465216067</v>
      </c>
      <c r="AO192" s="3">
        <f>SUM(AH192:AN192)</f>
        <v/>
      </c>
      <c r="AP192" s="5">
        <f>IF(OR(N(Q192)&lt;=0,N(BA192)=0),0,N(Q192)*IF(N(M192)/N(Q192)&gt;=60,N(BA192),1))</f>
        <v/>
      </c>
      <c r="AQ192" s="5">
        <f>N(Q192)*N(Z192)*N(BB192)</f>
        <v/>
      </c>
      <c r="AR192" s="5">
        <f>N(AF192)*(Assumptions!$B$13*N(BD192)-(1-Assumptions!$B$13)*Assumptions!$B$14)+N(AG192)</f>
        <v/>
      </c>
      <c r="AS192" s="5">
        <f>N(AO192)*N(M192)/90+N(AP192)+N(AQ192)+N(AR192)</f>
        <v/>
      </c>
      <c r="AT192" s="3">
        <f>IF(N(M192)&lt;=0,0,(N(AS192)-N(AR192))*90/N(M192))</f>
        <v/>
      </c>
      <c r="AU192" s="5">
        <f>IFERROR(AS192-VLOOKUP($C192,Assumptions!$A$36:$C$39,3,FALSE),"")</f>
        <v/>
      </c>
      <c r="AV192" s="3">
        <f>IFERROR(AU192/F192,"")</f>
        <v/>
      </c>
      <c r="AW192">
        <f>IF(AND($E192=TRUE,$C192="GKP"),AS192,"")</f>
        <v/>
      </c>
      <c r="AX192">
        <f>IF(AND($E192=TRUE,$C192="DEF"),AS192,"")</f>
        <v/>
      </c>
      <c r="AY192">
        <f>IF(AND($E192=TRUE,$C192="MID"),AS192,"")</f>
        <v/>
      </c>
      <c r="AZ192">
        <f>IF(AND($E192=TRUE,$C192="FWD"),AS192,"")</f>
        <v/>
      </c>
      <c r="BA192" t="n">
        <v>2</v>
      </c>
      <c r="BB192" t="n">
        <v>2</v>
      </c>
      <c r="BC192" t="n">
        <v>1</v>
      </c>
      <c r="BD192" t="n">
        <v>5</v>
      </c>
    </row>
    <row r="193">
      <c r="A193" t="inlineStr">
        <is>
          <t>Jaydee Canvot</t>
        </is>
      </c>
      <c r="B193" t="inlineStr">
        <is>
          <t>CRY</t>
        </is>
      </c>
      <c r="C193" t="inlineStr">
        <is>
          <t>DEF</t>
        </is>
      </c>
      <c r="D193" t="inlineStr">
        <is>
          <t>DEF</t>
        </is>
      </c>
      <c r="E193" t="b">
        <v>1</v>
      </c>
      <c r="F193" s="2" t="n">
        <v>5</v>
      </c>
      <c r="G193" t="inlineStr">
        <is>
          <t>a</t>
        </is>
      </c>
      <c r="I193" s="2" t="n">
        <v>1331</v>
      </c>
      <c r="J193" t="n">
        <v>72</v>
      </c>
      <c r="K193" s="3" t="n">
        <v>3249</v>
      </c>
      <c r="L193" t="inlineStr">
        <is>
          <t>flat</t>
        </is>
      </c>
      <c r="M193" s="4" t="n">
        <v>3249</v>
      </c>
      <c r="N193" t="inlineStr">
        <is>
          <t>Solio</t>
        </is>
      </c>
      <c r="O193" s="5" t="n">
        <v>87.40000000000001</v>
      </c>
      <c r="P193" t="b">
        <v>1</v>
      </c>
      <c r="Q193" s="5">
        <f>IF(N(O193)&lt;=0,0,MIN(Assumptions!$B$15,N(M193)/N(O193)))</f>
        <v/>
      </c>
      <c r="R193" s="4" t="n">
        <v>0.216</v>
      </c>
      <c r="S193" s="3" t="n">
        <v>0.0876</v>
      </c>
      <c r="T193" t="inlineStr">
        <is>
          <t>adjusted xGOT</t>
        </is>
      </c>
      <c r="U193" s="3" t="n">
        <v>1</v>
      </c>
      <c r="V193" s="3" t="n">
        <v>0.876</v>
      </c>
      <c r="W193" s="3" t="n">
        <v>1.5</v>
      </c>
      <c r="X193" s="3" t="n">
        <v>0.0139</v>
      </c>
      <c r="Y193" s="3" t="n">
        <v>10.114</v>
      </c>
      <c r="Z193" s="3" t="n">
        <v>0.5195889626833664</v>
      </c>
      <c r="AA193" s="3" t="n">
        <v>0.4733</v>
      </c>
      <c r="AB193" s="3" t="n">
        <v>34</v>
      </c>
      <c r="AC193" s="3" t="n">
        <v>3.2035</v>
      </c>
      <c r="AD193" s="3" t="n">
        <v>1.5923</v>
      </c>
      <c r="AE193" s="3" t="n">
        <v>-0.2139042002391527</v>
      </c>
      <c r="AF193" s="4" t="n">
        <v>0</v>
      </c>
      <c r="AG193" s="3" t="n">
        <v>0</v>
      </c>
      <c r="AH193" s="3" t="n">
        <v>0.5256</v>
      </c>
      <c r="AI193" s="3" t="n">
        <v>0.055044</v>
      </c>
      <c r="AJ193" s="3">
        <f>N(R193)*N(BC193)</f>
        <v/>
      </c>
      <c r="AK193" s="3" t="n">
        <v>0.4733</v>
      </c>
      <c r="AL193" s="3" t="n">
        <v>0</v>
      </c>
      <c r="AM193" s="3" t="n">
        <v>-0.5564987001023466</v>
      </c>
      <c r="AN193" s="3" t="n">
        <v>-0.2139042002391527</v>
      </c>
      <c r="AO193" s="3">
        <f>SUM(AH193:AN193)</f>
        <v/>
      </c>
      <c r="AP193" s="5">
        <f>IF(OR(N(Q193)&lt;=0,N(BA193)=0),0,N(Q193)*IF(N(M193)/N(Q193)&gt;=60,N(BA193),1))</f>
        <v/>
      </c>
      <c r="AQ193" s="5">
        <f>N(Q193)*N(Z193)*N(BB193)</f>
        <v/>
      </c>
      <c r="AR193" s="5">
        <f>N(AF193)*(Assumptions!$B$13*N(BD193)-(1-Assumptions!$B$13)*Assumptions!$B$14)+N(AG193)</f>
        <v/>
      </c>
      <c r="AS193" s="5">
        <f>N(AO193)*N(M193)/90+N(AP193)+N(AQ193)+N(AR193)</f>
        <v/>
      </c>
      <c r="AT193" s="3">
        <f>IF(N(M193)&lt;=0,0,(N(AS193)-N(AR193))*90/N(M193))</f>
        <v/>
      </c>
      <c r="AU193" s="5">
        <f>IFERROR(AS193-VLOOKUP($C193,Assumptions!$A$36:$C$39,3,FALSE),"")</f>
        <v/>
      </c>
      <c r="AV193" s="3">
        <f>IFERROR(AU193/F193,"")</f>
        <v/>
      </c>
      <c r="AW193">
        <f>IF(AND($E193=TRUE,$C193="GKP"),AS193,"")</f>
        <v/>
      </c>
      <c r="AX193">
        <f>IF(AND($E193=TRUE,$C193="DEF"),AS193,"")</f>
        <v/>
      </c>
      <c r="AY193">
        <f>IF(AND($E193=TRUE,$C193="MID"),AS193,"")</f>
        <v/>
      </c>
      <c r="AZ193">
        <f>IF(AND($E193=TRUE,$C193="FWD"),AS193,"")</f>
        <v/>
      </c>
      <c r="BA193" t="n">
        <v>2</v>
      </c>
      <c r="BB193" t="n">
        <v>2</v>
      </c>
      <c r="BC193" t="n">
        <v>4</v>
      </c>
      <c r="BD193" t="n">
        <v>6</v>
      </c>
    </row>
    <row r="194">
      <c r="A194" t="inlineStr">
        <is>
          <t>Lewis Miley</t>
        </is>
      </c>
      <c r="B194" t="inlineStr">
        <is>
          <t>NEW</t>
        </is>
      </c>
      <c r="C194" t="inlineStr">
        <is>
          <t>MID</t>
        </is>
      </c>
      <c r="D194" t="inlineStr">
        <is>
          <t>MID</t>
        </is>
      </c>
      <c r="E194" t="b">
        <v>1</v>
      </c>
      <c r="F194" s="2" t="n">
        <v>5.5</v>
      </c>
      <c r="G194" t="inlineStr">
        <is>
          <t>i</t>
        </is>
      </c>
      <c r="H194" t="inlineStr">
        <is>
          <t>Leg injury - Expected back 30 Aug</t>
        </is>
      </c>
      <c r="I194" s="2" t="n">
        <v>1493</v>
      </c>
      <c r="J194" t="n">
        <v>72</v>
      </c>
      <c r="K194" s="3" t="n">
        <v>1790</v>
      </c>
      <c r="L194" t="inlineStr">
        <is>
          <t>flat</t>
        </is>
      </c>
      <c r="M194" s="4" t="n">
        <v>1790</v>
      </c>
      <c r="N194" t="inlineStr">
        <is>
          <t>Solio</t>
        </is>
      </c>
      <c r="O194" s="5" t="n">
        <v>88</v>
      </c>
      <c r="P194" t="b">
        <v>1</v>
      </c>
      <c r="Q194" s="5">
        <f>IF(N(O194)&lt;=0,0,MIN(Assumptions!$B$15,N(M194)/N(O194)))</f>
        <v/>
      </c>
      <c r="R194" s="4" t="n">
        <v>0.248</v>
      </c>
      <c r="S194" s="3" t="n">
        <v>0.0788</v>
      </c>
      <c r="T194" t="inlineStr">
        <is>
          <t>adjusted xGOT</t>
        </is>
      </c>
      <c r="U194" s="3" t="n">
        <v>1</v>
      </c>
      <c r="V194" s="3" t="n">
        <v>0.962</v>
      </c>
      <c r="W194" s="3" t="n">
        <v>3.2</v>
      </c>
      <c r="X194" s="3" t="n">
        <v>0.1333</v>
      </c>
      <c r="Y194" s="3" t="n">
        <v>9.093999999999999</v>
      </c>
      <c r="Z194" s="3" t="n">
        <v>0.1866325088378815</v>
      </c>
      <c r="AA194" s="3" t="n">
        <v>0.3014</v>
      </c>
      <c r="AB194" s="3" t="n">
        <v>38</v>
      </c>
      <c r="AC194" s="3" t="n">
        <v>3.0912</v>
      </c>
      <c r="AD194" s="3" t="n">
        <v>1.4534</v>
      </c>
      <c r="AE194" s="3" t="n">
        <v>-0.1064830549749539</v>
      </c>
      <c r="AF194" s="4" t="n">
        <v>0</v>
      </c>
      <c r="AG194" s="3" t="n">
        <v>0</v>
      </c>
      <c r="AH194" s="3" t="n">
        <v>0.394</v>
      </c>
      <c r="AI194" s="3" t="n">
        <v>0.5278680000000001</v>
      </c>
      <c r="AJ194" s="3">
        <f>N(R194)*N(BC194)</f>
        <v/>
      </c>
      <c r="AK194" s="3" t="n">
        <v>0.3014</v>
      </c>
      <c r="AL194" s="3" t="n">
        <v>0</v>
      </c>
      <c r="AM194" s="3" t="n">
        <v>-0</v>
      </c>
      <c r="AN194" s="3" t="n">
        <v>-0.1064830549749539</v>
      </c>
      <c r="AO194" s="3">
        <f>SUM(AH194:AN194)</f>
        <v/>
      </c>
      <c r="AP194" s="5">
        <f>IF(OR(N(Q194)&lt;=0,N(BA194)=0),0,N(Q194)*IF(N(M194)/N(Q194)&gt;=60,N(BA194),1))</f>
        <v/>
      </c>
      <c r="AQ194" s="5">
        <f>N(Q194)*N(Z194)*N(BB194)</f>
        <v/>
      </c>
      <c r="AR194" s="5">
        <f>N(AF194)*(Assumptions!$B$13*N(BD194)-(1-Assumptions!$B$13)*Assumptions!$B$14)+N(AG194)</f>
        <v/>
      </c>
      <c r="AS194" s="5">
        <f>N(AO194)*N(M194)/90+N(AP194)+N(AQ194)+N(AR194)</f>
        <v/>
      </c>
      <c r="AT194" s="3">
        <f>IF(N(M194)&lt;=0,0,(N(AS194)-N(AR194))*90/N(M194))</f>
        <v/>
      </c>
      <c r="AU194" s="5">
        <f>IFERROR(AS194-VLOOKUP($C194,Assumptions!$A$36:$C$39,3,FALSE),"")</f>
        <v/>
      </c>
      <c r="AV194" s="3">
        <f>IFERROR(AU194/F194,"")</f>
        <v/>
      </c>
      <c r="AW194">
        <f>IF(AND($E194=TRUE,$C194="GKP"),AS194,"")</f>
        <v/>
      </c>
      <c r="AX194">
        <f>IF(AND($E194=TRUE,$C194="DEF"),AS194,"")</f>
        <v/>
      </c>
      <c r="AY194">
        <f>IF(AND($E194=TRUE,$C194="MID"),AS194,"")</f>
        <v/>
      </c>
      <c r="AZ194">
        <f>IF(AND($E194=TRUE,$C194="FWD"),AS194,"")</f>
        <v/>
      </c>
      <c r="BA194" t="n">
        <v>2</v>
      </c>
      <c r="BB194" t="n">
        <v>2</v>
      </c>
      <c r="BC194" t="n">
        <v>1</v>
      </c>
      <c r="BD194" t="n">
        <v>5</v>
      </c>
    </row>
    <row r="195">
      <c r="A195" t="inlineStr">
        <is>
          <t>Karl Darlow</t>
        </is>
      </c>
      <c r="B195" t="inlineStr">
        <is>
          <t>MUN</t>
        </is>
      </c>
      <c r="C195" t="inlineStr">
        <is>
          <t>GKP</t>
        </is>
      </c>
      <c r="D195" t="inlineStr">
        <is>
          <t>GKP</t>
        </is>
      </c>
      <c r="E195" t="b">
        <v>1</v>
      </c>
      <c r="F195" s="2" t="n">
        <v>4.5</v>
      </c>
      <c r="G195" t="inlineStr">
        <is>
          <t>d</t>
        </is>
      </c>
      <c r="H195" t="inlineStr">
        <is>
          <t>Unspecified injury - 75% chance of playing</t>
        </is>
      </c>
      <c r="I195" s="2" t="n">
        <v>1980</v>
      </c>
      <c r="J195" t="n">
        <v>71</v>
      </c>
      <c r="K195" s="3" t="n">
        <v>35</v>
      </c>
      <c r="L195" t="inlineStr">
        <is>
          <t>flat</t>
        </is>
      </c>
      <c r="M195" s="4" t="n">
        <v>35</v>
      </c>
      <c r="N195" t="inlineStr">
        <is>
          <t>Solio</t>
        </is>
      </c>
      <c r="O195" s="5" t="n">
        <v>90</v>
      </c>
      <c r="P195" t="b">
        <v>1</v>
      </c>
      <c r="Q195" s="5">
        <f>IF(N(O195)&lt;=0,0,MIN(Assumptions!$B$15,N(M195)/N(O195)))</f>
        <v/>
      </c>
      <c r="R195" s="4" t="n">
        <v>0.334</v>
      </c>
      <c r="S195" s="3" t="n">
        <v>0</v>
      </c>
      <c r="T195" t="inlineStr">
        <is>
          <t>blended xG</t>
        </is>
      </c>
      <c r="U195" s="3" t="n">
        <v>1</v>
      </c>
      <c r="V195" s="3" t="n">
        <v>1</v>
      </c>
      <c r="W195" s="3" t="n">
        <v>0</v>
      </c>
      <c r="X195" s="3" t="n">
        <v>0.0011</v>
      </c>
      <c r="Y195" s="3" t="n">
        <v>0</v>
      </c>
      <c r="Z195" s="3" t="n">
        <v>0</v>
      </c>
      <c r="AA195" s="3" t="n">
        <v>0.2273</v>
      </c>
      <c r="AB195" s="3" t="n">
        <v>44</v>
      </c>
      <c r="AC195" s="3" t="n">
        <v>2.2165</v>
      </c>
      <c r="AD195" s="3" t="n">
        <v>1.1467</v>
      </c>
      <c r="AE195" s="3" t="n">
        <v>-0.0601653404837744</v>
      </c>
      <c r="AF195" s="4" t="n">
        <v>0</v>
      </c>
      <c r="AG195" s="3" t="n">
        <v>0.0250532964057661</v>
      </c>
      <c r="AH195" s="3" t="n">
        <v>0</v>
      </c>
      <c r="AI195" s="3" t="n">
        <v>0.004356</v>
      </c>
      <c r="AJ195" s="3">
        <f>N(R195)*N(BC195)</f>
        <v/>
      </c>
      <c r="AK195" s="3" t="n">
        <v>0.2273</v>
      </c>
      <c r="AL195" s="3" t="n">
        <v>0.407909225741714</v>
      </c>
      <c r="AM195" s="3" t="n">
        <v>-0.348580685135232</v>
      </c>
      <c r="AN195" s="3" t="n">
        <v>-0.0601653404837744</v>
      </c>
      <c r="AO195" s="3">
        <f>SUM(AH195:AN195)</f>
        <v/>
      </c>
      <c r="AP195" s="5">
        <f>IF(OR(N(Q195)&lt;=0,N(BA195)=0),0,N(Q195)*IF(N(M195)/N(Q195)&gt;=60,N(BA195),1))</f>
        <v/>
      </c>
      <c r="AQ195" s="5">
        <f>N(Q195)*N(Z195)*N(BB195)</f>
        <v/>
      </c>
      <c r="AR195" s="5">
        <f>N(AF195)*(Assumptions!$B$13*N(BD195)-(1-Assumptions!$B$13)*Assumptions!$B$14)+N(AG195)</f>
        <v/>
      </c>
      <c r="AS195" s="5">
        <f>N(AO195)*N(M195)/90+N(AP195)+N(AQ195)+N(AR195)</f>
        <v/>
      </c>
      <c r="AT195" s="3">
        <f>IF(N(M195)&lt;=0,0,(N(AS195)-N(AR195))*90/N(M195))</f>
        <v/>
      </c>
      <c r="AU195" s="5">
        <f>IFERROR(AS195-VLOOKUP($C195,Assumptions!$A$36:$C$39,3,FALSE),"")</f>
        <v/>
      </c>
      <c r="AV195" s="3">
        <f>IFERROR(AU195/F195,"")</f>
        <v/>
      </c>
      <c r="AW195">
        <f>IF(AND($E195=TRUE,$C195="GKP"),AS195,"")</f>
        <v/>
      </c>
      <c r="AX195">
        <f>IF(AND($E195=TRUE,$C195="DEF"),AS195,"")</f>
        <v/>
      </c>
      <c r="AY195">
        <f>IF(AND($E195=TRUE,$C195="MID"),AS195,"")</f>
        <v/>
      </c>
      <c r="AZ195">
        <f>IF(AND($E195=TRUE,$C195="FWD"),AS195,"")</f>
        <v/>
      </c>
      <c r="BA195" t="n">
        <v>2</v>
      </c>
      <c r="BB195" t="n">
        <v>0</v>
      </c>
      <c r="BC195" t="n">
        <v>4</v>
      </c>
      <c r="BD195" t="n">
        <v>10</v>
      </c>
    </row>
    <row r="196">
      <c r="A196" t="inlineStr">
        <is>
          <t>Pape Matar Sarr</t>
        </is>
      </c>
      <c r="B196" t="inlineStr">
        <is>
          <t>TOT</t>
        </is>
      </c>
      <c r="C196" t="inlineStr">
        <is>
          <t>MID</t>
        </is>
      </c>
      <c r="D196" t="inlineStr">
        <is>
          <t>MID</t>
        </is>
      </c>
      <c r="E196" t="b">
        <v>1</v>
      </c>
      <c r="F196" s="2" t="n">
        <v>5</v>
      </c>
      <c r="G196" t="inlineStr">
        <is>
          <t>a</t>
        </is>
      </c>
      <c r="I196" s="2" t="n">
        <v>1388</v>
      </c>
      <c r="J196" t="n">
        <v>71</v>
      </c>
      <c r="K196" s="3" t="n">
        <v>174</v>
      </c>
      <c r="L196" t="inlineStr">
        <is>
          <t>flat</t>
        </is>
      </c>
      <c r="M196" s="4" t="n">
        <v>174</v>
      </c>
      <c r="N196" t="inlineStr">
        <is>
          <t>Solio</t>
        </is>
      </c>
      <c r="O196" s="5" t="n">
        <v>88.5</v>
      </c>
      <c r="P196" t="b">
        <v>1</v>
      </c>
      <c r="Q196" s="5">
        <f>IF(N(O196)&lt;=0,0,MIN(Assumptions!$B$15,N(M196)/N(O196)))</f>
        <v/>
      </c>
      <c r="R196" s="4" t="n">
        <v>0.286</v>
      </c>
      <c r="S196" s="3" t="n">
        <v>0.1013</v>
      </c>
      <c r="T196" t="inlineStr">
        <is>
          <t>adjusted xGOT</t>
        </is>
      </c>
      <c r="U196" s="3" t="n">
        <v>1</v>
      </c>
      <c r="V196" s="3" t="n">
        <v>0.959</v>
      </c>
      <c r="W196" s="3" t="n">
        <v>8.6</v>
      </c>
      <c r="X196" s="3" t="n">
        <v>0.1149</v>
      </c>
      <c r="Y196" s="3" t="n">
        <v>10.743</v>
      </c>
      <c r="Z196" s="3" t="n">
        <v>0.3688310379953421</v>
      </c>
      <c r="AA196" s="3" t="n">
        <v>0.1297</v>
      </c>
      <c r="AB196" s="3" t="n">
        <v>39</v>
      </c>
      <c r="AC196" s="3" t="n">
        <v>2.5739</v>
      </c>
      <c r="AD196" s="3" t="n">
        <v>1.3096</v>
      </c>
      <c r="AE196" s="3" t="n">
        <v>-0.2680320500317106</v>
      </c>
      <c r="AF196" s="4" t="n">
        <v>0</v>
      </c>
      <c r="AG196" s="3" t="n">
        <v>0</v>
      </c>
      <c r="AH196" s="3" t="n">
        <v>0.5065</v>
      </c>
      <c r="AI196" s="3" t="n">
        <v>0.455004</v>
      </c>
      <c r="AJ196" s="3">
        <f>N(R196)*N(BC196)</f>
        <v/>
      </c>
      <c r="AK196" s="3" t="n">
        <v>0.1297</v>
      </c>
      <c r="AL196" s="3" t="n">
        <v>0</v>
      </c>
      <c r="AM196" s="3" t="n">
        <v>-0</v>
      </c>
      <c r="AN196" s="3" t="n">
        <v>-0.2680320500317106</v>
      </c>
      <c r="AO196" s="3">
        <f>SUM(AH196:AN196)</f>
        <v/>
      </c>
      <c r="AP196" s="5">
        <f>IF(OR(N(Q196)&lt;=0,N(BA196)=0),0,N(Q196)*IF(N(M196)/N(Q196)&gt;=60,N(BA196),1))</f>
        <v/>
      </c>
      <c r="AQ196" s="5">
        <f>N(Q196)*N(Z196)*N(BB196)</f>
        <v/>
      </c>
      <c r="AR196" s="5">
        <f>N(AF196)*(Assumptions!$B$13*N(BD196)-(1-Assumptions!$B$13)*Assumptions!$B$14)+N(AG196)</f>
        <v/>
      </c>
      <c r="AS196" s="5">
        <f>N(AO196)*N(M196)/90+N(AP196)+N(AQ196)+N(AR196)</f>
        <v/>
      </c>
      <c r="AT196" s="3">
        <f>IF(N(M196)&lt;=0,0,(N(AS196)-N(AR196))*90/N(M196))</f>
        <v/>
      </c>
      <c r="AU196" s="5">
        <f>IFERROR(AS196-VLOOKUP($C196,Assumptions!$A$36:$C$39,3,FALSE),"")</f>
        <v/>
      </c>
      <c r="AV196" s="3">
        <f>IFERROR(AU196/F196,"")</f>
        <v/>
      </c>
      <c r="AW196">
        <f>IF(AND($E196=TRUE,$C196="GKP"),AS196,"")</f>
        <v/>
      </c>
      <c r="AX196">
        <f>IF(AND($E196=TRUE,$C196="DEF"),AS196,"")</f>
        <v/>
      </c>
      <c r="AY196">
        <f>IF(AND($E196=TRUE,$C196="MID"),AS196,"")</f>
        <v/>
      </c>
      <c r="AZ196">
        <f>IF(AND($E196=TRUE,$C196="FWD"),AS196,"")</f>
        <v/>
      </c>
      <c r="BA196" t="n">
        <v>2</v>
      </c>
      <c r="BB196" t="n">
        <v>2</v>
      </c>
      <c r="BC196" t="n">
        <v>1</v>
      </c>
      <c r="BD196" t="n">
        <v>5</v>
      </c>
    </row>
    <row r="197">
      <c r="A197" t="inlineStr">
        <is>
          <t>Jefferson Lerma</t>
        </is>
      </c>
      <c r="B197" t="inlineStr">
        <is>
          <t>CRY</t>
        </is>
      </c>
      <c r="C197" t="inlineStr">
        <is>
          <t>MID</t>
        </is>
      </c>
      <c r="D197" t="inlineStr">
        <is>
          <t>MID</t>
        </is>
      </c>
      <c r="E197" t="b">
        <v>1</v>
      </c>
      <c r="F197" s="2" t="n">
        <v>5</v>
      </c>
      <c r="G197" t="inlineStr">
        <is>
          <t>a</t>
        </is>
      </c>
      <c r="I197" s="2" t="n">
        <v>1722</v>
      </c>
      <c r="J197" t="n">
        <v>69</v>
      </c>
      <c r="K197" s="3" t="n">
        <v>528</v>
      </c>
      <c r="L197" t="inlineStr">
        <is>
          <t>flat</t>
        </is>
      </c>
      <c r="M197" s="4" t="n">
        <v>528</v>
      </c>
      <c r="N197" t="inlineStr">
        <is>
          <t>Solio</t>
        </is>
      </c>
      <c r="O197" s="5" t="n">
        <v>83.3</v>
      </c>
      <c r="P197" t="b">
        <v>1</v>
      </c>
      <c r="Q197" s="5">
        <f>IF(N(O197)&lt;=0,0,MIN(Assumptions!$B$15,N(M197)/N(O197)))</f>
        <v/>
      </c>
      <c r="R197" s="4" t="n">
        <v>0.216</v>
      </c>
      <c r="S197" s="3" t="n">
        <v>0.083</v>
      </c>
      <c r="T197" t="inlineStr">
        <is>
          <t>adjusted xGOT</t>
        </is>
      </c>
      <c r="U197" s="3" t="n">
        <v>1</v>
      </c>
      <c r="V197" s="3" t="n">
        <v>0.863</v>
      </c>
      <c r="W197" s="3" t="n">
        <v>8.1</v>
      </c>
      <c r="X197" s="3" t="n">
        <v>0.0853</v>
      </c>
      <c r="Y197" s="3" t="n">
        <v>10.637</v>
      </c>
      <c r="Z197" s="3" t="n">
        <v>0.2857534031382802</v>
      </c>
      <c r="AA197" s="3" t="n">
        <v>0.1568</v>
      </c>
      <c r="AB197" s="3" t="n">
        <v>47</v>
      </c>
      <c r="AC197" s="3" t="n">
        <v>3.2035</v>
      </c>
      <c r="AD197" s="3" t="n">
        <v>1.5923</v>
      </c>
      <c r="AE197" s="3" t="n">
        <v>-0.3250358652709306</v>
      </c>
      <c r="AF197" s="4" t="n">
        <v>0</v>
      </c>
      <c r="AG197" s="3" t="n">
        <v>0</v>
      </c>
      <c r="AH197" s="3" t="n">
        <v>0.415</v>
      </c>
      <c r="AI197" s="3" t="n">
        <v>0.337788</v>
      </c>
      <c r="AJ197" s="3">
        <f>N(R197)*N(BC197)</f>
        <v/>
      </c>
      <c r="AK197" s="3" t="n">
        <v>0.1568</v>
      </c>
      <c r="AL197" s="3" t="n">
        <v>0</v>
      </c>
      <c r="AM197" s="3" t="n">
        <v>-0</v>
      </c>
      <c r="AN197" s="3" t="n">
        <v>-0.3250358652709306</v>
      </c>
      <c r="AO197" s="3">
        <f>SUM(AH197:AN197)</f>
        <v/>
      </c>
      <c r="AP197" s="5">
        <f>IF(OR(N(Q197)&lt;=0,N(BA197)=0),0,N(Q197)*IF(N(M197)/N(Q197)&gt;=60,N(BA197),1))</f>
        <v/>
      </c>
      <c r="AQ197" s="5">
        <f>N(Q197)*N(Z197)*N(BB197)</f>
        <v/>
      </c>
      <c r="AR197" s="5">
        <f>N(AF197)*(Assumptions!$B$13*N(BD197)-(1-Assumptions!$B$13)*Assumptions!$B$14)+N(AG197)</f>
        <v/>
      </c>
      <c r="AS197" s="5">
        <f>N(AO197)*N(M197)/90+N(AP197)+N(AQ197)+N(AR197)</f>
        <v/>
      </c>
      <c r="AT197" s="3">
        <f>IF(N(M197)&lt;=0,0,(N(AS197)-N(AR197))*90/N(M197))</f>
        <v/>
      </c>
      <c r="AU197" s="5">
        <f>IFERROR(AS197-VLOOKUP($C197,Assumptions!$A$36:$C$39,3,FALSE),"")</f>
        <v/>
      </c>
      <c r="AV197" s="3">
        <f>IFERROR(AU197/F197,"")</f>
        <v/>
      </c>
      <c r="AW197">
        <f>IF(AND($E197=TRUE,$C197="GKP"),AS197,"")</f>
        <v/>
      </c>
      <c r="AX197">
        <f>IF(AND($E197=TRUE,$C197="DEF"),AS197,"")</f>
        <v/>
      </c>
      <c r="AY197">
        <f>IF(AND($E197=TRUE,$C197="MID"),AS197,"")</f>
        <v/>
      </c>
      <c r="AZ197">
        <f>IF(AND($E197=TRUE,$C197="FWD"),AS197,"")</f>
        <v/>
      </c>
      <c r="BA197" t="n">
        <v>2</v>
      </c>
      <c r="BB197" t="n">
        <v>2</v>
      </c>
      <c r="BC197" t="n">
        <v>1</v>
      </c>
      <c r="BD197" t="n">
        <v>5</v>
      </c>
    </row>
    <row r="198">
      <c r="A198" t="inlineStr">
        <is>
          <t>Rodri</t>
        </is>
      </c>
      <c r="B198" t="inlineStr">
        <is>
          <t>MCI</t>
        </is>
      </c>
      <c r="C198" t="inlineStr">
        <is>
          <t>MID</t>
        </is>
      </c>
      <c r="D198" t="inlineStr">
        <is>
          <t>MID</t>
        </is>
      </c>
      <c r="E198" t="b">
        <v>1</v>
      </c>
      <c r="F198" s="2" t="n">
        <v>6.5</v>
      </c>
      <c r="G198" t="inlineStr">
        <is>
          <t>i</t>
        </is>
      </c>
      <c r="H198" t="inlineStr">
        <is>
          <t>Back injury - Unknown return date</t>
        </is>
      </c>
      <c r="I198" s="2" t="n">
        <v>1510</v>
      </c>
      <c r="J198" t="n">
        <v>69</v>
      </c>
      <c r="K198" s="3" t="n">
        <v>2804</v>
      </c>
      <c r="L198" t="inlineStr">
        <is>
          <t>ramp-up (injury / late WC return)</t>
        </is>
      </c>
      <c r="M198" s="4" t="n">
        <v>2804</v>
      </c>
      <c r="N198" t="inlineStr">
        <is>
          <t>Solio</t>
        </is>
      </c>
      <c r="O198" s="5" t="n">
        <v>83.7</v>
      </c>
      <c r="P198" t="b">
        <v>1</v>
      </c>
      <c r="Q198" s="5">
        <f>IF(N(O198)&lt;=0,0,MIN(Assumptions!$B$15,N(M198)/N(O198)))</f>
        <v/>
      </c>
      <c r="R198" s="4" t="n">
        <v>0.371</v>
      </c>
      <c r="S198" s="3" t="n">
        <v>0.0659</v>
      </c>
      <c r="T198" t="inlineStr">
        <is>
          <t>adjusted xGOT</t>
        </is>
      </c>
      <c r="U198" s="3" t="n">
        <v>1</v>
      </c>
      <c r="V198" s="3" t="n">
        <v>0.962</v>
      </c>
      <c r="W198" s="3" t="n">
        <v>9.699999999999999</v>
      </c>
      <c r="X198" s="3" t="n">
        <v>0.1408</v>
      </c>
      <c r="Y198" s="3" t="n">
        <v>11.083</v>
      </c>
      <c r="Z198" s="3" t="n">
        <v>0.3386438878491511</v>
      </c>
      <c r="AA198" s="3" t="n">
        <v>0.3576</v>
      </c>
      <c r="AB198" s="3" t="n">
        <v>37</v>
      </c>
      <c r="AC198" s="3" t="n">
        <v>1.9737</v>
      </c>
      <c r="AD198" s="3" t="n">
        <v>1.0365</v>
      </c>
      <c r="AE198" s="3" t="n">
        <v>-0.219522304299945</v>
      </c>
      <c r="AF198" s="4" t="n">
        <v>0</v>
      </c>
      <c r="AG198" s="3" t="n">
        <v>0</v>
      </c>
      <c r="AH198" s="3" t="n">
        <v>0.3295</v>
      </c>
      <c r="AI198" s="3" t="n">
        <v>0.5575680000000001</v>
      </c>
      <c r="AJ198" s="3">
        <f>N(R198)*N(BC198)</f>
        <v/>
      </c>
      <c r="AK198" s="3" t="n">
        <v>0.3576</v>
      </c>
      <c r="AL198" s="3" t="n">
        <v>0</v>
      </c>
      <c r="AM198" s="3" t="n">
        <v>-0</v>
      </c>
      <c r="AN198" s="3" t="n">
        <v>-0.219522304299945</v>
      </c>
      <c r="AO198" s="3">
        <f>SUM(AH198:AN198)</f>
        <v/>
      </c>
      <c r="AP198" s="5">
        <f>IF(OR(N(Q198)&lt;=0,N(BA198)=0),0,N(Q198)*IF(N(M198)/N(Q198)&gt;=60,N(BA198),1))</f>
        <v/>
      </c>
      <c r="AQ198" s="5">
        <f>N(Q198)*N(Z198)*N(BB198)</f>
        <v/>
      </c>
      <c r="AR198" s="5">
        <f>N(AF198)*(Assumptions!$B$13*N(BD198)-(1-Assumptions!$B$13)*Assumptions!$B$14)+N(AG198)</f>
        <v/>
      </c>
      <c r="AS198" s="5">
        <f>N(AO198)*N(M198)/90+N(AP198)+N(AQ198)+N(AR198)</f>
        <v/>
      </c>
      <c r="AT198" s="3">
        <f>IF(N(M198)&lt;=0,0,(N(AS198)-N(AR198))*90/N(M198))</f>
        <v/>
      </c>
      <c r="AU198" s="5">
        <f>IFERROR(AS198-VLOOKUP($C198,Assumptions!$A$36:$C$39,3,FALSE),"")</f>
        <v/>
      </c>
      <c r="AV198" s="3">
        <f>IFERROR(AU198/F198,"")</f>
        <v/>
      </c>
      <c r="AW198">
        <f>IF(AND($E198=TRUE,$C198="GKP"),AS198,"")</f>
        <v/>
      </c>
      <c r="AX198">
        <f>IF(AND($E198=TRUE,$C198="DEF"),AS198,"")</f>
        <v/>
      </c>
      <c r="AY198">
        <f>IF(AND($E198=TRUE,$C198="MID"),AS198,"")</f>
        <v/>
      </c>
      <c r="AZ198">
        <f>IF(AND($E198=TRUE,$C198="FWD"),AS198,"")</f>
        <v/>
      </c>
      <c r="BA198" t="n">
        <v>2</v>
      </c>
      <c r="BB198" t="n">
        <v>2</v>
      </c>
      <c r="BC198" t="n">
        <v>1</v>
      </c>
      <c r="BD198" t="n">
        <v>5</v>
      </c>
    </row>
    <row r="199">
      <c r="A199" t="inlineStr">
        <is>
          <t>Gabriel Gudmundsson</t>
        </is>
      </c>
      <c r="B199" t="inlineStr">
        <is>
          <t>LEE</t>
        </is>
      </c>
      <c r="C199" t="inlineStr">
        <is>
          <t>DEF</t>
        </is>
      </c>
      <c r="D199" t="inlineStr">
        <is>
          <t>DEF</t>
        </is>
      </c>
      <c r="E199" t="b">
        <v>1</v>
      </c>
      <c r="F199" s="2" t="n">
        <v>4.5</v>
      </c>
      <c r="G199" t="inlineStr">
        <is>
          <t>i</t>
        </is>
      </c>
      <c r="H199" t="inlineStr">
        <is>
          <t>Hamstring injury - Expected back 30 Aug</t>
        </is>
      </c>
      <c r="I199" s="2" t="n">
        <v>2637</v>
      </c>
      <c r="J199" t="n">
        <v>68</v>
      </c>
      <c r="K199" s="3" t="n">
        <v>2770</v>
      </c>
      <c r="L199" t="inlineStr">
        <is>
          <t>flat</t>
        </is>
      </c>
      <c r="M199" s="4" t="n">
        <v>2770</v>
      </c>
      <c r="N199" t="inlineStr">
        <is>
          <t>Solio</t>
        </is>
      </c>
      <c r="O199" s="5" t="n">
        <v>84.40000000000001</v>
      </c>
      <c r="P199" t="b">
        <v>1</v>
      </c>
      <c r="Q199" s="5">
        <f>IF(N(O199)&lt;=0,0,MIN(Assumptions!$B$15,N(M199)/N(O199)))</f>
        <v/>
      </c>
      <c r="R199" s="4" t="n">
        <v>0.218</v>
      </c>
      <c r="S199" s="3" t="n">
        <v>0.0334</v>
      </c>
      <c r="T199" t="inlineStr">
        <is>
          <t>adjusted xGOT</t>
        </is>
      </c>
      <c r="U199" s="3" t="n">
        <v>1</v>
      </c>
      <c r="V199" s="3" t="n">
        <v>0.89</v>
      </c>
      <c r="W199" s="3" t="n">
        <v>1.1</v>
      </c>
      <c r="X199" s="3" t="n">
        <v>0.1022</v>
      </c>
      <c r="Y199" s="3" t="n">
        <v>6.581</v>
      </c>
      <c r="Z199" s="3" t="n">
        <v>0.09623674079269751</v>
      </c>
      <c r="AA199" s="3" t="n">
        <v>0.273</v>
      </c>
      <c r="AB199" s="3" t="n">
        <v>60</v>
      </c>
      <c r="AC199" s="3" t="n">
        <v>3.0611</v>
      </c>
      <c r="AD199" s="3" t="n">
        <v>1.5875</v>
      </c>
      <c r="AE199" s="3" t="n">
        <v>-0.1742493246807302</v>
      </c>
      <c r="AF199" s="4" t="n">
        <v>0</v>
      </c>
      <c r="AG199" s="3" t="n">
        <v>0</v>
      </c>
      <c r="AH199" s="3" t="n">
        <v>0.2004</v>
      </c>
      <c r="AI199" s="3" t="n">
        <v>0.404712</v>
      </c>
      <c r="AJ199" s="3">
        <f>N(R199)*N(BC199)</f>
        <v/>
      </c>
      <c r="AK199" s="3" t="n">
        <v>0.273</v>
      </c>
      <c r="AL199" s="3" t="n">
        <v>0</v>
      </c>
      <c r="AM199" s="3" t="n">
        <v>-0.5541985260210861</v>
      </c>
      <c r="AN199" s="3" t="n">
        <v>-0.1742493246807302</v>
      </c>
      <c r="AO199" s="3">
        <f>SUM(AH199:AN199)</f>
        <v/>
      </c>
      <c r="AP199" s="5">
        <f>IF(OR(N(Q199)&lt;=0,N(BA199)=0),0,N(Q199)*IF(N(M199)/N(Q199)&gt;=60,N(BA199),1))</f>
        <v/>
      </c>
      <c r="AQ199" s="5">
        <f>N(Q199)*N(Z199)*N(BB199)</f>
        <v/>
      </c>
      <c r="AR199" s="5">
        <f>N(AF199)*(Assumptions!$B$13*N(BD199)-(1-Assumptions!$B$13)*Assumptions!$B$14)+N(AG199)</f>
        <v/>
      </c>
      <c r="AS199" s="5">
        <f>N(AO199)*N(M199)/90+N(AP199)+N(AQ199)+N(AR199)</f>
        <v/>
      </c>
      <c r="AT199" s="3">
        <f>IF(N(M199)&lt;=0,0,(N(AS199)-N(AR199))*90/N(M199))</f>
        <v/>
      </c>
      <c r="AU199" s="5">
        <f>IFERROR(AS199-VLOOKUP($C199,Assumptions!$A$36:$C$39,3,FALSE),"")</f>
        <v/>
      </c>
      <c r="AV199" s="3">
        <f>IFERROR(AU199/F199,"")</f>
        <v/>
      </c>
      <c r="AW199">
        <f>IF(AND($E199=TRUE,$C199="GKP"),AS199,"")</f>
        <v/>
      </c>
      <c r="AX199">
        <f>IF(AND($E199=TRUE,$C199="DEF"),AS199,"")</f>
        <v/>
      </c>
      <c r="AY199">
        <f>IF(AND($E199=TRUE,$C199="MID"),AS199,"")</f>
        <v/>
      </c>
      <c r="AZ199">
        <f>IF(AND($E199=TRUE,$C199="FWD"),AS199,"")</f>
        <v/>
      </c>
      <c r="BA199" t="n">
        <v>2</v>
      </c>
      <c r="BB199" t="n">
        <v>2</v>
      </c>
      <c r="BC199" t="n">
        <v>4</v>
      </c>
      <c r="BD199" t="n">
        <v>6</v>
      </c>
    </row>
    <row r="200">
      <c r="A200" t="inlineStr">
        <is>
          <t>Tim Iroegbunam</t>
        </is>
      </c>
      <c r="B200" t="inlineStr">
        <is>
          <t>EVE</t>
        </is>
      </c>
      <c r="C200" t="inlineStr">
        <is>
          <t>MID</t>
        </is>
      </c>
      <c r="D200" t="inlineStr">
        <is>
          <t>MID</t>
        </is>
      </c>
      <c r="E200" t="b">
        <v>1</v>
      </c>
      <c r="F200" s="2" t="n">
        <v>5</v>
      </c>
      <c r="G200" t="inlineStr">
        <is>
          <t>a</t>
        </is>
      </c>
      <c r="I200" s="2" t="n">
        <v>1477</v>
      </c>
      <c r="J200" t="n">
        <v>68</v>
      </c>
      <c r="K200" s="3" t="n">
        <v>328</v>
      </c>
      <c r="L200" t="inlineStr">
        <is>
          <t>fade (losing his place)</t>
        </is>
      </c>
      <c r="M200" s="4" t="n">
        <v>328</v>
      </c>
      <c r="N200" t="inlineStr">
        <is>
          <t>Solio</t>
        </is>
      </c>
      <c r="O200" s="5" t="n">
        <v>78.8</v>
      </c>
      <c r="P200" t="b">
        <v>1</v>
      </c>
      <c r="Q200" s="5">
        <f>IF(N(O200)&lt;=0,0,MIN(Assumptions!$B$15,N(M200)/N(O200)))</f>
        <v/>
      </c>
      <c r="R200" s="4" t="n">
        <v>0.231</v>
      </c>
      <c r="S200" s="3" t="n">
        <v>0.0304</v>
      </c>
      <c r="T200" t="inlineStr">
        <is>
          <t>adjusted xGOT</t>
        </is>
      </c>
      <c r="U200" s="3" t="n">
        <v>1</v>
      </c>
      <c r="V200" s="3" t="n">
        <v>0.924</v>
      </c>
      <c r="W200" s="3" t="n">
        <v>0.8</v>
      </c>
      <c r="X200" s="3" t="n">
        <v>0.0779</v>
      </c>
      <c r="Y200" s="3" t="n">
        <v>10.553</v>
      </c>
      <c r="Z200" s="3" t="n">
        <v>0.2208506722222392</v>
      </c>
      <c r="AA200" s="3" t="n">
        <v>0.0609</v>
      </c>
      <c r="AB200" s="3" t="n">
        <v>45</v>
      </c>
      <c r="AC200" s="3" t="n">
        <v>3.0311</v>
      </c>
      <c r="AD200" s="3" t="n">
        <v>1.5252</v>
      </c>
      <c r="AE200" s="3" t="n">
        <v>-0.4125191100430851</v>
      </c>
      <c r="AF200" s="4" t="n">
        <v>0</v>
      </c>
      <c r="AG200" s="3" t="n">
        <v>0</v>
      </c>
      <c r="AH200" s="3" t="n">
        <v>0.152</v>
      </c>
      <c r="AI200" s="3" t="n">
        <v>0.308484</v>
      </c>
      <c r="AJ200" s="3">
        <f>N(R200)*N(BC200)</f>
        <v/>
      </c>
      <c r="AK200" s="3" t="n">
        <v>0.0609</v>
      </c>
      <c r="AL200" s="3" t="n">
        <v>0</v>
      </c>
      <c r="AM200" s="3" t="n">
        <v>-0</v>
      </c>
      <c r="AN200" s="3" t="n">
        <v>-0.4125191100430851</v>
      </c>
      <c r="AO200" s="3">
        <f>SUM(AH200:AN200)</f>
        <v/>
      </c>
      <c r="AP200" s="5">
        <f>IF(OR(N(Q200)&lt;=0,N(BA200)=0),0,N(Q200)*IF(N(M200)/N(Q200)&gt;=60,N(BA200),1))</f>
        <v/>
      </c>
      <c r="AQ200" s="5">
        <f>N(Q200)*N(Z200)*N(BB200)</f>
        <v/>
      </c>
      <c r="AR200" s="5">
        <f>N(AF200)*(Assumptions!$B$13*N(BD200)-(1-Assumptions!$B$13)*Assumptions!$B$14)+N(AG200)</f>
        <v/>
      </c>
      <c r="AS200" s="5">
        <f>N(AO200)*N(M200)/90+N(AP200)+N(AQ200)+N(AR200)</f>
        <v/>
      </c>
      <c r="AT200" s="3">
        <f>IF(N(M200)&lt;=0,0,(N(AS200)-N(AR200))*90/N(M200))</f>
        <v/>
      </c>
      <c r="AU200" s="5">
        <f>IFERROR(AS200-VLOOKUP($C200,Assumptions!$A$36:$C$39,3,FALSE),"")</f>
        <v/>
      </c>
      <c r="AV200" s="3">
        <f>IFERROR(AU200/F200,"")</f>
        <v/>
      </c>
      <c r="AW200">
        <f>IF(AND($E200=TRUE,$C200="GKP"),AS200,"")</f>
        <v/>
      </c>
      <c r="AX200">
        <f>IF(AND($E200=TRUE,$C200="DEF"),AS200,"")</f>
        <v/>
      </c>
      <c r="AY200">
        <f>IF(AND($E200=TRUE,$C200="MID"),AS200,"")</f>
        <v/>
      </c>
      <c r="AZ200">
        <f>IF(AND($E200=TRUE,$C200="FWD"),AS200,"")</f>
        <v/>
      </c>
      <c r="BA200" t="n">
        <v>2</v>
      </c>
      <c r="BB200" t="n">
        <v>2</v>
      </c>
      <c r="BC200" t="n">
        <v>1</v>
      </c>
      <c r="BD200" t="n">
        <v>5</v>
      </c>
    </row>
    <row r="201">
      <c r="A201" t="inlineStr">
        <is>
          <t>Youri Tielemans</t>
        </is>
      </c>
      <c r="B201" t="inlineStr">
        <is>
          <t>MUN</t>
        </is>
      </c>
      <c r="C201" t="inlineStr">
        <is>
          <t>MID</t>
        </is>
      </c>
      <c r="D201" t="inlineStr">
        <is>
          <t>MID</t>
        </is>
      </c>
      <c r="E201" t="b">
        <v>1</v>
      </c>
      <c r="F201" s="2" t="n">
        <v>6</v>
      </c>
      <c r="G201" t="inlineStr">
        <is>
          <t>a</t>
        </is>
      </c>
      <c r="I201" s="2" t="n">
        <v>1857</v>
      </c>
      <c r="J201" t="n">
        <v>68</v>
      </c>
      <c r="K201" s="3" t="n">
        <v>2764</v>
      </c>
      <c r="L201" t="inlineStr">
        <is>
          <t>flat</t>
        </is>
      </c>
      <c r="M201" s="4" t="n">
        <v>2764</v>
      </c>
      <c r="N201" t="inlineStr">
        <is>
          <t>Solio</t>
        </is>
      </c>
      <c r="O201" s="5" t="n">
        <v>84.7</v>
      </c>
      <c r="P201" t="b">
        <v>1</v>
      </c>
      <c r="Q201" s="5">
        <f>IF(N(O201)&lt;=0,0,MIN(Assumptions!$B$15,N(M201)/N(O201)))</f>
        <v/>
      </c>
      <c r="R201" s="4" t="n">
        <v>0.334</v>
      </c>
      <c r="S201" s="3" t="n">
        <v>0.0594</v>
      </c>
      <c r="T201" t="inlineStr">
        <is>
          <t>adjusted xGOT</t>
        </is>
      </c>
      <c r="U201" s="3" t="n">
        <v>1</v>
      </c>
      <c r="V201" s="3" t="n">
        <v>1.075</v>
      </c>
      <c r="W201" s="3" t="n">
        <v>8.199999999999999</v>
      </c>
      <c r="X201" s="3" t="n">
        <v>0.1513</v>
      </c>
      <c r="Y201" s="3" t="n">
        <v>9.486000000000001</v>
      </c>
      <c r="Z201" s="3" t="n">
        <v>0.1900034002558183</v>
      </c>
      <c r="AA201" s="3" t="n">
        <v>0.1454</v>
      </c>
      <c r="AB201" s="3" t="n">
        <v>45</v>
      </c>
      <c r="AC201" s="3" t="n">
        <v>2.2165</v>
      </c>
      <c r="AD201" s="3" t="n">
        <v>1.1467</v>
      </c>
      <c r="AE201" s="3" t="n">
        <v>-0.1227884961429194</v>
      </c>
      <c r="AF201" s="4" t="n">
        <v>0.0193417288476089</v>
      </c>
      <c r="AG201" s="3" t="n">
        <v>0</v>
      </c>
      <c r="AH201" s="3" t="n">
        <v>0.297</v>
      </c>
      <c r="AI201" s="3" t="n">
        <v>0.599148</v>
      </c>
      <c r="AJ201" s="3">
        <f>N(R201)*N(BC201)</f>
        <v/>
      </c>
      <c r="AK201" s="3" t="n">
        <v>0.1454</v>
      </c>
      <c r="AL201" s="3" t="n">
        <v>0</v>
      </c>
      <c r="AM201" s="3" t="n">
        <v>-0</v>
      </c>
      <c r="AN201" s="3" t="n">
        <v>-0.1227884961429194</v>
      </c>
      <c r="AO201" s="3">
        <f>SUM(AH201:AN201)</f>
        <v/>
      </c>
      <c r="AP201" s="5">
        <f>IF(OR(N(Q201)&lt;=0,N(BA201)=0),0,N(Q201)*IF(N(M201)/N(Q201)&gt;=60,N(BA201),1))</f>
        <v/>
      </c>
      <c r="AQ201" s="5">
        <f>N(Q201)*N(Z201)*N(BB201)</f>
        <v/>
      </c>
      <c r="AR201" s="5">
        <f>N(AF201)*(Assumptions!$B$13*N(BD201)-(1-Assumptions!$B$13)*Assumptions!$B$14)+N(AG201)</f>
        <v/>
      </c>
      <c r="AS201" s="5">
        <f>N(AO201)*N(M201)/90+N(AP201)+N(AQ201)+N(AR201)</f>
        <v/>
      </c>
      <c r="AT201" s="3">
        <f>IF(N(M201)&lt;=0,0,(N(AS201)-N(AR201))*90/N(M201))</f>
        <v/>
      </c>
      <c r="AU201" s="5">
        <f>IFERROR(AS201-VLOOKUP($C201,Assumptions!$A$36:$C$39,3,FALSE),"")</f>
        <v/>
      </c>
      <c r="AV201" s="3">
        <f>IFERROR(AU201/F201,"")</f>
        <v/>
      </c>
      <c r="AW201">
        <f>IF(AND($E201=TRUE,$C201="GKP"),AS201,"")</f>
        <v/>
      </c>
      <c r="AX201">
        <f>IF(AND($E201=TRUE,$C201="DEF"),AS201,"")</f>
        <v/>
      </c>
      <c r="AY201">
        <f>IF(AND($E201=TRUE,$C201="MID"),AS201,"")</f>
        <v/>
      </c>
      <c r="AZ201">
        <f>IF(AND($E201=TRUE,$C201="FWD"),AS201,"")</f>
        <v/>
      </c>
      <c r="BA201" t="n">
        <v>2</v>
      </c>
      <c r="BB201" t="n">
        <v>2</v>
      </c>
      <c r="BC201" t="n">
        <v>1</v>
      </c>
      <c r="BD201" t="n">
        <v>5</v>
      </c>
    </row>
    <row r="202">
      <c r="A202" t="inlineStr">
        <is>
          <t>Amine Adli</t>
        </is>
      </c>
      <c r="B202" t="inlineStr">
        <is>
          <t>BOU</t>
        </is>
      </c>
      <c r="C202" t="inlineStr">
        <is>
          <t>MID</t>
        </is>
      </c>
      <c r="D202" t="inlineStr">
        <is>
          <t>MID</t>
        </is>
      </c>
      <c r="E202" t="b">
        <v>1</v>
      </c>
      <c r="F202" s="2" t="n">
        <v>5</v>
      </c>
      <c r="G202" t="inlineStr">
        <is>
          <t>a</t>
        </is>
      </c>
      <c r="I202" s="2" t="n">
        <v>1074</v>
      </c>
      <c r="J202" t="n">
        <v>67</v>
      </c>
      <c r="K202" s="3" t="n">
        <v>390</v>
      </c>
      <c r="L202" t="inlineStr">
        <is>
          <t>flat</t>
        </is>
      </c>
      <c r="M202" s="4" t="n">
        <v>390</v>
      </c>
      <c r="N202" t="inlineStr">
        <is>
          <t>Solio</t>
        </is>
      </c>
      <c r="O202" s="5" t="n">
        <v>72.90000000000001</v>
      </c>
      <c r="P202" t="b">
        <v>1</v>
      </c>
      <c r="Q202" s="5">
        <f>IF(N(O202)&lt;=0,0,MIN(Assumptions!$B$15,N(M202)/N(O202)))</f>
        <v/>
      </c>
      <c r="R202" s="4" t="n">
        <v>0.23</v>
      </c>
      <c r="S202" s="3" t="n">
        <v>0.2302</v>
      </c>
      <c r="T202" t="inlineStr">
        <is>
          <t>adjusted xGOT</t>
        </is>
      </c>
      <c r="U202" s="3" t="n">
        <v>1</v>
      </c>
      <c r="V202" s="3" t="n">
        <v>1.057</v>
      </c>
      <c r="W202" s="3" t="n">
        <v>2.6</v>
      </c>
      <c r="X202" s="3" t="n">
        <v>0.1214</v>
      </c>
      <c r="Y202" s="3" t="n">
        <v>9.613</v>
      </c>
      <c r="Z202" s="3" t="n">
        <v>0.09713341515933682</v>
      </c>
      <c r="AA202" s="3" t="n">
        <v>0.3352</v>
      </c>
      <c r="AB202" s="3" t="n">
        <v>39</v>
      </c>
      <c r="AC202" s="3" t="n">
        <v>3.0957</v>
      </c>
      <c r="AD202" s="3" t="n">
        <v>1.53</v>
      </c>
      <c r="AE202" s="3" t="n">
        <v>-0.202453543529448</v>
      </c>
      <c r="AF202" s="4" t="n">
        <v>0</v>
      </c>
      <c r="AG202" s="3" t="n">
        <v>0</v>
      </c>
      <c r="AH202" s="3" t="n">
        <v>1.151</v>
      </c>
      <c r="AI202" s="3" t="n">
        <v>0.480744</v>
      </c>
      <c r="AJ202" s="3">
        <f>N(R202)*N(BC202)</f>
        <v/>
      </c>
      <c r="AK202" s="3" t="n">
        <v>0.3352</v>
      </c>
      <c r="AL202" s="3" t="n">
        <v>0</v>
      </c>
      <c r="AM202" s="3" t="n">
        <v>-0</v>
      </c>
      <c r="AN202" s="3" t="n">
        <v>-0.202453543529448</v>
      </c>
      <c r="AO202" s="3">
        <f>SUM(AH202:AN202)</f>
        <v/>
      </c>
      <c r="AP202" s="5">
        <f>IF(OR(N(Q202)&lt;=0,N(BA202)=0),0,N(Q202)*IF(N(M202)/N(Q202)&gt;=60,N(BA202),1))</f>
        <v/>
      </c>
      <c r="AQ202" s="5">
        <f>N(Q202)*N(Z202)*N(BB202)</f>
        <v/>
      </c>
      <c r="AR202" s="5">
        <f>N(AF202)*(Assumptions!$B$13*N(BD202)-(1-Assumptions!$B$13)*Assumptions!$B$14)+N(AG202)</f>
        <v/>
      </c>
      <c r="AS202" s="5">
        <f>N(AO202)*N(M202)/90+N(AP202)+N(AQ202)+N(AR202)</f>
        <v/>
      </c>
      <c r="AT202" s="3">
        <f>IF(N(M202)&lt;=0,0,(N(AS202)-N(AR202))*90/N(M202))</f>
        <v/>
      </c>
      <c r="AU202" s="5">
        <f>IFERROR(AS202-VLOOKUP($C202,Assumptions!$A$36:$C$39,3,FALSE),"")</f>
        <v/>
      </c>
      <c r="AV202" s="3">
        <f>IFERROR(AU202/F202,"")</f>
        <v/>
      </c>
      <c r="AW202">
        <f>IF(AND($E202=TRUE,$C202="GKP"),AS202,"")</f>
        <v/>
      </c>
      <c r="AX202">
        <f>IF(AND($E202=TRUE,$C202="DEF"),AS202,"")</f>
        <v/>
      </c>
      <c r="AY202">
        <f>IF(AND($E202=TRUE,$C202="MID"),AS202,"")</f>
        <v/>
      </c>
      <c r="AZ202">
        <f>IF(AND($E202=TRUE,$C202="FWD"),AS202,"")</f>
        <v/>
      </c>
      <c r="BA202" t="n">
        <v>2</v>
      </c>
      <c r="BB202" t="n">
        <v>2</v>
      </c>
      <c r="BC202" t="n">
        <v>1</v>
      </c>
      <c r="BD202" t="n">
        <v>5</v>
      </c>
    </row>
    <row r="203">
      <c r="A203" t="inlineStr">
        <is>
          <t>Abdukodir Khusanov</t>
        </is>
      </c>
      <c r="B203" t="inlineStr">
        <is>
          <t>MCI</t>
        </is>
      </c>
      <c r="C203" t="inlineStr">
        <is>
          <t>DEF</t>
        </is>
      </c>
      <c r="D203" t="inlineStr">
        <is>
          <t>DEF</t>
        </is>
      </c>
      <c r="E203" t="b">
        <v>1</v>
      </c>
      <c r="F203" s="2" t="n">
        <v>5.5</v>
      </c>
      <c r="G203" t="inlineStr">
        <is>
          <t>a</t>
        </is>
      </c>
      <c r="I203" s="2" t="n">
        <v>1427</v>
      </c>
      <c r="J203" t="n">
        <v>67</v>
      </c>
      <c r="K203" s="3" t="n">
        <v>690</v>
      </c>
      <c r="L203" t="inlineStr">
        <is>
          <t>flat</t>
        </is>
      </c>
      <c r="M203" s="4" t="n">
        <v>690</v>
      </c>
      <c r="N203" t="inlineStr">
        <is>
          <t>Solio</t>
        </is>
      </c>
      <c r="O203" s="5" t="n">
        <v>84.59999999999999</v>
      </c>
      <c r="P203" t="b">
        <v>1</v>
      </c>
      <c r="Q203" s="5">
        <f>IF(N(O203)&lt;=0,0,MIN(Assumptions!$B$15,N(M203)/N(O203)))</f>
        <v/>
      </c>
      <c r="R203" s="4" t="n">
        <v>0.371</v>
      </c>
      <c r="S203" s="3" t="n">
        <v>0.0378</v>
      </c>
      <c r="T203" t="inlineStr">
        <is>
          <t>adjusted xGOT</t>
        </is>
      </c>
      <c r="U203" s="3" t="n">
        <v>1</v>
      </c>
      <c r="V203" s="3" t="n">
        <v>0.923</v>
      </c>
      <c r="W203" s="3" t="n">
        <v>0.7</v>
      </c>
      <c r="X203" s="3" t="n">
        <v>0.0562</v>
      </c>
      <c r="Y203" s="3" t="n">
        <v>7.733</v>
      </c>
      <c r="Z203" s="3" t="n">
        <v>0.1977970364040675</v>
      </c>
      <c r="AA203" s="3" t="n">
        <v>0.1892</v>
      </c>
      <c r="AB203" s="3" t="n">
        <v>35</v>
      </c>
      <c r="AC203" s="3" t="n">
        <v>1.9737</v>
      </c>
      <c r="AD203" s="3" t="n">
        <v>1.0365</v>
      </c>
      <c r="AE203" s="3" t="n">
        <v>-0.1783519062466148</v>
      </c>
      <c r="AF203" s="4" t="n">
        <v>0</v>
      </c>
      <c r="AG203" s="3" t="n">
        <v>0</v>
      </c>
      <c r="AH203" s="3" t="n">
        <v>0.2268</v>
      </c>
      <c r="AI203" s="3" t="n">
        <v>0.222552</v>
      </c>
      <c r="AJ203" s="3">
        <f>N(R203)*N(BC203)</f>
        <v/>
      </c>
      <c r="AK203" s="3" t="n">
        <v>0.1892</v>
      </c>
      <c r="AL203" s="3" t="n">
        <v>0</v>
      </c>
      <c r="AM203" s="3" t="n">
        <v>-0.2997019479071323</v>
      </c>
      <c r="AN203" s="3" t="n">
        <v>-0.1783519062466148</v>
      </c>
      <c r="AO203" s="3">
        <f>SUM(AH203:AN203)</f>
        <v/>
      </c>
      <c r="AP203" s="5">
        <f>IF(OR(N(Q203)&lt;=0,N(BA203)=0),0,N(Q203)*IF(N(M203)/N(Q203)&gt;=60,N(BA203),1))</f>
        <v/>
      </c>
      <c r="AQ203" s="5">
        <f>N(Q203)*N(Z203)*N(BB203)</f>
        <v/>
      </c>
      <c r="AR203" s="5">
        <f>N(AF203)*(Assumptions!$B$13*N(BD203)-(1-Assumptions!$B$13)*Assumptions!$B$14)+N(AG203)</f>
        <v/>
      </c>
      <c r="AS203" s="5">
        <f>N(AO203)*N(M203)/90+N(AP203)+N(AQ203)+N(AR203)</f>
        <v/>
      </c>
      <c r="AT203" s="3">
        <f>IF(N(M203)&lt;=0,0,(N(AS203)-N(AR203))*90/N(M203))</f>
        <v/>
      </c>
      <c r="AU203" s="5">
        <f>IFERROR(AS203-VLOOKUP($C203,Assumptions!$A$36:$C$39,3,FALSE),"")</f>
        <v/>
      </c>
      <c r="AV203" s="3">
        <f>IFERROR(AU203/F203,"")</f>
        <v/>
      </c>
      <c r="AW203">
        <f>IF(AND($E203=TRUE,$C203="GKP"),AS203,"")</f>
        <v/>
      </c>
      <c r="AX203">
        <f>IF(AND($E203=TRUE,$C203="DEF"),AS203,"")</f>
        <v/>
      </c>
      <c r="AY203">
        <f>IF(AND($E203=TRUE,$C203="MID"),AS203,"")</f>
        <v/>
      </c>
      <c r="AZ203">
        <f>IF(AND($E203=TRUE,$C203="FWD"),AS203,"")</f>
        <v/>
      </c>
      <c r="BA203" t="n">
        <v>2</v>
      </c>
      <c r="BB203" t="n">
        <v>2</v>
      </c>
      <c r="BC203" t="n">
        <v>4</v>
      </c>
      <c r="BD203" t="n">
        <v>6</v>
      </c>
    </row>
    <row r="204">
      <c r="A204" t="inlineStr">
        <is>
          <t>Ao Tanaka</t>
        </is>
      </c>
      <c r="B204" t="inlineStr">
        <is>
          <t>LEE</t>
        </is>
      </c>
      <c r="C204" t="inlineStr">
        <is>
          <t>MID</t>
        </is>
      </c>
      <c r="D204" t="inlineStr">
        <is>
          <t>MID</t>
        </is>
      </c>
      <c r="E204" t="b">
        <v>1</v>
      </c>
      <c r="F204" s="2" t="n">
        <v>5</v>
      </c>
      <c r="G204" t="inlineStr">
        <is>
          <t>a</t>
        </is>
      </c>
      <c r="I204" s="2" t="n">
        <v>1307</v>
      </c>
      <c r="J204" t="n">
        <v>67</v>
      </c>
      <c r="K204" s="3" t="n">
        <v>662</v>
      </c>
      <c r="L204" t="inlineStr">
        <is>
          <t>flat</t>
        </is>
      </c>
      <c r="M204" s="4" t="n">
        <v>662</v>
      </c>
      <c r="N204" t="inlineStr">
        <is>
          <t>Solio</t>
        </is>
      </c>
      <c r="O204" s="5" t="n">
        <v>75.3</v>
      </c>
      <c r="P204" t="b">
        <v>1</v>
      </c>
      <c r="Q204" s="5">
        <f>IF(N(O204)&lt;=0,0,MIN(Assumptions!$B$15,N(M204)/N(O204)))</f>
        <v/>
      </c>
      <c r="R204" s="4" t="n">
        <v>0.218</v>
      </c>
      <c r="S204" s="3" t="n">
        <v>0.0977</v>
      </c>
      <c r="T204" t="inlineStr">
        <is>
          <t>adjusted xGOT</t>
        </is>
      </c>
      <c r="U204" s="3" t="n">
        <v>1</v>
      </c>
      <c r="V204" s="3" t="n">
        <v>0.985</v>
      </c>
      <c r="W204" s="3" t="n">
        <v>1.4</v>
      </c>
      <c r="X204" s="3" t="n">
        <v>0.0946</v>
      </c>
      <c r="Y204" s="3" t="n">
        <v>9.573</v>
      </c>
      <c r="Z204" s="3" t="n">
        <v>0.1126045091026694</v>
      </c>
      <c r="AA204" s="3" t="n">
        <v>0.2066</v>
      </c>
      <c r="AB204" s="3" t="n">
        <v>40</v>
      </c>
      <c r="AC204" s="3" t="n">
        <v>3.0611</v>
      </c>
      <c r="AD204" s="3" t="n">
        <v>1.5875</v>
      </c>
      <c r="AE204" s="3" t="n">
        <v>-0.1539294131870054</v>
      </c>
      <c r="AF204" s="4" t="n">
        <v>0</v>
      </c>
      <c r="AG204" s="3" t="n">
        <v>0</v>
      </c>
      <c r="AH204" s="3" t="n">
        <v>0.4885</v>
      </c>
      <c r="AI204" s="3" t="n">
        <v>0.374616</v>
      </c>
      <c r="AJ204" s="3">
        <f>N(R204)*N(BC204)</f>
        <v/>
      </c>
      <c r="AK204" s="3" t="n">
        <v>0.2066</v>
      </c>
      <c r="AL204" s="3" t="n">
        <v>0</v>
      </c>
      <c r="AM204" s="3" t="n">
        <v>-0</v>
      </c>
      <c r="AN204" s="3" t="n">
        <v>-0.1539294131870054</v>
      </c>
      <c r="AO204" s="3">
        <f>SUM(AH204:AN204)</f>
        <v/>
      </c>
      <c r="AP204" s="5">
        <f>IF(OR(N(Q204)&lt;=0,N(BA204)=0),0,N(Q204)*IF(N(M204)/N(Q204)&gt;=60,N(BA204),1))</f>
        <v/>
      </c>
      <c r="AQ204" s="5">
        <f>N(Q204)*N(Z204)*N(BB204)</f>
        <v/>
      </c>
      <c r="AR204" s="5">
        <f>N(AF204)*(Assumptions!$B$13*N(BD204)-(1-Assumptions!$B$13)*Assumptions!$B$14)+N(AG204)</f>
        <v/>
      </c>
      <c r="AS204" s="5">
        <f>N(AO204)*N(M204)/90+N(AP204)+N(AQ204)+N(AR204)</f>
        <v/>
      </c>
      <c r="AT204" s="3">
        <f>IF(N(M204)&lt;=0,0,(N(AS204)-N(AR204))*90/N(M204))</f>
        <v/>
      </c>
      <c r="AU204" s="5">
        <f>IFERROR(AS204-VLOOKUP($C204,Assumptions!$A$36:$C$39,3,FALSE),"")</f>
        <v/>
      </c>
      <c r="AV204" s="3">
        <f>IFERROR(AU204/F204,"")</f>
        <v/>
      </c>
      <c r="AW204">
        <f>IF(AND($E204=TRUE,$C204="GKP"),AS204,"")</f>
        <v/>
      </c>
      <c r="AX204">
        <f>IF(AND($E204=TRUE,$C204="DEF"),AS204,"")</f>
        <v/>
      </c>
      <c r="AY204">
        <f>IF(AND($E204=TRUE,$C204="MID"),AS204,"")</f>
        <v/>
      </c>
      <c r="AZ204">
        <f>IF(AND($E204=TRUE,$C204="FWD"),AS204,"")</f>
        <v/>
      </c>
      <c r="BA204" t="n">
        <v>2</v>
      </c>
      <c r="BB204" t="n">
        <v>2</v>
      </c>
      <c r="BC204" t="n">
        <v>1</v>
      </c>
      <c r="BD204" t="n">
        <v>5</v>
      </c>
    </row>
    <row r="205">
      <c r="A205" t="inlineStr">
        <is>
          <t>Rayan</t>
        </is>
      </c>
      <c r="B205" t="inlineStr">
        <is>
          <t>BOU</t>
        </is>
      </c>
      <c r="C205" t="inlineStr">
        <is>
          <t>MID</t>
        </is>
      </c>
      <c r="D205" t="inlineStr">
        <is>
          <t>MID</t>
        </is>
      </c>
      <c r="E205" t="b">
        <v>1</v>
      </c>
      <c r="F205" s="2" t="n">
        <v>6.5</v>
      </c>
      <c r="G205" t="inlineStr">
        <is>
          <t>a</t>
        </is>
      </c>
      <c r="I205" s="2" t="n">
        <v>1110</v>
      </c>
      <c r="J205" t="n">
        <v>67</v>
      </c>
      <c r="K205" s="3" t="n">
        <v>2861</v>
      </c>
      <c r="L205" t="inlineStr">
        <is>
          <t>flat</t>
        </is>
      </c>
      <c r="M205" s="4" t="n">
        <v>2861</v>
      </c>
      <c r="N205" t="inlineStr">
        <is>
          <t>Solio</t>
        </is>
      </c>
      <c r="O205" s="5" t="n">
        <v>81.90000000000001</v>
      </c>
      <c r="P205" t="b">
        <v>1</v>
      </c>
      <c r="Q205" s="5">
        <f>IF(N(O205)&lt;=0,0,MIN(Assumptions!$B$15,N(M205)/N(O205)))</f>
        <v/>
      </c>
      <c r="R205" s="4" t="n">
        <v>0.23</v>
      </c>
      <c r="S205" s="3" t="n">
        <v>0.2313</v>
      </c>
      <c r="T205" t="inlineStr">
        <is>
          <t>adjusted xGOT</t>
        </is>
      </c>
      <c r="U205" s="3" t="n">
        <v>1</v>
      </c>
      <c r="V205" s="3" t="n">
        <v>1.068</v>
      </c>
      <c r="W205" s="3" t="n">
        <v>2.7</v>
      </c>
      <c r="X205" s="3" t="n">
        <v>0.1873</v>
      </c>
      <c r="Y205" s="3" t="n">
        <v>7.407</v>
      </c>
      <c r="Z205" s="3" t="n">
        <v>0.04247723741105758</v>
      </c>
      <c r="AA205" s="3" t="n">
        <v>0.2432</v>
      </c>
      <c r="AB205" s="3" t="n">
        <v>28</v>
      </c>
      <c r="AC205" s="3" t="n">
        <v>3.0957</v>
      </c>
      <c r="AD205" s="3" t="n">
        <v>1.53</v>
      </c>
      <c r="AE205" s="3" t="n">
        <v>-0.1645361013047155</v>
      </c>
      <c r="AF205" s="4" t="n">
        <v>0</v>
      </c>
      <c r="AG205" s="3" t="n">
        <v>0</v>
      </c>
      <c r="AH205" s="3" t="n">
        <v>1.1565</v>
      </c>
      <c r="AI205" s="3" t="n">
        <v>0.7417079999999999</v>
      </c>
      <c r="AJ205" s="3">
        <f>N(R205)*N(BC205)</f>
        <v/>
      </c>
      <c r="AK205" s="3" t="n">
        <v>0.2432</v>
      </c>
      <c r="AL205" s="3" t="n">
        <v>0</v>
      </c>
      <c r="AM205" s="3" t="n">
        <v>-0</v>
      </c>
      <c r="AN205" s="3" t="n">
        <v>-0.1645361013047155</v>
      </c>
      <c r="AO205" s="3">
        <f>SUM(AH205:AN205)</f>
        <v/>
      </c>
      <c r="AP205" s="5">
        <f>IF(OR(N(Q205)&lt;=0,N(BA205)=0),0,N(Q205)*IF(N(M205)/N(Q205)&gt;=60,N(BA205),1))</f>
        <v/>
      </c>
      <c r="AQ205" s="5">
        <f>N(Q205)*N(Z205)*N(BB205)</f>
        <v/>
      </c>
      <c r="AR205" s="5">
        <f>N(AF205)*(Assumptions!$B$13*N(BD205)-(1-Assumptions!$B$13)*Assumptions!$B$14)+N(AG205)</f>
        <v/>
      </c>
      <c r="AS205" s="5">
        <f>N(AO205)*N(M205)/90+N(AP205)+N(AQ205)+N(AR205)</f>
        <v/>
      </c>
      <c r="AT205" s="3">
        <f>IF(N(M205)&lt;=0,0,(N(AS205)-N(AR205))*90/N(M205))</f>
        <v/>
      </c>
      <c r="AU205" s="5">
        <f>IFERROR(AS205-VLOOKUP($C205,Assumptions!$A$36:$C$39,3,FALSE),"")</f>
        <v/>
      </c>
      <c r="AV205" s="3">
        <f>IFERROR(AU205/F205,"")</f>
        <v/>
      </c>
      <c r="AW205">
        <f>IF(AND($E205=TRUE,$C205="GKP"),AS205,"")</f>
        <v/>
      </c>
      <c r="AX205">
        <f>IF(AND($E205=TRUE,$C205="DEF"),AS205,"")</f>
        <v/>
      </c>
      <c r="AY205">
        <f>IF(AND($E205=TRUE,$C205="MID"),AS205,"")</f>
        <v/>
      </c>
      <c r="AZ205">
        <f>IF(AND($E205=TRUE,$C205="FWD"),AS205,"")</f>
        <v/>
      </c>
      <c r="BA205" t="n">
        <v>2</v>
      </c>
      <c r="BB205" t="n">
        <v>2</v>
      </c>
      <c r="BC205" t="n">
        <v>1</v>
      </c>
      <c r="BD205" t="n">
        <v>5</v>
      </c>
    </row>
    <row r="206">
      <c r="A206" t="inlineStr">
        <is>
          <t>Mikel Merino</t>
        </is>
      </c>
      <c r="B206" t="inlineStr">
        <is>
          <t>ARS</t>
        </is>
      </c>
      <c r="C206" t="inlineStr">
        <is>
          <t>MID</t>
        </is>
      </c>
      <c r="D206" t="inlineStr">
        <is>
          <t>MID</t>
        </is>
      </c>
      <c r="E206" t="b">
        <v>1</v>
      </c>
      <c r="F206" s="2" t="n">
        <v>6</v>
      </c>
      <c r="G206" t="inlineStr">
        <is>
          <t>a</t>
        </is>
      </c>
      <c r="I206" s="2" t="n">
        <v>1024</v>
      </c>
      <c r="J206" t="n">
        <v>67</v>
      </c>
      <c r="K206" s="3" t="n">
        <v>173</v>
      </c>
      <c r="L206" t="inlineStr">
        <is>
          <t>flat</t>
        </is>
      </c>
      <c r="M206" s="4" t="n">
        <v>173</v>
      </c>
      <c r="N206" t="inlineStr">
        <is>
          <t>Solio</t>
        </is>
      </c>
      <c r="O206" s="5" t="n">
        <v>76.8</v>
      </c>
      <c r="P206" t="b">
        <v>1</v>
      </c>
      <c r="Q206" s="5">
        <f>IF(N(O206)&lt;=0,0,MIN(Assumptions!$B$15,N(M206)/N(O206)))</f>
        <v/>
      </c>
      <c r="R206" s="4" t="n">
        <v>0.391</v>
      </c>
      <c r="S206" s="3" t="n">
        <v>0.3227</v>
      </c>
      <c r="T206" t="inlineStr">
        <is>
          <t>adjusted xGOT</t>
        </is>
      </c>
      <c r="U206" s="3" t="n">
        <v>1</v>
      </c>
      <c r="V206" s="3" t="n">
        <v>1.093</v>
      </c>
      <c r="W206" s="3" t="n">
        <v>9.1</v>
      </c>
      <c r="X206" s="3" t="n">
        <v>0.1644</v>
      </c>
      <c r="Y206" s="3" t="n">
        <v>9.372</v>
      </c>
      <c r="Z206" s="3" t="n">
        <v>0.1117392828036968</v>
      </c>
      <c r="AA206" s="3" t="n">
        <v>0.4395</v>
      </c>
      <c r="AB206" s="3" t="n">
        <v>30</v>
      </c>
      <c r="AC206" s="3" t="n">
        <v>2.067</v>
      </c>
      <c r="AD206" s="3" t="n">
        <v>0.9838</v>
      </c>
      <c r="AE206" s="3" t="n">
        <v>-0.1589487480746403</v>
      </c>
      <c r="AF206" s="4" t="n">
        <v>0</v>
      </c>
      <c r="AG206" s="3" t="n">
        <v>0</v>
      </c>
      <c r="AH206" s="3" t="n">
        <v>1.6135</v>
      </c>
      <c r="AI206" s="3" t="n">
        <v>0.651024</v>
      </c>
      <c r="AJ206" s="3">
        <f>N(R206)*N(BC206)</f>
        <v/>
      </c>
      <c r="AK206" s="3" t="n">
        <v>0.4395</v>
      </c>
      <c r="AL206" s="3" t="n">
        <v>0</v>
      </c>
      <c r="AM206" s="3" t="n">
        <v>-0</v>
      </c>
      <c r="AN206" s="3" t="n">
        <v>-0.1589487480746403</v>
      </c>
      <c r="AO206" s="3">
        <f>SUM(AH206:AN206)</f>
        <v/>
      </c>
      <c r="AP206" s="5">
        <f>IF(OR(N(Q206)&lt;=0,N(BA206)=0),0,N(Q206)*IF(N(M206)/N(Q206)&gt;=60,N(BA206),1))</f>
        <v/>
      </c>
      <c r="AQ206" s="5">
        <f>N(Q206)*N(Z206)*N(BB206)</f>
        <v/>
      </c>
      <c r="AR206" s="5">
        <f>N(AF206)*(Assumptions!$B$13*N(BD206)-(1-Assumptions!$B$13)*Assumptions!$B$14)+N(AG206)</f>
        <v/>
      </c>
      <c r="AS206" s="5">
        <f>N(AO206)*N(M206)/90+N(AP206)+N(AQ206)+N(AR206)</f>
        <v/>
      </c>
      <c r="AT206" s="3">
        <f>IF(N(M206)&lt;=0,0,(N(AS206)-N(AR206))*90/N(M206))</f>
        <v/>
      </c>
      <c r="AU206" s="5">
        <f>IFERROR(AS206-VLOOKUP($C206,Assumptions!$A$36:$C$39,3,FALSE),"")</f>
        <v/>
      </c>
      <c r="AV206" s="3">
        <f>IFERROR(AU206/F206,"")</f>
        <v/>
      </c>
      <c r="AW206">
        <f>IF(AND($E206=TRUE,$C206="GKP"),AS206,"")</f>
        <v/>
      </c>
      <c r="AX206">
        <f>IF(AND($E206=TRUE,$C206="DEF"),AS206,"")</f>
        <v/>
      </c>
      <c r="AY206">
        <f>IF(AND($E206=TRUE,$C206="MID"),AS206,"")</f>
        <v/>
      </c>
      <c r="AZ206">
        <f>IF(AND($E206=TRUE,$C206="FWD"),AS206,"")</f>
        <v/>
      </c>
      <c r="BA206" t="n">
        <v>2</v>
      </c>
      <c r="BB206" t="n">
        <v>2</v>
      </c>
      <c r="BC206" t="n">
        <v>1</v>
      </c>
      <c r="BD206" t="n">
        <v>5</v>
      </c>
    </row>
    <row r="207">
      <c r="A207" t="inlineStr">
        <is>
          <t>Daichi Kamada</t>
        </is>
      </c>
      <c r="B207" t="inlineStr">
        <is>
          <t>CRY</t>
        </is>
      </c>
      <c r="C207" t="inlineStr">
        <is>
          <t>MID</t>
        </is>
      </c>
      <c r="D207" t="inlineStr">
        <is>
          <t>MID</t>
        </is>
      </c>
      <c r="E207" t="b">
        <v>1</v>
      </c>
      <c r="F207" s="2" t="n">
        <v>5</v>
      </c>
      <c r="G207" t="inlineStr">
        <is>
          <t>a</t>
        </is>
      </c>
      <c r="I207" s="2" t="n">
        <v>1899</v>
      </c>
      <c r="J207" t="n">
        <v>67</v>
      </c>
      <c r="K207" s="3" t="n">
        <v>1932</v>
      </c>
      <c r="L207" t="inlineStr">
        <is>
          <t>flat</t>
        </is>
      </c>
      <c r="M207" s="4" t="n">
        <v>1932</v>
      </c>
      <c r="N207" t="inlineStr">
        <is>
          <t>Solio</t>
        </is>
      </c>
      <c r="O207" s="5" t="n">
        <v>80.5</v>
      </c>
      <c r="P207" t="b">
        <v>1</v>
      </c>
      <c r="Q207" s="5">
        <f>IF(N(O207)&lt;=0,0,MIN(Assumptions!$B$15,N(M207)/N(O207)))</f>
        <v/>
      </c>
      <c r="R207" s="4" t="n">
        <v>0.216</v>
      </c>
      <c r="S207" s="3" t="n">
        <v>0.0708</v>
      </c>
      <c r="T207" t="inlineStr">
        <is>
          <t>adjusted xGOT</t>
        </is>
      </c>
      <c r="U207" s="3" t="n">
        <v>1</v>
      </c>
      <c r="V207" s="3" t="n">
        <v>0.911</v>
      </c>
      <c r="W207" s="3" t="n">
        <v>2.8</v>
      </c>
      <c r="X207" s="3" t="n">
        <v>0.1381</v>
      </c>
      <c r="Y207" s="3" t="n">
        <v>9.506</v>
      </c>
      <c r="Z207" s="3" t="n">
        <v>0.1515588710345929</v>
      </c>
      <c r="AA207" s="3" t="n">
        <v>0</v>
      </c>
      <c r="AB207" s="3" t="n">
        <v>48</v>
      </c>
      <c r="AC207" s="3" t="n">
        <v>3.2035</v>
      </c>
      <c r="AD207" s="3" t="n">
        <v>1.5923</v>
      </c>
      <c r="AE207" s="3" t="n">
        <v>-0.1978697225989962</v>
      </c>
      <c r="AF207" s="4" t="n">
        <v>0</v>
      </c>
      <c r="AG207" s="3" t="n">
        <v>0</v>
      </c>
      <c r="AH207" s="3" t="n">
        <v>0.354</v>
      </c>
      <c r="AI207" s="3" t="n">
        <v>0.546876</v>
      </c>
      <c r="AJ207" s="3">
        <f>N(R207)*N(BC207)</f>
        <v/>
      </c>
      <c r="AK207" s="3" t="n">
        <v>0</v>
      </c>
      <c r="AL207" s="3" t="n">
        <v>0</v>
      </c>
      <c r="AM207" s="3" t="n">
        <v>-0</v>
      </c>
      <c r="AN207" s="3" t="n">
        <v>-0.1978697225989962</v>
      </c>
      <c r="AO207" s="3">
        <f>SUM(AH207:AN207)</f>
        <v/>
      </c>
      <c r="AP207" s="5">
        <f>IF(OR(N(Q207)&lt;=0,N(BA207)=0),0,N(Q207)*IF(N(M207)/N(Q207)&gt;=60,N(BA207),1))</f>
        <v/>
      </c>
      <c r="AQ207" s="5">
        <f>N(Q207)*N(Z207)*N(BB207)</f>
        <v/>
      </c>
      <c r="AR207" s="5">
        <f>N(AF207)*(Assumptions!$B$13*N(BD207)-(1-Assumptions!$B$13)*Assumptions!$B$14)+N(AG207)</f>
        <v/>
      </c>
      <c r="AS207" s="5">
        <f>N(AO207)*N(M207)/90+N(AP207)+N(AQ207)+N(AR207)</f>
        <v/>
      </c>
      <c r="AT207" s="3">
        <f>IF(N(M207)&lt;=0,0,(N(AS207)-N(AR207))*90/N(M207))</f>
        <v/>
      </c>
      <c r="AU207" s="5">
        <f>IFERROR(AS207-VLOOKUP($C207,Assumptions!$A$36:$C$39,3,FALSE),"")</f>
        <v/>
      </c>
      <c r="AV207" s="3">
        <f>IFERROR(AU207/F207,"")</f>
        <v/>
      </c>
      <c r="AW207">
        <f>IF(AND($E207=TRUE,$C207="GKP"),AS207,"")</f>
        <v/>
      </c>
      <c r="AX207">
        <f>IF(AND($E207=TRUE,$C207="DEF"),AS207,"")</f>
        <v/>
      </c>
      <c r="AY207">
        <f>IF(AND($E207=TRUE,$C207="MID"),AS207,"")</f>
        <v/>
      </c>
      <c r="AZ207">
        <f>IF(AND($E207=TRUE,$C207="FWD"),AS207,"")</f>
        <v/>
      </c>
      <c r="BA207" t="n">
        <v>2</v>
      </c>
      <c r="BB207" t="n">
        <v>2</v>
      </c>
      <c r="BC207" t="n">
        <v>1</v>
      </c>
      <c r="BD207" t="n">
        <v>5</v>
      </c>
    </row>
    <row r="208">
      <c r="A208" t="inlineStr">
        <is>
          <t>Sasa Lukic</t>
        </is>
      </c>
      <c r="B208" t="inlineStr">
        <is>
          <t>IPS</t>
        </is>
      </c>
      <c r="C208" t="inlineStr">
        <is>
          <t>MID</t>
        </is>
      </c>
      <c r="D208" t="inlineStr">
        <is>
          <t>MID</t>
        </is>
      </c>
      <c r="E208" t="b">
        <v>1</v>
      </c>
      <c r="F208" s="2" t="n">
        <v>5</v>
      </c>
      <c r="G208" t="inlineStr">
        <is>
          <t>a</t>
        </is>
      </c>
      <c r="I208" s="2" t="n">
        <v>1730</v>
      </c>
      <c r="J208" t="n">
        <v>67</v>
      </c>
      <c r="K208" s="3" t="n">
        <v>2217</v>
      </c>
      <c r="L208" t="inlineStr">
        <is>
          <t>flat</t>
        </is>
      </c>
      <c r="M208" s="4" t="n">
        <v>2217</v>
      </c>
      <c r="N208" t="inlineStr">
        <is>
          <t>Solio</t>
        </is>
      </c>
      <c r="O208" s="5" t="n">
        <v>79.7</v>
      </c>
      <c r="P208" t="b">
        <v>1</v>
      </c>
      <c r="Q208" s="5">
        <f>IF(N(O208)&lt;=0,0,MIN(Assumptions!$B$15,N(M208)/N(O208)))</f>
        <v/>
      </c>
      <c r="R208" s="4" t="n">
        <v>0.17</v>
      </c>
      <c r="S208" s="3" t="n">
        <v>0.1034</v>
      </c>
      <c r="T208" t="inlineStr">
        <is>
          <t>adjusted xGOT</t>
        </is>
      </c>
      <c r="U208" s="3" t="n">
        <v>1</v>
      </c>
      <c r="V208" s="3" t="n">
        <v>0.892</v>
      </c>
      <c r="W208" s="3" t="n">
        <v>5</v>
      </c>
      <c r="X208" s="3" t="n">
        <v>0.106</v>
      </c>
      <c r="Y208" s="3" t="n">
        <v>9.243</v>
      </c>
      <c r="Z208" s="3" t="n">
        <v>0.1257543837413651</v>
      </c>
      <c r="AA208" s="3" t="n">
        <v>0.2081</v>
      </c>
      <c r="AB208" s="3" t="n">
        <v>43</v>
      </c>
      <c r="AC208" s="3" t="n">
        <v>3.5741</v>
      </c>
      <c r="AD208" s="3" t="n">
        <v>1.8319</v>
      </c>
      <c r="AE208" s="3" t="n">
        <v>-0.3854939000437318</v>
      </c>
      <c r="AF208" s="4" t="n">
        <v>0</v>
      </c>
      <c r="AG208" s="3" t="n">
        <v>0</v>
      </c>
      <c r="AH208" s="3" t="n">
        <v>0.517</v>
      </c>
      <c r="AI208" s="3" t="n">
        <v>0.41976</v>
      </c>
      <c r="AJ208" s="3">
        <f>N(R208)*N(BC208)</f>
        <v/>
      </c>
      <c r="AK208" s="3" t="n">
        <v>0.2081</v>
      </c>
      <c r="AL208" s="3" t="n">
        <v>0</v>
      </c>
      <c r="AM208" s="3" t="n">
        <v>-0</v>
      </c>
      <c r="AN208" s="3" t="n">
        <v>-0.3854939000437318</v>
      </c>
      <c r="AO208" s="3">
        <f>SUM(AH208:AN208)</f>
        <v/>
      </c>
      <c r="AP208" s="5">
        <f>IF(OR(N(Q208)&lt;=0,N(BA208)=0),0,N(Q208)*IF(N(M208)/N(Q208)&gt;=60,N(BA208),1))</f>
        <v/>
      </c>
      <c r="AQ208" s="5">
        <f>N(Q208)*N(Z208)*N(BB208)</f>
        <v/>
      </c>
      <c r="AR208" s="5">
        <f>N(AF208)*(Assumptions!$B$13*N(BD208)-(1-Assumptions!$B$13)*Assumptions!$B$14)+N(AG208)</f>
        <v/>
      </c>
      <c r="AS208" s="5">
        <f>N(AO208)*N(M208)/90+N(AP208)+N(AQ208)+N(AR208)</f>
        <v/>
      </c>
      <c r="AT208" s="3">
        <f>IF(N(M208)&lt;=0,0,(N(AS208)-N(AR208))*90/N(M208))</f>
        <v/>
      </c>
      <c r="AU208" s="5">
        <f>IFERROR(AS208-VLOOKUP($C208,Assumptions!$A$36:$C$39,3,FALSE),"")</f>
        <v/>
      </c>
      <c r="AV208" s="3">
        <f>IFERROR(AU208/F208,"")</f>
        <v/>
      </c>
      <c r="AW208">
        <f>IF(AND($E208=TRUE,$C208="GKP"),AS208,"")</f>
        <v/>
      </c>
      <c r="AX208">
        <f>IF(AND($E208=TRUE,$C208="DEF"),AS208,"")</f>
        <v/>
      </c>
      <c r="AY208">
        <f>IF(AND($E208=TRUE,$C208="MID"),AS208,"")</f>
        <v/>
      </c>
      <c r="AZ208">
        <f>IF(AND($E208=TRUE,$C208="FWD"),AS208,"")</f>
        <v/>
      </c>
      <c r="BA208" t="n">
        <v>2</v>
      </c>
      <c r="BB208" t="n">
        <v>2</v>
      </c>
      <c r="BC208" t="n">
        <v>1</v>
      </c>
      <c r="BD208" t="n">
        <v>5</v>
      </c>
    </row>
    <row r="209">
      <c r="A209" t="inlineStr">
        <is>
          <t>Ola Aina</t>
        </is>
      </c>
      <c r="B209" t="inlineStr">
        <is>
          <t>NFO</t>
        </is>
      </c>
      <c r="C209" t="inlineStr">
        <is>
          <t>DEF</t>
        </is>
      </c>
      <c r="D209" t="inlineStr">
        <is>
          <t>DEF</t>
        </is>
      </c>
      <c r="E209" t="b">
        <v>1</v>
      </c>
      <c r="F209" s="2" t="n">
        <v>4.5</v>
      </c>
      <c r="G209" t="inlineStr">
        <is>
          <t>a</t>
        </is>
      </c>
      <c r="I209" s="2" t="n">
        <v>1587</v>
      </c>
      <c r="J209" t="n">
        <v>67</v>
      </c>
      <c r="K209" s="3" t="n">
        <v>2953</v>
      </c>
      <c r="L209" t="inlineStr">
        <is>
          <t>flat</t>
        </is>
      </c>
      <c r="M209" s="4" t="n">
        <v>2953</v>
      </c>
      <c r="N209" t="inlineStr">
        <is>
          <t>Solio</t>
        </is>
      </c>
      <c r="O209" s="5" t="n">
        <v>88.2</v>
      </c>
      <c r="P209" t="b">
        <v>1</v>
      </c>
      <c r="Q209" s="5">
        <f>IF(N(O209)&lt;=0,0,MIN(Assumptions!$B$15,N(M209)/N(O209)))</f>
        <v/>
      </c>
      <c r="R209" s="4" t="n">
        <v>0.224</v>
      </c>
      <c r="S209" s="3" t="n">
        <v>0.0226</v>
      </c>
      <c r="T209" t="inlineStr">
        <is>
          <t>adjusted xGOT</t>
        </is>
      </c>
      <c r="U209" s="3" t="n">
        <v>1</v>
      </c>
      <c r="V209" s="3" t="n">
        <v>0.97</v>
      </c>
      <c r="W209" s="3" t="n">
        <v>1.4</v>
      </c>
      <c r="X209" s="3" t="n">
        <v>0.0335</v>
      </c>
      <c r="Y209" s="3" t="n">
        <v>7.47</v>
      </c>
      <c r="Z209" s="3" t="n">
        <v>0.2034430630924781</v>
      </c>
      <c r="AA209" s="3" t="n">
        <v>0.2836</v>
      </c>
      <c r="AB209" s="3" t="n">
        <v>36</v>
      </c>
      <c r="AC209" s="3" t="n">
        <v>3.1134</v>
      </c>
      <c r="AD209" s="3" t="n">
        <v>1.5588</v>
      </c>
      <c r="AE209" s="3" t="n">
        <v>-0.1869965935960393</v>
      </c>
      <c r="AF209" s="4" t="n">
        <v>0</v>
      </c>
      <c r="AG209" s="3" t="n">
        <v>0</v>
      </c>
      <c r="AH209" s="3" t="n">
        <v>0.1356</v>
      </c>
      <c r="AI209" s="3" t="n">
        <v>0.13266</v>
      </c>
      <c r="AJ209" s="3">
        <f>N(R209)*N(BC209)</f>
        <v/>
      </c>
      <c r="AK209" s="3" t="n">
        <v>0.2836</v>
      </c>
      <c r="AL209" s="3" t="n">
        <v>0</v>
      </c>
      <c r="AM209" s="3" t="n">
        <v>-0.5404658182244797</v>
      </c>
      <c r="AN209" s="3" t="n">
        <v>-0.1869965935960393</v>
      </c>
      <c r="AO209" s="3">
        <f>SUM(AH209:AN209)</f>
        <v/>
      </c>
      <c r="AP209" s="5">
        <f>IF(OR(N(Q209)&lt;=0,N(BA209)=0),0,N(Q209)*IF(N(M209)/N(Q209)&gt;=60,N(BA209),1))</f>
        <v/>
      </c>
      <c r="AQ209" s="5">
        <f>N(Q209)*N(Z209)*N(BB209)</f>
        <v/>
      </c>
      <c r="AR209" s="5">
        <f>N(AF209)*(Assumptions!$B$13*N(BD209)-(1-Assumptions!$B$13)*Assumptions!$B$14)+N(AG209)</f>
        <v/>
      </c>
      <c r="AS209" s="5">
        <f>N(AO209)*N(M209)/90+N(AP209)+N(AQ209)+N(AR209)</f>
        <v/>
      </c>
      <c r="AT209" s="3">
        <f>IF(N(M209)&lt;=0,0,(N(AS209)-N(AR209))*90/N(M209))</f>
        <v/>
      </c>
      <c r="AU209" s="5">
        <f>IFERROR(AS209-VLOOKUP($C209,Assumptions!$A$36:$C$39,3,FALSE),"")</f>
        <v/>
      </c>
      <c r="AV209" s="3">
        <f>IFERROR(AU209/F209,"")</f>
        <v/>
      </c>
      <c r="AW209">
        <f>IF(AND($E209=TRUE,$C209="GKP"),AS209,"")</f>
        <v/>
      </c>
      <c r="AX209">
        <f>IF(AND($E209=TRUE,$C209="DEF"),AS209,"")</f>
        <v/>
      </c>
      <c r="AY209">
        <f>IF(AND($E209=TRUE,$C209="MID"),AS209,"")</f>
        <v/>
      </c>
      <c r="AZ209">
        <f>IF(AND($E209=TRUE,$C209="FWD"),AS209,"")</f>
        <v/>
      </c>
      <c r="BA209" t="n">
        <v>2</v>
      </c>
      <c r="BB209" t="n">
        <v>2</v>
      </c>
      <c r="BC209" t="n">
        <v>4</v>
      </c>
      <c r="BD209" t="n">
        <v>6</v>
      </c>
    </row>
    <row r="210">
      <c r="A210" t="inlineStr">
        <is>
          <t>Habib Diarra</t>
        </is>
      </c>
      <c r="B210" t="inlineStr">
        <is>
          <t>SUN</t>
        </is>
      </c>
      <c r="C210" t="inlineStr">
        <is>
          <t>MID</t>
        </is>
      </c>
      <c r="D210" t="inlineStr">
        <is>
          <t>MID</t>
        </is>
      </c>
      <c r="E210" t="b">
        <v>1</v>
      </c>
      <c r="F210" s="2" t="n">
        <v>5.5</v>
      </c>
      <c r="G210" t="inlineStr">
        <is>
          <t>a</t>
        </is>
      </c>
      <c r="I210" s="2" t="n">
        <v>1403</v>
      </c>
      <c r="J210" t="n">
        <v>65</v>
      </c>
      <c r="K210" s="3" t="n">
        <v>1602</v>
      </c>
      <c r="L210" t="inlineStr">
        <is>
          <t>flat</t>
        </is>
      </c>
      <c r="M210" s="4" t="n">
        <v>1602</v>
      </c>
      <c r="N210" t="inlineStr">
        <is>
          <t>Solio</t>
        </is>
      </c>
      <c r="O210" s="5" t="n">
        <v>84.8</v>
      </c>
      <c r="P210" t="b">
        <v>1</v>
      </c>
      <c r="Q210" s="5">
        <f>IF(N(O210)&lt;=0,0,MIN(Assumptions!$B$15,N(M210)/N(O210)))</f>
        <v/>
      </c>
      <c r="R210" s="4" t="n">
        <v>0.204</v>
      </c>
      <c r="S210" s="3" t="n">
        <v>0.1497</v>
      </c>
      <c r="T210" t="inlineStr">
        <is>
          <t>adjusted xGOT</t>
        </is>
      </c>
      <c r="U210" s="3" t="n">
        <v>0.766</v>
      </c>
      <c r="V210" s="3" t="n">
        <v>0.9320000000000001</v>
      </c>
      <c r="W210" s="3" t="n">
        <v>3.3</v>
      </c>
      <c r="X210" s="3" t="n">
        <v>0.0479</v>
      </c>
      <c r="Y210" s="3" t="n">
        <v>6.258</v>
      </c>
      <c r="Z210" s="3" t="n">
        <v>0.01785763229328596</v>
      </c>
      <c r="AA210" s="3" t="n">
        <v>0.2566</v>
      </c>
      <c r="AB210" s="3" t="n">
        <v>35</v>
      </c>
      <c r="AC210" s="3" t="n">
        <v>3.3348</v>
      </c>
      <c r="AD210" s="3" t="n">
        <v>1.6498</v>
      </c>
      <c r="AE210" s="3" t="n">
        <v>-0.3075768663648786</v>
      </c>
      <c r="AF210" s="4" t="n">
        <v>1.889390579450971</v>
      </c>
      <c r="AG210" s="3" t="n">
        <v>0</v>
      </c>
      <c r="AH210" s="3" t="n">
        <v>0.7484999999999999</v>
      </c>
      <c r="AI210" s="3" t="n">
        <v>0.189684</v>
      </c>
      <c r="AJ210" s="3">
        <f>N(R210)*N(BC210)</f>
        <v/>
      </c>
      <c r="AK210" s="3" t="n">
        <v>0.2566</v>
      </c>
      <c r="AL210" s="3" t="n">
        <v>0</v>
      </c>
      <c r="AM210" s="3" t="n">
        <v>-0</v>
      </c>
      <c r="AN210" s="3" t="n">
        <v>-0.3075768663648786</v>
      </c>
      <c r="AO210" s="3">
        <f>SUM(AH210:AN210)</f>
        <v/>
      </c>
      <c r="AP210" s="5">
        <f>IF(OR(N(Q210)&lt;=0,N(BA210)=0),0,N(Q210)*IF(N(M210)/N(Q210)&gt;=60,N(BA210),1))</f>
        <v/>
      </c>
      <c r="AQ210" s="5">
        <f>N(Q210)*N(Z210)*N(BB210)</f>
        <v/>
      </c>
      <c r="AR210" s="5">
        <f>N(AF210)*(Assumptions!$B$13*N(BD210)-(1-Assumptions!$B$13)*Assumptions!$B$14)+N(AG210)</f>
        <v/>
      </c>
      <c r="AS210" s="5">
        <f>N(AO210)*N(M210)/90+N(AP210)+N(AQ210)+N(AR210)</f>
        <v/>
      </c>
      <c r="AT210" s="3">
        <f>IF(N(M210)&lt;=0,0,(N(AS210)-N(AR210))*90/N(M210))</f>
        <v/>
      </c>
      <c r="AU210" s="5">
        <f>IFERROR(AS210-VLOOKUP($C210,Assumptions!$A$36:$C$39,3,FALSE),"")</f>
        <v/>
      </c>
      <c r="AV210" s="3">
        <f>IFERROR(AU210/F210,"")</f>
        <v/>
      </c>
      <c r="AW210">
        <f>IF(AND($E210=TRUE,$C210="GKP"),AS210,"")</f>
        <v/>
      </c>
      <c r="AX210">
        <f>IF(AND($E210=TRUE,$C210="DEF"),AS210,"")</f>
        <v/>
      </c>
      <c r="AY210">
        <f>IF(AND($E210=TRUE,$C210="MID"),AS210,"")</f>
        <v/>
      </c>
      <c r="AZ210">
        <f>IF(AND($E210=TRUE,$C210="FWD"),AS210,"")</f>
        <v/>
      </c>
      <c r="BA210" t="n">
        <v>2</v>
      </c>
      <c r="BB210" t="n">
        <v>2</v>
      </c>
      <c r="BC210" t="n">
        <v>1</v>
      </c>
      <c r="BD210" t="n">
        <v>5</v>
      </c>
    </row>
    <row r="211">
      <c r="A211" t="inlineStr">
        <is>
          <t>Brennan Johnson</t>
        </is>
      </c>
      <c r="B211" t="inlineStr">
        <is>
          <t>EVE</t>
        </is>
      </c>
      <c r="C211" t="inlineStr">
        <is>
          <t>MID</t>
        </is>
      </c>
      <c r="D211" t="inlineStr">
        <is>
          <t>MID</t>
        </is>
      </c>
      <c r="E211" t="b">
        <v>1</v>
      </c>
      <c r="F211" s="2" t="n">
        <v>6</v>
      </c>
      <c r="G211" t="inlineStr">
        <is>
          <t>a</t>
        </is>
      </c>
      <c r="I211" s="2" t="n">
        <v>1710</v>
      </c>
      <c r="J211" t="n">
        <v>65</v>
      </c>
      <c r="K211" s="3" t="n">
        <v>1082</v>
      </c>
      <c r="L211" t="inlineStr">
        <is>
          <t>flat</t>
        </is>
      </c>
      <c r="M211" s="4" t="n">
        <v>1082</v>
      </c>
      <c r="N211" t="inlineStr">
        <is>
          <t>Solio</t>
        </is>
      </c>
      <c r="O211" s="5" t="n">
        <v>76.7</v>
      </c>
      <c r="P211" t="b">
        <v>1</v>
      </c>
      <c r="Q211" s="5">
        <f>IF(N(O211)&lt;=0,0,MIN(Assumptions!$B$15,N(M211)/N(O211)))</f>
        <v/>
      </c>
      <c r="R211" s="4" t="n">
        <v>0.231</v>
      </c>
      <c r="S211" s="3" t="n">
        <v>0.1194</v>
      </c>
      <c r="T211" t="inlineStr">
        <is>
          <t>adjusted xGOT</t>
        </is>
      </c>
      <c r="U211" s="3" t="n">
        <v>1</v>
      </c>
      <c r="V211" s="3" t="n">
        <v>0.926</v>
      </c>
      <c r="W211" s="3" t="n">
        <v>32</v>
      </c>
      <c r="X211" s="3" t="n">
        <v>0.0682</v>
      </c>
      <c r="Y211" s="3" t="n">
        <v>7.023</v>
      </c>
      <c r="Z211" s="3" t="n">
        <v>0.01975962209789561</v>
      </c>
      <c r="AA211" s="3" t="n">
        <v>0.1053</v>
      </c>
      <c r="AB211" s="3" t="n">
        <v>50</v>
      </c>
      <c r="AC211" s="3" t="n">
        <v>3.0311</v>
      </c>
      <c r="AD211" s="3" t="n">
        <v>1.5252</v>
      </c>
      <c r="AE211" s="3" t="n">
        <v>-0.2406650059580908</v>
      </c>
      <c r="AF211" s="4" t="n">
        <v>0</v>
      </c>
      <c r="AG211" s="3" t="n">
        <v>0</v>
      </c>
      <c r="AH211" s="3" t="n">
        <v>0.597</v>
      </c>
      <c r="AI211" s="3" t="n">
        <v>0.270072</v>
      </c>
      <c r="AJ211" s="3">
        <f>N(R211)*N(BC211)</f>
        <v/>
      </c>
      <c r="AK211" s="3" t="n">
        <v>0.1053</v>
      </c>
      <c r="AL211" s="3" t="n">
        <v>0</v>
      </c>
      <c r="AM211" s="3" t="n">
        <v>-0</v>
      </c>
      <c r="AN211" s="3" t="n">
        <v>-0.2406650059580908</v>
      </c>
      <c r="AO211" s="3">
        <f>SUM(AH211:AN211)</f>
        <v/>
      </c>
      <c r="AP211" s="5">
        <f>IF(OR(N(Q211)&lt;=0,N(BA211)=0),0,N(Q211)*IF(N(M211)/N(Q211)&gt;=60,N(BA211),1))</f>
        <v/>
      </c>
      <c r="AQ211" s="5">
        <f>N(Q211)*N(Z211)*N(BB211)</f>
        <v/>
      </c>
      <c r="AR211" s="5">
        <f>N(AF211)*(Assumptions!$B$13*N(BD211)-(1-Assumptions!$B$13)*Assumptions!$B$14)+N(AG211)</f>
        <v/>
      </c>
      <c r="AS211" s="5">
        <f>N(AO211)*N(M211)/90+N(AP211)+N(AQ211)+N(AR211)</f>
        <v/>
      </c>
      <c r="AT211" s="3">
        <f>IF(N(M211)&lt;=0,0,(N(AS211)-N(AR211))*90/N(M211))</f>
        <v/>
      </c>
      <c r="AU211" s="5">
        <f>IFERROR(AS211-VLOOKUP($C211,Assumptions!$A$36:$C$39,3,FALSE),"")</f>
        <v/>
      </c>
      <c r="AV211" s="3">
        <f>IFERROR(AU211/F211,"")</f>
        <v/>
      </c>
      <c r="AW211">
        <f>IF(AND($E211=TRUE,$C211="GKP"),AS211,"")</f>
        <v/>
      </c>
      <c r="AX211">
        <f>IF(AND($E211=TRUE,$C211="DEF"),AS211,"")</f>
        <v/>
      </c>
      <c r="AY211">
        <f>IF(AND($E211=TRUE,$C211="MID"),AS211,"")</f>
        <v/>
      </c>
      <c r="AZ211">
        <f>IF(AND($E211=TRUE,$C211="FWD"),AS211,"")</f>
        <v/>
      </c>
      <c r="BA211" t="n">
        <v>2</v>
      </c>
      <c r="BB211" t="n">
        <v>2</v>
      </c>
      <c r="BC211" t="n">
        <v>1</v>
      </c>
      <c r="BD211" t="n">
        <v>5</v>
      </c>
    </row>
    <row r="212">
      <c r="A212" t="inlineStr">
        <is>
          <t>Wesley Fofana</t>
        </is>
      </c>
      <c r="B212" t="inlineStr">
        <is>
          <t>CHE</t>
        </is>
      </c>
      <c r="C212" t="inlineStr">
        <is>
          <t>DEF</t>
        </is>
      </c>
      <c r="D212" t="inlineStr">
        <is>
          <t>DEF</t>
        </is>
      </c>
      <c r="E212" t="b">
        <v>1</v>
      </c>
      <c r="F212" s="2" t="n">
        <v>5</v>
      </c>
      <c r="G212" t="inlineStr">
        <is>
          <t>s</t>
        </is>
      </c>
      <c r="H212" t="inlineStr">
        <is>
          <t>Suspended until 6 Sep</t>
        </is>
      </c>
      <c r="I212" s="2" t="n">
        <v>1718</v>
      </c>
      <c r="J212" t="n">
        <v>65</v>
      </c>
      <c r="K212" s="3" t="n">
        <v>1693</v>
      </c>
      <c r="L212" t="inlineStr">
        <is>
          <t>flat</t>
        </is>
      </c>
      <c r="M212" s="4" t="n">
        <v>1693</v>
      </c>
      <c r="N212" t="inlineStr">
        <is>
          <t>Solio</t>
        </is>
      </c>
      <c r="O212" s="5" t="n">
        <v>79.59999999999999</v>
      </c>
      <c r="P212" t="b">
        <v>1</v>
      </c>
      <c r="Q212" s="5">
        <f>IF(N(O212)&lt;=0,0,MIN(Assumptions!$B$15,N(M212)/N(O212)))</f>
        <v/>
      </c>
      <c r="R212" s="4" t="n">
        <v>0.322</v>
      </c>
      <c r="S212" s="3" t="n">
        <v>0.0335</v>
      </c>
      <c r="T212" t="inlineStr">
        <is>
          <t>adjusted xGOT</t>
        </is>
      </c>
      <c r="U212" s="3" t="n">
        <v>1</v>
      </c>
      <c r="V212" s="3" t="n">
        <v>0.889</v>
      </c>
      <c r="W212" s="3" t="n">
        <v>1.9</v>
      </c>
      <c r="X212" s="3" t="n">
        <v>0.033</v>
      </c>
      <c r="Y212" s="3" t="n">
        <v>9.874000000000001</v>
      </c>
      <c r="Z212" s="3" t="n">
        <v>0.3774606692273034</v>
      </c>
      <c r="AA212" s="3" t="n">
        <v>0.1048</v>
      </c>
      <c r="AB212" s="3" t="n">
        <v>43</v>
      </c>
      <c r="AC212" s="3" t="n">
        <v>2.4232</v>
      </c>
      <c r="AD212" s="3" t="n">
        <v>1.1851</v>
      </c>
      <c r="AE212" s="3" t="n">
        <v>-0.3040090495108185</v>
      </c>
      <c r="AF212" s="4" t="n">
        <v>0</v>
      </c>
      <c r="AG212" s="3" t="n">
        <v>0</v>
      </c>
      <c r="AH212" s="3" t="n">
        <v>0.201</v>
      </c>
      <c r="AI212" s="3" t="n">
        <v>0.13068</v>
      </c>
      <c r="AJ212" s="3">
        <f>N(R212)*N(BC212)</f>
        <v/>
      </c>
      <c r="AK212" s="3" t="n">
        <v>0.1048</v>
      </c>
      <c r="AL212" s="3" t="n">
        <v>0</v>
      </c>
      <c r="AM212" s="3" t="n">
        <v>-0.365915508000572</v>
      </c>
      <c r="AN212" s="3" t="n">
        <v>-0.3040090495108185</v>
      </c>
      <c r="AO212" s="3">
        <f>SUM(AH212:AN212)</f>
        <v/>
      </c>
      <c r="AP212" s="5">
        <f>IF(OR(N(Q212)&lt;=0,N(BA212)=0),0,N(Q212)*IF(N(M212)/N(Q212)&gt;=60,N(BA212),1))</f>
        <v/>
      </c>
      <c r="AQ212" s="5">
        <f>N(Q212)*N(Z212)*N(BB212)</f>
        <v/>
      </c>
      <c r="AR212" s="5">
        <f>N(AF212)*(Assumptions!$B$13*N(BD212)-(1-Assumptions!$B$13)*Assumptions!$B$14)+N(AG212)</f>
        <v/>
      </c>
      <c r="AS212" s="5">
        <f>N(AO212)*N(M212)/90+N(AP212)+N(AQ212)+N(AR212)</f>
        <v/>
      </c>
      <c r="AT212" s="3">
        <f>IF(N(M212)&lt;=0,0,(N(AS212)-N(AR212))*90/N(M212))</f>
        <v/>
      </c>
      <c r="AU212" s="5">
        <f>IFERROR(AS212-VLOOKUP($C212,Assumptions!$A$36:$C$39,3,FALSE),"")</f>
        <v/>
      </c>
      <c r="AV212" s="3">
        <f>IFERROR(AU212/F212,"")</f>
        <v/>
      </c>
      <c r="AW212">
        <f>IF(AND($E212=TRUE,$C212="GKP"),AS212,"")</f>
        <v/>
      </c>
      <c r="AX212">
        <f>IF(AND($E212=TRUE,$C212="DEF"),AS212,"")</f>
        <v/>
      </c>
      <c r="AY212">
        <f>IF(AND($E212=TRUE,$C212="MID"),AS212,"")</f>
        <v/>
      </c>
      <c r="AZ212">
        <f>IF(AND($E212=TRUE,$C212="FWD"),AS212,"")</f>
        <v/>
      </c>
      <c r="BA212" t="n">
        <v>2</v>
      </c>
      <c r="BB212" t="n">
        <v>2</v>
      </c>
      <c r="BC212" t="n">
        <v>4</v>
      </c>
      <c r="BD212" t="n">
        <v>6</v>
      </c>
    </row>
    <row r="213">
      <c r="A213" t="inlineStr">
        <is>
          <t>Antonee Robinson</t>
        </is>
      </c>
      <c r="B213" t="inlineStr">
        <is>
          <t>FUL</t>
        </is>
      </c>
      <c r="C213" t="inlineStr">
        <is>
          <t>DEF</t>
        </is>
      </c>
      <c r="D213" t="inlineStr">
        <is>
          <t>DEF</t>
        </is>
      </c>
      <c r="E213" t="b">
        <v>1</v>
      </c>
      <c r="F213" s="2" t="n">
        <v>4.5</v>
      </c>
      <c r="G213" t="inlineStr">
        <is>
          <t>a</t>
        </is>
      </c>
      <c r="I213" s="2" t="n">
        <v>1487</v>
      </c>
      <c r="J213" t="n">
        <v>65</v>
      </c>
      <c r="K213" s="3" t="n">
        <v>1887</v>
      </c>
      <c r="L213" t="inlineStr">
        <is>
          <t>flat</t>
        </is>
      </c>
      <c r="M213" s="4" t="n">
        <v>1887</v>
      </c>
      <c r="N213" t="inlineStr">
        <is>
          <t>Solio</t>
        </is>
      </c>
      <c r="O213" s="5" t="n">
        <v>82.8</v>
      </c>
      <c r="P213" t="b">
        <v>1</v>
      </c>
      <c r="Q213" s="5">
        <f>IF(N(O213)&lt;=0,0,MIN(Assumptions!$B$15,N(M213)/N(O213)))</f>
        <v/>
      </c>
      <c r="R213" s="4" t="n">
        <v>0.214</v>
      </c>
      <c r="S213" s="3" t="n">
        <v>0.0144</v>
      </c>
      <c r="T213" t="inlineStr">
        <is>
          <t>adjusted xGOT</t>
        </is>
      </c>
      <c r="U213" s="3" t="n">
        <v>0.221</v>
      </c>
      <c r="V213" s="3" t="n">
        <v>1.008</v>
      </c>
      <c r="W213" s="3" t="n">
        <v>2.5</v>
      </c>
      <c r="X213" s="3" t="n">
        <v>0.0808</v>
      </c>
      <c r="Y213" s="3" t="n">
        <v>8.053000000000001</v>
      </c>
      <c r="Z213" s="3" t="n">
        <v>0.2132478281663298</v>
      </c>
      <c r="AA213" s="3" t="n">
        <v>0.4237</v>
      </c>
      <c r="AB213" s="3" t="n">
        <v>38</v>
      </c>
      <c r="AC213" s="3" t="n">
        <v>3.22</v>
      </c>
      <c r="AD213" s="3" t="n">
        <v>1.6019</v>
      </c>
      <c r="AE213" s="3" t="n">
        <v>-0.2432740487946192</v>
      </c>
      <c r="AF213" s="4" t="n">
        <v>0.4930201863642248</v>
      </c>
      <c r="AG213" s="3" t="n">
        <v>0</v>
      </c>
      <c r="AH213" s="3" t="n">
        <v>0.0864</v>
      </c>
      <c r="AI213" s="3" t="n">
        <v>0.319968</v>
      </c>
      <c r="AJ213" s="3">
        <f>N(R213)*N(BC213)</f>
        <v/>
      </c>
      <c r="AK213" s="3" t="n">
        <v>0.4237</v>
      </c>
      <c r="AL213" s="3" t="n">
        <v>0</v>
      </c>
      <c r="AM213" s="3" t="n">
        <v>-0.5611019003833156</v>
      </c>
      <c r="AN213" s="3" t="n">
        <v>-0.2432740487946192</v>
      </c>
      <c r="AO213" s="3">
        <f>SUM(AH213:AN213)</f>
        <v/>
      </c>
      <c r="AP213" s="5">
        <f>IF(OR(N(Q213)&lt;=0,N(BA213)=0),0,N(Q213)*IF(N(M213)/N(Q213)&gt;=60,N(BA213),1))</f>
        <v/>
      </c>
      <c r="AQ213" s="5">
        <f>N(Q213)*N(Z213)*N(BB213)</f>
        <v/>
      </c>
      <c r="AR213" s="5">
        <f>N(AF213)*(Assumptions!$B$13*N(BD213)-(1-Assumptions!$B$13)*Assumptions!$B$14)+N(AG213)</f>
        <v/>
      </c>
      <c r="AS213" s="5">
        <f>N(AO213)*N(M213)/90+N(AP213)+N(AQ213)+N(AR213)</f>
        <v/>
      </c>
      <c r="AT213" s="3">
        <f>IF(N(M213)&lt;=0,0,(N(AS213)-N(AR213))*90/N(M213))</f>
        <v/>
      </c>
      <c r="AU213" s="5">
        <f>IFERROR(AS213-VLOOKUP($C213,Assumptions!$A$36:$C$39,3,FALSE),"")</f>
        <v/>
      </c>
      <c r="AV213" s="3">
        <f>IFERROR(AU213/F213,"")</f>
        <v/>
      </c>
      <c r="AW213">
        <f>IF(AND($E213=TRUE,$C213="GKP"),AS213,"")</f>
        <v/>
      </c>
      <c r="AX213">
        <f>IF(AND($E213=TRUE,$C213="DEF"),AS213,"")</f>
        <v/>
      </c>
      <c r="AY213">
        <f>IF(AND($E213=TRUE,$C213="MID"),AS213,"")</f>
        <v/>
      </c>
      <c r="AZ213">
        <f>IF(AND($E213=TRUE,$C213="FWD"),AS213,"")</f>
        <v/>
      </c>
      <c r="BA213" t="n">
        <v>2</v>
      </c>
      <c r="BB213" t="n">
        <v>2</v>
      </c>
      <c r="BC213" t="n">
        <v>4</v>
      </c>
      <c r="BD213" t="n">
        <v>6</v>
      </c>
    </row>
    <row r="214">
      <c r="A214" t="inlineStr">
        <is>
          <t>Pau Torres</t>
        </is>
      </c>
      <c r="B214" t="inlineStr">
        <is>
          <t>AVL</t>
        </is>
      </c>
      <c r="C214" t="inlineStr">
        <is>
          <t>DEF</t>
        </is>
      </c>
      <c r="D214" t="inlineStr">
        <is>
          <t>DEF</t>
        </is>
      </c>
      <c r="E214" t="b">
        <v>1</v>
      </c>
      <c r="F214" s="2" t="n">
        <v>4.5</v>
      </c>
      <c r="G214" t="inlineStr">
        <is>
          <t>a</t>
        </is>
      </c>
      <c r="I214" s="2" t="n">
        <v>1673</v>
      </c>
      <c r="J214" t="n">
        <v>64</v>
      </c>
      <c r="K214" s="3" t="n">
        <v>1955</v>
      </c>
      <c r="L214" t="inlineStr">
        <is>
          <t>flat</t>
        </is>
      </c>
      <c r="M214" s="4" t="n">
        <v>1955</v>
      </c>
      <c r="N214" t="inlineStr">
        <is>
          <t>Solio</t>
        </is>
      </c>
      <c r="O214" s="5" t="n">
        <v>87.90000000000001</v>
      </c>
      <c r="P214" t="b">
        <v>1</v>
      </c>
      <c r="Q214" s="5">
        <f>IF(N(O214)&lt;=0,0,MIN(Assumptions!$B$15,N(M214)/N(O214)))</f>
        <v/>
      </c>
      <c r="R214" s="4" t="n">
        <v>0.273</v>
      </c>
      <c r="S214" s="3" t="n">
        <v>0.0669</v>
      </c>
      <c r="T214" t="inlineStr">
        <is>
          <t>adjusted xGOT</t>
        </is>
      </c>
      <c r="U214" s="3" t="n">
        <v>1</v>
      </c>
      <c r="V214" s="3" t="n">
        <v>0.9350000000000001</v>
      </c>
      <c r="W214" s="3" t="n">
        <v>2.8</v>
      </c>
      <c r="X214" s="3" t="n">
        <v>0.0107</v>
      </c>
      <c r="Y214" s="3" t="n">
        <v>6.525</v>
      </c>
      <c r="Z214" s="3" t="n">
        <v>0.1119655120487676</v>
      </c>
      <c r="AA214" s="3" t="n">
        <v>0.1076</v>
      </c>
      <c r="AB214" s="3" t="n">
        <v>39</v>
      </c>
      <c r="AC214" s="3" t="n">
        <v>2.7451</v>
      </c>
      <c r="AD214" s="3" t="n">
        <v>1.3575</v>
      </c>
      <c r="AE214" s="3" t="n">
        <v>-0.1149958496148794</v>
      </c>
      <c r="AF214" s="4" t="n">
        <v>0</v>
      </c>
      <c r="AG214" s="3" t="n">
        <v>0</v>
      </c>
      <c r="AH214" s="3" t="n">
        <v>0.4014</v>
      </c>
      <c r="AI214" s="3" t="n">
        <v>0.042372</v>
      </c>
      <c r="AJ214" s="3">
        <f>N(R214)*N(BC214)</f>
        <v/>
      </c>
      <c r="AK214" s="3" t="n">
        <v>0.1076</v>
      </c>
      <c r="AL214" s="3" t="n">
        <v>0</v>
      </c>
      <c r="AM214" s="3" t="n">
        <v>-0.4453012382517575</v>
      </c>
      <c r="AN214" s="3" t="n">
        <v>-0.1149958496148794</v>
      </c>
      <c r="AO214" s="3">
        <f>SUM(AH214:AN214)</f>
        <v/>
      </c>
      <c r="AP214" s="5">
        <f>IF(OR(N(Q214)&lt;=0,N(BA214)=0),0,N(Q214)*IF(N(M214)/N(Q214)&gt;=60,N(BA214),1))</f>
        <v/>
      </c>
      <c r="AQ214" s="5">
        <f>N(Q214)*N(Z214)*N(BB214)</f>
        <v/>
      </c>
      <c r="AR214" s="5">
        <f>N(AF214)*(Assumptions!$B$13*N(BD214)-(1-Assumptions!$B$13)*Assumptions!$B$14)+N(AG214)</f>
        <v/>
      </c>
      <c r="AS214" s="5">
        <f>N(AO214)*N(M214)/90+N(AP214)+N(AQ214)+N(AR214)</f>
        <v/>
      </c>
      <c r="AT214" s="3">
        <f>IF(N(M214)&lt;=0,0,(N(AS214)-N(AR214))*90/N(M214))</f>
        <v/>
      </c>
      <c r="AU214" s="5">
        <f>IFERROR(AS214-VLOOKUP($C214,Assumptions!$A$36:$C$39,3,FALSE),"")</f>
        <v/>
      </c>
      <c r="AV214" s="3">
        <f>IFERROR(AU214/F214,"")</f>
        <v/>
      </c>
      <c r="AW214">
        <f>IF(AND($E214=TRUE,$C214="GKP"),AS214,"")</f>
        <v/>
      </c>
      <c r="AX214">
        <f>IF(AND($E214=TRUE,$C214="DEF"),AS214,"")</f>
        <v/>
      </c>
      <c r="AY214">
        <f>IF(AND($E214=TRUE,$C214="MID"),AS214,"")</f>
        <v/>
      </c>
      <c r="AZ214">
        <f>IF(AND($E214=TRUE,$C214="FWD"),AS214,"")</f>
        <v/>
      </c>
      <c r="BA214" t="n">
        <v>2</v>
      </c>
      <c r="BB214" t="n">
        <v>2</v>
      </c>
      <c r="BC214" t="n">
        <v>4</v>
      </c>
      <c r="BD214" t="n">
        <v>6</v>
      </c>
    </row>
    <row r="215">
      <c r="A215" t="inlineStr">
        <is>
          <t>Nico González</t>
        </is>
      </c>
      <c r="B215" t="inlineStr">
        <is>
          <t>MCI</t>
        </is>
      </c>
      <c r="C215" t="inlineStr">
        <is>
          <t>MID</t>
        </is>
      </c>
      <c r="D215" t="inlineStr">
        <is>
          <t>MID</t>
        </is>
      </c>
      <c r="E215" t="b">
        <v>1</v>
      </c>
      <c r="F215" s="2" t="n">
        <v>5.5</v>
      </c>
      <c r="G215" t="inlineStr">
        <is>
          <t>a</t>
        </is>
      </c>
      <c r="I215" s="2" t="n">
        <v>1561</v>
      </c>
      <c r="J215" t="n">
        <v>63</v>
      </c>
      <c r="K215" s="3" t="n">
        <v>722</v>
      </c>
      <c r="L215" t="inlineStr">
        <is>
          <t>fade (losing his place)</t>
        </is>
      </c>
      <c r="M215" s="4" t="n">
        <v>722</v>
      </c>
      <c r="N215" t="inlineStr">
        <is>
          <t>Solio</t>
        </is>
      </c>
      <c r="O215" s="5" t="n">
        <v>80.59999999999999</v>
      </c>
      <c r="P215" t="b">
        <v>1</v>
      </c>
      <c r="Q215" s="5">
        <f>IF(N(O215)&lt;=0,0,MIN(Assumptions!$B$15,N(M215)/N(O215)))</f>
        <v/>
      </c>
      <c r="R215" s="4" t="n">
        <v>0.371</v>
      </c>
      <c r="S215" s="3" t="n">
        <v>0.0382</v>
      </c>
      <c r="T215" t="inlineStr">
        <is>
          <t>adjusted xGOT</t>
        </is>
      </c>
      <c r="U215" s="3" t="n">
        <v>1</v>
      </c>
      <c r="V215" s="3" t="n">
        <v>0.975</v>
      </c>
      <c r="W215" s="3" t="n">
        <v>1.1</v>
      </c>
      <c r="X215" s="3" t="n">
        <v>0.0579</v>
      </c>
      <c r="Y215" s="3" t="n">
        <v>10.835</v>
      </c>
      <c r="Z215" s="3" t="n">
        <v>0.2700328371695995</v>
      </c>
      <c r="AA215" s="3" t="n">
        <v>0.0577</v>
      </c>
      <c r="AB215" s="3" t="n">
        <v>42</v>
      </c>
      <c r="AC215" s="3" t="n">
        <v>1.9737</v>
      </c>
      <c r="AD215" s="3" t="n">
        <v>1.0365</v>
      </c>
      <c r="AE215" s="3" t="n">
        <v>-0.3027638844986323</v>
      </c>
      <c r="AF215" s="4" t="n">
        <v>0</v>
      </c>
      <c r="AG215" s="3" t="n">
        <v>0</v>
      </c>
      <c r="AH215" s="3" t="n">
        <v>0.191</v>
      </c>
      <c r="AI215" s="3" t="n">
        <v>0.229284</v>
      </c>
      <c r="AJ215" s="3">
        <f>N(R215)*N(BC215)</f>
        <v/>
      </c>
      <c r="AK215" s="3" t="n">
        <v>0.0577</v>
      </c>
      <c r="AL215" s="3" t="n">
        <v>0</v>
      </c>
      <c r="AM215" s="3" t="n">
        <v>-0</v>
      </c>
      <c r="AN215" s="3" t="n">
        <v>-0.3027638844986323</v>
      </c>
      <c r="AO215" s="3">
        <f>SUM(AH215:AN215)</f>
        <v/>
      </c>
      <c r="AP215" s="5">
        <f>IF(OR(N(Q215)&lt;=0,N(BA215)=0),0,N(Q215)*IF(N(M215)/N(Q215)&gt;=60,N(BA215),1))</f>
        <v/>
      </c>
      <c r="AQ215" s="5">
        <f>N(Q215)*N(Z215)*N(BB215)</f>
        <v/>
      </c>
      <c r="AR215" s="5">
        <f>N(AF215)*(Assumptions!$B$13*N(BD215)-(1-Assumptions!$B$13)*Assumptions!$B$14)+N(AG215)</f>
        <v/>
      </c>
      <c r="AS215" s="5">
        <f>N(AO215)*N(M215)/90+N(AP215)+N(AQ215)+N(AR215)</f>
        <v/>
      </c>
      <c r="AT215" s="3">
        <f>IF(N(M215)&lt;=0,0,(N(AS215)-N(AR215))*90/N(M215))</f>
        <v/>
      </c>
      <c r="AU215" s="5">
        <f>IFERROR(AS215-VLOOKUP($C215,Assumptions!$A$36:$C$39,3,FALSE),"")</f>
        <v/>
      </c>
      <c r="AV215" s="3">
        <f>IFERROR(AU215/F215,"")</f>
        <v/>
      </c>
      <c r="AW215">
        <f>IF(AND($E215=TRUE,$C215="GKP"),AS215,"")</f>
        <v/>
      </c>
      <c r="AX215">
        <f>IF(AND($E215=TRUE,$C215="DEF"),AS215,"")</f>
        <v/>
      </c>
      <c r="AY215">
        <f>IF(AND($E215=TRUE,$C215="MID"),AS215,"")</f>
        <v/>
      </c>
      <c r="AZ215">
        <f>IF(AND($E215=TRUE,$C215="FWD"),AS215,"")</f>
        <v/>
      </c>
      <c r="BA215" t="n">
        <v>2</v>
      </c>
      <c r="BB215" t="n">
        <v>2</v>
      </c>
      <c r="BC215" t="n">
        <v>1</v>
      </c>
      <c r="BD215" t="n">
        <v>5</v>
      </c>
    </row>
    <row r="216">
      <c r="A216" t="inlineStr">
        <is>
          <t>Jeremie Frimpong</t>
        </is>
      </c>
      <c r="B216" t="inlineStr">
        <is>
          <t>LIV</t>
        </is>
      </c>
      <c r="C216" t="inlineStr">
        <is>
          <t>DEF</t>
        </is>
      </c>
      <c r="D216" t="inlineStr">
        <is>
          <t>DEF</t>
        </is>
      </c>
      <c r="E216" t="b">
        <v>1</v>
      </c>
      <c r="F216" s="2" t="n">
        <v>5.5</v>
      </c>
      <c r="G216" t="inlineStr">
        <is>
          <t>a</t>
        </is>
      </c>
      <c r="I216" s="2" t="n">
        <v>1032</v>
      </c>
      <c r="J216" t="n">
        <v>63</v>
      </c>
      <c r="K216" s="3" t="n">
        <v>1699</v>
      </c>
      <c r="L216" t="inlineStr">
        <is>
          <t>flat</t>
        </is>
      </c>
      <c r="M216" s="4" t="n">
        <v>1699</v>
      </c>
      <c r="N216" t="inlineStr">
        <is>
          <t>Solio</t>
        </is>
      </c>
      <c r="O216" s="5" t="n">
        <v>74.8</v>
      </c>
      <c r="P216" t="b">
        <v>1</v>
      </c>
      <c r="Q216" s="5">
        <f>IF(N(O216)&lt;=0,0,MIN(Assumptions!$B$15,N(M216)/N(O216)))</f>
        <v/>
      </c>
      <c r="R216" s="4" t="n">
        <v>0.342</v>
      </c>
      <c r="S216" s="3" t="n">
        <v>0.042</v>
      </c>
      <c r="T216" t="inlineStr">
        <is>
          <t>adjusted xGOT</t>
        </is>
      </c>
      <c r="U216" s="3" t="n">
        <v>1</v>
      </c>
      <c r="V216" s="3" t="n">
        <v>0.965</v>
      </c>
      <c r="W216" s="3" t="n">
        <v>0.5</v>
      </c>
      <c r="X216" s="3" t="n">
        <v>0.1849</v>
      </c>
      <c r="Y216" s="3" t="n">
        <v>4.699</v>
      </c>
      <c r="Z216" s="3" t="n">
        <v>0.006952612057647967</v>
      </c>
      <c r="AA216" s="3" t="n">
        <v>0.0872</v>
      </c>
      <c r="AB216" s="3" t="n">
        <v>31</v>
      </c>
      <c r="AC216" s="3" t="n">
        <v>2.409</v>
      </c>
      <c r="AD216" s="3" t="n">
        <v>1.1228</v>
      </c>
      <c r="AE216" s="3" t="n">
        <v>-0.1643972585931323</v>
      </c>
      <c r="AF216" s="4" t="n">
        <v>0</v>
      </c>
      <c r="AG216" s="3" t="n">
        <v>0</v>
      </c>
      <c r="AH216" s="3" t="n">
        <v>0.252</v>
      </c>
      <c r="AI216" s="3" t="n">
        <v>0.732204</v>
      </c>
      <c r="AJ216" s="3">
        <f>N(R216)*N(BC216)</f>
        <v/>
      </c>
      <c r="AK216" s="3" t="n">
        <v>0.0872</v>
      </c>
      <c r="AL216" s="3" t="n">
        <v>0</v>
      </c>
      <c r="AM216" s="3" t="n">
        <v>-0.3378660007281162</v>
      </c>
      <c r="AN216" s="3" t="n">
        <v>-0.1643972585931323</v>
      </c>
      <c r="AO216" s="3">
        <f>SUM(AH216:AN216)</f>
        <v/>
      </c>
      <c r="AP216" s="5">
        <f>IF(OR(N(Q216)&lt;=0,N(BA216)=0),0,N(Q216)*IF(N(M216)/N(Q216)&gt;=60,N(BA216),1))</f>
        <v/>
      </c>
      <c r="AQ216" s="5">
        <f>N(Q216)*N(Z216)*N(BB216)</f>
        <v/>
      </c>
      <c r="AR216" s="5">
        <f>N(AF216)*(Assumptions!$B$13*N(BD216)-(1-Assumptions!$B$13)*Assumptions!$B$14)+N(AG216)</f>
        <v/>
      </c>
      <c r="AS216" s="5">
        <f>N(AO216)*N(M216)/90+N(AP216)+N(AQ216)+N(AR216)</f>
        <v/>
      </c>
      <c r="AT216" s="3">
        <f>IF(N(M216)&lt;=0,0,(N(AS216)-N(AR216))*90/N(M216))</f>
        <v/>
      </c>
      <c r="AU216" s="5">
        <f>IFERROR(AS216-VLOOKUP($C216,Assumptions!$A$36:$C$39,3,FALSE),"")</f>
        <v/>
      </c>
      <c r="AV216" s="3">
        <f>IFERROR(AU216/F216,"")</f>
        <v/>
      </c>
      <c r="AW216">
        <f>IF(AND($E216=TRUE,$C216="GKP"),AS216,"")</f>
        <v/>
      </c>
      <c r="AX216">
        <f>IF(AND($E216=TRUE,$C216="DEF"),AS216,"")</f>
        <v/>
      </c>
      <c r="AY216">
        <f>IF(AND($E216=TRUE,$C216="MID"),AS216,"")</f>
        <v/>
      </c>
      <c r="AZ216">
        <f>IF(AND($E216=TRUE,$C216="FWD"),AS216,"")</f>
        <v/>
      </c>
      <c r="BA216" t="n">
        <v>2</v>
      </c>
      <c r="BB216" t="n">
        <v>2</v>
      </c>
      <c r="BC216" t="n">
        <v>4</v>
      </c>
      <c r="BD216" t="n">
        <v>6</v>
      </c>
    </row>
    <row r="217">
      <c r="A217" t="inlineStr">
        <is>
          <t>Kevin Danso</t>
        </is>
      </c>
      <c r="B217" t="inlineStr">
        <is>
          <t>TOT</t>
        </is>
      </c>
      <c r="C217" t="inlineStr">
        <is>
          <t>DEF</t>
        </is>
      </c>
      <c r="D217" t="inlineStr">
        <is>
          <t>DEF</t>
        </is>
      </c>
      <c r="E217" t="b">
        <v>1</v>
      </c>
      <c r="F217" s="2" t="n">
        <v>5</v>
      </c>
      <c r="G217" t="inlineStr">
        <is>
          <t>a</t>
        </is>
      </c>
      <c r="I217" s="2" t="n">
        <v>1489</v>
      </c>
      <c r="J217" t="n">
        <v>63</v>
      </c>
      <c r="K217" s="3" t="n">
        <v>304</v>
      </c>
      <c r="L217" t="inlineStr">
        <is>
          <t>flat</t>
        </is>
      </c>
      <c r="M217" s="4" t="n">
        <v>304</v>
      </c>
      <c r="N217" t="inlineStr">
        <is>
          <t>Solio</t>
        </is>
      </c>
      <c r="O217" s="5" t="n">
        <v>84.8</v>
      </c>
      <c r="P217" t="b">
        <v>1</v>
      </c>
      <c r="Q217" s="5">
        <f>IF(N(O217)&lt;=0,0,MIN(Assumptions!$B$15,N(M217)/N(O217)))</f>
        <v/>
      </c>
      <c r="R217" s="4" t="n">
        <v>0.286</v>
      </c>
      <c r="S217" s="3" t="n">
        <v>0.0337</v>
      </c>
      <c r="T217" t="inlineStr">
        <is>
          <t>adjusted xGOT</t>
        </is>
      </c>
      <c r="U217" s="3" t="n">
        <v>1</v>
      </c>
      <c r="V217" s="3" t="n">
        <v>0.898</v>
      </c>
      <c r="W217" s="3" t="n">
        <v>1</v>
      </c>
      <c r="X217" s="3" t="n">
        <v>0.0133</v>
      </c>
      <c r="Y217" s="3" t="n">
        <v>10.327</v>
      </c>
      <c r="Z217" s="3" t="n">
        <v>0.5079107235423836</v>
      </c>
      <c r="AA217" s="3" t="n">
        <v>0.0604</v>
      </c>
      <c r="AB217" s="3" t="n">
        <v>39</v>
      </c>
      <c r="AC217" s="3" t="n">
        <v>2.5739</v>
      </c>
      <c r="AD217" s="3" t="n">
        <v>1.3096</v>
      </c>
      <c r="AE217" s="3" t="n">
        <v>-0.3077245786767728</v>
      </c>
      <c r="AF217" s="4" t="n">
        <v>0</v>
      </c>
      <c r="AG217" s="3" t="n">
        <v>0</v>
      </c>
      <c r="AH217" s="3" t="n">
        <v>0.2022</v>
      </c>
      <c r="AI217" s="3" t="n">
        <v>0.052668</v>
      </c>
      <c r="AJ217" s="3">
        <f>N(R217)*N(BC217)</f>
        <v/>
      </c>
      <c r="AK217" s="3" t="n">
        <v>0.0604</v>
      </c>
      <c r="AL217" s="3" t="n">
        <v>0</v>
      </c>
      <c r="AM217" s="3" t="n">
        <v>-0.4230152821052008</v>
      </c>
      <c r="AN217" s="3" t="n">
        <v>-0.3077245786767728</v>
      </c>
      <c r="AO217" s="3">
        <f>SUM(AH217:AN217)</f>
        <v/>
      </c>
      <c r="AP217" s="5">
        <f>IF(OR(N(Q217)&lt;=0,N(BA217)=0),0,N(Q217)*IF(N(M217)/N(Q217)&gt;=60,N(BA217),1))</f>
        <v/>
      </c>
      <c r="AQ217" s="5">
        <f>N(Q217)*N(Z217)*N(BB217)</f>
        <v/>
      </c>
      <c r="AR217" s="5">
        <f>N(AF217)*(Assumptions!$B$13*N(BD217)-(1-Assumptions!$B$13)*Assumptions!$B$14)+N(AG217)</f>
        <v/>
      </c>
      <c r="AS217" s="5">
        <f>N(AO217)*N(M217)/90+N(AP217)+N(AQ217)+N(AR217)</f>
        <v/>
      </c>
      <c r="AT217" s="3">
        <f>IF(N(M217)&lt;=0,0,(N(AS217)-N(AR217))*90/N(M217))</f>
        <v/>
      </c>
      <c r="AU217" s="5">
        <f>IFERROR(AS217-VLOOKUP($C217,Assumptions!$A$36:$C$39,3,FALSE),"")</f>
        <v/>
      </c>
      <c r="AV217" s="3">
        <f>IFERROR(AU217/F217,"")</f>
        <v/>
      </c>
      <c r="AW217">
        <f>IF(AND($E217=TRUE,$C217="GKP"),AS217,"")</f>
        <v/>
      </c>
      <c r="AX217">
        <f>IF(AND($E217=TRUE,$C217="DEF"),AS217,"")</f>
        <v/>
      </c>
      <c r="AY217">
        <f>IF(AND($E217=TRUE,$C217="MID"),AS217,"")</f>
        <v/>
      </c>
      <c r="AZ217">
        <f>IF(AND($E217=TRUE,$C217="FWD"),AS217,"")</f>
        <v/>
      </c>
      <c r="BA217" t="n">
        <v>2</v>
      </c>
      <c r="BB217" t="n">
        <v>2</v>
      </c>
      <c r="BC217" t="n">
        <v>4</v>
      </c>
      <c r="BD217" t="n">
        <v>6</v>
      </c>
    </row>
    <row r="218">
      <c r="A218" t="inlineStr">
        <is>
          <t>Josh King</t>
        </is>
      </c>
      <c r="B218" t="inlineStr">
        <is>
          <t>FUL</t>
        </is>
      </c>
      <c r="C218" t="inlineStr">
        <is>
          <t>MID</t>
        </is>
      </c>
      <c r="D218" t="inlineStr">
        <is>
          <t>MID</t>
        </is>
      </c>
      <c r="E218" t="b">
        <v>1</v>
      </c>
      <c r="F218" s="2" t="n">
        <v>5.5</v>
      </c>
      <c r="G218" t="inlineStr">
        <is>
          <t>a</t>
        </is>
      </c>
      <c r="I218" s="2" t="n">
        <v>1290</v>
      </c>
      <c r="J218" t="n">
        <v>63</v>
      </c>
      <c r="K218" s="3" t="n">
        <v>1693</v>
      </c>
      <c r="L218" t="inlineStr">
        <is>
          <t>flat</t>
        </is>
      </c>
      <c r="M218" s="4" t="n">
        <v>1693</v>
      </c>
      <c r="N218" t="inlineStr">
        <is>
          <t>Solio</t>
        </is>
      </c>
      <c r="O218" s="5" t="n">
        <v>65.2</v>
      </c>
      <c r="P218" t="b">
        <v>1</v>
      </c>
      <c r="Q218" s="5">
        <f>IF(N(O218)&lt;=0,0,MIN(Assumptions!$B$15,N(M218)/N(O218)))</f>
        <v/>
      </c>
      <c r="R218" s="4" t="n">
        <v>0.214</v>
      </c>
      <c r="S218" s="3" t="n">
        <v>0.1716</v>
      </c>
      <c r="T218" t="inlineStr">
        <is>
          <t>adjusted xGOT</t>
        </is>
      </c>
      <c r="U218" s="3" t="n">
        <v>1</v>
      </c>
      <c r="V218" s="3" t="n">
        <v>0.995</v>
      </c>
      <c r="W218" s="3" t="n">
        <v>2.8</v>
      </c>
      <c r="X218" s="3" t="n">
        <v>0.0593</v>
      </c>
      <c r="Y218" s="3" t="n">
        <v>7.863</v>
      </c>
      <c r="Z218" s="3" t="n">
        <v>0.01407437717466842</v>
      </c>
      <c r="AA218" s="3" t="n">
        <v>0.2093</v>
      </c>
      <c r="AB218" s="3" t="n">
        <v>45</v>
      </c>
      <c r="AC218" s="3" t="n">
        <v>3.22</v>
      </c>
      <c r="AD218" s="3" t="n">
        <v>1.6019</v>
      </c>
      <c r="AE218" s="3" t="n">
        <v>-0.2472978659018994</v>
      </c>
      <c r="AF218" s="4" t="n">
        <v>0</v>
      </c>
      <c r="AG218" s="3" t="n">
        <v>0</v>
      </c>
      <c r="AH218" s="3" t="n">
        <v>0.858</v>
      </c>
      <c r="AI218" s="3" t="n">
        <v>0.234828</v>
      </c>
      <c r="AJ218" s="3">
        <f>N(R218)*N(BC218)</f>
        <v/>
      </c>
      <c r="AK218" s="3" t="n">
        <v>0.2093</v>
      </c>
      <c r="AL218" s="3" t="n">
        <v>0</v>
      </c>
      <c r="AM218" s="3" t="n">
        <v>-0</v>
      </c>
      <c r="AN218" s="3" t="n">
        <v>-0.2472978659018994</v>
      </c>
      <c r="AO218" s="3">
        <f>SUM(AH218:AN218)</f>
        <v/>
      </c>
      <c r="AP218" s="5">
        <f>IF(OR(N(Q218)&lt;=0,N(BA218)=0),0,N(Q218)*IF(N(M218)/N(Q218)&gt;=60,N(BA218),1))</f>
        <v/>
      </c>
      <c r="AQ218" s="5">
        <f>N(Q218)*N(Z218)*N(BB218)</f>
        <v/>
      </c>
      <c r="AR218" s="5">
        <f>N(AF218)*(Assumptions!$B$13*N(BD218)-(1-Assumptions!$B$13)*Assumptions!$B$14)+N(AG218)</f>
        <v/>
      </c>
      <c r="AS218" s="5">
        <f>N(AO218)*N(M218)/90+N(AP218)+N(AQ218)+N(AR218)</f>
        <v/>
      </c>
      <c r="AT218" s="3">
        <f>IF(N(M218)&lt;=0,0,(N(AS218)-N(AR218))*90/N(M218))</f>
        <v/>
      </c>
      <c r="AU218" s="5">
        <f>IFERROR(AS218-VLOOKUP($C218,Assumptions!$A$36:$C$39,3,FALSE),"")</f>
        <v/>
      </c>
      <c r="AV218" s="3">
        <f>IFERROR(AU218/F218,"")</f>
        <v/>
      </c>
      <c r="AW218">
        <f>IF(AND($E218=TRUE,$C218="GKP"),AS218,"")</f>
        <v/>
      </c>
      <c r="AX218">
        <f>IF(AND($E218=TRUE,$C218="DEF"),AS218,"")</f>
        <v/>
      </c>
      <c r="AY218">
        <f>IF(AND($E218=TRUE,$C218="MID"),AS218,"")</f>
        <v/>
      </c>
      <c r="AZ218">
        <f>IF(AND($E218=TRUE,$C218="FWD"),AS218,"")</f>
        <v/>
      </c>
      <c r="BA218" t="n">
        <v>2</v>
      </c>
      <c r="BB218" t="n">
        <v>2</v>
      </c>
      <c r="BC218" t="n">
        <v>1</v>
      </c>
      <c r="BD218" t="n">
        <v>5</v>
      </c>
    </row>
    <row r="219">
      <c r="A219" t="inlineStr">
        <is>
          <t>Kaoru Mitoma</t>
        </is>
      </c>
      <c r="B219" t="inlineStr">
        <is>
          <t>BHA</t>
        </is>
      </c>
      <c r="C219" t="inlineStr">
        <is>
          <t>MID</t>
        </is>
      </c>
      <c r="D219" t="inlineStr">
        <is>
          <t>MID</t>
        </is>
      </c>
      <c r="E219" t="b">
        <v>1</v>
      </c>
      <c r="F219" s="2" t="n">
        <v>6</v>
      </c>
      <c r="G219" t="inlineStr">
        <is>
          <t>i</t>
        </is>
      </c>
      <c r="H219" t="inlineStr">
        <is>
          <t>Hamstring injury - Unknown return date</t>
        </is>
      </c>
      <c r="I219" s="2" t="n">
        <v>1714</v>
      </c>
      <c r="J219" t="n">
        <v>62</v>
      </c>
      <c r="K219" s="3" t="n">
        <v>1353</v>
      </c>
      <c r="L219" t="inlineStr">
        <is>
          <t>fade (losing his place)</t>
        </is>
      </c>
      <c r="M219" s="4" t="n">
        <v>1353</v>
      </c>
      <c r="N219" t="inlineStr">
        <is>
          <t>Solio</t>
        </is>
      </c>
      <c r="O219" s="5" t="n">
        <v>81.7</v>
      </c>
      <c r="P219" t="b">
        <v>1</v>
      </c>
      <c r="Q219" s="5">
        <f>IF(N(O219)&lt;=0,0,MIN(Assumptions!$B$15,N(M219)/N(O219)))</f>
        <v/>
      </c>
      <c r="R219" s="4" t="n">
        <v>0.252</v>
      </c>
      <c r="S219" s="3" t="n">
        <v>0.2198</v>
      </c>
      <c r="T219" t="inlineStr">
        <is>
          <t>adjusted xGOT</t>
        </is>
      </c>
      <c r="U219" s="3" t="n">
        <v>1</v>
      </c>
      <c r="V219" s="3" t="n">
        <v>1.036</v>
      </c>
      <c r="W219" s="3" t="n">
        <v>25</v>
      </c>
      <c r="X219" s="3" t="n">
        <v>0.165</v>
      </c>
      <c r="Y219" s="3" t="n">
        <v>6.494</v>
      </c>
      <c r="Z219" s="3" t="n">
        <v>0.01783045969776753</v>
      </c>
      <c r="AA219" s="3" t="n">
        <v>0.105</v>
      </c>
      <c r="AB219" s="3" t="n">
        <v>42</v>
      </c>
      <c r="AC219" s="3" t="n">
        <v>2.8404</v>
      </c>
      <c r="AD219" s="3" t="n">
        <v>1.439</v>
      </c>
      <c r="AE219" s="3" t="n">
        <v>-0.1928716730616705</v>
      </c>
      <c r="AF219" s="4" t="n">
        <v>0</v>
      </c>
      <c r="AG219" s="3" t="n">
        <v>0</v>
      </c>
      <c r="AH219" s="3" t="n">
        <v>1.099</v>
      </c>
      <c r="AI219" s="3" t="n">
        <v>0.6534</v>
      </c>
      <c r="AJ219" s="3">
        <f>N(R219)*N(BC219)</f>
        <v/>
      </c>
      <c r="AK219" s="3" t="n">
        <v>0.105</v>
      </c>
      <c r="AL219" s="3" t="n">
        <v>0</v>
      </c>
      <c r="AM219" s="3" t="n">
        <v>-0</v>
      </c>
      <c r="AN219" s="3" t="n">
        <v>-0.1928716730616705</v>
      </c>
      <c r="AO219" s="3">
        <f>SUM(AH219:AN219)</f>
        <v/>
      </c>
      <c r="AP219" s="5">
        <f>IF(OR(N(Q219)&lt;=0,N(BA219)=0),0,N(Q219)*IF(N(M219)/N(Q219)&gt;=60,N(BA219),1))</f>
        <v/>
      </c>
      <c r="AQ219" s="5">
        <f>N(Q219)*N(Z219)*N(BB219)</f>
        <v/>
      </c>
      <c r="AR219" s="5">
        <f>N(AF219)*(Assumptions!$B$13*N(BD219)-(1-Assumptions!$B$13)*Assumptions!$B$14)+N(AG219)</f>
        <v/>
      </c>
      <c r="AS219" s="5">
        <f>N(AO219)*N(M219)/90+N(AP219)+N(AQ219)+N(AR219)</f>
        <v/>
      </c>
      <c r="AT219" s="3">
        <f>IF(N(M219)&lt;=0,0,(N(AS219)-N(AR219))*90/N(M219))</f>
        <v/>
      </c>
      <c r="AU219" s="5">
        <f>IFERROR(AS219-VLOOKUP($C219,Assumptions!$A$36:$C$39,3,FALSE),"")</f>
        <v/>
      </c>
      <c r="AV219" s="3">
        <f>IFERROR(AU219/F219,"")</f>
        <v/>
      </c>
      <c r="AW219">
        <f>IF(AND($E219=TRUE,$C219="GKP"),AS219,"")</f>
        <v/>
      </c>
      <c r="AX219">
        <f>IF(AND($E219=TRUE,$C219="DEF"),AS219,"")</f>
        <v/>
      </c>
      <c r="AY219">
        <f>IF(AND($E219=TRUE,$C219="MID"),AS219,"")</f>
        <v/>
      </c>
      <c r="AZ219">
        <f>IF(AND($E219=TRUE,$C219="FWD"),AS219,"")</f>
        <v/>
      </c>
      <c r="BA219" t="n">
        <v>2</v>
      </c>
      <c r="BB219" t="n">
        <v>2</v>
      </c>
      <c r="BC219" t="n">
        <v>1</v>
      </c>
      <c r="BD219" t="n">
        <v>5</v>
      </c>
    </row>
    <row r="220">
      <c r="A220" t="inlineStr">
        <is>
          <t>Jacob Ramsey</t>
        </is>
      </c>
      <c r="B220" t="inlineStr">
        <is>
          <t>NEW</t>
        </is>
      </c>
      <c r="C220" t="inlineStr">
        <is>
          <t>MID</t>
        </is>
      </c>
      <c r="D220" t="inlineStr">
        <is>
          <t>MID</t>
        </is>
      </c>
      <c r="E220" t="b">
        <v>1</v>
      </c>
      <c r="F220" s="2" t="n">
        <v>5</v>
      </c>
      <c r="G220" t="inlineStr">
        <is>
          <t>a</t>
        </is>
      </c>
      <c r="I220" s="2" t="n">
        <v>1441</v>
      </c>
      <c r="J220" t="n">
        <v>62</v>
      </c>
      <c r="K220" s="3" t="n">
        <v>889</v>
      </c>
      <c r="L220" t="inlineStr">
        <is>
          <t>flat</t>
        </is>
      </c>
      <c r="M220" s="4" t="n">
        <v>889</v>
      </c>
      <c r="N220" t="inlineStr">
        <is>
          <t>Solio</t>
        </is>
      </c>
      <c r="O220" s="5" t="n">
        <v>76.3</v>
      </c>
      <c r="P220" t="b">
        <v>1</v>
      </c>
      <c r="Q220" s="5">
        <f>IF(N(O220)&lt;=0,0,MIN(Assumptions!$B$15,N(M220)/N(O220)))</f>
        <v/>
      </c>
      <c r="R220" s="4" t="n">
        <v>0.248</v>
      </c>
      <c r="S220" s="3" t="n">
        <v>0.06510000000000001</v>
      </c>
      <c r="T220" t="inlineStr">
        <is>
          <t>adjusted xGOT</t>
        </is>
      </c>
      <c r="U220" s="3" t="n">
        <v>1</v>
      </c>
      <c r="V220" s="3" t="n">
        <v>0.869</v>
      </c>
      <c r="W220" s="3" t="n">
        <v>10</v>
      </c>
      <c r="X220" s="3" t="n">
        <v>0.09420000000000001</v>
      </c>
      <c r="Y220" s="3" t="n">
        <v>9.063000000000001</v>
      </c>
      <c r="Z220" s="3" t="n">
        <v>0.09043493499939337</v>
      </c>
      <c r="AA220" s="3" t="n">
        <v>0.1874</v>
      </c>
      <c r="AB220" s="3" t="n">
        <v>41</v>
      </c>
      <c r="AC220" s="3" t="n">
        <v>3.0912</v>
      </c>
      <c r="AD220" s="3" t="n">
        <v>1.4534</v>
      </c>
      <c r="AE220" s="3" t="n">
        <v>-0.1925735526751558</v>
      </c>
      <c r="AF220" s="4" t="n">
        <v>0</v>
      </c>
      <c r="AG220" s="3" t="n">
        <v>0</v>
      </c>
      <c r="AH220" s="3" t="n">
        <v>0.3255</v>
      </c>
      <c r="AI220" s="3" t="n">
        <v>0.373032</v>
      </c>
      <c r="AJ220" s="3">
        <f>N(R220)*N(BC220)</f>
        <v/>
      </c>
      <c r="AK220" s="3" t="n">
        <v>0.1874</v>
      </c>
      <c r="AL220" s="3" t="n">
        <v>0</v>
      </c>
      <c r="AM220" s="3" t="n">
        <v>-0</v>
      </c>
      <c r="AN220" s="3" t="n">
        <v>-0.1925735526751558</v>
      </c>
      <c r="AO220" s="3">
        <f>SUM(AH220:AN220)</f>
        <v/>
      </c>
      <c r="AP220" s="5">
        <f>IF(OR(N(Q220)&lt;=0,N(BA220)=0),0,N(Q220)*IF(N(M220)/N(Q220)&gt;=60,N(BA220),1))</f>
        <v/>
      </c>
      <c r="AQ220" s="5">
        <f>N(Q220)*N(Z220)*N(BB220)</f>
        <v/>
      </c>
      <c r="AR220" s="5">
        <f>N(AF220)*(Assumptions!$B$13*N(BD220)-(1-Assumptions!$B$13)*Assumptions!$B$14)+N(AG220)</f>
        <v/>
      </c>
      <c r="AS220" s="5">
        <f>N(AO220)*N(M220)/90+N(AP220)+N(AQ220)+N(AR220)</f>
        <v/>
      </c>
      <c r="AT220" s="3">
        <f>IF(N(M220)&lt;=0,0,(N(AS220)-N(AR220))*90/N(M220))</f>
        <v/>
      </c>
      <c r="AU220" s="5">
        <f>IFERROR(AS220-VLOOKUP($C220,Assumptions!$A$36:$C$39,3,FALSE),"")</f>
        <v/>
      </c>
      <c r="AV220" s="3">
        <f>IFERROR(AU220/F220,"")</f>
        <v/>
      </c>
      <c r="AW220">
        <f>IF(AND($E220=TRUE,$C220="GKP"),AS220,"")</f>
        <v/>
      </c>
      <c r="AX220">
        <f>IF(AND($E220=TRUE,$C220="DEF"),AS220,"")</f>
        <v/>
      </c>
      <c r="AY220">
        <f>IF(AND($E220=TRUE,$C220="MID"),AS220,"")</f>
        <v/>
      </c>
      <c r="AZ220">
        <f>IF(AND($E220=TRUE,$C220="FWD"),AS220,"")</f>
        <v/>
      </c>
      <c r="BA220" t="n">
        <v>2</v>
      </c>
      <c r="BB220" t="n">
        <v>2</v>
      </c>
      <c r="BC220" t="n">
        <v>1</v>
      </c>
      <c r="BD220" t="n">
        <v>5</v>
      </c>
    </row>
    <row r="221">
      <c r="A221" t="inlineStr">
        <is>
          <t>Boubacar Kamara</t>
        </is>
      </c>
      <c r="B221" t="inlineStr">
        <is>
          <t>AVL</t>
        </is>
      </c>
      <c r="C221" t="inlineStr">
        <is>
          <t>MID</t>
        </is>
      </c>
      <c r="D221" t="inlineStr">
        <is>
          <t>MID</t>
        </is>
      </c>
      <c r="E221" t="b">
        <v>1</v>
      </c>
      <c r="F221" s="2" t="n">
        <v>5</v>
      </c>
      <c r="G221" t="inlineStr">
        <is>
          <t>a</t>
        </is>
      </c>
      <c r="I221" s="2" t="n">
        <v>1410</v>
      </c>
      <c r="J221" t="n">
        <v>61</v>
      </c>
      <c r="K221" s="3" t="n">
        <v>1761</v>
      </c>
      <c r="L221" t="inlineStr">
        <is>
          <t>fade (losing his place)</t>
        </is>
      </c>
      <c r="M221" s="4" t="n">
        <v>1761</v>
      </c>
      <c r="N221" t="inlineStr">
        <is>
          <t>Solio</t>
        </is>
      </c>
      <c r="O221" s="5" t="n">
        <v>81.90000000000001</v>
      </c>
      <c r="P221" t="b">
        <v>1</v>
      </c>
      <c r="Q221" s="5">
        <f>IF(N(O221)&lt;=0,0,MIN(Assumptions!$B$15,N(M221)/N(O221)))</f>
        <v/>
      </c>
      <c r="R221" s="4" t="n">
        <v>0.273</v>
      </c>
      <c r="S221" s="3" t="n">
        <v>0.0327</v>
      </c>
      <c r="T221" t="inlineStr">
        <is>
          <t>adjusted xGOT</t>
        </is>
      </c>
      <c r="U221" s="3" t="n">
        <v>1</v>
      </c>
      <c r="V221" s="3" t="n">
        <v>0.966</v>
      </c>
      <c r="W221" s="3" t="n">
        <v>1.6</v>
      </c>
      <c r="X221" s="3" t="n">
        <v>0.0501</v>
      </c>
      <c r="Y221" s="3" t="n">
        <v>9.195</v>
      </c>
      <c r="Z221" s="3" t="n">
        <v>0.1402539205967021</v>
      </c>
      <c r="AA221" s="3" t="n">
        <v>0.4468</v>
      </c>
      <c r="AB221" s="3" t="n">
        <v>34</v>
      </c>
      <c r="AC221" s="3" t="n">
        <v>2.7451</v>
      </c>
      <c r="AD221" s="3" t="n">
        <v>1.3575</v>
      </c>
      <c r="AE221" s="3" t="n">
        <v>-0.2581271748527597</v>
      </c>
      <c r="AF221" s="4" t="n">
        <v>0</v>
      </c>
      <c r="AG221" s="3" t="n">
        <v>0</v>
      </c>
      <c r="AH221" s="3" t="n">
        <v>0.1635</v>
      </c>
      <c r="AI221" s="3" t="n">
        <v>0.198396</v>
      </c>
      <c r="AJ221" s="3">
        <f>N(R221)*N(BC221)</f>
        <v/>
      </c>
      <c r="AK221" s="3" t="n">
        <v>0.4468</v>
      </c>
      <c r="AL221" s="3" t="n">
        <v>0</v>
      </c>
      <c r="AM221" s="3" t="n">
        <v>-0</v>
      </c>
      <c r="AN221" s="3" t="n">
        <v>-0.2581271748527597</v>
      </c>
      <c r="AO221" s="3">
        <f>SUM(AH221:AN221)</f>
        <v/>
      </c>
      <c r="AP221" s="5">
        <f>IF(OR(N(Q221)&lt;=0,N(BA221)=0),0,N(Q221)*IF(N(M221)/N(Q221)&gt;=60,N(BA221),1))</f>
        <v/>
      </c>
      <c r="AQ221" s="5">
        <f>N(Q221)*N(Z221)*N(BB221)</f>
        <v/>
      </c>
      <c r="AR221" s="5">
        <f>N(AF221)*(Assumptions!$B$13*N(BD221)-(1-Assumptions!$B$13)*Assumptions!$B$14)+N(AG221)</f>
        <v/>
      </c>
      <c r="AS221" s="5">
        <f>N(AO221)*N(M221)/90+N(AP221)+N(AQ221)+N(AR221)</f>
        <v/>
      </c>
      <c r="AT221" s="3">
        <f>IF(N(M221)&lt;=0,0,(N(AS221)-N(AR221))*90/N(M221))</f>
        <v/>
      </c>
      <c r="AU221" s="5">
        <f>IFERROR(AS221-VLOOKUP($C221,Assumptions!$A$36:$C$39,3,FALSE),"")</f>
        <v/>
      </c>
      <c r="AV221" s="3">
        <f>IFERROR(AU221/F221,"")</f>
        <v/>
      </c>
      <c r="AW221">
        <f>IF(AND($E221=TRUE,$C221="GKP"),AS221,"")</f>
        <v/>
      </c>
      <c r="AX221">
        <f>IF(AND($E221=TRUE,$C221="DEF"),AS221,"")</f>
        <v/>
      </c>
      <c r="AY221">
        <f>IF(AND($E221=TRUE,$C221="MID"),AS221,"")</f>
        <v/>
      </c>
      <c r="AZ221">
        <f>IF(AND($E221=TRUE,$C221="FWD"),AS221,"")</f>
        <v/>
      </c>
      <c r="BA221" t="n">
        <v>2</v>
      </c>
      <c r="BB221" t="n">
        <v>2</v>
      </c>
      <c r="BC221" t="n">
        <v>1</v>
      </c>
      <c r="BD221" t="n">
        <v>5</v>
      </c>
    </row>
    <row r="222">
      <c r="A222" t="inlineStr">
        <is>
          <t>Timothy Castagne</t>
        </is>
      </c>
      <c r="B222" t="inlineStr">
        <is>
          <t>FUL</t>
        </is>
      </c>
      <c r="C222" t="inlineStr">
        <is>
          <t>DEF</t>
        </is>
      </c>
      <c r="D222" t="inlineStr">
        <is>
          <t>DEF</t>
        </is>
      </c>
      <c r="E222" t="b">
        <v>1</v>
      </c>
      <c r="F222" s="2" t="n">
        <v>4.5</v>
      </c>
      <c r="G222" t="inlineStr">
        <is>
          <t>a</t>
        </is>
      </c>
      <c r="I222" s="2" t="n">
        <v>1838</v>
      </c>
      <c r="J222" t="n">
        <v>61</v>
      </c>
      <c r="K222" s="3" t="n">
        <v>2035</v>
      </c>
      <c r="L222" t="inlineStr">
        <is>
          <t>flat</t>
        </is>
      </c>
      <c r="M222" s="4" t="n">
        <v>2035</v>
      </c>
      <c r="N222" t="inlineStr">
        <is>
          <t>Solio</t>
        </is>
      </c>
      <c r="O222" s="5" t="n">
        <v>86.2</v>
      </c>
      <c r="P222" t="b">
        <v>1</v>
      </c>
      <c r="Q222" s="5">
        <f>IF(N(O222)&lt;=0,0,MIN(Assumptions!$B$15,N(M222)/N(O222)))</f>
        <v/>
      </c>
      <c r="R222" s="4" t="n">
        <v>0.214</v>
      </c>
      <c r="S222" s="3" t="n">
        <v>0.0595</v>
      </c>
      <c r="T222" t="inlineStr">
        <is>
          <t>adjusted xGOT</t>
        </is>
      </c>
      <c r="U222" s="3" t="n">
        <v>1</v>
      </c>
      <c r="V222" s="3" t="n">
        <v>0.8100000000000001</v>
      </c>
      <c r="W222" s="3" t="n">
        <v>5.3</v>
      </c>
      <c r="X222" s="3" t="n">
        <v>0.07870000000000001</v>
      </c>
      <c r="Y222" s="3" t="n">
        <v>7.3</v>
      </c>
      <c r="Z222" s="3" t="n">
        <v>0.1686712713422849</v>
      </c>
      <c r="AA222" s="3" t="n">
        <v>0.1959</v>
      </c>
      <c r="AB222" s="3" t="n">
        <v>49</v>
      </c>
      <c r="AC222" s="3" t="n">
        <v>3.22</v>
      </c>
      <c r="AD222" s="3" t="n">
        <v>1.6019</v>
      </c>
      <c r="AE222" s="3" t="n">
        <v>-0.1690741945869779</v>
      </c>
      <c r="AF222" s="4" t="n">
        <v>0</v>
      </c>
      <c r="AG222" s="3" t="n">
        <v>0</v>
      </c>
      <c r="AH222" s="3" t="n">
        <v>0.357</v>
      </c>
      <c r="AI222" s="3" t="n">
        <v>0.311652</v>
      </c>
      <c r="AJ222" s="3">
        <f>N(R222)*N(BC222)</f>
        <v/>
      </c>
      <c r="AK222" s="3" t="n">
        <v>0.1959</v>
      </c>
      <c r="AL222" s="3" t="n">
        <v>0</v>
      </c>
      <c r="AM222" s="3" t="n">
        <v>-0.5611019003833156</v>
      </c>
      <c r="AN222" s="3" t="n">
        <v>-0.1690741945869779</v>
      </c>
      <c r="AO222" s="3">
        <f>SUM(AH222:AN222)</f>
        <v/>
      </c>
      <c r="AP222" s="5">
        <f>IF(OR(N(Q222)&lt;=0,N(BA222)=0),0,N(Q222)*IF(N(M222)/N(Q222)&gt;=60,N(BA222),1))</f>
        <v/>
      </c>
      <c r="AQ222" s="5">
        <f>N(Q222)*N(Z222)*N(BB222)</f>
        <v/>
      </c>
      <c r="AR222" s="5">
        <f>N(AF222)*(Assumptions!$B$13*N(BD222)-(1-Assumptions!$B$13)*Assumptions!$B$14)+N(AG222)</f>
        <v/>
      </c>
      <c r="AS222" s="5">
        <f>N(AO222)*N(M222)/90+N(AP222)+N(AQ222)+N(AR222)</f>
        <v/>
      </c>
      <c r="AT222" s="3">
        <f>IF(N(M222)&lt;=0,0,(N(AS222)-N(AR222))*90/N(M222))</f>
        <v/>
      </c>
      <c r="AU222" s="5">
        <f>IFERROR(AS222-VLOOKUP($C222,Assumptions!$A$36:$C$39,3,FALSE),"")</f>
        <v/>
      </c>
      <c r="AV222" s="3">
        <f>IFERROR(AU222/F222,"")</f>
        <v/>
      </c>
      <c r="AW222">
        <f>IF(AND($E222=TRUE,$C222="GKP"),AS222,"")</f>
        <v/>
      </c>
      <c r="AX222">
        <f>IF(AND($E222=TRUE,$C222="DEF"),AS222,"")</f>
        <v/>
      </c>
      <c r="AY222">
        <f>IF(AND($E222=TRUE,$C222="MID"),AS222,"")</f>
        <v/>
      </c>
      <c r="AZ222">
        <f>IF(AND($E222=TRUE,$C222="FWD"),AS222,"")</f>
        <v/>
      </c>
      <c r="BA222" t="n">
        <v>2</v>
      </c>
      <c r="BB222" t="n">
        <v>2</v>
      </c>
      <c r="BC222" t="n">
        <v>4</v>
      </c>
      <c r="BD222" t="n">
        <v>6</v>
      </c>
    </row>
    <row r="223">
      <c r="A223" t="inlineStr">
        <is>
          <t>Archie Gray</t>
        </is>
      </c>
      <c r="B223" t="inlineStr">
        <is>
          <t>TOT</t>
        </is>
      </c>
      <c r="C223" t="inlineStr">
        <is>
          <t>MID</t>
        </is>
      </c>
      <c r="D223" t="inlineStr">
        <is>
          <t>MID</t>
        </is>
      </c>
      <c r="E223" t="b">
        <v>1</v>
      </c>
      <c r="F223" s="2" t="n">
        <v>5</v>
      </c>
      <c r="G223" t="inlineStr">
        <is>
          <t>a</t>
        </is>
      </c>
      <c r="I223" s="2" t="n">
        <v>1471</v>
      </c>
      <c r="J223" t="n">
        <v>61</v>
      </c>
      <c r="K223" s="3" t="n">
        <v>285</v>
      </c>
      <c r="L223" t="inlineStr">
        <is>
          <t>flat</t>
        </is>
      </c>
      <c r="M223" s="4" t="n">
        <v>285</v>
      </c>
      <c r="N223" t="inlineStr">
        <is>
          <t>Solio</t>
        </is>
      </c>
      <c r="O223" s="5" t="n">
        <v>78.3</v>
      </c>
      <c r="P223" t="b">
        <v>1</v>
      </c>
      <c r="Q223" s="5">
        <f>IF(N(O223)&lt;=0,0,MIN(Assumptions!$B$15,N(M223)/N(O223)))</f>
        <v/>
      </c>
      <c r="R223" s="4" t="n">
        <v>0.286</v>
      </c>
      <c r="S223" s="3" t="n">
        <v>0.0982</v>
      </c>
      <c r="T223" t="inlineStr">
        <is>
          <t>adjusted xGOT</t>
        </is>
      </c>
      <c r="U223" s="3" t="n">
        <v>1</v>
      </c>
      <c r="V223" s="3" t="n">
        <v>1.07</v>
      </c>
      <c r="W223" s="3" t="n">
        <v>1.5</v>
      </c>
      <c r="X223" s="3" t="n">
        <v>0.0902</v>
      </c>
      <c r="Y223" s="3" t="n">
        <v>8.241</v>
      </c>
      <c r="Z223" s="3" t="n">
        <v>0.06138889380126888</v>
      </c>
      <c r="AA223" s="3" t="n">
        <v>0.3671</v>
      </c>
      <c r="AB223" s="3" t="n">
        <v>39</v>
      </c>
      <c r="AC223" s="3" t="n">
        <v>2.5739</v>
      </c>
      <c r="AD223" s="3" t="n">
        <v>1.3096</v>
      </c>
      <c r="AE223" s="3" t="n">
        <v>-0.2163692621125125</v>
      </c>
      <c r="AF223" s="4" t="n">
        <v>0</v>
      </c>
      <c r="AG223" s="3" t="n">
        <v>0</v>
      </c>
      <c r="AH223" s="3" t="n">
        <v>0.491</v>
      </c>
      <c r="AI223" s="3" t="n">
        <v>0.357192</v>
      </c>
      <c r="AJ223" s="3">
        <f>N(R223)*N(BC223)</f>
        <v/>
      </c>
      <c r="AK223" s="3" t="n">
        <v>0.3671</v>
      </c>
      <c r="AL223" s="3" t="n">
        <v>0</v>
      </c>
      <c r="AM223" s="3" t="n">
        <v>-0</v>
      </c>
      <c r="AN223" s="3" t="n">
        <v>-0.2163692621125125</v>
      </c>
      <c r="AO223" s="3">
        <f>SUM(AH223:AN223)</f>
        <v/>
      </c>
      <c r="AP223" s="5">
        <f>IF(OR(N(Q223)&lt;=0,N(BA223)=0),0,N(Q223)*IF(N(M223)/N(Q223)&gt;=60,N(BA223),1))</f>
        <v/>
      </c>
      <c r="AQ223" s="5">
        <f>N(Q223)*N(Z223)*N(BB223)</f>
        <v/>
      </c>
      <c r="AR223" s="5">
        <f>N(AF223)*(Assumptions!$B$13*N(BD223)-(1-Assumptions!$B$13)*Assumptions!$B$14)+N(AG223)</f>
        <v/>
      </c>
      <c r="AS223" s="5">
        <f>N(AO223)*N(M223)/90+N(AP223)+N(AQ223)+N(AR223)</f>
        <v/>
      </c>
      <c r="AT223" s="3">
        <f>IF(N(M223)&lt;=0,0,(N(AS223)-N(AR223))*90/N(M223))</f>
        <v/>
      </c>
      <c r="AU223" s="5">
        <f>IFERROR(AS223-VLOOKUP($C223,Assumptions!$A$36:$C$39,3,FALSE),"")</f>
        <v/>
      </c>
      <c r="AV223" s="3">
        <f>IFERROR(AU223/F223,"")</f>
        <v/>
      </c>
      <c r="AW223">
        <f>IF(AND($E223=TRUE,$C223="GKP"),AS223,"")</f>
        <v/>
      </c>
      <c r="AX223">
        <f>IF(AND($E223=TRUE,$C223="DEF"),AS223,"")</f>
        <v/>
      </c>
      <c r="AY223">
        <f>IF(AND($E223=TRUE,$C223="MID"),AS223,"")</f>
        <v/>
      </c>
      <c r="AZ223">
        <f>IF(AND($E223=TRUE,$C223="FWD"),AS223,"")</f>
        <v/>
      </c>
      <c r="BA223" t="n">
        <v>2</v>
      </c>
      <c r="BB223" t="n">
        <v>2</v>
      </c>
      <c r="BC223" t="n">
        <v>1</v>
      </c>
      <c r="BD223" t="n">
        <v>5</v>
      </c>
    </row>
    <row r="224">
      <c r="A224" t="inlineStr">
        <is>
          <t>Rayan Aït-Nouri</t>
        </is>
      </c>
      <c r="B224" t="inlineStr">
        <is>
          <t>MCI</t>
        </is>
      </c>
      <c r="C224" t="inlineStr">
        <is>
          <t>DEF</t>
        </is>
      </c>
      <c r="D224" t="inlineStr">
        <is>
          <t>DEF</t>
        </is>
      </c>
      <c r="E224" t="b">
        <v>1</v>
      </c>
      <c r="F224" s="2" t="n">
        <v>5.5</v>
      </c>
      <c r="G224" t="inlineStr">
        <is>
          <t>a</t>
        </is>
      </c>
      <c r="I224" s="2" t="n">
        <v>971</v>
      </c>
      <c r="J224" t="n">
        <v>60</v>
      </c>
      <c r="K224" s="3" t="n">
        <v>975</v>
      </c>
      <c r="L224" t="inlineStr">
        <is>
          <t>flat</t>
        </is>
      </c>
      <c r="M224" s="4" t="n">
        <v>975</v>
      </c>
      <c r="N224" t="inlineStr">
        <is>
          <t>Solio</t>
        </is>
      </c>
      <c r="O224" s="5" t="n">
        <v>76.7</v>
      </c>
      <c r="P224" t="b">
        <v>1</v>
      </c>
      <c r="Q224" s="5">
        <f>IF(N(O224)&lt;=0,0,MIN(Assumptions!$B$15,N(M224)/N(O224)))</f>
        <v/>
      </c>
      <c r="R224" s="4" t="n">
        <v>0.371</v>
      </c>
      <c r="S224" s="3" t="n">
        <v>0.0466</v>
      </c>
      <c r="T224" t="inlineStr">
        <is>
          <t>adjusted xGOT</t>
        </is>
      </c>
      <c r="U224" s="3" t="n">
        <v>1</v>
      </c>
      <c r="V224" s="3" t="n">
        <v>0.949</v>
      </c>
      <c r="W224" s="3" t="n">
        <v>7.6</v>
      </c>
      <c r="X224" s="3" t="n">
        <v>0.1735</v>
      </c>
      <c r="Y224" s="3" t="n">
        <v>6.838</v>
      </c>
      <c r="Z224" s="3" t="n">
        <v>0.07256076886157969</v>
      </c>
      <c r="AA224" s="3" t="n">
        <v>0.9268999999999999</v>
      </c>
      <c r="AB224" s="3" t="n">
        <v>27</v>
      </c>
      <c r="AC224" s="3" t="n">
        <v>1.9737</v>
      </c>
      <c r="AD224" s="3" t="n">
        <v>1.0365</v>
      </c>
      <c r="AE224" s="3" t="n">
        <v>-0.2066446189433191</v>
      </c>
      <c r="AF224" s="4" t="n">
        <v>0</v>
      </c>
      <c r="AG224" s="3" t="n">
        <v>0</v>
      </c>
      <c r="AH224" s="3" t="n">
        <v>0.2796</v>
      </c>
      <c r="AI224" s="3" t="n">
        <v>0.68706</v>
      </c>
      <c r="AJ224" s="3">
        <f>N(R224)*N(BC224)</f>
        <v/>
      </c>
      <c r="AK224" s="3" t="n">
        <v>0.9268999999999999</v>
      </c>
      <c r="AL224" s="3" t="n">
        <v>0</v>
      </c>
      <c r="AM224" s="3" t="n">
        <v>-0.2997019479071323</v>
      </c>
      <c r="AN224" s="3" t="n">
        <v>-0.2066446189433191</v>
      </c>
      <c r="AO224" s="3">
        <f>SUM(AH224:AN224)</f>
        <v/>
      </c>
      <c r="AP224" s="5">
        <f>IF(OR(N(Q224)&lt;=0,N(BA224)=0),0,N(Q224)*IF(N(M224)/N(Q224)&gt;=60,N(BA224),1))</f>
        <v/>
      </c>
      <c r="AQ224" s="5">
        <f>N(Q224)*N(Z224)*N(BB224)</f>
        <v/>
      </c>
      <c r="AR224" s="5">
        <f>N(AF224)*(Assumptions!$B$13*N(BD224)-(1-Assumptions!$B$13)*Assumptions!$B$14)+N(AG224)</f>
        <v/>
      </c>
      <c r="AS224" s="5">
        <f>N(AO224)*N(M224)/90+N(AP224)+N(AQ224)+N(AR224)</f>
        <v/>
      </c>
      <c r="AT224" s="3">
        <f>IF(N(M224)&lt;=0,0,(N(AS224)-N(AR224))*90/N(M224))</f>
        <v/>
      </c>
      <c r="AU224" s="5">
        <f>IFERROR(AS224-VLOOKUP($C224,Assumptions!$A$36:$C$39,3,FALSE),"")</f>
        <v/>
      </c>
      <c r="AV224" s="3">
        <f>IFERROR(AU224/F224,"")</f>
        <v/>
      </c>
      <c r="AW224">
        <f>IF(AND($E224=TRUE,$C224="GKP"),AS224,"")</f>
        <v/>
      </c>
      <c r="AX224">
        <f>IF(AND($E224=TRUE,$C224="DEF"),AS224,"")</f>
        <v/>
      </c>
      <c r="AY224">
        <f>IF(AND($E224=TRUE,$C224="MID"),AS224,"")</f>
        <v/>
      </c>
      <c r="AZ224">
        <f>IF(AND($E224=TRUE,$C224="FWD"),AS224,"")</f>
        <v/>
      </c>
      <c r="BA224" t="n">
        <v>2</v>
      </c>
      <c r="BB224" t="n">
        <v>2</v>
      </c>
      <c r="BC224" t="n">
        <v>4</v>
      </c>
      <c r="BD224" t="n">
        <v>6</v>
      </c>
    </row>
    <row r="225">
      <c r="A225" t="inlineStr">
        <is>
          <t>Loum Tchaouna</t>
        </is>
      </c>
      <c r="B225" t="inlineStr">
        <is>
          <t>COV</t>
        </is>
      </c>
      <c r="C225" t="inlineStr">
        <is>
          <t>MID</t>
        </is>
      </c>
      <c r="D225" t="inlineStr">
        <is>
          <t>MID</t>
        </is>
      </c>
      <c r="E225" t="b">
        <v>1</v>
      </c>
      <c r="F225" s="2" t="n">
        <v>5.5</v>
      </c>
      <c r="G225" t="inlineStr">
        <is>
          <t>a</t>
        </is>
      </c>
      <c r="I225" s="2" t="n">
        <v>1259</v>
      </c>
      <c r="J225" t="n">
        <v>59</v>
      </c>
      <c r="K225" s="3" t="n">
        <v>2212</v>
      </c>
      <c r="L225" t="inlineStr">
        <is>
          <t>flat</t>
        </is>
      </c>
      <c r="M225" s="4" t="n">
        <v>2212</v>
      </c>
      <c r="N225" t="inlineStr">
        <is>
          <t>Solio</t>
        </is>
      </c>
      <c r="O225" s="5" t="n">
        <v>71.40000000000001</v>
      </c>
      <c r="P225" t="b">
        <v>1</v>
      </c>
      <c r="Q225" s="5">
        <f>IF(N(O225)&lt;=0,0,MIN(Assumptions!$B$15,N(M225)/N(O225)))</f>
        <v/>
      </c>
      <c r="R225" s="4" t="n">
        <v>0.17</v>
      </c>
      <c r="S225" s="3" t="n">
        <v>0.0891</v>
      </c>
      <c r="T225" t="inlineStr">
        <is>
          <t>adjusted xGOT</t>
        </is>
      </c>
      <c r="U225" s="3" t="n">
        <v>1</v>
      </c>
      <c r="V225" s="3" t="n">
        <v>0.982</v>
      </c>
      <c r="W225" s="3" t="n">
        <v>1.3</v>
      </c>
      <c r="X225" s="3" t="n">
        <v>0.07539999999999999</v>
      </c>
      <c r="Y225" s="3" t="n">
        <v>6.258</v>
      </c>
      <c r="Z225" s="3" t="n">
        <v>0.005168087158654688</v>
      </c>
      <c r="AA225" s="3" t="n">
        <v>0</v>
      </c>
      <c r="AB225" s="3" t="n">
        <v>41</v>
      </c>
      <c r="AC225" s="3" t="n">
        <v>3.6194</v>
      </c>
      <c r="AD225" s="3" t="n">
        <v>1.8271</v>
      </c>
      <c r="AE225" s="3" t="n">
        <v>-0.1897167956648318</v>
      </c>
      <c r="AF225" s="4" t="n">
        <v>0</v>
      </c>
      <c r="AG225" s="3" t="n">
        <v>0</v>
      </c>
      <c r="AH225" s="3" t="n">
        <v>0.4455</v>
      </c>
      <c r="AI225" s="3" t="n">
        <v>0.298584</v>
      </c>
      <c r="AJ225" s="3">
        <f>N(R225)*N(BC225)</f>
        <v/>
      </c>
      <c r="AK225" s="3" t="n">
        <v>0</v>
      </c>
      <c r="AL225" s="3" t="n">
        <v>0</v>
      </c>
      <c r="AM225" s="3" t="n">
        <v>-0</v>
      </c>
      <c r="AN225" s="3" t="n">
        <v>-0.1897167956648318</v>
      </c>
      <c r="AO225" s="3">
        <f>SUM(AH225:AN225)</f>
        <v/>
      </c>
      <c r="AP225" s="5">
        <f>IF(OR(N(Q225)&lt;=0,N(BA225)=0),0,N(Q225)*IF(N(M225)/N(Q225)&gt;=60,N(BA225),1))</f>
        <v/>
      </c>
      <c r="AQ225" s="5">
        <f>N(Q225)*N(Z225)*N(BB225)</f>
        <v/>
      </c>
      <c r="AR225" s="5">
        <f>N(AF225)*(Assumptions!$B$13*N(BD225)-(1-Assumptions!$B$13)*Assumptions!$B$14)+N(AG225)</f>
        <v/>
      </c>
      <c r="AS225" s="5">
        <f>N(AO225)*N(M225)/90+N(AP225)+N(AQ225)+N(AR225)</f>
        <v/>
      </c>
      <c r="AT225" s="3">
        <f>IF(N(M225)&lt;=0,0,(N(AS225)-N(AR225))*90/N(M225))</f>
        <v/>
      </c>
      <c r="AU225" s="5">
        <f>IFERROR(AS225-VLOOKUP($C225,Assumptions!$A$36:$C$39,3,FALSE),"")</f>
        <v/>
      </c>
      <c r="AV225" s="3">
        <f>IFERROR(AU225/F225,"")</f>
        <v/>
      </c>
      <c r="AW225">
        <f>IF(AND($E225=TRUE,$C225="GKP"),AS225,"")</f>
        <v/>
      </c>
      <c r="AX225">
        <f>IF(AND($E225=TRUE,$C225="DEF"),AS225,"")</f>
        <v/>
      </c>
      <c r="AY225">
        <f>IF(AND($E225=TRUE,$C225="MID"),AS225,"")</f>
        <v/>
      </c>
      <c r="AZ225">
        <f>IF(AND($E225=TRUE,$C225="FWD"),AS225,"")</f>
        <v/>
      </c>
      <c r="BA225" t="n">
        <v>2</v>
      </c>
      <c r="BB225" t="n">
        <v>2</v>
      </c>
      <c r="BC225" t="n">
        <v>1</v>
      </c>
      <c r="BD225" t="n">
        <v>5</v>
      </c>
    </row>
    <row r="226">
      <c r="A226" t="inlineStr">
        <is>
          <t>Tino Livramento</t>
        </is>
      </c>
      <c r="B226" t="inlineStr">
        <is>
          <t>NEW</t>
        </is>
      </c>
      <c r="C226" t="inlineStr">
        <is>
          <t>DEF</t>
        </is>
      </c>
      <c r="D226" t="inlineStr">
        <is>
          <t>DEF</t>
        </is>
      </c>
      <c r="E226" t="b">
        <v>1</v>
      </c>
      <c r="F226" s="2" t="n">
        <v>5</v>
      </c>
      <c r="G226" t="inlineStr">
        <is>
          <t>d</t>
        </is>
      </c>
      <c r="H226" t="inlineStr">
        <is>
          <t>Calf injury - 75% chance of playing</t>
        </is>
      </c>
      <c r="I226" s="2" t="n">
        <v>1326</v>
      </c>
      <c r="J226" t="n">
        <v>59</v>
      </c>
      <c r="K226" s="3" t="n">
        <v>3215</v>
      </c>
      <c r="L226" t="inlineStr">
        <is>
          <t>flat</t>
        </is>
      </c>
      <c r="M226" s="4" t="n">
        <v>3215</v>
      </c>
      <c r="N226" t="inlineStr">
        <is>
          <t>Solio</t>
        </is>
      </c>
      <c r="O226" s="5" t="n">
        <v>87.8</v>
      </c>
      <c r="P226" t="b">
        <v>1</v>
      </c>
      <c r="Q226" s="5">
        <f>IF(N(O226)&lt;=0,0,MIN(Assumptions!$B$15,N(M226)/N(O226)))</f>
        <v/>
      </c>
      <c r="R226" s="4" t="n">
        <v>0.248</v>
      </c>
      <c r="S226" s="3" t="n">
        <v>0.009299999999999999</v>
      </c>
      <c r="T226" t="inlineStr">
        <is>
          <t>adjusted xGOT</t>
        </is>
      </c>
      <c r="U226" s="3" t="n">
        <v>1</v>
      </c>
      <c r="V226" s="3" t="n">
        <v>1.052</v>
      </c>
      <c r="W226" s="3" t="n">
        <v>0.8</v>
      </c>
      <c r="X226" s="3" t="n">
        <v>0.0511</v>
      </c>
      <c r="Y226" s="3" t="n">
        <v>5.696</v>
      </c>
      <c r="Z226" s="3" t="n">
        <v>0.05677494641073155</v>
      </c>
      <c r="AA226" s="3" t="n">
        <v>0.2036</v>
      </c>
      <c r="AB226" s="3" t="n">
        <v>31</v>
      </c>
      <c r="AC226" s="3" t="n">
        <v>3.0912</v>
      </c>
      <c r="AD226" s="3" t="n">
        <v>1.4534</v>
      </c>
      <c r="AE226" s="3" t="n">
        <v>-0.1102134388827811</v>
      </c>
      <c r="AF226" s="4" t="n">
        <v>0</v>
      </c>
      <c r="AG226" s="3" t="n">
        <v>0</v>
      </c>
      <c r="AH226" s="3" t="n">
        <v>0.0558</v>
      </c>
      <c r="AI226" s="3" t="n">
        <v>0.202356</v>
      </c>
      <c r="AJ226" s="3">
        <f>N(R226)*N(BC226)</f>
        <v/>
      </c>
      <c r="AK226" s="3" t="n">
        <v>0.2036</v>
      </c>
      <c r="AL226" s="3" t="n">
        <v>0</v>
      </c>
      <c r="AM226" s="3" t="n">
        <v>-0.4903625828545308</v>
      </c>
      <c r="AN226" s="3" t="n">
        <v>-0.1102134388827811</v>
      </c>
      <c r="AO226" s="3">
        <f>SUM(AH226:AN226)</f>
        <v/>
      </c>
      <c r="AP226" s="5">
        <f>IF(OR(N(Q226)&lt;=0,N(BA226)=0),0,N(Q226)*IF(N(M226)/N(Q226)&gt;=60,N(BA226),1))</f>
        <v/>
      </c>
      <c r="AQ226" s="5">
        <f>N(Q226)*N(Z226)*N(BB226)</f>
        <v/>
      </c>
      <c r="AR226" s="5">
        <f>N(AF226)*(Assumptions!$B$13*N(BD226)-(1-Assumptions!$B$13)*Assumptions!$B$14)+N(AG226)</f>
        <v/>
      </c>
      <c r="AS226" s="5">
        <f>N(AO226)*N(M226)/90+N(AP226)+N(AQ226)+N(AR226)</f>
        <v/>
      </c>
      <c r="AT226" s="3">
        <f>IF(N(M226)&lt;=0,0,(N(AS226)-N(AR226))*90/N(M226))</f>
        <v/>
      </c>
      <c r="AU226" s="5">
        <f>IFERROR(AS226-VLOOKUP($C226,Assumptions!$A$36:$C$39,3,FALSE),"")</f>
        <v/>
      </c>
      <c r="AV226" s="3">
        <f>IFERROR(AU226/F226,"")</f>
        <v/>
      </c>
      <c r="AW226">
        <f>IF(AND($E226=TRUE,$C226="GKP"),AS226,"")</f>
        <v/>
      </c>
      <c r="AX226">
        <f>IF(AND($E226=TRUE,$C226="DEF"),AS226,"")</f>
        <v/>
      </c>
      <c r="AY226">
        <f>IF(AND($E226=TRUE,$C226="MID"),AS226,"")</f>
        <v/>
      </c>
      <c r="AZ226">
        <f>IF(AND($E226=TRUE,$C226="FWD"),AS226,"")</f>
        <v/>
      </c>
      <c r="BA226" t="n">
        <v>2</v>
      </c>
      <c r="BB226" t="n">
        <v>2</v>
      </c>
      <c r="BC226" t="n">
        <v>4</v>
      </c>
      <c r="BD226" t="n">
        <v>6</v>
      </c>
    </row>
    <row r="227">
      <c r="A227" t="inlineStr">
        <is>
          <t>David Brooks</t>
        </is>
      </c>
      <c r="B227" t="inlineStr">
        <is>
          <t>BOU</t>
        </is>
      </c>
      <c r="C227" t="inlineStr">
        <is>
          <t>MID</t>
        </is>
      </c>
      <c r="D227" t="inlineStr">
        <is>
          <t>MID</t>
        </is>
      </c>
      <c r="E227" t="b">
        <v>1</v>
      </c>
      <c r="F227" s="2" t="n">
        <v>5</v>
      </c>
      <c r="G227" t="inlineStr">
        <is>
          <t>a</t>
        </is>
      </c>
      <c r="I227" s="2" t="n">
        <v>1188</v>
      </c>
      <c r="J227" t="n">
        <v>59</v>
      </c>
      <c r="K227" s="3" t="n">
        <v>484</v>
      </c>
      <c r="L227" t="inlineStr">
        <is>
          <t>flat</t>
        </is>
      </c>
      <c r="M227" s="4" t="n">
        <v>484</v>
      </c>
      <c r="N227" t="inlineStr">
        <is>
          <t>Solio</t>
        </is>
      </c>
      <c r="O227" s="5" t="n">
        <v>67.09999999999999</v>
      </c>
      <c r="P227" t="b">
        <v>1</v>
      </c>
      <c r="Q227" s="5">
        <f>IF(N(O227)&lt;=0,0,MIN(Assumptions!$B$15,N(M227)/N(O227)))</f>
        <v/>
      </c>
      <c r="R227" s="4" t="n">
        <v>0.23</v>
      </c>
      <c r="S227" s="3" t="n">
        <v>0.3903</v>
      </c>
      <c r="T227" t="inlineStr">
        <is>
          <t>adjusted xGOT</t>
        </is>
      </c>
      <c r="U227" s="3" t="n">
        <v>1</v>
      </c>
      <c r="V227" s="3" t="n">
        <v>0.887</v>
      </c>
      <c r="W227" s="3" t="n">
        <v>11.2</v>
      </c>
      <c r="X227" s="3" t="n">
        <v>0.2878</v>
      </c>
      <c r="Y227" s="3" t="n">
        <v>7.671</v>
      </c>
      <c r="Z227" s="3" t="n">
        <v>0.01447248258268541</v>
      </c>
      <c r="AA227" s="3" t="n">
        <v>0.303</v>
      </c>
      <c r="AB227" s="3" t="n">
        <v>43</v>
      </c>
      <c r="AC227" s="3" t="n">
        <v>3.0957</v>
      </c>
      <c r="AD227" s="3" t="n">
        <v>1.53</v>
      </c>
      <c r="AE227" s="3" t="n">
        <v>-0.3544561443515518</v>
      </c>
      <c r="AF227" s="4" t="n">
        <v>0</v>
      </c>
      <c r="AG227" s="3" t="n">
        <v>0</v>
      </c>
      <c r="AH227" s="3" t="n">
        <v>1.9515</v>
      </c>
      <c r="AI227" s="3" t="n">
        <v>1.139688</v>
      </c>
      <c r="AJ227" s="3">
        <f>N(R227)*N(BC227)</f>
        <v/>
      </c>
      <c r="AK227" s="3" t="n">
        <v>0.303</v>
      </c>
      <c r="AL227" s="3" t="n">
        <v>0</v>
      </c>
      <c r="AM227" s="3" t="n">
        <v>-0</v>
      </c>
      <c r="AN227" s="3" t="n">
        <v>-0.3544561443515518</v>
      </c>
      <c r="AO227" s="3">
        <f>SUM(AH227:AN227)</f>
        <v/>
      </c>
      <c r="AP227" s="5">
        <f>IF(OR(N(Q227)&lt;=0,N(BA227)=0),0,N(Q227)*IF(N(M227)/N(Q227)&gt;=60,N(BA227),1))</f>
        <v/>
      </c>
      <c r="AQ227" s="5">
        <f>N(Q227)*N(Z227)*N(BB227)</f>
        <v/>
      </c>
      <c r="AR227" s="5">
        <f>N(AF227)*(Assumptions!$B$13*N(BD227)-(1-Assumptions!$B$13)*Assumptions!$B$14)+N(AG227)</f>
        <v/>
      </c>
      <c r="AS227" s="5">
        <f>N(AO227)*N(M227)/90+N(AP227)+N(AQ227)+N(AR227)</f>
        <v/>
      </c>
      <c r="AT227" s="3">
        <f>IF(N(M227)&lt;=0,0,(N(AS227)-N(AR227))*90/N(M227))</f>
        <v/>
      </c>
      <c r="AU227" s="5">
        <f>IFERROR(AS227-VLOOKUP($C227,Assumptions!$A$36:$C$39,3,FALSE),"")</f>
        <v/>
      </c>
      <c r="AV227" s="3">
        <f>IFERROR(AU227/F227,"")</f>
        <v/>
      </c>
      <c r="AW227">
        <f>IF(AND($E227=TRUE,$C227="GKP"),AS227,"")</f>
        <v/>
      </c>
      <c r="AX227">
        <f>IF(AND($E227=TRUE,$C227="DEF"),AS227,"")</f>
        <v/>
      </c>
      <c r="AY227">
        <f>IF(AND($E227=TRUE,$C227="MID"),AS227,"")</f>
        <v/>
      </c>
      <c r="AZ227">
        <f>IF(AND($E227=TRUE,$C227="FWD"),AS227,"")</f>
        <v/>
      </c>
      <c r="BA227" t="n">
        <v>2</v>
      </c>
      <c r="BB227" t="n">
        <v>2</v>
      </c>
      <c r="BC227" t="n">
        <v>1</v>
      </c>
      <c r="BD227" t="n">
        <v>5</v>
      </c>
    </row>
    <row r="228">
      <c r="A228" t="inlineStr">
        <is>
          <t>Adam Smith</t>
        </is>
      </c>
      <c r="B228" t="inlineStr">
        <is>
          <t>BOU</t>
        </is>
      </c>
      <c r="C228" t="inlineStr">
        <is>
          <t>DEF</t>
        </is>
      </c>
      <c r="D228" t="inlineStr">
        <is>
          <t>DEF</t>
        </is>
      </c>
      <c r="E228" t="b">
        <v>1</v>
      </c>
      <c r="F228" s="2" t="n">
        <v>4.5</v>
      </c>
      <c r="G228" t="inlineStr">
        <is>
          <t>a</t>
        </is>
      </c>
      <c r="I228" s="2" t="n">
        <v>1073</v>
      </c>
      <c r="J228" t="n">
        <v>58</v>
      </c>
      <c r="K228" s="3" t="n">
        <v>379</v>
      </c>
      <c r="L228" t="inlineStr">
        <is>
          <t>flat</t>
        </is>
      </c>
      <c r="M228" s="4" t="n">
        <v>379</v>
      </c>
      <c r="N228" t="inlineStr">
        <is>
          <t>Solio</t>
        </is>
      </c>
      <c r="O228" s="5" t="n">
        <v>73.2</v>
      </c>
      <c r="P228" t="b">
        <v>1</v>
      </c>
      <c r="Q228" s="5">
        <f>IF(N(O228)&lt;=0,0,MIN(Assumptions!$B$15,N(M228)/N(O228)))</f>
        <v/>
      </c>
      <c r="R228" s="4" t="n">
        <v>0.23</v>
      </c>
      <c r="S228" s="3" t="n">
        <v>0</v>
      </c>
      <c r="T228" t="inlineStr">
        <is>
          <t>adjusted xGOT</t>
        </is>
      </c>
      <c r="U228" s="3" t="n">
        <v>1</v>
      </c>
      <c r="V228" s="3" t="n">
        <v>0.9350000000000001</v>
      </c>
      <c r="W228" s="3" t="n">
        <v>1.2</v>
      </c>
      <c r="X228" s="3" t="n">
        <v>0.0306</v>
      </c>
      <c r="Y228" s="3" t="n">
        <v>6.6</v>
      </c>
      <c r="Z228" s="3" t="n">
        <v>0.04721645399983221</v>
      </c>
      <c r="AA228" s="3" t="n">
        <v>0.3355</v>
      </c>
      <c r="AB228" s="3" t="n">
        <v>33</v>
      </c>
      <c r="AC228" s="3" t="n">
        <v>3.0957</v>
      </c>
      <c r="AD228" s="3" t="n">
        <v>1.53</v>
      </c>
      <c r="AE228" s="3" t="n">
        <v>-0.2820774369747298</v>
      </c>
      <c r="AF228" s="4" t="n">
        <v>0</v>
      </c>
      <c r="AG228" s="3" t="n">
        <v>0</v>
      </c>
      <c r="AH228" s="3" t="n">
        <v>0</v>
      </c>
      <c r="AI228" s="3" t="n">
        <v>0.121176</v>
      </c>
      <c r="AJ228" s="3">
        <f>N(R228)*N(BC228)</f>
        <v/>
      </c>
      <c r="AK228" s="3" t="n">
        <v>0.3355</v>
      </c>
      <c r="AL228" s="3" t="n">
        <v>0</v>
      </c>
      <c r="AM228" s="3" t="n">
        <v>-0.5267219238049191</v>
      </c>
      <c r="AN228" s="3" t="n">
        <v>-0.2820774369747298</v>
      </c>
      <c r="AO228" s="3">
        <f>SUM(AH228:AN228)</f>
        <v/>
      </c>
      <c r="AP228" s="5">
        <f>IF(OR(N(Q228)&lt;=0,N(BA228)=0),0,N(Q228)*IF(N(M228)/N(Q228)&gt;=60,N(BA228),1))</f>
        <v/>
      </c>
      <c r="AQ228" s="5">
        <f>N(Q228)*N(Z228)*N(BB228)</f>
        <v/>
      </c>
      <c r="AR228" s="5">
        <f>N(AF228)*(Assumptions!$B$13*N(BD228)-(1-Assumptions!$B$13)*Assumptions!$B$14)+N(AG228)</f>
        <v/>
      </c>
      <c r="AS228" s="5">
        <f>N(AO228)*N(M228)/90+N(AP228)+N(AQ228)+N(AR228)</f>
        <v/>
      </c>
      <c r="AT228" s="3">
        <f>IF(N(M228)&lt;=0,0,(N(AS228)-N(AR228))*90/N(M228))</f>
        <v/>
      </c>
      <c r="AU228" s="5">
        <f>IFERROR(AS228-VLOOKUP($C228,Assumptions!$A$36:$C$39,3,FALSE),"")</f>
        <v/>
      </c>
      <c r="AV228" s="3">
        <f>IFERROR(AU228/F228,"")</f>
        <v/>
      </c>
      <c r="AW228">
        <f>IF(AND($E228=TRUE,$C228="GKP"),AS228,"")</f>
        <v/>
      </c>
      <c r="AX228">
        <f>IF(AND($E228=TRUE,$C228="DEF"),AS228,"")</f>
        <v/>
      </c>
      <c r="AY228">
        <f>IF(AND($E228=TRUE,$C228="MID"),AS228,"")</f>
        <v/>
      </c>
      <c r="AZ228">
        <f>IF(AND($E228=TRUE,$C228="FWD"),AS228,"")</f>
        <v/>
      </c>
      <c r="BA228" t="n">
        <v>2</v>
      </c>
      <c r="BB228" t="n">
        <v>2</v>
      </c>
      <c r="BC228" t="n">
        <v>4</v>
      </c>
      <c r="BD228" t="n">
        <v>6</v>
      </c>
    </row>
    <row r="229">
      <c r="A229" t="inlineStr">
        <is>
          <t>Mason Mount</t>
        </is>
      </c>
      <c r="B229" t="inlineStr">
        <is>
          <t>MUN</t>
        </is>
      </c>
      <c r="C229" t="inlineStr">
        <is>
          <t>MID</t>
        </is>
      </c>
      <c r="D229" t="inlineStr">
        <is>
          <t>MID</t>
        </is>
      </c>
      <c r="E229" t="b">
        <v>1</v>
      </c>
      <c r="F229" s="2" t="n">
        <v>5.5</v>
      </c>
      <c r="G229" t="inlineStr">
        <is>
          <t>a</t>
        </is>
      </c>
      <c r="I229" s="2" t="n">
        <v>1010</v>
      </c>
      <c r="J229" t="n">
        <v>58</v>
      </c>
      <c r="K229" s="3" t="n">
        <v>412</v>
      </c>
      <c r="L229" t="inlineStr">
        <is>
          <t>flat</t>
        </is>
      </c>
      <c r="M229" s="4" t="n">
        <v>412</v>
      </c>
      <c r="N229" t="inlineStr">
        <is>
          <t>Solio</t>
        </is>
      </c>
      <c r="O229" s="5" t="n">
        <v>70</v>
      </c>
      <c r="P229" t="b">
        <v>1</v>
      </c>
      <c r="Q229" s="5">
        <f>IF(N(O229)&lt;=0,0,MIN(Assumptions!$B$15,N(M229)/N(O229)))</f>
        <v/>
      </c>
      <c r="R229" s="4" t="n">
        <v>0.334</v>
      </c>
      <c r="S229" s="3" t="n">
        <v>0.122</v>
      </c>
      <c r="T229" t="inlineStr">
        <is>
          <t>adjusted xGOT</t>
        </is>
      </c>
      <c r="U229" s="3" t="n">
        <v>1</v>
      </c>
      <c r="V229" s="3" t="n">
        <v>0.878</v>
      </c>
      <c r="W229" s="3" t="n">
        <v>7.3</v>
      </c>
      <c r="X229" s="3" t="n">
        <v>0.1335</v>
      </c>
      <c r="Y229" s="3" t="n">
        <v>8.875999999999999</v>
      </c>
      <c r="Z229" s="3" t="n">
        <v>0.04911244988500951</v>
      </c>
      <c r="AA229" s="3" t="n">
        <v>0.2673</v>
      </c>
      <c r="AB229" s="3" t="n">
        <v>33</v>
      </c>
      <c r="AC229" s="3" t="n">
        <v>2.2165</v>
      </c>
      <c r="AD229" s="3" t="n">
        <v>1.1467</v>
      </c>
      <c r="AE229" s="3" t="n">
        <v>-0.2486955269062244</v>
      </c>
      <c r="AF229" s="4" t="n">
        <v>0</v>
      </c>
      <c r="AG229" s="3" t="n">
        <v>0</v>
      </c>
      <c r="AH229" s="3" t="n">
        <v>0.61</v>
      </c>
      <c r="AI229" s="3" t="n">
        <v>0.52866</v>
      </c>
      <c r="AJ229" s="3">
        <f>N(R229)*N(BC229)</f>
        <v/>
      </c>
      <c r="AK229" s="3" t="n">
        <v>0.2673</v>
      </c>
      <c r="AL229" s="3" t="n">
        <v>0</v>
      </c>
      <c r="AM229" s="3" t="n">
        <v>-0</v>
      </c>
      <c r="AN229" s="3" t="n">
        <v>-0.2486955269062244</v>
      </c>
      <c r="AO229" s="3">
        <f>SUM(AH229:AN229)</f>
        <v/>
      </c>
      <c r="AP229" s="5">
        <f>IF(OR(N(Q229)&lt;=0,N(BA229)=0),0,N(Q229)*IF(N(M229)/N(Q229)&gt;=60,N(BA229),1))</f>
        <v/>
      </c>
      <c r="AQ229" s="5">
        <f>N(Q229)*N(Z229)*N(BB229)</f>
        <v/>
      </c>
      <c r="AR229" s="5">
        <f>N(AF229)*(Assumptions!$B$13*N(BD229)-(1-Assumptions!$B$13)*Assumptions!$B$14)+N(AG229)</f>
        <v/>
      </c>
      <c r="AS229" s="5">
        <f>N(AO229)*N(M229)/90+N(AP229)+N(AQ229)+N(AR229)</f>
        <v/>
      </c>
      <c r="AT229" s="3">
        <f>IF(N(M229)&lt;=0,0,(N(AS229)-N(AR229))*90/N(M229))</f>
        <v/>
      </c>
      <c r="AU229" s="5">
        <f>IFERROR(AS229-VLOOKUP($C229,Assumptions!$A$36:$C$39,3,FALSE),"")</f>
        <v/>
      </c>
      <c r="AV229" s="3">
        <f>IFERROR(AU229/F229,"")</f>
        <v/>
      </c>
      <c r="AW229">
        <f>IF(AND($E229=TRUE,$C229="GKP"),AS229,"")</f>
        <v/>
      </c>
      <c r="AX229">
        <f>IF(AND($E229=TRUE,$C229="DEF"),AS229,"")</f>
        <v/>
      </c>
      <c r="AY229">
        <f>IF(AND($E229=TRUE,$C229="MID"),AS229,"")</f>
        <v/>
      </c>
      <c r="AZ229">
        <f>IF(AND($E229=TRUE,$C229="FWD"),AS229,"")</f>
        <v/>
      </c>
      <c r="BA229" t="n">
        <v>2</v>
      </c>
      <c r="BB229" t="n">
        <v>2</v>
      </c>
      <c r="BC229" t="n">
        <v>1</v>
      </c>
      <c r="BD229" t="n">
        <v>5</v>
      </c>
    </row>
    <row r="230">
      <c r="A230" t="inlineStr">
        <is>
          <t>Estêvão</t>
        </is>
      </c>
      <c r="B230" t="inlineStr">
        <is>
          <t>CHE</t>
        </is>
      </c>
      <c r="C230" t="inlineStr">
        <is>
          <t>MID</t>
        </is>
      </c>
      <c r="D230" t="inlineStr">
        <is>
          <t>MID</t>
        </is>
      </c>
      <c r="E230" t="b">
        <v>1</v>
      </c>
      <c r="F230" s="2" t="n">
        <v>6.5</v>
      </c>
      <c r="G230" t="inlineStr">
        <is>
          <t>a</t>
        </is>
      </c>
      <c r="I230" s="2" t="n">
        <v>839</v>
      </c>
      <c r="J230" t="n">
        <v>58</v>
      </c>
      <c r="K230" s="3" t="n">
        <v>684</v>
      </c>
      <c r="L230" t="inlineStr">
        <is>
          <t>flat</t>
        </is>
      </c>
      <c r="M230" s="4" t="n">
        <v>684</v>
      </c>
      <c r="N230" t="inlineStr">
        <is>
          <t>Solio</t>
        </is>
      </c>
      <c r="O230" s="5" t="n">
        <v>54.4</v>
      </c>
      <c r="P230" t="b">
        <v>1</v>
      </c>
      <c r="Q230" s="5">
        <f>IF(N(O230)&lt;=0,0,MIN(Assumptions!$B$15,N(M230)/N(O230)))</f>
        <v/>
      </c>
      <c r="R230" s="4" t="n">
        <v>0.322</v>
      </c>
      <c r="S230" s="3" t="n">
        <v>0.3376</v>
      </c>
      <c r="T230" t="inlineStr">
        <is>
          <t>adjusted xGOT</t>
        </is>
      </c>
      <c r="U230" s="3" t="n">
        <v>1</v>
      </c>
      <c r="V230" s="3" t="n">
        <v>1.082</v>
      </c>
      <c r="W230" s="3" t="n">
        <v>2.9</v>
      </c>
      <c r="X230" s="3" t="n">
        <v>0.2658</v>
      </c>
      <c r="Y230" s="3" t="n">
        <v>7.194</v>
      </c>
      <c r="Z230" s="3" t="n">
        <v>0.001824758018685202</v>
      </c>
      <c r="AA230" s="3" t="n">
        <v>0.4291</v>
      </c>
      <c r="AB230" s="3" t="n">
        <v>29</v>
      </c>
      <c r="AC230" s="3" t="n">
        <v>2.4232</v>
      </c>
      <c r="AD230" s="3" t="n">
        <v>1.1851</v>
      </c>
      <c r="AE230" s="3" t="n">
        <v>-0.3005963358502878</v>
      </c>
      <c r="AF230" s="4" t="n">
        <v>0.0146943132788909</v>
      </c>
      <c r="AG230" s="3" t="n">
        <v>0</v>
      </c>
      <c r="AH230" s="3" t="n">
        <v>1.688</v>
      </c>
      <c r="AI230" s="3" t="n">
        <v>1.052568</v>
      </c>
      <c r="AJ230" s="3">
        <f>N(R230)*N(BC230)</f>
        <v/>
      </c>
      <c r="AK230" s="3" t="n">
        <v>0.4291</v>
      </c>
      <c r="AL230" s="3" t="n">
        <v>0</v>
      </c>
      <c r="AM230" s="3" t="n">
        <v>-0</v>
      </c>
      <c r="AN230" s="3" t="n">
        <v>-0.3005963358502878</v>
      </c>
      <c r="AO230" s="3">
        <f>SUM(AH230:AN230)</f>
        <v/>
      </c>
      <c r="AP230" s="5">
        <f>IF(OR(N(Q230)&lt;=0,N(BA230)=0),0,N(Q230)*IF(N(M230)/N(Q230)&gt;=60,N(BA230),1))</f>
        <v/>
      </c>
      <c r="AQ230" s="5">
        <f>N(Q230)*N(Z230)*N(BB230)</f>
        <v/>
      </c>
      <c r="AR230" s="5">
        <f>N(AF230)*(Assumptions!$B$13*N(BD230)-(1-Assumptions!$B$13)*Assumptions!$B$14)+N(AG230)</f>
        <v/>
      </c>
      <c r="AS230" s="5">
        <f>N(AO230)*N(M230)/90+N(AP230)+N(AQ230)+N(AR230)</f>
        <v/>
      </c>
      <c r="AT230" s="3">
        <f>IF(N(M230)&lt;=0,0,(N(AS230)-N(AR230))*90/N(M230))</f>
        <v/>
      </c>
      <c r="AU230" s="5">
        <f>IFERROR(AS230-VLOOKUP($C230,Assumptions!$A$36:$C$39,3,FALSE),"")</f>
        <v/>
      </c>
      <c r="AV230" s="3">
        <f>IFERROR(AU230/F230,"")</f>
        <v/>
      </c>
      <c r="AW230">
        <f>IF(AND($E230=TRUE,$C230="GKP"),AS230,"")</f>
        <v/>
      </c>
      <c r="AX230">
        <f>IF(AND($E230=TRUE,$C230="DEF"),AS230,"")</f>
        <v/>
      </c>
      <c r="AY230">
        <f>IF(AND($E230=TRUE,$C230="MID"),AS230,"")</f>
        <v/>
      </c>
      <c r="AZ230">
        <f>IF(AND($E230=TRUE,$C230="FWD"),AS230,"")</f>
        <v/>
      </c>
      <c r="BA230" t="n">
        <v>2</v>
      </c>
      <c r="BB230" t="n">
        <v>2</v>
      </c>
      <c r="BC230" t="n">
        <v>1</v>
      </c>
      <c r="BD230" t="n">
        <v>5</v>
      </c>
    </row>
    <row r="231">
      <c r="A231" t="inlineStr">
        <is>
          <t>Gabriel Martinelli</t>
        </is>
      </c>
      <c r="B231" t="inlineStr">
        <is>
          <t>ARS</t>
        </is>
      </c>
      <c r="C231" t="inlineStr">
        <is>
          <t>MID</t>
        </is>
      </c>
      <c r="D231" t="inlineStr">
        <is>
          <t>MID</t>
        </is>
      </c>
      <c r="E231" t="b">
        <v>1</v>
      </c>
      <c r="F231" s="2" t="n">
        <v>6.5</v>
      </c>
      <c r="G231" t="inlineStr">
        <is>
          <t>a</t>
        </is>
      </c>
      <c r="I231" s="2" t="n">
        <v>1065</v>
      </c>
      <c r="J231" t="n">
        <v>57</v>
      </c>
      <c r="K231" s="3" t="n">
        <v>507</v>
      </c>
      <c r="L231" t="inlineStr">
        <is>
          <t>flat</t>
        </is>
      </c>
      <c r="M231" s="4" t="n">
        <v>507</v>
      </c>
      <c r="N231" t="inlineStr">
        <is>
          <t>Solio</t>
        </is>
      </c>
      <c r="O231" s="5" t="n">
        <v>63.9</v>
      </c>
      <c r="P231" t="b">
        <v>1</v>
      </c>
      <c r="Q231" s="5">
        <f>IF(N(O231)&lt;=0,0,MIN(Assumptions!$B$15,N(M231)/N(O231)))</f>
        <v/>
      </c>
      <c r="R231" s="4" t="n">
        <v>0.391</v>
      </c>
      <c r="S231" s="3" t="n">
        <v>0.3586</v>
      </c>
      <c r="T231" t="inlineStr">
        <is>
          <t>adjusted xGOT</t>
        </is>
      </c>
      <c r="U231" s="3" t="n">
        <v>1</v>
      </c>
      <c r="V231" s="3" t="n">
        <v>1.03</v>
      </c>
      <c r="W231" s="3" t="n">
        <v>26.8</v>
      </c>
      <c r="X231" s="3" t="n">
        <v>0.1622</v>
      </c>
      <c r="Y231" s="3" t="n">
        <v>7.342</v>
      </c>
      <c r="Z231" s="3" t="n">
        <v>0.007444630487653314</v>
      </c>
      <c r="AA231" s="3" t="n">
        <v>0.2535</v>
      </c>
      <c r="AB231" s="3" t="n">
        <v>35</v>
      </c>
      <c r="AC231" s="3" t="n">
        <v>2.067</v>
      </c>
      <c r="AD231" s="3" t="n">
        <v>0.9838</v>
      </c>
      <c r="AE231" s="3" t="n">
        <v>-0.1549320488858959</v>
      </c>
      <c r="AF231" s="4" t="n">
        <v>0</v>
      </c>
      <c r="AG231" s="3" t="n">
        <v>0</v>
      </c>
      <c r="AH231" s="3" t="n">
        <v>1.793</v>
      </c>
      <c r="AI231" s="3" t="n">
        <v>0.6423120000000001</v>
      </c>
      <c r="AJ231" s="3">
        <f>N(R231)*N(BC231)</f>
        <v/>
      </c>
      <c r="AK231" s="3" t="n">
        <v>0.2535</v>
      </c>
      <c r="AL231" s="3" t="n">
        <v>0</v>
      </c>
      <c r="AM231" s="3" t="n">
        <v>-0</v>
      </c>
      <c r="AN231" s="3" t="n">
        <v>-0.1549320488858959</v>
      </c>
      <c r="AO231" s="3">
        <f>SUM(AH231:AN231)</f>
        <v/>
      </c>
      <c r="AP231" s="5">
        <f>IF(OR(N(Q231)&lt;=0,N(BA231)=0),0,N(Q231)*IF(N(M231)/N(Q231)&gt;=60,N(BA231),1))</f>
        <v/>
      </c>
      <c r="AQ231" s="5">
        <f>N(Q231)*N(Z231)*N(BB231)</f>
        <v/>
      </c>
      <c r="AR231" s="5">
        <f>N(AF231)*(Assumptions!$B$13*N(BD231)-(1-Assumptions!$B$13)*Assumptions!$B$14)+N(AG231)</f>
        <v/>
      </c>
      <c r="AS231" s="5">
        <f>N(AO231)*N(M231)/90+N(AP231)+N(AQ231)+N(AR231)</f>
        <v/>
      </c>
      <c r="AT231" s="3">
        <f>IF(N(M231)&lt;=0,0,(N(AS231)-N(AR231))*90/N(M231))</f>
        <v/>
      </c>
      <c r="AU231" s="5">
        <f>IFERROR(AS231-VLOOKUP($C231,Assumptions!$A$36:$C$39,3,FALSE),"")</f>
        <v/>
      </c>
      <c r="AV231" s="3">
        <f>IFERROR(AU231/F231,"")</f>
        <v/>
      </c>
      <c r="AW231">
        <f>IF(AND($E231=TRUE,$C231="GKP"),AS231,"")</f>
        <v/>
      </c>
      <c r="AX231">
        <f>IF(AND($E231=TRUE,$C231="DEF"),AS231,"")</f>
        <v/>
      </c>
      <c r="AY231">
        <f>IF(AND($E231=TRUE,$C231="MID"),AS231,"")</f>
        <v/>
      </c>
      <c r="AZ231">
        <f>IF(AND($E231=TRUE,$C231="FWD"),AS231,"")</f>
        <v/>
      </c>
      <c r="BA231" t="n">
        <v>2</v>
      </c>
      <c r="BB231" t="n">
        <v>2</v>
      </c>
      <c r="BC231" t="n">
        <v>1</v>
      </c>
      <c r="BD231" t="n">
        <v>5</v>
      </c>
    </row>
    <row r="232">
      <c r="A232" t="inlineStr">
        <is>
          <t>Leny Yoro</t>
        </is>
      </c>
      <c r="B232" t="inlineStr">
        <is>
          <t>MUN</t>
        </is>
      </c>
      <c r="C232" t="inlineStr">
        <is>
          <t>DEF</t>
        </is>
      </c>
      <c r="D232" t="inlineStr">
        <is>
          <t>DEF</t>
        </is>
      </c>
      <c r="E232" t="b">
        <v>1</v>
      </c>
      <c r="F232" s="2" t="n">
        <v>5</v>
      </c>
      <c r="G232" t="inlineStr">
        <is>
          <t>a</t>
        </is>
      </c>
      <c r="I232" s="2" t="n">
        <v>1730</v>
      </c>
      <c r="J232" t="n">
        <v>56</v>
      </c>
      <c r="K232" s="3" t="n">
        <v>807</v>
      </c>
      <c r="L232" t="inlineStr">
        <is>
          <t>fade (losing his place)</t>
        </is>
      </c>
      <c r="M232" s="4" t="n">
        <v>807</v>
      </c>
      <c r="N232" t="inlineStr">
        <is>
          <t>Solio</t>
        </is>
      </c>
      <c r="O232" s="5" t="n">
        <v>81.5</v>
      </c>
      <c r="P232" t="b">
        <v>1</v>
      </c>
      <c r="Q232" s="5">
        <f>IF(N(O232)&lt;=0,0,MIN(Assumptions!$B$15,N(M232)/N(O232)))</f>
        <v/>
      </c>
      <c r="R232" s="4" t="n">
        <v>0.334</v>
      </c>
      <c r="S232" s="3" t="n">
        <v>0.0674</v>
      </c>
      <c r="T232" t="inlineStr">
        <is>
          <t>adjusted xGOT</t>
        </is>
      </c>
      <c r="U232" s="3" t="n">
        <v>1</v>
      </c>
      <c r="V232" s="3" t="n">
        <v>0.966</v>
      </c>
      <c r="W232" s="3" t="n">
        <v>2</v>
      </c>
      <c r="X232" s="3" t="n">
        <v>0.0211</v>
      </c>
      <c r="Y232" s="3" t="n">
        <v>7.989</v>
      </c>
      <c r="Z232" s="3" t="n">
        <v>0.1940550213993895</v>
      </c>
      <c r="AA232" s="3" t="n">
        <v>0.052</v>
      </c>
      <c r="AB232" s="3" t="n">
        <v>49</v>
      </c>
      <c r="AC232" s="3" t="n">
        <v>2.2165</v>
      </c>
      <c r="AD232" s="3" t="n">
        <v>1.1467</v>
      </c>
      <c r="AE232" s="3" t="n">
        <v>-0.1826025601153342</v>
      </c>
      <c r="AF232" s="4" t="n">
        <v>0</v>
      </c>
      <c r="AG232" s="3" t="n">
        <v>0</v>
      </c>
      <c r="AH232" s="3" t="n">
        <v>0.4044</v>
      </c>
      <c r="AI232" s="3" t="n">
        <v>0.08355599999999999</v>
      </c>
      <c r="AJ232" s="3">
        <f>N(R232)*N(BC232)</f>
        <v/>
      </c>
      <c r="AK232" s="3" t="n">
        <v>0.052</v>
      </c>
      <c r="AL232" s="3" t="n">
        <v>0</v>
      </c>
      <c r="AM232" s="3" t="n">
        <v>-0.348580685135232</v>
      </c>
      <c r="AN232" s="3" t="n">
        <v>-0.1826025601153342</v>
      </c>
      <c r="AO232" s="3">
        <f>SUM(AH232:AN232)</f>
        <v/>
      </c>
      <c r="AP232" s="5">
        <f>IF(OR(N(Q232)&lt;=0,N(BA232)=0),0,N(Q232)*IF(N(M232)/N(Q232)&gt;=60,N(BA232),1))</f>
        <v/>
      </c>
      <c r="AQ232" s="5">
        <f>N(Q232)*N(Z232)*N(BB232)</f>
        <v/>
      </c>
      <c r="AR232" s="5">
        <f>N(AF232)*(Assumptions!$B$13*N(BD232)-(1-Assumptions!$B$13)*Assumptions!$B$14)+N(AG232)</f>
        <v/>
      </c>
      <c r="AS232" s="5">
        <f>N(AO232)*N(M232)/90+N(AP232)+N(AQ232)+N(AR232)</f>
        <v/>
      </c>
      <c r="AT232" s="3">
        <f>IF(N(M232)&lt;=0,0,(N(AS232)-N(AR232))*90/N(M232))</f>
        <v/>
      </c>
      <c r="AU232" s="5">
        <f>IFERROR(AS232-VLOOKUP($C232,Assumptions!$A$36:$C$39,3,FALSE),"")</f>
        <v/>
      </c>
      <c r="AV232" s="3">
        <f>IFERROR(AU232/F232,"")</f>
        <v/>
      </c>
      <c r="AW232">
        <f>IF(AND($E232=TRUE,$C232="GKP"),AS232,"")</f>
        <v/>
      </c>
      <c r="AX232">
        <f>IF(AND($E232=TRUE,$C232="DEF"),AS232,"")</f>
        <v/>
      </c>
      <c r="AY232">
        <f>IF(AND($E232=TRUE,$C232="MID"),AS232,"")</f>
        <v/>
      </c>
      <c r="AZ232">
        <f>IF(AND($E232=TRUE,$C232="FWD"),AS232,"")</f>
        <v/>
      </c>
      <c r="BA232" t="n">
        <v>2</v>
      </c>
      <c r="BB232" t="n">
        <v>2</v>
      </c>
      <c r="BC232" t="n">
        <v>4</v>
      </c>
      <c r="BD232" t="n">
        <v>6</v>
      </c>
    </row>
    <row r="233">
      <c r="A233" t="inlineStr">
        <is>
          <t>Carlos Baleba</t>
        </is>
      </c>
      <c r="B233" t="inlineStr">
        <is>
          <t>BHA</t>
        </is>
      </c>
      <c r="C233" t="inlineStr">
        <is>
          <t>MID</t>
        </is>
      </c>
      <c r="D233" t="inlineStr">
        <is>
          <t>MID</t>
        </is>
      </c>
      <c r="E233" t="b">
        <v>1</v>
      </c>
      <c r="F233" s="2" t="n">
        <v>5</v>
      </c>
      <c r="G233" t="inlineStr">
        <is>
          <t>i</t>
        </is>
      </c>
      <c r="H233" t="inlineStr">
        <is>
          <t>Ankle injury - Expected back 23 Aug</t>
        </is>
      </c>
      <c r="I233" s="2" t="n">
        <v>1646</v>
      </c>
      <c r="J233" t="n">
        <v>56</v>
      </c>
      <c r="K233" s="3" t="n">
        <v>1989</v>
      </c>
      <c r="L233" t="inlineStr">
        <is>
          <t>flat</t>
        </is>
      </c>
      <c r="M233" s="4" t="n">
        <v>1989</v>
      </c>
      <c r="N233" t="inlineStr">
        <is>
          <t>Solio</t>
        </is>
      </c>
      <c r="O233" s="5" t="n">
        <v>66.40000000000001</v>
      </c>
      <c r="P233" t="b">
        <v>1</v>
      </c>
      <c r="Q233" s="5">
        <f>IF(N(O233)&lt;=0,0,MIN(Assumptions!$B$15,N(M233)/N(O233)))</f>
        <v/>
      </c>
      <c r="R233" s="4" t="n">
        <v>0.252</v>
      </c>
      <c r="S233" s="3" t="n">
        <v>0.0429</v>
      </c>
      <c r="T233" t="inlineStr">
        <is>
          <t>adjusted xGOT</t>
        </is>
      </c>
      <c r="U233" s="3" t="n">
        <v>1</v>
      </c>
      <c r="V233" s="3" t="n">
        <v>1.006</v>
      </c>
      <c r="W233" s="3" t="n">
        <v>4.7</v>
      </c>
      <c r="X233" s="3" t="n">
        <v>0.0419</v>
      </c>
      <c r="Y233" s="3" t="n">
        <v>10.56</v>
      </c>
      <c r="Z233" s="3" t="n">
        <v>0.09742593600422622</v>
      </c>
      <c r="AA233" s="3" t="n">
        <v>0</v>
      </c>
      <c r="AB233" s="3" t="n">
        <v>46</v>
      </c>
      <c r="AC233" s="3" t="n">
        <v>2.8404</v>
      </c>
      <c r="AD233" s="3" t="n">
        <v>1.439</v>
      </c>
      <c r="AE233" s="3" t="n">
        <v>-0.2687947400489801</v>
      </c>
      <c r="AF233" s="4" t="n">
        <v>0</v>
      </c>
      <c r="AG233" s="3" t="n">
        <v>0</v>
      </c>
      <c r="AH233" s="3" t="n">
        <v>0.2145</v>
      </c>
      <c r="AI233" s="3" t="n">
        <v>0.165924</v>
      </c>
      <c r="AJ233" s="3">
        <f>N(R233)*N(BC233)</f>
        <v/>
      </c>
      <c r="AK233" s="3" t="n">
        <v>0</v>
      </c>
      <c r="AL233" s="3" t="n">
        <v>0</v>
      </c>
      <c r="AM233" s="3" t="n">
        <v>-0</v>
      </c>
      <c r="AN233" s="3" t="n">
        <v>-0.2687947400489801</v>
      </c>
      <c r="AO233" s="3">
        <f>SUM(AH233:AN233)</f>
        <v/>
      </c>
      <c r="AP233" s="5">
        <f>IF(OR(N(Q233)&lt;=0,N(BA233)=0),0,N(Q233)*IF(N(M233)/N(Q233)&gt;=60,N(BA233),1))</f>
        <v/>
      </c>
      <c r="AQ233" s="5">
        <f>N(Q233)*N(Z233)*N(BB233)</f>
        <v/>
      </c>
      <c r="AR233" s="5">
        <f>N(AF233)*(Assumptions!$B$13*N(BD233)-(1-Assumptions!$B$13)*Assumptions!$B$14)+N(AG233)</f>
        <v/>
      </c>
      <c r="AS233" s="5">
        <f>N(AO233)*N(M233)/90+N(AP233)+N(AQ233)+N(AR233)</f>
        <v/>
      </c>
      <c r="AT233" s="3">
        <f>IF(N(M233)&lt;=0,0,(N(AS233)-N(AR233))*90/N(M233))</f>
        <v/>
      </c>
      <c r="AU233" s="5">
        <f>IFERROR(AS233-VLOOKUP($C233,Assumptions!$A$36:$C$39,3,FALSE),"")</f>
        <v/>
      </c>
      <c r="AV233" s="3">
        <f>IFERROR(AU233/F233,"")</f>
        <v/>
      </c>
      <c r="AW233">
        <f>IF(AND($E233=TRUE,$C233="GKP"),AS233,"")</f>
        <v/>
      </c>
      <c r="AX233">
        <f>IF(AND($E233=TRUE,$C233="DEF"),AS233,"")</f>
        <v/>
      </c>
      <c r="AY233">
        <f>IF(AND($E233=TRUE,$C233="MID"),AS233,"")</f>
        <v/>
      </c>
      <c r="AZ233">
        <f>IF(AND($E233=TRUE,$C233="FWD"),AS233,"")</f>
        <v/>
      </c>
      <c r="BA233" t="n">
        <v>2</v>
      </c>
      <c r="BB233" t="n">
        <v>2</v>
      </c>
      <c r="BC233" t="n">
        <v>1</v>
      </c>
      <c r="BD233" t="n">
        <v>5</v>
      </c>
    </row>
    <row r="234">
      <c r="A234" t="inlineStr">
        <is>
          <t>Sean Longstaff</t>
        </is>
      </c>
      <c r="B234" t="inlineStr">
        <is>
          <t>LEE</t>
        </is>
      </c>
      <c r="C234" t="inlineStr">
        <is>
          <t>MID</t>
        </is>
      </c>
      <c r="D234" t="inlineStr">
        <is>
          <t>MID</t>
        </is>
      </c>
      <c r="E234" t="b">
        <v>1</v>
      </c>
      <c r="F234" s="2" t="n">
        <v>5</v>
      </c>
      <c r="G234" t="inlineStr">
        <is>
          <t>a</t>
        </is>
      </c>
      <c r="I234" s="2" t="n">
        <v>1003</v>
      </c>
      <c r="J234" t="n">
        <v>56</v>
      </c>
      <c r="K234" s="3" t="n">
        <v>452</v>
      </c>
      <c r="L234" t="inlineStr">
        <is>
          <t>flat</t>
        </is>
      </c>
      <c r="M234" s="4" t="n">
        <v>452</v>
      </c>
      <c r="N234" t="inlineStr">
        <is>
          <t>Solio</t>
        </is>
      </c>
      <c r="O234" s="5" t="n">
        <v>84.40000000000001</v>
      </c>
      <c r="P234" t="b">
        <v>1</v>
      </c>
      <c r="Q234" s="5">
        <f>IF(N(O234)&lt;=0,0,MIN(Assumptions!$B$15,N(M234)/N(O234)))</f>
        <v/>
      </c>
      <c r="R234" s="4" t="n">
        <v>0.218</v>
      </c>
      <c r="S234" s="3" t="n">
        <v>0.1032</v>
      </c>
      <c r="T234" t="inlineStr">
        <is>
          <t>adjusted xGOT</t>
        </is>
      </c>
      <c r="U234" s="3" t="n">
        <v>1</v>
      </c>
      <c r="V234" s="3" t="n">
        <v>0.9350000000000001</v>
      </c>
      <c r="W234" s="3" t="n">
        <v>11.9</v>
      </c>
      <c r="X234" s="3" t="n">
        <v>0.2081</v>
      </c>
      <c r="Y234" s="3" t="n">
        <v>9.33</v>
      </c>
      <c r="Z234" s="3" t="n">
        <v>0.1733826472607387</v>
      </c>
      <c r="AA234" s="3" t="n">
        <v>0.4487</v>
      </c>
      <c r="AB234" s="3" t="n">
        <v>32</v>
      </c>
      <c r="AC234" s="3" t="n">
        <v>3.0611</v>
      </c>
      <c r="AD234" s="3" t="n">
        <v>1.5875</v>
      </c>
      <c r="AE234" s="3" t="n">
        <v>-0.222926749447464</v>
      </c>
      <c r="AF234" s="4" t="n">
        <v>0</v>
      </c>
      <c r="AG234" s="3" t="n">
        <v>0</v>
      </c>
      <c r="AH234" s="3" t="n">
        <v>0.516</v>
      </c>
      <c r="AI234" s="3" t="n">
        <v>0.8240760000000001</v>
      </c>
      <c r="AJ234" s="3">
        <f>N(R234)*N(BC234)</f>
        <v/>
      </c>
      <c r="AK234" s="3" t="n">
        <v>0.4487</v>
      </c>
      <c r="AL234" s="3" t="n">
        <v>0</v>
      </c>
      <c r="AM234" s="3" t="n">
        <v>-0</v>
      </c>
      <c r="AN234" s="3" t="n">
        <v>-0.222926749447464</v>
      </c>
      <c r="AO234" s="3">
        <f>SUM(AH234:AN234)</f>
        <v/>
      </c>
      <c r="AP234" s="5">
        <f>IF(OR(N(Q234)&lt;=0,N(BA234)=0),0,N(Q234)*IF(N(M234)/N(Q234)&gt;=60,N(BA234),1))</f>
        <v/>
      </c>
      <c r="AQ234" s="5">
        <f>N(Q234)*N(Z234)*N(BB234)</f>
        <v/>
      </c>
      <c r="AR234" s="5">
        <f>N(AF234)*(Assumptions!$B$13*N(BD234)-(1-Assumptions!$B$13)*Assumptions!$B$14)+N(AG234)</f>
        <v/>
      </c>
      <c r="AS234" s="5">
        <f>N(AO234)*N(M234)/90+N(AP234)+N(AQ234)+N(AR234)</f>
        <v/>
      </c>
      <c r="AT234" s="3">
        <f>IF(N(M234)&lt;=0,0,(N(AS234)-N(AR234))*90/N(M234))</f>
        <v/>
      </c>
      <c r="AU234" s="5">
        <f>IFERROR(AS234-VLOOKUP($C234,Assumptions!$A$36:$C$39,3,FALSE),"")</f>
        <v/>
      </c>
      <c r="AV234" s="3">
        <f>IFERROR(AU234/F234,"")</f>
        <v/>
      </c>
      <c r="AW234">
        <f>IF(AND($E234=TRUE,$C234="GKP"),AS234,"")</f>
        <v/>
      </c>
      <c r="AX234">
        <f>IF(AND($E234=TRUE,$C234="DEF"),AS234,"")</f>
        <v/>
      </c>
      <c r="AY234">
        <f>IF(AND($E234=TRUE,$C234="MID"),AS234,"")</f>
        <v/>
      </c>
      <c r="AZ234">
        <f>IF(AND($E234=TRUE,$C234="FWD"),AS234,"")</f>
        <v/>
      </c>
      <c r="BA234" t="n">
        <v>2</v>
      </c>
      <c r="BB234" t="n">
        <v>2</v>
      </c>
      <c r="BC234" t="n">
        <v>1</v>
      </c>
      <c r="BD234" t="n">
        <v>5</v>
      </c>
    </row>
    <row r="235">
      <c r="A235" t="inlineStr">
        <is>
          <t>Omar Marmoush</t>
        </is>
      </c>
      <c r="B235" t="inlineStr">
        <is>
          <t>MCI</t>
        </is>
      </c>
      <c r="C235" t="inlineStr">
        <is>
          <t>FWD</t>
        </is>
      </c>
      <c r="D235" t="inlineStr">
        <is>
          <t>MID</t>
        </is>
      </c>
      <c r="E235" t="b">
        <v>1</v>
      </c>
      <c r="F235" s="2" t="n">
        <v>7</v>
      </c>
      <c r="G235" t="inlineStr">
        <is>
          <t>a</t>
        </is>
      </c>
      <c r="I235" s="2" t="n">
        <v>691</v>
      </c>
      <c r="J235" t="n">
        <v>56</v>
      </c>
      <c r="K235" s="3" t="n">
        <v>349</v>
      </c>
      <c r="L235" t="inlineStr">
        <is>
          <t>flat</t>
        </is>
      </c>
      <c r="M235" s="4" t="n">
        <v>349</v>
      </c>
      <c r="N235" t="inlineStr">
        <is>
          <t>Solio</t>
        </is>
      </c>
      <c r="O235" s="5" t="n">
        <v>64.8</v>
      </c>
      <c r="P235" t="b">
        <v>1</v>
      </c>
      <c r="Q235" s="5">
        <f>IF(N(O235)&lt;=0,0,MIN(Assumptions!$B$15,N(M235)/N(O235)))</f>
        <v/>
      </c>
      <c r="R235" s="4" t="n">
        <v>0.371</v>
      </c>
      <c r="S235" s="3" t="n">
        <v>0.3489</v>
      </c>
      <c r="T235" t="inlineStr">
        <is>
          <t>adjusted xGOT</t>
        </is>
      </c>
      <c r="U235" s="3" t="n">
        <v>1</v>
      </c>
      <c r="V235" s="3" t="n">
        <v>0.964</v>
      </c>
      <c r="W235" s="3" t="n">
        <v>8.199999999999999</v>
      </c>
      <c r="X235" s="3" t="n">
        <v>0.1887</v>
      </c>
      <c r="Y235" s="3" t="n">
        <v>6.864</v>
      </c>
      <c r="Z235" s="3" t="n">
        <v>0.004992029525837882</v>
      </c>
      <c r="AA235" s="3" t="n">
        <v>0.6512</v>
      </c>
      <c r="AB235" s="3" t="n">
        <v>26</v>
      </c>
      <c r="AC235" s="3" t="n">
        <v>1.9737</v>
      </c>
      <c r="AD235" s="3" t="n">
        <v>1.0365</v>
      </c>
      <c r="AE235" s="3" t="n">
        <v>-0.189665894755715</v>
      </c>
      <c r="AF235" s="4" t="n">
        <v>0.0414562730263571</v>
      </c>
      <c r="AG235" s="3" t="n">
        <v>0</v>
      </c>
      <c r="AH235" s="3" t="n">
        <v>1.3956</v>
      </c>
      <c r="AI235" s="3" t="n">
        <v>0.7472520000000001</v>
      </c>
      <c r="AJ235" s="3">
        <f>N(R235)*N(BC235)</f>
        <v/>
      </c>
      <c r="AK235" s="3" t="n">
        <v>0.6512</v>
      </c>
      <c r="AL235" s="3" t="n">
        <v>0</v>
      </c>
      <c r="AM235" s="3" t="n">
        <v>-0</v>
      </c>
      <c r="AN235" s="3" t="n">
        <v>-0.189665894755715</v>
      </c>
      <c r="AO235" s="3">
        <f>SUM(AH235:AN235)</f>
        <v/>
      </c>
      <c r="AP235" s="5">
        <f>IF(OR(N(Q235)&lt;=0,N(BA235)=0),0,N(Q235)*IF(N(M235)/N(Q235)&gt;=60,N(BA235),1))</f>
        <v/>
      </c>
      <c r="AQ235" s="5">
        <f>N(Q235)*N(Z235)*N(BB235)</f>
        <v/>
      </c>
      <c r="AR235" s="5">
        <f>N(AF235)*(Assumptions!$B$13*N(BD235)-(1-Assumptions!$B$13)*Assumptions!$B$14)+N(AG235)</f>
        <v/>
      </c>
      <c r="AS235" s="5">
        <f>N(AO235)*N(M235)/90+N(AP235)+N(AQ235)+N(AR235)</f>
        <v/>
      </c>
      <c r="AT235" s="3">
        <f>IF(N(M235)&lt;=0,0,(N(AS235)-N(AR235))*90/N(M235))</f>
        <v/>
      </c>
      <c r="AU235" s="5">
        <f>IFERROR(AS235-VLOOKUP($C235,Assumptions!$A$36:$C$39,3,FALSE),"")</f>
        <v/>
      </c>
      <c r="AV235" s="3">
        <f>IFERROR(AU235/F235,"")</f>
        <v/>
      </c>
      <c r="AW235">
        <f>IF(AND($E235=TRUE,$C235="GKP"),AS235,"")</f>
        <v/>
      </c>
      <c r="AX235">
        <f>IF(AND($E235=TRUE,$C235="DEF"),AS235,"")</f>
        <v/>
      </c>
      <c r="AY235">
        <f>IF(AND($E235=TRUE,$C235="MID"),AS235,"")</f>
        <v/>
      </c>
      <c r="AZ235">
        <f>IF(AND($E235=TRUE,$C235="FWD"),AS235,"")</f>
        <v/>
      </c>
      <c r="BA235" t="n">
        <v>2</v>
      </c>
      <c r="BB235" t="n">
        <v>2</v>
      </c>
      <c r="BC235" t="n">
        <v>0</v>
      </c>
      <c r="BD235" t="n">
        <v>4</v>
      </c>
    </row>
    <row r="236">
      <c r="A236" t="inlineStr">
        <is>
          <t>Alejandro Garnacho</t>
        </is>
      </c>
      <c r="B236" t="inlineStr">
        <is>
          <t>AVL</t>
        </is>
      </c>
      <c r="C236" t="inlineStr">
        <is>
          <t>MID</t>
        </is>
      </c>
      <c r="D236" t="inlineStr">
        <is>
          <t>MID</t>
        </is>
      </c>
      <c r="E236" t="b">
        <v>1</v>
      </c>
      <c r="F236" s="2" t="n">
        <v>6</v>
      </c>
      <c r="G236" t="inlineStr">
        <is>
          <t>a</t>
        </is>
      </c>
      <c r="I236" s="2" t="n">
        <v>1261</v>
      </c>
      <c r="J236" t="n">
        <v>56</v>
      </c>
      <c r="K236" s="3" t="n">
        <v>1949</v>
      </c>
      <c r="L236" t="inlineStr">
        <is>
          <t>flat</t>
        </is>
      </c>
      <c r="M236" s="4" t="n">
        <v>1949</v>
      </c>
      <c r="N236" t="inlineStr">
        <is>
          <t>Solio</t>
        </is>
      </c>
      <c r="O236" s="5" t="n">
        <v>68.2</v>
      </c>
      <c r="P236" t="b">
        <v>1</v>
      </c>
      <c r="Q236" s="5">
        <f>IF(N(O236)&lt;=0,0,MIN(Assumptions!$B$15,N(M236)/N(O236)))</f>
        <v/>
      </c>
      <c r="R236" s="4" t="n">
        <v>0.273</v>
      </c>
      <c r="S236" s="3" t="n">
        <v>0.2183</v>
      </c>
      <c r="T236" t="inlineStr">
        <is>
          <t>adjusted xGOT</t>
        </is>
      </c>
      <c r="U236" s="3" t="n">
        <v>1</v>
      </c>
      <c r="V236" s="3" t="n">
        <v>0.889</v>
      </c>
      <c r="W236" s="3" t="n">
        <v>22</v>
      </c>
      <c r="X236" s="3" t="n">
        <v>0.2819</v>
      </c>
      <c r="Y236" s="3" t="n">
        <v>6.343</v>
      </c>
      <c r="Z236" s="3" t="n">
        <v>0.004034150154946237</v>
      </c>
      <c r="AA236" s="3" t="n">
        <v>0.2141</v>
      </c>
      <c r="AB236" s="3" t="n">
        <v>34</v>
      </c>
      <c r="AC236" s="3" t="n">
        <v>2.7451</v>
      </c>
      <c r="AD236" s="3" t="n">
        <v>1.3575</v>
      </c>
      <c r="AE236" s="3" t="n">
        <v>-0.1700554686066959</v>
      </c>
      <c r="AF236" s="4" t="n">
        <v>0</v>
      </c>
      <c r="AG236" s="3" t="n">
        <v>0</v>
      </c>
      <c r="AH236" s="3" t="n">
        <v>1.0915</v>
      </c>
      <c r="AI236" s="3" t="n">
        <v>1.116324</v>
      </c>
      <c r="AJ236" s="3">
        <f>N(R236)*N(BC236)</f>
        <v/>
      </c>
      <c r="AK236" s="3" t="n">
        <v>0.2141</v>
      </c>
      <c r="AL236" s="3" t="n">
        <v>0</v>
      </c>
      <c r="AM236" s="3" t="n">
        <v>-0</v>
      </c>
      <c r="AN236" s="3" t="n">
        <v>-0.1700554686066959</v>
      </c>
      <c r="AO236" s="3">
        <f>SUM(AH236:AN236)</f>
        <v/>
      </c>
      <c r="AP236" s="5">
        <f>IF(OR(N(Q236)&lt;=0,N(BA236)=0),0,N(Q236)*IF(N(M236)/N(Q236)&gt;=60,N(BA236),1))</f>
        <v/>
      </c>
      <c r="AQ236" s="5">
        <f>N(Q236)*N(Z236)*N(BB236)</f>
        <v/>
      </c>
      <c r="AR236" s="5">
        <f>N(AF236)*(Assumptions!$B$13*N(BD236)-(1-Assumptions!$B$13)*Assumptions!$B$14)+N(AG236)</f>
        <v/>
      </c>
      <c r="AS236" s="5">
        <f>N(AO236)*N(M236)/90+N(AP236)+N(AQ236)+N(AR236)</f>
        <v/>
      </c>
      <c r="AT236" s="3">
        <f>IF(N(M236)&lt;=0,0,(N(AS236)-N(AR236))*90/N(M236))</f>
        <v/>
      </c>
      <c r="AU236" s="5">
        <f>IFERROR(AS236-VLOOKUP($C236,Assumptions!$A$36:$C$39,3,FALSE),"")</f>
        <v/>
      </c>
      <c r="AV236" s="3">
        <f>IFERROR(AU236/F236,"")</f>
        <v/>
      </c>
      <c r="AW236">
        <f>IF(AND($E236=TRUE,$C236="GKP"),AS236,"")</f>
        <v/>
      </c>
      <c r="AX236">
        <f>IF(AND($E236=TRUE,$C236="DEF"),AS236,"")</f>
        <v/>
      </c>
      <c r="AY236">
        <f>IF(AND($E236=TRUE,$C236="MID"),AS236,"")</f>
        <v/>
      </c>
      <c r="AZ236">
        <f>IF(AND($E236=TRUE,$C236="FWD"),AS236,"")</f>
        <v/>
      </c>
      <c r="BA236" t="n">
        <v>2</v>
      </c>
      <c r="BB236" t="n">
        <v>2</v>
      </c>
      <c r="BC236" t="n">
        <v>1</v>
      </c>
      <c r="BD236" t="n">
        <v>5</v>
      </c>
    </row>
    <row r="237">
      <c r="A237" t="inlineStr">
        <is>
          <t>Ross Barkley</t>
        </is>
      </c>
      <c r="B237" t="inlineStr">
        <is>
          <t>AVL</t>
        </is>
      </c>
      <c r="C237" t="inlineStr">
        <is>
          <t>MID</t>
        </is>
      </c>
      <c r="D237" t="inlineStr">
        <is>
          <t>MID</t>
        </is>
      </c>
      <c r="E237" t="b">
        <v>1</v>
      </c>
      <c r="F237" s="2" t="n">
        <v>5</v>
      </c>
      <c r="G237" t="inlineStr">
        <is>
          <t>a</t>
        </is>
      </c>
      <c r="I237" s="2" t="n">
        <v>844</v>
      </c>
      <c r="J237" t="n">
        <v>56</v>
      </c>
      <c r="K237" s="3" t="n">
        <v>670</v>
      </c>
      <c r="L237" t="inlineStr">
        <is>
          <t>fade (losing his place)</t>
        </is>
      </c>
      <c r="M237" s="4" t="n">
        <v>670</v>
      </c>
      <c r="N237" t="inlineStr">
        <is>
          <t>Solio</t>
        </is>
      </c>
      <c r="O237" s="5" t="n">
        <v>77.09999999999999</v>
      </c>
      <c r="P237" t="b">
        <v>1</v>
      </c>
      <c r="Q237" s="5">
        <f>IF(N(O237)&lt;=0,0,MIN(Assumptions!$B$15,N(M237)/N(O237)))</f>
        <v/>
      </c>
      <c r="R237" s="4" t="n">
        <v>0.273</v>
      </c>
      <c r="S237" s="3" t="n">
        <v>0.183</v>
      </c>
      <c r="T237" t="inlineStr">
        <is>
          <t>adjusted xGOT</t>
        </is>
      </c>
      <c r="U237" s="3" t="n">
        <v>1</v>
      </c>
      <c r="V237" s="3" t="n">
        <v>1.086</v>
      </c>
      <c r="W237" s="3" t="n">
        <v>7.3</v>
      </c>
      <c r="X237" s="3" t="n">
        <v>0.1755</v>
      </c>
      <c r="Y237" s="3" t="n">
        <v>8.207000000000001</v>
      </c>
      <c r="Z237" s="3" t="n">
        <v>0.054746878531855</v>
      </c>
      <c r="AA237" s="3" t="n">
        <v>0.5332</v>
      </c>
      <c r="AB237" s="3" t="n">
        <v>28</v>
      </c>
      <c r="AC237" s="3" t="n">
        <v>2.7451</v>
      </c>
      <c r="AD237" s="3" t="n">
        <v>1.3575</v>
      </c>
      <c r="AE237" s="3" t="n">
        <v>-0.2223636257694815</v>
      </c>
      <c r="AF237" s="4" t="n">
        <v>0</v>
      </c>
      <c r="AG237" s="3" t="n">
        <v>0</v>
      </c>
      <c r="AH237" s="3" t="n">
        <v>0.915</v>
      </c>
      <c r="AI237" s="3" t="n">
        <v>0.69498</v>
      </c>
      <c r="AJ237" s="3">
        <f>N(R237)*N(BC237)</f>
        <v/>
      </c>
      <c r="AK237" s="3" t="n">
        <v>0.5332</v>
      </c>
      <c r="AL237" s="3" t="n">
        <v>0</v>
      </c>
      <c r="AM237" s="3" t="n">
        <v>-0</v>
      </c>
      <c r="AN237" s="3" t="n">
        <v>-0.2223636257694815</v>
      </c>
      <c r="AO237" s="3">
        <f>SUM(AH237:AN237)</f>
        <v/>
      </c>
      <c r="AP237" s="5">
        <f>IF(OR(N(Q237)&lt;=0,N(BA237)=0),0,N(Q237)*IF(N(M237)/N(Q237)&gt;=60,N(BA237),1))</f>
        <v/>
      </c>
      <c r="AQ237" s="5">
        <f>N(Q237)*N(Z237)*N(BB237)</f>
        <v/>
      </c>
      <c r="AR237" s="5">
        <f>N(AF237)*(Assumptions!$B$13*N(BD237)-(1-Assumptions!$B$13)*Assumptions!$B$14)+N(AG237)</f>
        <v/>
      </c>
      <c r="AS237" s="5">
        <f>N(AO237)*N(M237)/90+N(AP237)+N(AQ237)+N(AR237)</f>
        <v/>
      </c>
      <c r="AT237" s="3">
        <f>IF(N(M237)&lt;=0,0,(N(AS237)-N(AR237))*90/N(M237))</f>
        <v/>
      </c>
      <c r="AU237" s="5">
        <f>IFERROR(AS237-VLOOKUP($C237,Assumptions!$A$36:$C$39,3,FALSE),"")</f>
        <v/>
      </c>
      <c r="AV237" s="3">
        <f>IFERROR(AU237/F237,"")</f>
        <v/>
      </c>
      <c r="AW237">
        <f>IF(AND($E237=TRUE,$C237="GKP"),AS237,"")</f>
        <v/>
      </c>
      <c r="AX237">
        <f>IF(AND($E237=TRUE,$C237="DEF"),AS237,"")</f>
        <v/>
      </c>
      <c r="AY237">
        <f>IF(AND($E237=TRUE,$C237="MID"),AS237,"")</f>
        <v/>
      </c>
      <c r="AZ237">
        <f>IF(AND($E237=TRUE,$C237="FWD"),AS237,"")</f>
        <v/>
      </c>
      <c r="BA237" t="n">
        <v>2</v>
      </c>
      <c r="BB237" t="n">
        <v>2</v>
      </c>
      <c r="BC237" t="n">
        <v>1</v>
      </c>
      <c r="BD237" t="n">
        <v>5</v>
      </c>
    </row>
    <row r="238">
      <c r="A238" t="inlineStr">
        <is>
          <t>Ilia Gruev</t>
        </is>
      </c>
      <c r="B238" t="inlineStr">
        <is>
          <t>LEE</t>
        </is>
      </c>
      <c r="C238" t="inlineStr">
        <is>
          <t>MID</t>
        </is>
      </c>
      <c r="D238" t="inlineStr">
        <is>
          <t>MID</t>
        </is>
      </c>
      <c r="E238" t="b">
        <v>1</v>
      </c>
      <c r="F238" s="2" t="n">
        <v>5</v>
      </c>
      <c r="G238" t="inlineStr">
        <is>
          <t>a</t>
        </is>
      </c>
      <c r="I238" s="2" t="n">
        <v>1318</v>
      </c>
      <c r="J238" t="n">
        <v>56</v>
      </c>
      <c r="K238" s="3" t="n">
        <v>502</v>
      </c>
      <c r="L238" t="inlineStr">
        <is>
          <t>flat</t>
        </is>
      </c>
      <c r="M238" s="4" t="n">
        <v>502</v>
      </c>
      <c r="N238" t="inlineStr">
        <is>
          <t>Solio</t>
        </is>
      </c>
      <c r="O238" s="5" t="n">
        <v>79.2</v>
      </c>
      <c r="P238" t="b">
        <v>1</v>
      </c>
      <c r="Q238" s="5">
        <f>IF(N(O238)&lt;=0,0,MIN(Assumptions!$B$15,N(M238)/N(O238)))</f>
        <v/>
      </c>
      <c r="R238" s="4" t="n">
        <v>0.218</v>
      </c>
      <c r="S238" s="3" t="n">
        <v>0.0323</v>
      </c>
      <c r="T238" t="inlineStr">
        <is>
          <t>adjusted xGOT</t>
        </is>
      </c>
      <c r="U238" s="3" t="n">
        <v>1</v>
      </c>
      <c r="V238" s="3" t="n">
        <v>0.966</v>
      </c>
      <c r="W238" s="3" t="n">
        <v>0.5</v>
      </c>
      <c r="X238" s="3" t="n">
        <v>0.0804</v>
      </c>
      <c r="Y238" s="3" t="n">
        <v>8.064</v>
      </c>
      <c r="Z238" s="3" t="n">
        <v>0.05782091132412404</v>
      </c>
      <c r="AA238" s="3" t="n">
        <v>0.2049</v>
      </c>
      <c r="AB238" s="3" t="n">
        <v>37</v>
      </c>
      <c r="AC238" s="3" t="n">
        <v>3.0611</v>
      </c>
      <c r="AD238" s="3" t="n">
        <v>1.5875</v>
      </c>
      <c r="AE238" s="3" t="n">
        <v>-0.2186465119422614</v>
      </c>
      <c r="AF238" s="4" t="n">
        <v>0</v>
      </c>
      <c r="AG238" s="3" t="n">
        <v>0</v>
      </c>
      <c r="AH238" s="3" t="n">
        <v>0.1615</v>
      </c>
      <c r="AI238" s="3" t="n">
        <v>0.318384</v>
      </c>
      <c r="AJ238" s="3">
        <f>N(R238)*N(BC238)</f>
        <v/>
      </c>
      <c r="AK238" s="3" t="n">
        <v>0.2049</v>
      </c>
      <c r="AL238" s="3" t="n">
        <v>0</v>
      </c>
      <c r="AM238" s="3" t="n">
        <v>-0</v>
      </c>
      <c r="AN238" s="3" t="n">
        <v>-0.2186465119422614</v>
      </c>
      <c r="AO238" s="3">
        <f>SUM(AH238:AN238)</f>
        <v/>
      </c>
      <c r="AP238" s="5">
        <f>IF(OR(N(Q238)&lt;=0,N(BA238)=0),0,N(Q238)*IF(N(M238)/N(Q238)&gt;=60,N(BA238),1))</f>
        <v/>
      </c>
      <c r="AQ238" s="5">
        <f>N(Q238)*N(Z238)*N(BB238)</f>
        <v/>
      </c>
      <c r="AR238" s="5">
        <f>N(AF238)*(Assumptions!$B$13*N(BD238)-(1-Assumptions!$B$13)*Assumptions!$B$14)+N(AG238)</f>
        <v/>
      </c>
      <c r="AS238" s="5">
        <f>N(AO238)*N(M238)/90+N(AP238)+N(AQ238)+N(AR238)</f>
        <v/>
      </c>
      <c r="AT238" s="3">
        <f>IF(N(M238)&lt;=0,0,(N(AS238)-N(AR238))*90/N(M238))</f>
        <v/>
      </c>
      <c r="AU238" s="5">
        <f>IFERROR(AS238-VLOOKUP($C238,Assumptions!$A$36:$C$39,3,FALSE),"")</f>
        <v/>
      </c>
      <c r="AV238" s="3">
        <f>IFERROR(AU238/F238,"")</f>
        <v/>
      </c>
      <c r="AW238">
        <f>IF(AND($E238=TRUE,$C238="GKP"),AS238,"")</f>
        <v/>
      </c>
      <c r="AX238">
        <f>IF(AND($E238=TRUE,$C238="DEF"),AS238,"")</f>
        <v/>
      </c>
      <c r="AY238">
        <f>IF(AND($E238=TRUE,$C238="MID"),AS238,"")</f>
        <v/>
      </c>
      <c r="AZ238">
        <f>IF(AND($E238=TRUE,$C238="FWD"),AS238,"")</f>
        <v/>
      </c>
      <c r="BA238" t="n">
        <v>2</v>
      </c>
      <c r="BB238" t="n">
        <v>2</v>
      </c>
      <c r="BC238" t="n">
        <v>1</v>
      </c>
      <c r="BD238" t="n">
        <v>5</v>
      </c>
    </row>
    <row r="239">
      <c r="A239" t="inlineStr">
        <is>
          <t>Andy Robertson</t>
        </is>
      </c>
      <c r="B239" t="inlineStr">
        <is>
          <t>TOT</t>
        </is>
      </c>
      <c r="C239" t="inlineStr">
        <is>
          <t>DEF</t>
        </is>
      </c>
      <c r="D239" t="inlineStr">
        <is>
          <t>DEF</t>
        </is>
      </c>
      <c r="E239" t="b">
        <v>1</v>
      </c>
      <c r="F239" s="2" t="n">
        <v>4.5</v>
      </c>
      <c r="G239" t="inlineStr">
        <is>
          <t>a</t>
        </is>
      </c>
      <c r="I239" s="2" t="n">
        <v>1165</v>
      </c>
      <c r="J239" t="n">
        <v>55</v>
      </c>
      <c r="K239" s="3" t="n">
        <v>718</v>
      </c>
      <c r="L239" t="inlineStr">
        <is>
          <t>flat</t>
        </is>
      </c>
      <c r="M239" s="4" t="n">
        <v>718</v>
      </c>
      <c r="N239" t="inlineStr">
        <is>
          <t>Solio</t>
        </is>
      </c>
      <c r="O239" s="5" t="n">
        <v>79.59999999999999</v>
      </c>
      <c r="P239" t="b">
        <v>1</v>
      </c>
      <c r="Q239" s="5">
        <f>IF(N(O239)&lt;=0,0,MIN(Assumptions!$B$15,N(M239)/N(O239)))</f>
        <v/>
      </c>
      <c r="R239" s="4" t="n">
        <v>0.286</v>
      </c>
      <c r="S239" s="3" t="n">
        <v>0.0814</v>
      </c>
      <c r="T239" t="inlineStr">
        <is>
          <t>adjusted xGOT</t>
        </is>
      </c>
      <c r="U239" s="3" t="n">
        <v>1</v>
      </c>
      <c r="V239" s="3" t="n">
        <v>0.958</v>
      </c>
      <c r="W239" s="3" t="n">
        <v>5.4</v>
      </c>
      <c r="X239" s="3" t="n">
        <v>0.1124</v>
      </c>
      <c r="Y239" s="3" t="n">
        <v>5.561</v>
      </c>
      <c r="Z239" s="3" t="n">
        <v>0.02896429274091361</v>
      </c>
      <c r="AA239" s="3" t="n">
        <v>0.309</v>
      </c>
      <c r="AB239" s="3" t="n">
        <v>33</v>
      </c>
      <c r="AC239" s="3" t="n">
        <v>2.5739</v>
      </c>
      <c r="AD239" s="3" t="n">
        <v>1.3096</v>
      </c>
      <c r="AE239" s="3" t="n">
        <v>-0.1256424160049873</v>
      </c>
      <c r="AF239" s="4" t="n">
        <v>0</v>
      </c>
      <c r="AG239" s="3" t="n">
        <v>0</v>
      </c>
      <c r="AH239" s="3" t="n">
        <v>0.4884</v>
      </c>
      <c r="AI239" s="3" t="n">
        <v>0.445104</v>
      </c>
      <c r="AJ239" s="3">
        <f>N(R239)*N(BC239)</f>
        <v/>
      </c>
      <c r="AK239" s="3" t="n">
        <v>0.309</v>
      </c>
      <c r="AL239" s="3" t="n">
        <v>0</v>
      </c>
      <c r="AM239" s="3" t="n">
        <v>-0.4230152821052008</v>
      </c>
      <c r="AN239" s="3" t="n">
        <v>-0.1256424160049873</v>
      </c>
      <c r="AO239" s="3">
        <f>SUM(AH239:AN239)</f>
        <v/>
      </c>
      <c r="AP239" s="5">
        <f>IF(OR(N(Q239)&lt;=0,N(BA239)=0),0,N(Q239)*IF(N(M239)/N(Q239)&gt;=60,N(BA239),1))</f>
        <v/>
      </c>
      <c r="AQ239" s="5">
        <f>N(Q239)*N(Z239)*N(BB239)</f>
        <v/>
      </c>
      <c r="AR239" s="5">
        <f>N(AF239)*(Assumptions!$B$13*N(BD239)-(1-Assumptions!$B$13)*Assumptions!$B$14)+N(AG239)</f>
        <v/>
      </c>
      <c r="AS239" s="5">
        <f>N(AO239)*N(M239)/90+N(AP239)+N(AQ239)+N(AR239)</f>
        <v/>
      </c>
      <c r="AT239" s="3">
        <f>IF(N(M239)&lt;=0,0,(N(AS239)-N(AR239))*90/N(M239))</f>
        <v/>
      </c>
      <c r="AU239" s="5">
        <f>IFERROR(AS239-VLOOKUP($C239,Assumptions!$A$36:$C$39,3,FALSE),"")</f>
        <v/>
      </c>
      <c r="AV239" s="3">
        <f>IFERROR(AU239/F239,"")</f>
        <v/>
      </c>
      <c r="AW239">
        <f>IF(AND($E239=TRUE,$C239="GKP"),AS239,"")</f>
        <v/>
      </c>
      <c r="AX239">
        <f>IF(AND($E239=TRUE,$C239="DEF"),AS239,"")</f>
        <v/>
      </c>
      <c r="AY239">
        <f>IF(AND($E239=TRUE,$C239="MID"),AS239,"")</f>
        <v/>
      </c>
      <c r="AZ239">
        <f>IF(AND($E239=TRUE,$C239="FWD"),AS239,"")</f>
        <v/>
      </c>
      <c r="BA239" t="n">
        <v>2</v>
      </c>
      <c r="BB239" t="n">
        <v>2</v>
      </c>
      <c r="BC239" t="n">
        <v>4</v>
      </c>
      <c r="BD239" t="n">
        <v>6</v>
      </c>
    </row>
    <row r="240">
      <c r="A240" t="inlineStr">
        <is>
          <t>Ian Maatsen</t>
        </is>
      </c>
      <c r="B240" t="inlineStr">
        <is>
          <t>AVL</t>
        </is>
      </c>
      <c r="C240" t="inlineStr">
        <is>
          <t>DEF</t>
        </is>
      </c>
      <c r="D240" t="inlineStr">
        <is>
          <t>DEF</t>
        </is>
      </c>
      <c r="E240" t="b">
        <v>1</v>
      </c>
      <c r="F240" s="2" t="n">
        <v>4.5</v>
      </c>
      <c r="G240" t="inlineStr">
        <is>
          <t>a</t>
        </is>
      </c>
      <c r="I240" s="2" t="n">
        <v>1590</v>
      </c>
      <c r="J240" t="n">
        <v>54</v>
      </c>
      <c r="K240" s="3" t="n">
        <v>3004</v>
      </c>
      <c r="L240" t="inlineStr">
        <is>
          <t>flat</t>
        </is>
      </c>
      <c r="M240" s="4" t="n">
        <v>3004</v>
      </c>
      <c r="N240" t="inlineStr">
        <is>
          <t>Solio</t>
        </is>
      </c>
      <c r="O240" s="5" t="n">
        <v>81.40000000000001</v>
      </c>
      <c r="P240" t="b">
        <v>1</v>
      </c>
      <c r="Q240" s="5">
        <f>IF(N(O240)&lt;=0,0,MIN(Assumptions!$B$15,N(M240)/N(O240)))</f>
        <v/>
      </c>
      <c r="R240" s="4" t="n">
        <v>0.273</v>
      </c>
      <c r="S240" s="3" t="n">
        <v>0.0643</v>
      </c>
      <c r="T240" t="inlineStr">
        <is>
          <t>adjusted xGOT</t>
        </is>
      </c>
      <c r="U240" s="3" t="n">
        <v>1</v>
      </c>
      <c r="V240" s="3" t="n">
        <v>0.902</v>
      </c>
      <c r="W240" s="3" t="n">
        <v>2.9</v>
      </c>
      <c r="X240" s="3" t="n">
        <v>0.1516</v>
      </c>
      <c r="Y240" s="3" t="n">
        <v>7.382</v>
      </c>
      <c r="Z240" s="3" t="n">
        <v>0.1382800997169974</v>
      </c>
      <c r="AA240" s="3" t="n">
        <v>0.0566</v>
      </c>
      <c r="AB240" s="3" t="n">
        <v>47</v>
      </c>
      <c r="AC240" s="3" t="n">
        <v>2.7451</v>
      </c>
      <c r="AD240" s="3" t="n">
        <v>1.3575</v>
      </c>
      <c r="AE240" s="3" t="n">
        <v>-0.1765454093646375</v>
      </c>
      <c r="AF240" s="4" t="n">
        <v>0</v>
      </c>
      <c r="AG240" s="3" t="n">
        <v>0</v>
      </c>
      <c r="AH240" s="3" t="n">
        <v>0.3858</v>
      </c>
      <c r="AI240" s="3" t="n">
        <v>0.6003360000000001</v>
      </c>
      <c r="AJ240" s="3">
        <f>N(R240)*N(BC240)</f>
        <v/>
      </c>
      <c r="AK240" s="3" t="n">
        <v>0.0566</v>
      </c>
      <c r="AL240" s="3" t="n">
        <v>0</v>
      </c>
      <c r="AM240" s="3" t="n">
        <v>-0.4453012382517575</v>
      </c>
      <c r="AN240" s="3" t="n">
        <v>-0.1765454093646375</v>
      </c>
      <c r="AO240" s="3">
        <f>SUM(AH240:AN240)</f>
        <v/>
      </c>
      <c r="AP240" s="5">
        <f>IF(OR(N(Q240)&lt;=0,N(BA240)=0),0,N(Q240)*IF(N(M240)/N(Q240)&gt;=60,N(BA240),1))</f>
        <v/>
      </c>
      <c r="AQ240" s="5">
        <f>N(Q240)*N(Z240)*N(BB240)</f>
        <v/>
      </c>
      <c r="AR240" s="5">
        <f>N(AF240)*(Assumptions!$B$13*N(BD240)-(1-Assumptions!$B$13)*Assumptions!$B$14)+N(AG240)</f>
        <v/>
      </c>
      <c r="AS240" s="5">
        <f>N(AO240)*N(M240)/90+N(AP240)+N(AQ240)+N(AR240)</f>
        <v/>
      </c>
      <c r="AT240" s="3">
        <f>IF(N(M240)&lt;=0,0,(N(AS240)-N(AR240))*90/N(M240))</f>
        <v/>
      </c>
      <c r="AU240" s="5">
        <f>IFERROR(AS240-VLOOKUP($C240,Assumptions!$A$36:$C$39,3,FALSE),"")</f>
        <v/>
      </c>
      <c r="AV240" s="3">
        <f>IFERROR(AU240/F240,"")</f>
        <v/>
      </c>
      <c r="AW240">
        <f>IF(AND($E240=TRUE,$C240="GKP"),AS240,"")</f>
        <v/>
      </c>
      <c r="AX240">
        <f>IF(AND($E240=TRUE,$C240="DEF"),AS240,"")</f>
        <v/>
      </c>
      <c r="AY240">
        <f>IF(AND($E240=TRUE,$C240="MID"),AS240,"")</f>
        <v/>
      </c>
      <c r="AZ240">
        <f>IF(AND($E240=TRUE,$C240="FWD"),AS240,"")</f>
        <v/>
      </c>
      <c r="BA240" t="n">
        <v>2</v>
      </c>
      <c r="BB240" t="n">
        <v>2</v>
      </c>
      <c r="BC240" t="n">
        <v>4</v>
      </c>
      <c r="BD240" t="n">
        <v>6</v>
      </c>
    </row>
    <row r="241">
      <c r="A241" t="inlineStr">
        <is>
          <t>Dwight McNeil</t>
        </is>
      </c>
      <c r="B241" t="inlineStr">
        <is>
          <t>CRY</t>
        </is>
      </c>
      <c r="C241" t="inlineStr">
        <is>
          <t>MID</t>
        </is>
      </c>
      <c r="D241" t="inlineStr">
        <is>
          <t>MID</t>
        </is>
      </c>
      <c r="E241" t="b">
        <v>1</v>
      </c>
      <c r="F241" s="2" t="n">
        <v>5.5</v>
      </c>
      <c r="G241" t="inlineStr">
        <is>
          <t>a</t>
        </is>
      </c>
      <c r="I241" s="2" t="n">
        <v>1161</v>
      </c>
      <c r="J241" t="n">
        <v>53</v>
      </c>
      <c r="K241" s="3" t="n">
        <v>445</v>
      </c>
      <c r="L241" t="inlineStr">
        <is>
          <t>flat</t>
        </is>
      </c>
      <c r="M241" s="4" t="n">
        <v>445</v>
      </c>
      <c r="N241" t="inlineStr">
        <is>
          <t>Solio</t>
        </is>
      </c>
      <c r="O241" s="5" t="n">
        <v>76.3</v>
      </c>
      <c r="P241" t="b">
        <v>1</v>
      </c>
      <c r="Q241" s="5">
        <f>IF(N(O241)&lt;=0,0,MIN(Assumptions!$B$15,N(M241)/N(O241)))</f>
        <v/>
      </c>
      <c r="R241" s="4" t="n">
        <v>0.216</v>
      </c>
      <c r="S241" s="3" t="n">
        <v>0.1112</v>
      </c>
      <c r="T241" t="inlineStr">
        <is>
          <t>adjusted xGOT</t>
        </is>
      </c>
      <c r="U241" s="3" t="n">
        <v>1</v>
      </c>
      <c r="V241" s="3" t="n">
        <v>1.047</v>
      </c>
      <c r="W241" s="3" t="n">
        <v>9.199999999999999</v>
      </c>
      <c r="X241" s="3" t="n">
        <v>0.1414</v>
      </c>
      <c r="Y241" s="3" t="n">
        <v>8.593999999999999</v>
      </c>
      <c r="Z241" s="3" t="n">
        <v>0.06733005536086589</v>
      </c>
      <c r="AA241" s="3" t="n">
        <v>0.0775</v>
      </c>
      <c r="AB241" s="3" t="n">
        <v>34</v>
      </c>
      <c r="AC241" s="3" t="n">
        <v>3.2035</v>
      </c>
      <c r="AD241" s="3" t="n">
        <v>1.5923</v>
      </c>
      <c r="AE241" s="3" t="n">
        <v>-0.1265644820412146</v>
      </c>
      <c r="AF241" s="4" t="n">
        <v>0</v>
      </c>
      <c r="AG241" s="3" t="n">
        <v>0</v>
      </c>
      <c r="AH241" s="3" t="n">
        <v>0.5559999999999999</v>
      </c>
      <c r="AI241" s="3" t="n">
        <v>0.5599440000000001</v>
      </c>
      <c r="AJ241" s="3">
        <f>N(R241)*N(BC241)</f>
        <v/>
      </c>
      <c r="AK241" s="3" t="n">
        <v>0.0775</v>
      </c>
      <c r="AL241" s="3" t="n">
        <v>0</v>
      </c>
      <c r="AM241" s="3" t="n">
        <v>-0</v>
      </c>
      <c r="AN241" s="3" t="n">
        <v>-0.1265644820412146</v>
      </c>
      <c r="AO241" s="3">
        <f>SUM(AH241:AN241)</f>
        <v/>
      </c>
      <c r="AP241" s="5">
        <f>IF(OR(N(Q241)&lt;=0,N(BA241)=0),0,N(Q241)*IF(N(M241)/N(Q241)&gt;=60,N(BA241),1))</f>
        <v/>
      </c>
      <c r="AQ241" s="5">
        <f>N(Q241)*N(Z241)*N(BB241)</f>
        <v/>
      </c>
      <c r="AR241" s="5">
        <f>N(AF241)*(Assumptions!$B$13*N(BD241)-(1-Assumptions!$B$13)*Assumptions!$B$14)+N(AG241)</f>
        <v/>
      </c>
      <c r="AS241" s="5">
        <f>N(AO241)*N(M241)/90+N(AP241)+N(AQ241)+N(AR241)</f>
        <v/>
      </c>
      <c r="AT241" s="3">
        <f>IF(N(M241)&lt;=0,0,(N(AS241)-N(AR241))*90/N(M241))</f>
        <v/>
      </c>
      <c r="AU241" s="5">
        <f>IFERROR(AS241-VLOOKUP($C241,Assumptions!$A$36:$C$39,3,FALSE),"")</f>
        <v/>
      </c>
      <c r="AV241" s="3">
        <f>IFERROR(AU241/F241,"")</f>
        <v/>
      </c>
      <c r="AW241">
        <f>IF(AND($E241=TRUE,$C241="GKP"),AS241,"")</f>
        <v/>
      </c>
      <c r="AX241">
        <f>IF(AND($E241=TRUE,$C241="DEF"),AS241,"")</f>
        <v/>
      </c>
      <c r="AY241">
        <f>IF(AND($E241=TRUE,$C241="MID"),AS241,"")</f>
        <v/>
      </c>
      <c r="AZ241">
        <f>IF(AND($E241=TRUE,$C241="FWD"),AS241,"")</f>
        <v/>
      </c>
      <c r="BA241" t="n">
        <v>2</v>
      </c>
      <c r="BB241" t="n">
        <v>2</v>
      </c>
      <c r="BC241" t="n">
        <v>1</v>
      </c>
      <c r="BD241" t="n">
        <v>5</v>
      </c>
    </row>
    <row r="242">
      <c r="A242" t="inlineStr">
        <is>
          <t>Morato</t>
        </is>
      </c>
      <c r="B242" t="inlineStr">
        <is>
          <t>NFO</t>
        </is>
      </c>
      <c r="C242" t="inlineStr">
        <is>
          <t>DEF</t>
        </is>
      </c>
      <c r="D242" t="inlineStr">
        <is>
          <t>DEF</t>
        </is>
      </c>
      <c r="E242" t="b">
        <v>1</v>
      </c>
      <c r="F242" s="2" t="n">
        <v>5</v>
      </c>
      <c r="G242" t="inlineStr">
        <is>
          <t>a</t>
        </is>
      </c>
      <c r="I242" s="2" t="n">
        <v>1340</v>
      </c>
      <c r="J242" t="n">
        <v>53</v>
      </c>
      <c r="K242" s="3" t="n">
        <v>386</v>
      </c>
      <c r="L242" t="inlineStr">
        <is>
          <t>flat</t>
        </is>
      </c>
      <c r="M242" s="4" t="n">
        <v>386</v>
      </c>
      <c r="N242" t="inlineStr">
        <is>
          <t>Solio</t>
        </is>
      </c>
      <c r="O242" s="5" t="n">
        <v>89</v>
      </c>
      <c r="P242" t="b">
        <v>1</v>
      </c>
      <c r="Q242" s="5">
        <f>IF(N(O242)&lt;=0,0,MIN(Assumptions!$B$15,N(M242)/N(O242)))</f>
        <v/>
      </c>
      <c r="R242" s="4" t="n">
        <v>0.224</v>
      </c>
      <c r="S242" s="3" t="n">
        <v>0.0905</v>
      </c>
      <c r="T242" t="inlineStr">
        <is>
          <t>adjusted xGOT</t>
        </is>
      </c>
      <c r="U242" s="3" t="n">
        <v>1</v>
      </c>
      <c r="V242" s="3" t="n">
        <v>1.021</v>
      </c>
      <c r="W242" s="3" t="n">
        <v>1.5</v>
      </c>
      <c r="X242" s="3" t="n">
        <v>0.008200000000000001</v>
      </c>
      <c r="Y242" s="3" t="n">
        <v>8.977</v>
      </c>
      <c r="Z242" s="3" t="n">
        <v>0.3964240248289869</v>
      </c>
      <c r="AA242" s="3" t="n">
        <v>0.0672</v>
      </c>
      <c r="AB242" s="3" t="n">
        <v>35</v>
      </c>
      <c r="AC242" s="3" t="n">
        <v>3.1134</v>
      </c>
      <c r="AD242" s="3" t="n">
        <v>1.5588</v>
      </c>
      <c r="AE242" s="3" t="n">
        <v>-0.3180632178373214</v>
      </c>
      <c r="AF242" s="4" t="n">
        <v>0</v>
      </c>
      <c r="AG242" s="3" t="n">
        <v>0</v>
      </c>
      <c r="AH242" s="3" t="n">
        <v>0.5429999999999999</v>
      </c>
      <c r="AI242" s="3" t="n">
        <v>0.03247200000000001</v>
      </c>
      <c r="AJ242" s="3">
        <f>N(R242)*N(BC242)</f>
        <v/>
      </c>
      <c r="AK242" s="3" t="n">
        <v>0.0672</v>
      </c>
      <c r="AL242" s="3" t="n">
        <v>0</v>
      </c>
      <c r="AM242" s="3" t="n">
        <v>-0.5404658182244797</v>
      </c>
      <c r="AN242" s="3" t="n">
        <v>-0.3180632178373214</v>
      </c>
      <c r="AO242" s="3">
        <f>SUM(AH242:AN242)</f>
        <v/>
      </c>
      <c r="AP242" s="5">
        <f>IF(OR(N(Q242)&lt;=0,N(BA242)=0),0,N(Q242)*IF(N(M242)/N(Q242)&gt;=60,N(BA242),1))</f>
        <v/>
      </c>
      <c r="AQ242" s="5">
        <f>N(Q242)*N(Z242)*N(BB242)</f>
        <v/>
      </c>
      <c r="AR242" s="5">
        <f>N(AF242)*(Assumptions!$B$13*N(BD242)-(1-Assumptions!$B$13)*Assumptions!$B$14)+N(AG242)</f>
        <v/>
      </c>
      <c r="AS242" s="5">
        <f>N(AO242)*N(M242)/90+N(AP242)+N(AQ242)+N(AR242)</f>
        <v/>
      </c>
      <c r="AT242" s="3">
        <f>IF(N(M242)&lt;=0,0,(N(AS242)-N(AR242))*90/N(M242))</f>
        <v/>
      </c>
      <c r="AU242" s="5">
        <f>IFERROR(AS242-VLOOKUP($C242,Assumptions!$A$36:$C$39,3,FALSE),"")</f>
        <v/>
      </c>
      <c r="AV242" s="3">
        <f>IFERROR(AU242/F242,"")</f>
        <v/>
      </c>
      <c r="AW242">
        <f>IF(AND($E242=TRUE,$C242="GKP"),AS242,"")</f>
        <v/>
      </c>
      <c r="AX242">
        <f>IF(AND($E242=TRUE,$C242="DEF"),AS242,"")</f>
        <v/>
      </c>
      <c r="AY242">
        <f>IF(AND($E242=TRUE,$C242="MID"),AS242,"")</f>
        <v/>
      </c>
      <c r="AZ242">
        <f>IF(AND($E242=TRUE,$C242="FWD"),AS242,"")</f>
        <v/>
      </c>
      <c r="BA242" t="n">
        <v>2</v>
      </c>
      <c r="BB242" t="n">
        <v>2</v>
      </c>
      <c r="BC242" t="n">
        <v>4</v>
      </c>
      <c r="BD242" t="n">
        <v>6</v>
      </c>
    </row>
    <row r="243">
      <c r="A243" t="inlineStr">
        <is>
          <t>Noussair Mazraoui</t>
        </is>
      </c>
      <c r="B243" t="inlineStr">
        <is>
          <t>MUN</t>
        </is>
      </c>
      <c r="C243" t="inlineStr">
        <is>
          <t>DEF</t>
        </is>
      </c>
      <c r="D243" t="inlineStr">
        <is>
          <t>DEF</t>
        </is>
      </c>
      <c r="E243" t="b">
        <v>1</v>
      </c>
      <c r="F243" s="2" t="n">
        <v>4.5</v>
      </c>
      <c r="G243" t="inlineStr">
        <is>
          <t>a</t>
        </is>
      </c>
      <c r="I243" s="2" t="n">
        <v>977</v>
      </c>
      <c r="J243" t="n">
        <v>53</v>
      </c>
      <c r="K243" s="3" t="n">
        <v>808</v>
      </c>
      <c r="L243" t="inlineStr">
        <is>
          <t>flat</t>
        </is>
      </c>
      <c r="M243" s="4" t="n">
        <v>808</v>
      </c>
      <c r="N243" t="inlineStr">
        <is>
          <t>Solio</t>
        </is>
      </c>
      <c r="O243" s="5" t="n">
        <v>71.90000000000001</v>
      </c>
      <c r="P243" t="b">
        <v>1</v>
      </c>
      <c r="Q243" s="5">
        <f>IF(N(O243)&lt;=0,0,MIN(Assumptions!$B$15,N(M243)/N(O243)))</f>
        <v/>
      </c>
      <c r="R243" s="4" t="n">
        <v>0.334</v>
      </c>
      <c r="S243" s="3" t="n">
        <v>0.0164</v>
      </c>
      <c r="T243" t="inlineStr">
        <is>
          <t>adjusted xGOT</t>
        </is>
      </c>
      <c r="U243" s="3" t="n">
        <v>1</v>
      </c>
      <c r="V243" s="3" t="n">
        <v>0.9350000000000001</v>
      </c>
      <c r="W243" s="3" t="n">
        <v>0.9</v>
      </c>
      <c r="X243" s="3" t="n">
        <v>0.0258</v>
      </c>
      <c r="Y243" s="3" t="n">
        <v>8.246</v>
      </c>
      <c r="Z243" s="3" t="n">
        <v>0.1302623275729362</v>
      </c>
      <c r="AA243" s="3" t="n">
        <v>0.5527</v>
      </c>
      <c r="AB243" s="3" t="n">
        <v>30</v>
      </c>
      <c r="AC243" s="3" t="n">
        <v>2.2165</v>
      </c>
      <c r="AD243" s="3" t="n">
        <v>1.1467</v>
      </c>
      <c r="AE243" s="3" t="n">
        <v>-0.1901851058994535</v>
      </c>
      <c r="AF243" s="4" t="n">
        <v>0</v>
      </c>
      <c r="AG243" s="3" t="n">
        <v>0</v>
      </c>
      <c r="AH243" s="3" t="n">
        <v>0.09840000000000002</v>
      </c>
      <c r="AI243" s="3" t="n">
        <v>0.102168</v>
      </c>
      <c r="AJ243" s="3">
        <f>N(R243)*N(BC243)</f>
        <v/>
      </c>
      <c r="AK243" s="3" t="n">
        <v>0.5527</v>
      </c>
      <c r="AL243" s="3" t="n">
        <v>0</v>
      </c>
      <c r="AM243" s="3" t="n">
        <v>-0.348580685135232</v>
      </c>
      <c r="AN243" s="3" t="n">
        <v>-0.1901851058994535</v>
      </c>
      <c r="AO243" s="3">
        <f>SUM(AH243:AN243)</f>
        <v/>
      </c>
      <c r="AP243" s="5">
        <f>IF(OR(N(Q243)&lt;=0,N(BA243)=0),0,N(Q243)*IF(N(M243)/N(Q243)&gt;=60,N(BA243),1))</f>
        <v/>
      </c>
      <c r="AQ243" s="5">
        <f>N(Q243)*N(Z243)*N(BB243)</f>
        <v/>
      </c>
      <c r="AR243" s="5">
        <f>N(AF243)*(Assumptions!$B$13*N(BD243)-(1-Assumptions!$B$13)*Assumptions!$B$14)+N(AG243)</f>
        <v/>
      </c>
      <c r="AS243" s="5">
        <f>N(AO243)*N(M243)/90+N(AP243)+N(AQ243)+N(AR243)</f>
        <v/>
      </c>
      <c r="AT243" s="3">
        <f>IF(N(M243)&lt;=0,0,(N(AS243)-N(AR243))*90/N(M243))</f>
        <v/>
      </c>
      <c r="AU243" s="5">
        <f>IFERROR(AS243-VLOOKUP($C243,Assumptions!$A$36:$C$39,3,FALSE),"")</f>
        <v/>
      </c>
      <c r="AV243" s="3">
        <f>IFERROR(AU243/F243,"")</f>
        <v/>
      </c>
      <c r="AW243">
        <f>IF(AND($E243=TRUE,$C243="GKP"),AS243,"")</f>
        <v/>
      </c>
      <c r="AX243">
        <f>IF(AND($E243=TRUE,$C243="DEF"),AS243,"")</f>
        <v/>
      </c>
      <c r="AY243">
        <f>IF(AND($E243=TRUE,$C243="MID"),AS243,"")</f>
        <v/>
      </c>
      <c r="AZ243">
        <f>IF(AND($E243=TRUE,$C243="FWD"),AS243,"")</f>
        <v/>
      </c>
      <c r="BA243" t="n">
        <v>2</v>
      </c>
      <c r="BB243" t="n">
        <v>2</v>
      </c>
      <c r="BC243" t="n">
        <v>4</v>
      </c>
      <c r="BD243" t="n">
        <v>6</v>
      </c>
    </row>
    <row r="244">
      <c r="A244" t="inlineStr">
        <is>
          <t>Rico Henry</t>
        </is>
      </c>
      <c r="B244" t="inlineStr">
        <is>
          <t>BRE</t>
        </is>
      </c>
      <c r="C244" t="inlineStr">
        <is>
          <t>DEF</t>
        </is>
      </c>
      <c r="D244" t="inlineStr">
        <is>
          <t>DEF</t>
        </is>
      </c>
      <c r="E244" t="b">
        <v>1</v>
      </c>
      <c r="F244" s="2" t="n">
        <v>4.5</v>
      </c>
      <c r="G244" t="inlineStr">
        <is>
          <t>a</t>
        </is>
      </c>
      <c r="I244" s="2" t="n">
        <v>1322</v>
      </c>
      <c r="J244" t="n">
        <v>52</v>
      </c>
      <c r="K244" s="3" t="n">
        <v>1236</v>
      </c>
      <c r="L244" t="inlineStr">
        <is>
          <t>flat</t>
        </is>
      </c>
      <c r="M244" s="4" t="n">
        <v>1236</v>
      </c>
      <c r="N244" t="inlineStr">
        <is>
          <t>Solio</t>
        </is>
      </c>
      <c r="O244" s="5" t="n">
        <v>79.7</v>
      </c>
      <c r="P244" t="b">
        <v>1</v>
      </c>
      <c r="Q244" s="5">
        <f>IF(N(O244)&lt;=0,0,MIN(Assumptions!$B$15,N(M244)/N(O244)))</f>
        <v/>
      </c>
      <c r="R244" s="4" t="n">
        <v>0.228</v>
      </c>
      <c r="S244" s="3" t="n">
        <v>0.011</v>
      </c>
      <c r="T244" t="inlineStr">
        <is>
          <t>adjusted xGOT</t>
        </is>
      </c>
      <c r="U244" s="3" t="n">
        <v>1</v>
      </c>
      <c r="V244" s="3" t="n">
        <v>0.896</v>
      </c>
      <c r="W244" s="3" t="n">
        <v>2</v>
      </c>
      <c r="X244" s="3" t="n">
        <v>0.0291</v>
      </c>
      <c r="Y244" s="3" t="n">
        <v>5.707</v>
      </c>
      <c r="Z244" s="3" t="n">
        <v>0.03382387441350421</v>
      </c>
      <c r="AA244" s="3" t="n">
        <v>0</v>
      </c>
      <c r="AB244" s="3" t="n">
        <v>38</v>
      </c>
      <c r="AC244" s="3" t="n">
        <v>3.2371</v>
      </c>
      <c r="AD244" s="3" t="n">
        <v>1.5396</v>
      </c>
      <c r="AE244" s="3" t="n">
        <v>-0.1823330539894165</v>
      </c>
      <c r="AF244" s="4" t="n">
        <v>0</v>
      </c>
      <c r="AG244" s="3" t="n">
        <v>0</v>
      </c>
      <c r="AH244" s="3" t="n">
        <v>0.066</v>
      </c>
      <c r="AI244" s="3" t="n">
        <v>0.115236</v>
      </c>
      <c r="AJ244" s="3">
        <f>N(R244)*N(BC244)</f>
        <v/>
      </c>
      <c r="AK244" s="3" t="n">
        <v>0</v>
      </c>
      <c r="AL244" s="3" t="n">
        <v>0</v>
      </c>
      <c r="AM244" s="3" t="n">
        <v>-0.5312990096912251</v>
      </c>
      <c r="AN244" s="3" t="n">
        <v>-0.1823330539894165</v>
      </c>
      <c r="AO244" s="3">
        <f>SUM(AH244:AN244)</f>
        <v/>
      </c>
      <c r="AP244" s="5">
        <f>IF(OR(N(Q244)&lt;=0,N(BA244)=0),0,N(Q244)*IF(N(M244)/N(Q244)&gt;=60,N(BA244),1))</f>
        <v/>
      </c>
      <c r="AQ244" s="5">
        <f>N(Q244)*N(Z244)*N(BB244)</f>
        <v/>
      </c>
      <c r="AR244" s="5">
        <f>N(AF244)*(Assumptions!$B$13*N(BD244)-(1-Assumptions!$B$13)*Assumptions!$B$14)+N(AG244)</f>
        <v/>
      </c>
      <c r="AS244" s="5">
        <f>N(AO244)*N(M244)/90+N(AP244)+N(AQ244)+N(AR244)</f>
        <v/>
      </c>
      <c r="AT244" s="3">
        <f>IF(N(M244)&lt;=0,0,(N(AS244)-N(AR244))*90/N(M244))</f>
        <v/>
      </c>
      <c r="AU244" s="5">
        <f>IFERROR(AS244-VLOOKUP($C244,Assumptions!$A$36:$C$39,3,FALSE),"")</f>
        <v/>
      </c>
      <c r="AV244" s="3">
        <f>IFERROR(AU244/F244,"")</f>
        <v/>
      </c>
      <c r="AW244">
        <f>IF(AND($E244=TRUE,$C244="GKP"),AS244,"")</f>
        <v/>
      </c>
      <c r="AX244">
        <f>IF(AND($E244=TRUE,$C244="DEF"),AS244,"")</f>
        <v/>
      </c>
      <c r="AY244">
        <f>IF(AND($E244=TRUE,$C244="MID"),AS244,"")</f>
        <v/>
      </c>
      <c r="AZ244">
        <f>IF(AND($E244=TRUE,$C244="FWD"),AS244,"")</f>
        <v/>
      </c>
      <c r="BA244" t="n">
        <v>2</v>
      </c>
      <c r="BB244" t="n">
        <v>2</v>
      </c>
      <c r="BC244" t="n">
        <v>4</v>
      </c>
      <c r="BD244" t="n">
        <v>6</v>
      </c>
    </row>
    <row r="245">
      <c r="A245" t="inlineStr">
        <is>
          <t>Lisandro Martínez</t>
        </is>
      </c>
      <c r="B245" t="inlineStr">
        <is>
          <t>MUN</t>
        </is>
      </c>
      <c r="C245" t="inlineStr">
        <is>
          <t>DEF</t>
        </is>
      </c>
      <c r="D245" t="inlineStr">
        <is>
          <t>DEF</t>
        </is>
      </c>
      <c r="E245" t="b">
        <v>1</v>
      </c>
      <c r="F245" s="2" t="n">
        <v>5</v>
      </c>
      <c r="G245" t="inlineStr">
        <is>
          <t>d</t>
        </is>
      </c>
      <c r="H245" t="inlineStr">
        <is>
          <t>Thigh injury - 75% chance of playing</t>
        </is>
      </c>
      <c r="I245" s="2" t="n">
        <v>1229</v>
      </c>
      <c r="J245" t="n">
        <v>51</v>
      </c>
      <c r="K245" s="3" t="n">
        <v>3089</v>
      </c>
      <c r="L245" t="inlineStr">
        <is>
          <t>flat</t>
        </is>
      </c>
      <c r="M245" s="4" t="n">
        <v>3089</v>
      </c>
      <c r="N245" t="inlineStr">
        <is>
          <t>Solio</t>
        </is>
      </c>
      <c r="O245" s="5" t="n">
        <v>87.09999999999999</v>
      </c>
      <c r="P245" t="b">
        <v>1</v>
      </c>
      <c r="Q245" s="5">
        <f>IF(N(O245)&lt;=0,0,MIN(Assumptions!$B$15,N(M245)/N(O245)))</f>
        <v/>
      </c>
      <c r="R245" s="4" t="n">
        <v>0.334</v>
      </c>
      <c r="S245" s="3" t="n">
        <v>0.01</v>
      </c>
      <c r="T245" t="inlineStr">
        <is>
          <t>adjusted xGOT</t>
        </is>
      </c>
      <c r="U245" s="3" t="n">
        <v>1</v>
      </c>
      <c r="V245" s="3" t="n">
        <v>0.916</v>
      </c>
      <c r="W245" s="3" t="n">
        <v>1.9</v>
      </c>
      <c r="X245" s="3" t="n">
        <v>0.039</v>
      </c>
      <c r="Y245" s="3" t="n">
        <v>7.688</v>
      </c>
      <c r="Z245" s="3" t="n">
        <v>0.2167987979026078</v>
      </c>
      <c r="AA245" s="3" t="n">
        <v>0.1465</v>
      </c>
      <c r="AB245" s="3" t="n">
        <v>30</v>
      </c>
      <c r="AC245" s="3" t="n">
        <v>2.2165</v>
      </c>
      <c r="AD245" s="3" t="n">
        <v>1.1467</v>
      </c>
      <c r="AE245" s="3" t="n">
        <v>-0.2097893663306599</v>
      </c>
      <c r="AF245" s="4" t="n">
        <v>0</v>
      </c>
      <c r="AG245" s="3" t="n">
        <v>0</v>
      </c>
      <c r="AH245" s="3" t="n">
        <v>0.06</v>
      </c>
      <c r="AI245" s="3" t="n">
        <v>0.15444</v>
      </c>
      <c r="AJ245" s="3">
        <f>N(R245)*N(BC245)</f>
        <v/>
      </c>
      <c r="AK245" s="3" t="n">
        <v>0.1465</v>
      </c>
      <c r="AL245" s="3" t="n">
        <v>0</v>
      </c>
      <c r="AM245" s="3" t="n">
        <v>-0.348580685135232</v>
      </c>
      <c r="AN245" s="3" t="n">
        <v>-0.2097893663306599</v>
      </c>
      <c r="AO245" s="3">
        <f>SUM(AH245:AN245)</f>
        <v/>
      </c>
      <c r="AP245" s="5">
        <f>IF(OR(N(Q245)&lt;=0,N(BA245)=0),0,N(Q245)*IF(N(M245)/N(Q245)&gt;=60,N(BA245),1))</f>
        <v/>
      </c>
      <c r="AQ245" s="5">
        <f>N(Q245)*N(Z245)*N(BB245)</f>
        <v/>
      </c>
      <c r="AR245" s="5">
        <f>N(AF245)*(Assumptions!$B$13*N(BD245)-(1-Assumptions!$B$13)*Assumptions!$B$14)+N(AG245)</f>
        <v/>
      </c>
      <c r="AS245" s="5">
        <f>N(AO245)*N(M245)/90+N(AP245)+N(AQ245)+N(AR245)</f>
        <v/>
      </c>
      <c r="AT245" s="3">
        <f>IF(N(M245)&lt;=0,0,(N(AS245)-N(AR245))*90/N(M245))</f>
        <v/>
      </c>
      <c r="AU245" s="5">
        <f>IFERROR(AS245-VLOOKUP($C245,Assumptions!$A$36:$C$39,3,FALSE),"")</f>
        <v/>
      </c>
      <c r="AV245" s="3">
        <f>IFERROR(AU245/F245,"")</f>
        <v/>
      </c>
      <c r="AW245">
        <f>IF(AND($E245=TRUE,$C245="GKP"),AS245,"")</f>
        <v/>
      </c>
      <c r="AX245">
        <f>IF(AND($E245=TRUE,$C245="DEF"),AS245,"")</f>
        <v/>
      </c>
      <c r="AY245">
        <f>IF(AND($E245=TRUE,$C245="MID"),AS245,"")</f>
        <v/>
      </c>
      <c r="AZ245">
        <f>IF(AND($E245=TRUE,$C245="FWD"),AS245,"")</f>
        <v/>
      </c>
      <c r="BA245" t="n">
        <v>2</v>
      </c>
      <c r="BB245" t="n">
        <v>2</v>
      </c>
      <c r="BC245" t="n">
        <v>4</v>
      </c>
      <c r="BD245" t="n">
        <v>6</v>
      </c>
    </row>
    <row r="246">
      <c r="A246" t="inlineStr">
        <is>
          <t>Fabian Schär</t>
        </is>
      </c>
      <c r="B246" t="inlineStr">
        <is>
          <t>NEW</t>
        </is>
      </c>
      <c r="C246" t="inlineStr">
        <is>
          <t>DEF</t>
        </is>
      </c>
      <c r="D246" t="inlineStr">
        <is>
          <t>DEF</t>
        </is>
      </c>
      <c r="E246" t="b">
        <v>1</v>
      </c>
      <c r="F246" s="2" t="n">
        <v>5</v>
      </c>
      <c r="G246" t="inlineStr">
        <is>
          <t>a</t>
        </is>
      </c>
      <c r="I246" s="2" t="n">
        <v>1089</v>
      </c>
      <c r="J246" t="n">
        <v>51</v>
      </c>
      <c r="K246" s="3" t="n">
        <v>317</v>
      </c>
      <c r="L246" t="inlineStr">
        <is>
          <t>flat</t>
        </is>
      </c>
      <c r="M246" s="4" t="n">
        <v>317</v>
      </c>
      <c r="N246" t="inlineStr">
        <is>
          <t>Solio</t>
        </is>
      </c>
      <c r="O246" s="5" t="n">
        <v>87.7</v>
      </c>
      <c r="P246" t="b">
        <v>1</v>
      </c>
      <c r="Q246" s="5">
        <f>IF(N(O246)&lt;=0,0,MIN(Assumptions!$B$15,N(M246)/N(O246)))</f>
        <v/>
      </c>
      <c r="R246" s="4" t="n">
        <v>0.248</v>
      </c>
      <c r="S246" s="3" t="n">
        <v>0.0693</v>
      </c>
      <c r="T246" t="inlineStr">
        <is>
          <t>adjusted xGOT</t>
        </is>
      </c>
      <c r="U246" s="3" t="n">
        <v>1</v>
      </c>
      <c r="V246" s="3" t="n">
        <v>0.865</v>
      </c>
      <c r="W246" s="3" t="n">
        <v>12</v>
      </c>
      <c r="X246" s="3" t="n">
        <v>0.0315</v>
      </c>
      <c r="Y246" s="3" t="n">
        <v>8.779999999999999</v>
      </c>
      <c r="Z246" s="3" t="n">
        <v>0.3542612895117214</v>
      </c>
      <c r="AA246" s="3" t="n">
        <v>0</v>
      </c>
      <c r="AB246" s="3" t="n">
        <v>27</v>
      </c>
      <c r="AC246" s="3" t="n">
        <v>3.0912</v>
      </c>
      <c r="AD246" s="3" t="n">
        <v>1.4534</v>
      </c>
      <c r="AE246" s="3" t="n">
        <v>-0.2062473025928537</v>
      </c>
      <c r="AF246" s="4" t="n">
        <v>0</v>
      </c>
      <c r="AG246" s="3" t="n">
        <v>0</v>
      </c>
      <c r="AH246" s="3" t="n">
        <v>0.4158</v>
      </c>
      <c r="AI246" s="3" t="n">
        <v>0.12474</v>
      </c>
      <c r="AJ246" s="3">
        <f>N(R246)*N(BC246)</f>
        <v/>
      </c>
      <c r="AK246" s="3" t="n">
        <v>0</v>
      </c>
      <c r="AL246" s="3" t="n">
        <v>0</v>
      </c>
      <c r="AM246" s="3" t="n">
        <v>-0.4903625828545308</v>
      </c>
      <c r="AN246" s="3" t="n">
        <v>-0.2062473025928537</v>
      </c>
      <c r="AO246" s="3">
        <f>SUM(AH246:AN246)</f>
        <v/>
      </c>
      <c r="AP246" s="5">
        <f>IF(OR(N(Q246)&lt;=0,N(BA246)=0),0,N(Q246)*IF(N(M246)/N(Q246)&gt;=60,N(BA246),1))</f>
        <v/>
      </c>
      <c r="AQ246" s="5">
        <f>N(Q246)*N(Z246)*N(BB246)</f>
        <v/>
      </c>
      <c r="AR246" s="5">
        <f>N(AF246)*(Assumptions!$B$13*N(BD246)-(1-Assumptions!$B$13)*Assumptions!$B$14)+N(AG246)</f>
        <v/>
      </c>
      <c r="AS246" s="5">
        <f>N(AO246)*N(M246)/90+N(AP246)+N(AQ246)+N(AR246)</f>
        <v/>
      </c>
      <c r="AT246" s="3">
        <f>IF(N(M246)&lt;=0,0,(N(AS246)-N(AR246))*90/N(M246))</f>
        <v/>
      </c>
      <c r="AU246" s="5">
        <f>IFERROR(AS246-VLOOKUP($C246,Assumptions!$A$36:$C$39,3,FALSE),"")</f>
        <v/>
      </c>
      <c r="AV246" s="3">
        <f>IFERROR(AU246/F246,"")</f>
        <v/>
      </c>
      <c r="AW246">
        <f>IF(AND($E246=TRUE,$C246="GKP"),AS246,"")</f>
        <v/>
      </c>
      <c r="AX246">
        <f>IF(AND($E246=TRUE,$C246="DEF"),AS246,"")</f>
        <v/>
      </c>
      <c r="AY246">
        <f>IF(AND($E246=TRUE,$C246="MID"),AS246,"")</f>
        <v/>
      </c>
      <c r="AZ246">
        <f>IF(AND($E246=TRUE,$C246="FWD"),AS246,"")</f>
        <v/>
      </c>
      <c r="BA246" t="n">
        <v>2</v>
      </c>
      <c r="BB246" t="n">
        <v>2</v>
      </c>
      <c r="BC246" t="n">
        <v>4</v>
      </c>
      <c r="BD246" t="n">
        <v>6</v>
      </c>
    </row>
    <row r="247">
      <c r="A247" t="inlineStr">
        <is>
          <t>Tyrone Mings</t>
        </is>
      </c>
      <c r="B247" t="inlineStr">
        <is>
          <t>AVL</t>
        </is>
      </c>
      <c r="C247" t="inlineStr">
        <is>
          <t>DEF</t>
        </is>
      </c>
      <c r="D247" t="inlineStr">
        <is>
          <t>DEF</t>
        </is>
      </c>
      <c r="E247" t="b">
        <v>1</v>
      </c>
      <c r="F247" s="2" t="n">
        <v>4.5</v>
      </c>
      <c r="G247" t="inlineStr">
        <is>
          <t>a</t>
        </is>
      </c>
      <c r="I247" s="2" t="n">
        <v>1322</v>
      </c>
      <c r="J247" t="n">
        <v>50</v>
      </c>
      <c r="K247" s="3" t="n">
        <v>1493</v>
      </c>
      <c r="L247" t="inlineStr">
        <is>
          <t>flat</t>
        </is>
      </c>
      <c r="M247" s="4" t="n">
        <v>1493</v>
      </c>
      <c r="N247" t="inlineStr">
        <is>
          <t>Solio</t>
        </is>
      </c>
      <c r="O247" s="5" t="n">
        <v>86.09999999999999</v>
      </c>
      <c r="P247" t="b">
        <v>1</v>
      </c>
      <c r="Q247" s="5">
        <f>IF(N(O247)&lt;=0,0,MIN(Assumptions!$B$15,N(M247)/N(O247)))</f>
        <v/>
      </c>
      <c r="R247" s="4" t="n">
        <v>0.273</v>
      </c>
      <c r="S247" s="3" t="n">
        <v>0.073</v>
      </c>
      <c r="T247" t="inlineStr">
        <is>
          <t>adjusted xGOT</t>
        </is>
      </c>
      <c r="U247" s="3" t="n">
        <v>1</v>
      </c>
      <c r="V247" s="3" t="n">
        <v>0.825</v>
      </c>
      <c r="W247" s="3" t="n">
        <v>3.2</v>
      </c>
      <c r="X247" s="3" t="n">
        <v>0.0384</v>
      </c>
      <c r="Y247" s="3" t="n">
        <v>7.426</v>
      </c>
      <c r="Z247" s="3" t="n">
        <v>0.1802264218103957</v>
      </c>
      <c r="AA247" s="3" t="n">
        <v>0.2723</v>
      </c>
      <c r="AB247" s="3" t="n">
        <v>31</v>
      </c>
      <c r="AC247" s="3" t="n">
        <v>2.7451</v>
      </c>
      <c r="AD247" s="3" t="n">
        <v>1.3575</v>
      </c>
      <c r="AE247" s="3" t="n">
        <v>-0.1396137393160241</v>
      </c>
      <c r="AF247" s="4" t="n">
        <v>0</v>
      </c>
      <c r="AG247" s="3" t="n">
        <v>0</v>
      </c>
      <c r="AH247" s="3" t="n">
        <v>0.4379999999999999</v>
      </c>
      <c r="AI247" s="3" t="n">
        <v>0.152064</v>
      </c>
      <c r="AJ247" s="3">
        <f>N(R247)*N(BC247)</f>
        <v/>
      </c>
      <c r="AK247" s="3" t="n">
        <v>0.2723</v>
      </c>
      <c r="AL247" s="3" t="n">
        <v>0</v>
      </c>
      <c r="AM247" s="3" t="n">
        <v>-0.4453012382517575</v>
      </c>
      <c r="AN247" s="3" t="n">
        <v>-0.1396137393160241</v>
      </c>
      <c r="AO247" s="3">
        <f>SUM(AH247:AN247)</f>
        <v/>
      </c>
      <c r="AP247" s="5">
        <f>IF(OR(N(Q247)&lt;=0,N(BA247)=0),0,N(Q247)*IF(N(M247)/N(Q247)&gt;=60,N(BA247),1))</f>
        <v/>
      </c>
      <c r="AQ247" s="5">
        <f>N(Q247)*N(Z247)*N(BB247)</f>
        <v/>
      </c>
      <c r="AR247" s="5">
        <f>N(AF247)*(Assumptions!$B$13*N(BD247)-(1-Assumptions!$B$13)*Assumptions!$B$14)+N(AG247)</f>
        <v/>
      </c>
      <c r="AS247" s="5">
        <f>N(AO247)*N(M247)/90+N(AP247)+N(AQ247)+N(AR247)</f>
        <v/>
      </c>
      <c r="AT247" s="3">
        <f>IF(N(M247)&lt;=0,0,(N(AS247)-N(AR247))*90/N(M247))</f>
        <v/>
      </c>
      <c r="AU247" s="5">
        <f>IFERROR(AS247-VLOOKUP($C247,Assumptions!$A$36:$C$39,3,FALSE),"")</f>
        <v/>
      </c>
      <c r="AV247" s="3">
        <f>IFERROR(AU247/F247,"")</f>
        <v/>
      </c>
      <c r="AW247">
        <f>IF(AND($E247=TRUE,$C247="GKP"),AS247,"")</f>
        <v/>
      </c>
      <c r="AX247">
        <f>IF(AND($E247=TRUE,$C247="DEF"),AS247,"")</f>
        <v/>
      </c>
      <c r="AY247">
        <f>IF(AND($E247=TRUE,$C247="MID"),AS247,"")</f>
        <v/>
      </c>
      <c r="AZ247">
        <f>IF(AND($E247=TRUE,$C247="FWD"),AS247,"")</f>
        <v/>
      </c>
      <c r="BA247" t="n">
        <v>2</v>
      </c>
      <c r="BB247" t="n">
        <v>2</v>
      </c>
      <c r="BC247" t="n">
        <v>4</v>
      </c>
      <c r="BD247" t="n">
        <v>6</v>
      </c>
    </row>
    <row r="248">
      <c r="A248" t="inlineStr">
        <is>
          <t>Dan Ndoye</t>
        </is>
      </c>
      <c r="B248" t="inlineStr">
        <is>
          <t>NFO</t>
        </is>
      </c>
      <c r="C248" t="inlineStr">
        <is>
          <t>MID</t>
        </is>
      </c>
      <c r="D248" t="inlineStr">
        <is>
          <t>MID</t>
        </is>
      </c>
      <c r="E248" t="b">
        <v>1</v>
      </c>
      <c r="F248" s="2" t="n">
        <v>5.5</v>
      </c>
      <c r="G248" t="inlineStr">
        <is>
          <t>a</t>
        </is>
      </c>
      <c r="I248" s="2" t="n">
        <v>1167</v>
      </c>
      <c r="J248" t="n">
        <v>50</v>
      </c>
      <c r="K248" s="3" t="n">
        <v>2417</v>
      </c>
      <c r="L248" t="inlineStr">
        <is>
          <t>flat</t>
        </is>
      </c>
      <c r="M248" s="4" t="n">
        <v>2417</v>
      </c>
      <c r="N248" t="inlineStr">
        <is>
          <t>Solio</t>
        </is>
      </c>
      <c r="O248" s="5" t="n">
        <v>71.09999999999999</v>
      </c>
      <c r="P248" t="b">
        <v>1</v>
      </c>
      <c r="Q248" s="5">
        <f>IF(N(O248)&lt;=0,0,MIN(Assumptions!$B$15,N(M248)/N(O248)))</f>
        <v/>
      </c>
      <c r="R248" s="4" t="n">
        <v>0.224</v>
      </c>
      <c r="S248" s="3" t="n">
        <v>0.07969999999999999</v>
      </c>
      <c r="T248" t="inlineStr">
        <is>
          <t>adjusted xGOT</t>
        </is>
      </c>
      <c r="U248" s="3" t="n">
        <v>1</v>
      </c>
      <c r="V248" s="3" t="n">
        <v>0.983</v>
      </c>
      <c r="W248" s="3" t="n">
        <v>1</v>
      </c>
      <c r="X248" s="3" t="n">
        <v>0.1181</v>
      </c>
      <c r="Y248" s="3" t="n">
        <v>7.851</v>
      </c>
      <c r="Z248" s="3" t="n">
        <v>0.02504541980068831</v>
      </c>
      <c r="AA248" s="3" t="n">
        <v>0.3085</v>
      </c>
      <c r="AB248" s="3" t="n">
        <v>34</v>
      </c>
      <c r="AC248" s="3" t="n">
        <v>3.1134</v>
      </c>
      <c r="AD248" s="3" t="n">
        <v>1.5588</v>
      </c>
      <c r="AE248" s="3" t="n">
        <v>-0.1613023541717858</v>
      </c>
      <c r="AF248" s="4" t="n">
        <v>0</v>
      </c>
      <c r="AG248" s="3" t="n">
        <v>0</v>
      </c>
      <c r="AH248" s="3" t="n">
        <v>0.3985</v>
      </c>
      <c r="AI248" s="3" t="n">
        <v>0.467676</v>
      </c>
      <c r="AJ248" s="3">
        <f>N(R248)*N(BC248)</f>
        <v/>
      </c>
      <c r="AK248" s="3" t="n">
        <v>0.3085</v>
      </c>
      <c r="AL248" s="3" t="n">
        <v>0</v>
      </c>
      <c r="AM248" s="3" t="n">
        <v>-0</v>
      </c>
      <c r="AN248" s="3" t="n">
        <v>-0.1613023541717858</v>
      </c>
      <c r="AO248" s="3">
        <f>SUM(AH248:AN248)</f>
        <v/>
      </c>
      <c r="AP248" s="5">
        <f>IF(OR(N(Q248)&lt;=0,N(BA248)=0),0,N(Q248)*IF(N(M248)/N(Q248)&gt;=60,N(BA248),1))</f>
        <v/>
      </c>
      <c r="AQ248" s="5">
        <f>N(Q248)*N(Z248)*N(BB248)</f>
        <v/>
      </c>
      <c r="AR248" s="5">
        <f>N(AF248)*(Assumptions!$B$13*N(BD248)-(1-Assumptions!$B$13)*Assumptions!$B$14)+N(AG248)</f>
        <v/>
      </c>
      <c r="AS248" s="5">
        <f>N(AO248)*N(M248)/90+N(AP248)+N(AQ248)+N(AR248)</f>
        <v/>
      </c>
      <c r="AT248" s="3">
        <f>IF(N(M248)&lt;=0,0,(N(AS248)-N(AR248))*90/N(M248))</f>
        <v/>
      </c>
      <c r="AU248" s="5">
        <f>IFERROR(AS248-VLOOKUP($C248,Assumptions!$A$36:$C$39,3,FALSE),"")</f>
        <v/>
      </c>
      <c r="AV248" s="3">
        <f>IFERROR(AU248/F248,"")</f>
        <v/>
      </c>
      <c r="AW248">
        <f>IF(AND($E248=TRUE,$C248="GKP"),AS248,"")</f>
        <v/>
      </c>
      <c r="AX248">
        <f>IF(AND($E248=TRUE,$C248="DEF"),AS248,"")</f>
        <v/>
      </c>
      <c r="AY248">
        <f>IF(AND($E248=TRUE,$C248="MID"),AS248,"")</f>
        <v/>
      </c>
      <c r="AZ248">
        <f>IF(AND($E248=TRUE,$C248="FWD"),AS248,"")</f>
        <v/>
      </c>
      <c r="BA248" t="n">
        <v>2</v>
      </c>
      <c r="BB248" t="n">
        <v>2</v>
      </c>
      <c r="BC248" t="n">
        <v>1</v>
      </c>
      <c r="BD248" t="n">
        <v>5</v>
      </c>
    </row>
    <row r="249">
      <c r="A249" t="inlineStr">
        <is>
          <t>Axel Disasi</t>
        </is>
      </c>
      <c r="B249" t="inlineStr">
        <is>
          <t>CHE</t>
        </is>
      </c>
      <c r="C249" t="inlineStr">
        <is>
          <t>DEF</t>
        </is>
      </c>
      <c r="D249" t="inlineStr">
        <is>
          <t>DEF</t>
        </is>
      </c>
      <c r="E249" t="b">
        <v>1</v>
      </c>
      <c r="F249" s="2" t="n">
        <v>4.5</v>
      </c>
      <c r="G249" t="inlineStr">
        <is>
          <t>a</t>
        </is>
      </c>
      <c r="I249" s="2" t="n">
        <v>1254</v>
      </c>
      <c r="J249" t="n">
        <v>49</v>
      </c>
      <c r="K249" s="3" t="n">
        <v>0</v>
      </c>
      <c r="L249" t="inlineStr">
        <is>
          <t>flat</t>
        </is>
      </c>
      <c r="M249" s="4" t="n">
        <v>0</v>
      </c>
      <c r="N249" t="inlineStr">
        <is>
          <t>Solio</t>
        </is>
      </c>
      <c r="O249" s="5" t="n">
        <v>89.59999999999999</v>
      </c>
      <c r="P249" t="b">
        <v>1</v>
      </c>
      <c r="Q249" s="5">
        <f>IF(N(O249)&lt;=0,0,MIN(Assumptions!$B$15,N(M249)/N(O249)))</f>
        <v/>
      </c>
      <c r="R249" s="4" t="n">
        <v>0.322</v>
      </c>
      <c r="S249" s="3" t="n">
        <v>0.08019999999999999</v>
      </c>
      <c r="T249" t="inlineStr">
        <is>
          <t>adjusted xGOT</t>
        </is>
      </c>
      <c r="U249" s="3" t="n">
        <v>1</v>
      </c>
      <c r="V249" s="3" t="n">
        <v>1.015</v>
      </c>
      <c r="W249" s="3" t="n">
        <v>3.8</v>
      </c>
      <c r="X249" s="3" t="n">
        <v>0.0019</v>
      </c>
      <c r="Y249" s="3" t="n">
        <v>6.815</v>
      </c>
      <c r="Z249" s="3" t="n">
        <v>0.1483606442933274</v>
      </c>
      <c r="AA249" s="3" t="n">
        <v>0</v>
      </c>
      <c r="AB249" s="3" t="n">
        <v>28</v>
      </c>
      <c r="AC249" s="3" t="n">
        <v>2.4232</v>
      </c>
      <c r="AD249" s="3" t="n">
        <v>1.1851</v>
      </c>
      <c r="AE249" s="3" t="n">
        <v>-0.193992112107049</v>
      </c>
      <c r="AF249" s="4" t="n">
        <v>0</v>
      </c>
      <c r="AG249" s="3" t="n">
        <v>0</v>
      </c>
      <c r="AH249" s="3" t="n">
        <v>0.4812</v>
      </c>
      <c r="AI249" s="3" t="n">
        <v>0.007524</v>
      </c>
      <c r="AJ249" s="3">
        <f>N(R249)*N(BC249)</f>
        <v/>
      </c>
      <c r="AK249" s="3" t="n">
        <v>0</v>
      </c>
      <c r="AL249" s="3" t="n">
        <v>0</v>
      </c>
      <c r="AM249" s="3" t="n">
        <v>-0.365915508000572</v>
      </c>
      <c r="AN249" s="3" t="n">
        <v>-0.193992112107049</v>
      </c>
      <c r="AO249" s="3">
        <f>SUM(AH249:AN249)</f>
        <v/>
      </c>
      <c r="AP249" s="5">
        <f>IF(OR(N(Q249)&lt;=0,N(BA249)=0),0,N(Q249)*IF(N(M249)/N(Q249)&gt;=60,N(BA249),1))</f>
        <v/>
      </c>
      <c r="AQ249" s="5">
        <f>N(Q249)*N(Z249)*N(BB249)</f>
        <v/>
      </c>
      <c r="AR249" s="5">
        <f>N(AF249)*(Assumptions!$B$13*N(BD249)-(1-Assumptions!$B$13)*Assumptions!$B$14)+N(AG249)</f>
        <v/>
      </c>
      <c r="AS249" s="5">
        <f>N(AO249)*N(M249)/90+N(AP249)+N(AQ249)+N(AR249)</f>
        <v/>
      </c>
      <c r="AT249" s="3">
        <f>IF(N(M249)&lt;=0,0,(N(AS249)-N(AR249))*90/N(M249))</f>
        <v/>
      </c>
      <c r="AU249" s="5">
        <f>IFERROR(AS249-VLOOKUP($C249,Assumptions!$A$36:$C$39,3,FALSE),"")</f>
        <v/>
      </c>
      <c r="AV249" s="3">
        <f>IFERROR(AU249/F249,"")</f>
        <v/>
      </c>
      <c r="AW249">
        <f>IF(AND($E249=TRUE,$C249="GKP"),AS249,"")</f>
        <v/>
      </c>
      <c r="AX249">
        <f>IF(AND($E249=TRUE,$C249="DEF"),AS249,"")</f>
        <v/>
      </c>
      <c r="AY249">
        <f>IF(AND($E249=TRUE,$C249="MID"),AS249,"")</f>
        <v/>
      </c>
      <c r="AZ249">
        <f>IF(AND($E249=TRUE,$C249="FWD"),AS249,"")</f>
        <v/>
      </c>
      <c r="BA249" t="n">
        <v>2</v>
      </c>
      <c r="BB249" t="n">
        <v>2</v>
      </c>
      <c r="BC249" t="n">
        <v>4</v>
      </c>
      <c r="BD249" t="n">
        <v>6</v>
      </c>
    </row>
    <row r="250">
      <c r="A250" t="inlineStr">
        <is>
          <t>Lucas Bergvall</t>
        </is>
      </c>
      <c r="B250" t="inlineStr">
        <is>
          <t>TOT</t>
        </is>
      </c>
      <c r="C250" t="inlineStr">
        <is>
          <t>MID</t>
        </is>
      </c>
      <c r="D250" t="inlineStr">
        <is>
          <t>MID</t>
        </is>
      </c>
      <c r="E250" t="b">
        <v>1</v>
      </c>
      <c r="F250" s="2" t="n">
        <v>5.5</v>
      </c>
      <c r="G250" t="inlineStr">
        <is>
          <t>a</t>
        </is>
      </c>
      <c r="I250" s="2" t="n">
        <v>955</v>
      </c>
      <c r="J250" t="n">
        <v>49</v>
      </c>
      <c r="K250" s="3" t="n">
        <v>277</v>
      </c>
      <c r="L250" t="inlineStr">
        <is>
          <t>flat</t>
        </is>
      </c>
      <c r="M250" s="4" t="n">
        <v>277</v>
      </c>
      <c r="N250" t="inlineStr">
        <is>
          <t>Solio</t>
        </is>
      </c>
      <c r="O250" s="5" t="n">
        <v>66.3</v>
      </c>
      <c r="P250" t="b">
        <v>1</v>
      </c>
      <c r="Q250" s="5">
        <f>IF(N(O250)&lt;=0,0,MIN(Assumptions!$B$15,N(M250)/N(O250)))</f>
        <v/>
      </c>
      <c r="R250" s="4" t="n">
        <v>0.286</v>
      </c>
      <c r="S250" s="3" t="n">
        <v>0.1038</v>
      </c>
      <c r="T250" t="inlineStr">
        <is>
          <t>adjusted xGOT</t>
        </is>
      </c>
      <c r="U250" s="3" t="n">
        <v>1</v>
      </c>
      <c r="V250" s="3" t="n">
        <v>0.895</v>
      </c>
      <c r="W250" s="3" t="n">
        <v>1.9</v>
      </c>
      <c r="X250" s="3" t="n">
        <v>0.034</v>
      </c>
      <c r="Y250" s="3" t="n">
        <v>7.932</v>
      </c>
      <c r="Z250" s="3" t="n">
        <v>0.01678533043660879</v>
      </c>
      <c r="AA250" s="3" t="n">
        <v>0.09420000000000001</v>
      </c>
      <c r="AB250" s="3" t="n">
        <v>32</v>
      </c>
      <c r="AC250" s="3" t="n">
        <v>2.5739</v>
      </c>
      <c r="AD250" s="3" t="n">
        <v>1.3096</v>
      </c>
      <c r="AE250" s="3" t="n">
        <v>-0.2186085633126312</v>
      </c>
      <c r="AF250" s="4" t="n">
        <v>0</v>
      </c>
      <c r="AG250" s="3" t="n">
        <v>0</v>
      </c>
      <c r="AH250" s="3" t="n">
        <v>0.519</v>
      </c>
      <c r="AI250" s="3" t="n">
        <v>0.13464</v>
      </c>
      <c r="AJ250" s="3">
        <f>N(R250)*N(BC250)</f>
        <v/>
      </c>
      <c r="AK250" s="3" t="n">
        <v>0.09420000000000001</v>
      </c>
      <c r="AL250" s="3" t="n">
        <v>0</v>
      </c>
      <c r="AM250" s="3" t="n">
        <v>-0</v>
      </c>
      <c r="AN250" s="3" t="n">
        <v>-0.2186085633126312</v>
      </c>
      <c r="AO250" s="3">
        <f>SUM(AH250:AN250)</f>
        <v/>
      </c>
      <c r="AP250" s="5">
        <f>IF(OR(N(Q250)&lt;=0,N(BA250)=0),0,N(Q250)*IF(N(M250)/N(Q250)&gt;=60,N(BA250),1))</f>
        <v/>
      </c>
      <c r="AQ250" s="5">
        <f>N(Q250)*N(Z250)*N(BB250)</f>
        <v/>
      </c>
      <c r="AR250" s="5">
        <f>N(AF250)*(Assumptions!$B$13*N(BD250)-(1-Assumptions!$B$13)*Assumptions!$B$14)+N(AG250)</f>
        <v/>
      </c>
      <c r="AS250" s="5">
        <f>N(AO250)*N(M250)/90+N(AP250)+N(AQ250)+N(AR250)</f>
        <v/>
      </c>
      <c r="AT250" s="3">
        <f>IF(N(M250)&lt;=0,0,(N(AS250)-N(AR250))*90/N(M250))</f>
        <v/>
      </c>
      <c r="AU250" s="5">
        <f>IFERROR(AS250-VLOOKUP($C250,Assumptions!$A$36:$C$39,3,FALSE),"")</f>
        <v/>
      </c>
      <c r="AV250" s="3">
        <f>IFERROR(AU250/F250,"")</f>
        <v/>
      </c>
      <c r="AW250">
        <f>IF(AND($E250=TRUE,$C250="GKP"),AS250,"")</f>
        <v/>
      </c>
      <c r="AX250">
        <f>IF(AND($E250=TRUE,$C250="DEF"),AS250,"")</f>
        <v/>
      </c>
      <c r="AY250">
        <f>IF(AND($E250=TRUE,$C250="MID"),AS250,"")</f>
        <v/>
      </c>
      <c r="AZ250">
        <f>IF(AND($E250=TRUE,$C250="FWD"),AS250,"")</f>
        <v/>
      </c>
      <c r="BA250" t="n">
        <v>2</v>
      </c>
      <c r="BB250" t="n">
        <v>2</v>
      </c>
      <c r="BC250" t="n">
        <v>1</v>
      </c>
      <c r="BD250" t="n">
        <v>5</v>
      </c>
    </row>
    <row r="251">
      <c r="A251" t="inlineStr">
        <is>
          <t>Kevin</t>
        </is>
      </c>
      <c r="B251" t="inlineStr">
        <is>
          <t>FUL</t>
        </is>
      </c>
      <c r="C251" t="inlineStr">
        <is>
          <t>MID</t>
        </is>
      </c>
      <c r="D251" t="inlineStr">
        <is>
          <t>MID</t>
        </is>
      </c>
      <c r="E251" t="b">
        <v>1</v>
      </c>
      <c r="F251" s="2" t="n">
        <v>5.5</v>
      </c>
      <c r="G251" t="inlineStr">
        <is>
          <t>a</t>
        </is>
      </c>
      <c r="I251" s="2" t="n">
        <v>1030</v>
      </c>
      <c r="J251" t="n">
        <v>49</v>
      </c>
      <c r="K251" s="3" t="n">
        <v>2519</v>
      </c>
      <c r="L251" t="inlineStr">
        <is>
          <t>flat</t>
        </is>
      </c>
      <c r="M251" s="4" t="n">
        <v>2519</v>
      </c>
      <c r="N251" t="inlineStr">
        <is>
          <t>Solio</t>
        </is>
      </c>
      <c r="O251" s="5" t="n">
        <v>67.90000000000001</v>
      </c>
      <c r="P251" t="b">
        <v>1</v>
      </c>
      <c r="Q251" s="5">
        <f>IF(N(O251)&lt;=0,0,MIN(Assumptions!$B$15,N(M251)/N(O251)))</f>
        <v/>
      </c>
      <c r="R251" s="4" t="n">
        <v>0.214</v>
      </c>
      <c r="S251" s="3" t="n">
        <v>0.1148</v>
      </c>
      <c r="T251" t="inlineStr">
        <is>
          <t>adjusted xGOT</t>
        </is>
      </c>
      <c r="U251" s="3" t="n">
        <v>1</v>
      </c>
      <c r="V251" s="3" t="n">
        <v>1.086</v>
      </c>
      <c r="W251" s="3" t="n">
        <v>1.2</v>
      </c>
      <c r="X251" s="3" t="n">
        <v>0.1184</v>
      </c>
      <c r="Y251" s="3" t="n">
        <v>7.952</v>
      </c>
      <c r="Z251" s="3" t="n">
        <v>0.02007714855127363</v>
      </c>
      <c r="AA251" s="3" t="n">
        <v>0</v>
      </c>
      <c r="AB251" s="3" t="n">
        <v>32</v>
      </c>
      <c r="AC251" s="3" t="n">
        <v>3.22</v>
      </c>
      <c r="AD251" s="3" t="n">
        <v>1.6019</v>
      </c>
      <c r="AE251" s="3" t="n">
        <v>-0.1693264294675384</v>
      </c>
      <c r="AF251" s="4" t="n">
        <v>0</v>
      </c>
      <c r="AG251" s="3" t="n">
        <v>0</v>
      </c>
      <c r="AH251" s="3" t="n">
        <v>0.574</v>
      </c>
      <c r="AI251" s="3" t="n">
        <v>0.4688640000000001</v>
      </c>
      <c r="AJ251" s="3">
        <f>N(R251)*N(BC251)</f>
        <v/>
      </c>
      <c r="AK251" s="3" t="n">
        <v>0</v>
      </c>
      <c r="AL251" s="3" t="n">
        <v>0</v>
      </c>
      <c r="AM251" s="3" t="n">
        <v>-0</v>
      </c>
      <c r="AN251" s="3" t="n">
        <v>-0.1693264294675384</v>
      </c>
      <c r="AO251" s="3">
        <f>SUM(AH251:AN251)</f>
        <v/>
      </c>
      <c r="AP251" s="5">
        <f>IF(OR(N(Q251)&lt;=0,N(BA251)=0),0,N(Q251)*IF(N(M251)/N(Q251)&gt;=60,N(BA251),1))</f>
        <v/>
      </c>
      <c r="AQ251" s="5">
        <f>N(Q251)*N(Z251)*N(BB251)</f>
        <v/>
      </c>
      <c r="AR251" s="5">
        <f>N(AF251)*(Assumptions!$B$13*N(BD251)-(1-Assumptions!$B$13)*Assumptions!$B$14)+N(AG251)</f>
        <v/>
      </c>
      <c r="AS251" s="5">
        <f>N(AO251)*N(M251)/90+N(AP251)+N(AQ251)+N(AR251)</f>
        <v/>
      </c>
      <c r="AT251" s="3">
        <f>IF(N(M251)&lt;=0,0,(N(AS251)-N(AR251))*90/N(M251))</f>
        <v/>
      </c>
      <c r="AU251" s="5">
        <f>IFERROR(AS251-VLOOKUP($C251,Assumptions!$A$36:$C$39,3,FALSE),"")</f>
        <v/>
      </c>
      <c r="AV251" s="3">
        <f>IFERROR(AU251/F251,"")</f>
        <v/>
      </c>
      <c r="AW251">
        <f>IF(AND($E251=TRUE,$C251="GKP"),AS251,"")</f>
        <v/>
      </c>
      <c r="AX251">
        <f>IF(AND($E251=TRUE,$C251="DEF"),AS251,"")</f>
        <v/>
      </c>
      <c r="AY251">
        <f>IF(AND($E251=TRUE,$C251="MID"),AS251,"")</f>
        <v/>
      </c>
      <c r="AZ251">
        <f>IF(AND($E251=TRUE,$C251="FWD"),AS251,"")</f>
        <v/>
      </c>
      <c r="BA251" t="n">
        <v>2</v>
      </c>
      <c r="BB251" t="n">
        <v>2</v>
      </c>
      <c r="BC251" t="n">
        <v>1</v>
      </c>
      <c r="BD251" t="n">
        <v>5</v>
      </c>
    </row>
    <row r="252">
      <c r="A252" t="inlineStr">
        <is>
          <t>Nicolás Domínguez</t>
        </is>
      </c>
      <c r="B252" t="inlineStr">
        <is>
          <t>NFO</t>
        </is>
      </c>
      <c r="C252" t="inlineStr">
        <is>
          <t>MID</t>
        </is>
      </c>
      <c r="D252" t="inlineStr">
        <is>
          <t>MID</t>
        </is>
      </c>
      <c r="E252" t="b">
        <v>1</v>
      </c>
      <c r="F252" s="2" t="n">
        <v>5</v>
      </c>
      <c r="G252" t="inlineStr">
        <is>
          <t>a</t>
        </is>
      </c>
      <c r="I252" s="2" t="n">
        <v>1168</v>
      </c>
      <c r="J252" t="n">
        <v>48</v>
      </c>
      <c r="K252" s="3" t="n">
        <v>752</v>
      </c>
      <c r="L252" t="inlineStr">
        <is>
          <t>flat</t>
        </is>
      </c>
      <c r="M252" s="4" t="n">
        <v>752</v>
      </c>
      <c r="N252" t="inlineStr">
        <is>
          <t>Solio</t>
        </is>
      </c>
      <c r="O252" s="5" t="n">
        <v>60.2</v>
      </c>
      <c r="P252" t="b">
        <v>1</v>
      </c>
      <c r="Q252" s="5">
        <f>IF(N(O252)&lt;=0,0,MIN(Assumptions!$B$15,N(M252)/N(O252)))</f>
        <v/>
      </c>
      <c r="R252" s="4" t="n">
        <v>0.224</v>
      </c>
      <c r="S252" s="3" t="n">
        <v>0.1147</v>
      </c>
      <c r="T252" t="inlineStr">
        <is>
          <t>adjusted xGOT</t>
        </is>
      </c>
      <c r="U252" s="3" t="n">
        <v>1</v>
      </c>
      <c r="V252" s="3" t="n">
        <v>1.012</v>
      </c>
      <c r="W252" s="3" t="n">
        <v>4.4</v>
      </c>
      <c r="X252" s="3" t="n">
        <v>0.079</v>
      </c>
      <c r="Y252" s="3" t="n">
        <v>10.088</v>
      </c>
      <c r="Z252" s="3" t="n">
        <v>0.04276312412152006</v>
      </c>
      <c r="AA252" s="3" t="n">
        <v>0.2312</v>
      </c>
      <c r="AB252" s="3" t="n">
        <v>35</v>
      </c>
      <c r="AC252" s="3" t="n">
        <v>3.1134</v>
      </c>
      <c r="AD252" s="3" t="n">
        <v>1.5588</v>
      </c>
      <c r="AE252" s="3" t="n">
        <v>-0.2879209450932014</v>
      </c>
      <c r="AF252" s="4" t="n">
        <v>0</v>
      </c>
      <c r="AG252" s="3" t="n">
        <v>0</v>
      </c>
      <c r="AH252" s="3" t="n">
        <v>0.5735</v>
      </c>
      <c r="AI252" s="3" t="n">
        <v>0.31284</v>
      </c>
      <c r="AJ252" s="3">
        <f>N(R252)*N(BC252)</f>
        <v/>
      </c>
      <c r="AK252" s="3" t="n">
        <v>0.2312</v>
      </c>
      <c r="AL252" s="3" t="n">
        <v>0</v>
      </c>
      <c r="AM252" s="3" t="n">
        <v>-0</v>
      </c>
      <c r="AN252" s="3" t="n">
        <v>-0.2879209450932014</v>
      </c>
      <c r="AO252" s="3">
        <f>SUM(AH252:AN252)</f>
        <v/>
      </c>
      <c r="AP252" s="5">
        <f>IF(OR(N(Q252)&lt;=0,N(BA252)=0),0,N(Q252)*IF(N(M252)/N(Q252)&gt;=60,N(BA252),1))</f>
        <v/>
      </c>
      <c r="AQ252" s="5">
        <f>N(Q252)*N(Z252)*N(BB252)</f>
        <v/>
      </c>
      <c r="AR252" s="5">
        <f>N(AF252)*(Assumptions!$B$13*N(BD252)-(1-Assumptions!$B$13)*Assumptions!$B$14)+N(AG252)</f>
        <v/>
      </c>
      <c r="AS252" s="5">
        <f>N(AO252)*N(M252)/90+N(AP252)+N(AQ252)+N(AR252)</f>
        <v/>
      </c>
      <c r="AT252" s="3">
        <f>IF(N(M252)&lt;=0,0,(N(AS252)-N(AR252))*90/N(M252))</f>
        <v/>
      </c>
      <c r="AU252" s="5">
        <f>IFERROR(AS252-VLOOKUP($C252,Assumptions!$A$36:$C$39,3,FALSE),"")</f>
        <v/>
      </c>
      <c r="AV252" s="3">
        <f>IFERROR(AU252/F252,"")</f>
        <v/>
      </c>
      <c r="AW252">
        <f>IF(AND($E252=TRUE,$C252="GKP"),AS252,"")</f>
        <v/>
      </c>
      <c r="AX252">
        <f>IF(AND($E252=TRUE,$C252="DEF"),AS252,"")</f>
        <v/>
      </c>
      <c r="AY252">
        <f>IF(AND($E252=TRUE,$C252="MID"),AS252,"")</f>
        <v/>
      </c>
      <c r="AZ252">
        <f>IF(AND($E252=TRUE,$C252="FWD"),AS252,"")</f>
        <v/>
      </c>
      <c r="BA252" t="n">
        <v>2</v>
      </c>
      <c r="BB252" t="n">
        <v>2</v>
      </c>
      <c r="BC252" t="n">
        <v>1</v>
      </c>
      <c r="BD252" t="n">
        <v>5</v>
      </c>
    </row>
    <row r="253">
      <c r="A253" t="inlineStr">
        <is>
          <t>Anthony Elanga</t>
        </is>
      </c>
      <c r="B253" t="inlineStr">
        <is>
          <t>NEW</t>
        </is>
      </c>
      <c r="C253" t="inlineStr">
        <is>
          <t>MID</t>
        </is>
      </c>
      <c r="D253" t="inlineStr">
        <is>
          <t>MID</t>
        </is>
      </c>
      <c r="E253" t="b">
        <v>1</v>
      </c>
      <c r="F253" s="2" t="n">
        <v>6</v>
      </c>
      <c r="G253" t="inlineStr">
        <is>
          <t>a</t>
        </is>
      </c>
      <c r="I253" s="2" t="n">
        <v>1302</v>
      </c>
      <c r="J253" t="n">
        <v>48</v>
      </c>
      <c r="K253" s="3" t="n">
        <v>1345</v>
      </c>
      <c r="L253" t="inlineStr">
        <is>
          <t>flat</t>
        </is>
      </c>
      <c r="M253" s="4" t="n">
        <v>1345</v>
      </c>
      <c r="N253" t="inlineStr">
        <is>
          <t>Solio</t>
        </is>
      </c>
      <c r="O253" s="5" t="n">
        <v>70.40000000000001</v>
      </c>
      <c r="P253" t="b">
        <v>1</v>
      </c>
      <c r="Q253" s="5">
        <f>IF(N(O253)&lt;=0,0,MIN(Assumptions!$B$15,N(M253)/N(O253)))</f>
        <v/>
      </c>
      <c r="R253" s="4" t="n">
        <v>0.248</v>
      </c>
      <c r="S253" s="3" t="n">
        <v>0.1268</v>
      </c>
      <c r="T253" t="inlineStr">
        <is>
          <t>adjusted xGOT</t>
        </is>
      </c>
      <c r="U253" s="3" t="n">
        <v>1</v>
      </c>
      <c r="V253" s="3" t="n">
        <v>1.112</v>
      </c>
      <c r="W253" s="3" t="n">
        <v>13.3</v>
      </c>
      <c r="X253" s="3" t="n">
        <v>0.1206</v>
      </c>
      <c r="Y253" s="3" t="n">
        <v>5.502</v>
      </c>
      <c r="Z253" s="3" t="n">
        <v>0.001678081331553005</v>
      </c>
      <c r="AA253" s="3" t="n">
        <v>0</v>
      </c>
      <c r="AB253" s="3" t="n">
        <v>43</v>
      </c>
      <c r="AC253" s="3" t="n">
        <v>3.0912</v>
      </c>
      <c r="AD253" s="3" t="n">
        <v>1.4534</v>
      </c>
      <c r="AE253" s="3" t="n">
        <v>-0.0890351884799802</v>
      </c>
      <c r="AF253" s="4" t="n">
        <v>0</v>
      </c>
      <c r="AG253" s="3" t="n">
        <v>0</v>
      </c>
      <c r="AH253" s="3" t="n">
        <v>0.634</v>
      </c>
      <c r="AI253" s="3" t="n">
        <v>0.4775760000000001</v>
      </c>
      <c r="AJ253" s="3">
        <f>N(R253)*N(BC253)</f>
        <v/>
      </c>
      <c r="AK253" s="3" t="n">
        <v>0</v>
      </c>
      <c r="AL253" s="3" t="n">
        <v>0</v>
      </c>
      <c r="AM253" s="3" t="n">
        <v>-0</v>
      </c>
      <c r="AN253" s="3" t="n">
        <v>-0.0890351884799802</v>
      </c>
      <c r="AO253" s="3">
        <f>SUM(AH253:AN253)</f>
        <v/>
      </c>
      <c r="AP253" s="5">
        <f>IF(OR(N(Q253)&lt;=0,N(BA253)=0),0,N(Q253)*IF(N(M253)/N(Q253)&gt;=60,N(BA253),1))</f>
        <v/>
      </c>
      <c r="AQ253" s="5">
        <f>N(Q253)*N(Z253)*N(BB253)</f>
        <v/>
      </c>
      <c r="AR253" s="5">
        <f>N(AF253)*(Assumptions!$B$13*N(BD253)-(1-Assumptions!$B$13)*Assumptions!$B$14)+N(AG253)</f>
        <v/>
      </c>
      <c r="AS253" s="5">
        <f>N(AO253)*N(M253)/90+N(AP253)+N(AQ253)+N(AR253)</f>
        <v/>
      </c>
      <c r="AT253" s="3">
        <f>IF(N(M253)&lt;=0,0,(N(AS253)-N(AR253))*90/N(M253))</f>
        <v/>
      </c>
      <c r="AU253" s="5">
        <f>IFERROR(AS253-VLOOKUP($C253,Assumptions!$A$36:$C$39,3,FALSE),"")</f>
        <v/>
      </c>
      <c r="AV253" s="3">
        <f>IFERROR(AU253/F253,"")</f>
        <v/>
      </c>
      <c r="AW253">
        <f>IF(AND($E253=TRUE,$C253="GKP"),AS253,"")</f>
        <v/>
      </c>
      <c r="AX253">
        <f>IF(AND($E253=TRUE,$C253="DEF"),AS253,"")</f>
        <v/>
      </c>
      <c r="AY253">
        <f>IF(AND($E253=TRUE,$C253="MID"),AS253,"")</f>
        <v/>
      </c>
      <c r="AZ253">
        <f>IF(AND($E253=TRUE,$C253="FWD"),AS253,"")</f>
        <v/>
      </c>
      <c r="BA253" t="n">
        <v>2</v>
      </c>
      <c r="BB253" t="n">
        <v>2</v>
      </c>
      <c r="BC253" t="n">
        <v>1</v>
      </c>
      <c r="BD253" t="n">
        <v>5</v>
      </c>
    </row>
    <row r="254">
      <c r="A254" t="inlineStr">
        <is>
          <t>Ryan Christie</t>
        </is>
      </c>
      <c r="B254" t="inlineStr">
        <is>
          <t>BOU</t>
        </is>
      </c>
      <c r="C254" t="inlineStr">
        <is>
          <t>MID</t>
        </is>
      </c>
      <c r="D254" t="inlineStr">
        <is>
          <t>MID</t>
        </is>
      </c>
      <c r="E254" t="b">
        <v>1</v>
      </c>
      <c r="F254" s="2" t="n">
        <v>5</v>
      </c>
      <c r="G254" t="inlineStr">
        <is>
          <t>s</t>
        </is>
      </c>
      <c r="H254" t="inlineStr">
        <is>
          <t>Suspended until 29 Aug</t>
        </is>
      </c>
      <c r="I254" s="2" t="n">
        <v>978</v>
      </c>
      <c r="J254" t="n">
        <v>47</v>
      </c>
      <c r="K254" s="3" t="n">
        <v>406</v>
      </c>
      <c r="L254" t="inlineStr">
        <is>
          <t>flat</t>
        </is>
      </c>
      <c r="M254" s="4" t="n">
        <v>406</v>
      </c>
      <c r="N254" t="inlineStr">
        <is>
          <t>Solio</t>
        </is>
      </c>
      <c r="O254" s="5" t="n">
        <v>65.40000000000001</v>
      </c>
      <c r="P254" t="b">
        <v>1</v>
      </c>
      <c r="Q254" s="5">
        <f>IF(N(O254)&lt;=0,0,MIN(Assumptions!$B$15,N(M254)/N(O254)))</f>
        <v/>
      </c>
      <c r="R254" s="4" t="n">
        <v>0.23</v>
      </c>
      <c r="S254" s="3" t="n">
        <v>0.1653</v>
      </c>
      <c r="T254" t="inlineStr">
        <is>
          <t>adjusted xGOT</t>
        </is>
      </c>
      <c r="U254" s="3" t="n">
        <v>1</v>
      </c>
      <c r="V254" s="3" t="n">
        <v>0.992</v>
      </c>
      <c r="W254" s="3" t="n">
        <v>9.300000000000001</v>
      </c>
      <c r="X254" s="3" t="n">
        <v>0.1109</v>
      </c>
      <c r="Y254" s="3" t="n">
        <v>10.156</v>
      </c>
      <c r="Z254" s="3" t="n">
        <v>0.07241649268725114</v>
      </c>
      <c r="AA254" s="3" t="n">
        <v>0.184</v>
      </c>
      <c r="AB254" s="3" t="n">
        <v>33</v>
      </c>
      <c r="AC254" s="3" t="n">
        <v>3.0957</v>
      </c>
      <c r="AD254" s="3" t="n">
        <v>1.53</v>
      </c>
      <c r="AE254" s="3" t="n">
        <v>-0.2762743852642902</v>
      </c>
      <c r="AF254" s="4" t="n">
        <v>0</v>
      </c>
      <c r="AG254" s="3" t="n">
        <v>0</v>
      </c>
      <c r="AH254" s="3" t="n">
        <v>0.8265</v>
      </c>
      <c r="AI254" s="3" t="n">
        <v>0.439164</v>
      </c>
      <c r="AJ254" s="3">
        <f>N(R254)*N(BC254)</f>
        <v/>
      </c>
      <c r="AK254" s="3" t="n">
        <v>0.184</v>
      </c>
      <c r="AL254" s="3" t="n">
        <v>0</v>
      </c>
      <c r="AM254" s="3" t="n">
        <v>-0</v>
      </c>
      <c r="AN254" s="3" t="n">
        <v>-0.2762743852642902</v>
      </c>
      <c r="AO254" s="3">
        <f>SUM(AH254:AN254)</f>
        <v/>
      </c>
      <c r="AP254" s="5">
        <f>IF(OR(N(Q254)&lt;=0,N(BA254)=0),0,N(Q254)*IF(N(M254)/N(Q254)&gt;=60,N(BA254),1))</f>
        <v/>
      </c>
      <c r="AQ254" s="5">
        <f>N(Q254)*N(Z254)*N(BB254)</f>
        <v/>
      </c>
      <c r="AR254" s="5">
        <f>N(AF254)*(Assumptions!$B$13*N(BD254)-(1-Assumptions!$B$13)*Assumptions!$B$14)+N(AG254)</f>
        <v/>
      </c>
      <c r="AS254" s="5">
        <f>N(AO254)*N(M254)/90+N(AP254)+N(AQ254)+N(AR254)</f>
        <v/>
      </c>
      <c r="AT254" s="3">
        <f>IF(N(M254)&lt;=0,0,(N(AS254)-N(AR254))*90/N(M254))</f>
        <v/>
      </c>
      <c r="AU254" s="5">
        <f>IFERROR(AS254-VLOOKUP($C254,Assumptions!$A$36:$C$39,3,FALSE),"")</f>
        <v/>
      </c>
      <c r="AV254" s="3">
        <f>IFERROR(AU254/F254,"")</f>
        <v/>
      </c>
      <c r="AW254">
        <f>IF(AND($E254=TRUE,$C254="GKP"),AS254,"")</f>
        <v/>
      </c>
      <c r="AX254">
        <f>IF(AND($E254=TRUE,$C254="DEF"),AS254,"")</f>
        <v/>
      </c>
      <c r="AY254">
        <f>IF(AND($E254=TRUE,$C254="MID"),AS254,"")</f>
        <v/>
      </c>
      <c r="AZ254">
        <f>IF(AND($E254=TRUE,$C254="FWD"),AS254,"")</f>
        <v/>
      </c>
      <c r="BA254" t="n">
        <v>2</v>
      </c>
      <c r="BB254" t="n">
        <v>2</v>
      </c>
      <c r="BC254" t="n">
        <v>1</v>
      </c>
      <c r="BD254" t="n">
        <v>5</v>
      </c>
    </row>
    <row r="255">
      <c r="A255" t="inlineStr">
        <is>
          <t>Andrey Santos</t>
        </is>
      </c>
      <c r="B255" t="inlineStr">
        <is>
          <t>MUN</t>
        </is>
      </c>
      <c r="C255" t="inlineStr">
        <is>
          <t>MID</t>
        </is>
      </c>
      <c r="D255" t="inlineStr">
        <is>
          <t>MID</t>
        </is>
      </c>
      <c r="E255" t="b">
        <v>1</v>
      </c>
      <c r="F255" s="2" t="n">
        <v>5</v>
      </c>
      <c r="G255" t="inlineStr">
        <is>
          <t>a</t>
        </is>
      </c>
      <c r="I255" s="2" t="n">
        <v>1247</v>
      </c>
      <c r="J255" t="n">
        <v>47</v>
      </c>
      <c r="K255" s="3" t="n">
        <v>2861</v>
      </c>
      <c r="L255" t="inlineStr">
        <is>
          <t>flat</t>
        </is>
      </c>
      <c r="M255" s="4" t="n">
        <v>2861</v>
      </c>
      <c r="N255" t="inlineStr">
        <is>
          <t>Solio</t>
        </is>
      </c>
      <c r="O255" s="5" t="n">
        <v>71.09999999999999</v>
      </c>
      <c r="P255" t="b">
        <v>1</v>
      </c>
      <c r="Q255" s="5">
        <f>IF(N(O255)&lt;=0,0,MIN(Assumptions!$B$15,N(M255)/N(O255)))</f>
        <v/>
      </c>
      <c r="R255" s="4" t="n">
        <v>0.334</v>
      </c>
      <c r="S255" s="3" t="n">
        <v>0.1349</v>
      </c>
      <c r="T255" t="inlineStr">
        <is>
          <t>adjusted xGOT</t>
        </is>
      </c>
      <c r="U255" s="3" t="n">
        <v>1</v>
      </c>
      <c r="V255" s="3" t="n">
        <v>0.9340000000000001</v>
      </c>
      <c r="W255" s="3" t="n">
        <v>2.1</v>
      </c>
      <c r="X255" s="3" t="n">
        <v>0.0566</v>
      </c>
      <c r="Y255" s="3" t="n">
        <v>9.042</v>
      </c>
      <c r="Z255" s="3" t="n">
        <v>0.06008395947855405</v>
      </c>
      <c r="AA255" s="3" t="n">
        <v>0.2165</v>
      </c>
      <c r="AB255" s="3" t="n">
        <v>38</v>
      </c>
      <c r="AC255" s="3" t="n">
        <v>2.2165</v>
      </c>
      <c r="AD255" s="3" t="n">
        <v>1.1467</v>
      </c>
      <c r="AE255" s="3" t="n">
        <v>-0.2572282668161304</v>
      </c>
      <c r="AF255" s="4" t="n">
        <v>0</v>
      </c>
      <c r="AG255" s="3" t="n">
        <v>0</v>
      </c>
      <c r="AH255" s="3" t="n">
        <v>0.6745</v>
      </c>
      <c r="AI255" s="3" t="n">
        <v>0.224136</v>
      </c>
      <c r="AJ255" s="3">
        <f>N(R255)*N(BC255)</f>
        <v/>
      </c>
      <c r="AK255" s="3" t="n">
        <v>0.2165</v>
      </c>
      <c r="AL255" s="3" t="n">
        <v>0</v>
      </c>
      <c r="AM255" s="3" t="n">
        <v>-0</v>
      </c>
      <c r="AN255" s="3" t="n">
        <v>-0.2572282668161304</v>
      </c>
      <c r="AO255" s="3">
        <f>SUM(AH255:AN255)</f>
        <v/>
      </c>
      <c r="AP255" s="5">
        <f>IF(OR(N(Q255)&lt;=0,N(BA255)=0),0,N(Q255)*IF(N(M255)/N(Q255)&gt;=60,N(BA255),1))</f>
        <v/>
      </c>
      <c r="AQ255" s="5">
        <f>N(Q255)*N(Z255)*N(BB255)</f>
        <v/>
      </c>
      <c r="AR255" s="5">
        <f>N(AF255)*(Assumptions!$B$13*N(BD255)-(1-Assumptions!$B$13)*Assumptions!$B$14)+N(AG255)</f>
        <v/>
      </c>
      <c r="AS255" s="5">
        <f>N(AO255)*N(M255)/90+N(AP255)+N(AQ255)+N(AR255)</f>
        <v/>
      </c>
      <c r="AT255" s="3">
        <f>IF(N(M255)&lt;=0,0,(N(AS255)-N(AR255))*90/N(M255))</f>
        <v/>
      </c>
      <c r="AU255" s="5">
        <f>IFERROR(AS255-VLOOKUP($C255,Assumptions!$A$36:$C$39,3,FALSE),"")</f>
        <v/>
      </c>
      <c r="AV255" s="3">
        <f>IFERROR(AU255/F255,"")</f>
        <v/>
      </c>
      <c r="AW255">
        <f>IF(AND($E255=TRUE,$C255="GKP"),AS255,"")</f>
        <v/>
      </c>
      <c r="AX255">
        <f>IF(AND($E255=TRUE,$C255="DEF"),AS255,"")</f>
        <v/>
      </c>
      <c r="AY255">
        <f>IF(AND($E255=TRUE,$C255="MID"),AS255,"")</f>
        <v/>
      </c>
      <c r="AZ255">
        <f>IF(AND($E255=TRUE,$C255="FWD"),AS255,"")</f>
        <v/>
      </c>
      <c r="BA255" t="n">
        <v>2</v>
      </c>
      <c r="BB255" t="n">
        <v>2</v>
      </c>
      <c r="BC255" t="n">
        <v>1</v>
      </c>
      <c r="BD255" t="n">
        <v>5</v>
      </c>
    </row>
    <row r="256">
      <c r="A256" t="inlineStr">
        <is>
          <t>Bafodé Diakité</t>
        </is>
      </c>
      <c r="B256" t="inlineStr">
        <is>
          <t>BOU</t>
        </is>
      </c>
      <c r="C256" t="inlineStr">
        <is>
          <t>DEF</t>
        </is>
      </c>
      <c r="D256" t="inlineStr">
        <is>
          <t>DEF</t>
        </is>
      </c>
      <c r="E256" t="b">
        <v>1</v>
      </c>
      <c r="F256" s="2" t="n">
        <v>5</v>
      </c>
      <c r="G256" t="inlineStr">
        <is>
          <t>a</t>
        </is>
      </c>
      <c r="I256" s="2" t="n">
        <v>1275</v>
      </c>
      <c r="J256" t="n">
        <v>46</v>
      </c>
      <c r="K256" s="3" t="n">
        <v>130</v>
      </c>
      <c r="L256" t="inlineStr">
        <is>
          <t>flat</t>
        </is>
      </c>
      <c r="M256" s="4" t="n">
        <v>130</v>
      </c>
      <c r="N256" t="inlineStr">
        <is>
          <t>Solio</t>
        </is>
      </c>
      <c r="O256" s="5" t="n">
        <v>84</v>
      </c>
      <c r="P256" t="b">
        <v>1</v>
      </c>
      <c r="Q256" s="5">
        <f>IF(N(O256)&lt;=0,0,MIN(Assumptions!$B$15,N(M256)/N(O256)))</f>
        <v/>
      </c>
      <c r="R256" s="4" t="n">
        <v>0.23</v>
      </c>
      <c r="S256" s="3" t="n">
        <v>0.0014</v>
      </c>
      <c r="T256" t="inlineStr">
        <is>
          <t>adjusted xGOT</t>
        </is>
      </c>
      <c r="U256" s="3" t="n">
        <v>1</v>
      </c>
      <c r="V256" s="3" t="n">
        <v>0.998</v>
      </c>
      <c r="W256" s="3" t="n">
        <v>0</v>
      </c>
      <c r="X256" s="3" t="n">
        <v>0.0097</v>
      </c>
      <c r="Y256" s="3" t="n">
        <v>8.052</v>
      </c>
      <c r="Z256" s="3" t="n">
        <v>0.2253345184710496</v>
      </c>
      <c r="AA256" s="3" t="n">
        <v>0.1412</v>
      </c>
      <c r="AB256" s="3" t="n">
        <v>31</v>
      </c>
      <c r="AC256" s="3" t="n">
        <v>3.0957</v>
      </c>
      <c r="AD256" s="3" t="n">
        <v>1.53</v>
      </c>
      <c r="AE256" s="3" t="n">
        <v>-0.1515806232502433</v>
      </c>
      <c r="AF256" s="4" t="n">
        <v>0</v>
      </c>
      <c r="AG256" s="3" t="n">
        <v>0</v>
      </c>
      <c r="AH256" s="3" t="n">
        <v>0.008399999999999999</v>
      </c>
      <c r="AI256" s="3" t="n">
        <v>0.038412</v>
      </c>
      <c r="AJ256" s="3">
        <f>N(R256)*N(BC256)</f>
        <v/>
      </c>
      <c r="AK256" s="3" t="n">
        <v>0.1412</v>
      </c>
      <c r="AL256" s="3" t="n">
        <v>0</v>
      </c>
      <c r="AM256" s="3" t="n">
        <v>-0.5267219238049191</v>
      </c>
      <c r="AN256" s="3" t="n">
        <v>-0.1515806232502433</v>
      </c>
      <c r="AO256" s="3">
        <f>SUM(AH256:AN256)</f>
        <v/>
      </c>
      <c r="AP256" s="5">
        <f>IF(OR(N(Q256)&lt;=0,N(BA256)=0),0,N(Q256)*IF(N(M256)/N(Q256)&gt;=60,N(BA256),1))</f>
        <v/>
      </c>
      <c r="AQ256" s="5">
        <f>N(Q256)*N(Z256)*N(BB256)</f>
        <v/>
      </c>
      <c r="AR256" s="5">
        <f>N(AF256)*(Assumptions!$B$13*N(BD256)-(1-Assumptions!$B$13)*Assumptions!$B$14)+N(AG256)</f>
        <v/>
      </c>
      <c r="AS256" s="5">
        <f>N(AO256)*N(M256)/90+N(AP256)+N(AQ256)+N(AR256)</f>
        <v/>
      </c>
      <c r="AT256" s="3">
        <f>IF(N(M256)&lt;=0,0,(N(AS256)-N(AR256))*90/N(M256))</f>
        <v/>
      </c>
      <c r="AU256" s="5">
        <f>IFERROR(AS256-VLOOKUP($C256,Assumptions!$A$36:$C$39,3,FALSE),"")</f>
        <v/>
      </c>
      <c r="AV256" s="3">
        <f>IFERROR(AU256/F256,"")</f>
        <v/>
      </c>
      <c r="AW256">
        <f>IF(AND($E256=TRUE,$C256="GKP"),AS256,"")</f>
        <v/>
      </c>
      <c r="AX256">
        <f>IF(AND($E256=TRUE,$C256="DEF"),AS256,"")</f>
        <v/>
      </c>
      <c r="AY256">
        <f>IF(AND($E256=TRUE,$C256="MID"),AS256,"")</f>
        <v/>
      </c>
      <c r="AZ256">
        <f>IF(AND($E256=TRUE,$C256="FWD"),AS256,"")</f>
        <v/>
      </c>
      <c r="BA256" t="n">
        <v>2</v>
      </c>
      <c r="BB256" t="n">
        <v>2</v>
      </c>
      <c r="BC256" t="n">
        <v>4</v>
      </c>
      <c r="BD256" t="n">
        <v>6</v>
      </c>
    </row>
    <row r="257">
      <c r="A257" t="inlineStr">
        <is>
          <t>Wilson Odobert</t>
        </is>
      </c>
      <c r="B257" t="inlineStr">
        <is>
          <t>TOT</t>
        </is>
      </c>
      <c r="C257" t="inlineStr">
        <is>
          <t>MID</t>
        </is>
      </c>
      <c r="D257" t="inlineStr">
        <is>
          <t>MID</t>
        </is>
      </c>
      <c r="E257" t="b">
        <v>1</v>
      </c>
      <c r="F257" s="2" t="n">
        <v>5.5</v>
      </c>
      <c r="G257" t="inlineStr">
        <is>
          <t>i</t>
        </is>
      </c>
      <c r="H257" t="inlineStr">
        <is>
          <t>Knee injury - Unknown return date</t>
        </is>
      </c>
      <c r="I257" s="2" t="n">
        <v>972</v>
      </c>
      <c r="J257" t="n">
        <v>46</v>
      </c>
      <c r="K257" s="3" t="n">
        <v>419</v>
      </c>
      <c r="L257" t="inlineStr">
        <is>
          <t>flat</t>
        </is>
      </c>
      <c r="M257" s="4" t="n">
        <v>419</v>
      </c>
      <c r="N257" t="inlineStr">
        <is>
          <t>Solio</t>
        </is>
      </c>
      <c r="O257" s="5" t="n">
        <v>67.90000000000001</v>
      </c>
      <c r="P257" t="b">
        <v>1</v>
      </c>
      <c r="Q257" s="5">
        <f>IF(N(O257)&lt;=0,0,MIN(Assumptions!$B$15,N(M257)/N(O257)))</f>
        <v/>
      </c>
      <c r="R257" s="4" t="n">
        <v>0.286</v>
      </c>
      <c r="S257" s="3" t="n">
        <v>0.1604</v>
      </c>
      <c r="T257" t="inlineStr">
        <is>
          <t>adjusted xGOT</t>
        </is>
      </c>
      <c r="U257" s="3" t="n">
        <v>1</v>
      </c>
      <c r="V257" s="3" t="n">
        <v>0.902</v>
      </c>
      <c r="W257" s="3" t="n">
        <v>6.3</v>
      </c>
      <c r="X257" s="3" t="n">
        <v>0.1464</v>
      </c>
      <c r="Y257" s="3" t="n">
        <v>7.746</v>
      </c>
      <c r="Z257" s="3" t="n">
        <v>0.01679885819738069</v>
      </c>
      <c r="AA257" s="3" t="n">
        <v>0.5556</v>
      </c>
      <c r="AB257" s="3" t="n">
        <v>32</v>
      </c>
      <c r="AC257" s="3" t="n">
        <v>2.5739</v>
      </c>
      <c r="AD257" s="3" t="n">
        <v>1.3096</v>
      </c>
      <c r="AE257" s="3" t="n">
        <v>-0.1218449339240393</v>
      </c>
      <c r="AF257" s="4" t="n">
        <v>0</v>
      </c>
      <c r="AG257" s="3" t="n">
        <v>0</v>
      </c>
      <c r="AH257" s="3" t="n">
        <v>0.8019999999999999</v>
      </c>
      <c r="AI257" s="3" t="n">
        <v>0.579744</v>
      </c>
      <c r="AJ257" s="3">
        <f>N(R257)*N(BC257)</f>
        <v/>
      </c>
      <c r="AK257" s="3" t="n">
        <v>0.5556</v>
      </c>
      <c r="AL257" s="3" t="n">
        <v>0</v>
      </c>
      <c r="AM257" s="3" t="n">
        <v>-0</v>
      </c>
      <c r="AN257" s="3" t="n">
        <v>-0.1218449339240393</v>
      </c>
      <c r="AO257" s="3">
        <f>SUM(AH257:AN257)</f>
        <v/>
      </c>
      <c r="AP257" s="5">
        <f>IF(OR(N(Q257)&lt;=0,N(BA257)=0),0,N(Q257)*IF(N(M257)/N(Q257)&gt;=60,N(BA257),1))</f>
        <v/>
      </c>
      <c r="AQ257" s="5">
        <f>N(Q257)*N(Z257)*N(BB257)</f>
        <v/>
      </c>
      <c r="AR257" s="5">
        <f>N(AF257)*(Assumptions!$B$13*N(BD257)-(1-Assumptions!$B$13)*Assumptions!$B$14)+N(AG257)</f>
        <v/>
      </c>
      <c r="AS257" s="5">
        <f>N(AO257)*N(M257)/90+N(AP257)+N(AQ257)+N(AR257)</f>
        <v/>
      </c>
      <c r="AT257" s="3">
        <f>IF(N(M257)&lt;=0,0,(N(AS257)-N(AR257))*90/N(M257))</f>
        <v/>
      </c>
      <c r="AU257" s="5">
        <f>IFERROR(AS257-VLOOKUP($C257,Assumptions!$A$36:$C$39,3,FALSE),"")</f>
        <v/>
      </c>
      <c r="AV257" s="3">
        <f>IFERROR(AU257/F257,"")</f>
        <v/>
      </c>
      <c r="AW257">
        <f>IF(AND($E257=TRUE,$C257="GKP"),AS257,"")</f>
        <v/>
      </c>
      <c r="AX257">
        <f>IF(AND($E257=TRUE,$C257="DEF"),AS257,"")</f>
        <v/>
      </c>
      <c r="AY257">
        <f>IF(AND($E257=TRUE,$C257="MID"),AS257,"")</f>
        <v/>
      </c>
      <c r="AZ257">
        <f>IF(AND($E257=TRUE,$C257="FWD"),AS257,"")</f>
        <v/>
      </c>
      <c r="BA257" t="n">
        <v>2</v>
      </c>
      <c r="BB257" t="n">
        <v>2</v>
      </c>
      <c r="BC257" t="n">
        <v>1</v>
      </c>
      <c r="BD257" t="n">
        <v>5</v>
      </c>
    </row>
    <row r="258">
      <c r="A258" t="inlineStr">
        <is>
          <t>Liam Delap</t>
        </is>
      </c>
      <c r="B258" t="inlineStr">
        <is>
          <t>CHE</t>
        </is>
      </c>
      <c r="C258" t="inlineStr">
        <is>
          <t>FWD</t>
        </is>
      </c>
      <c r="D258" t="inlineStr">
        <is>
          <t>FWD</t>
        </is>
      </c>
      <c r="E258" t="b">
        <v>1</v>
      </c>
      <c r="F258" s="2" t="n">
        <v>5.5</v>
      </c>
      <c r="G258" t="inlineStr">
        <is>
          <t>a</t>
        </is>
      </c>
      <c r="I258" s="2" t="n">
        <v>1092</v>
      </c>
      <c r="J258" t="n">
        <v>45</v>
      </c>
      <c r="K258" s="3" t="n">
        <v>21</v>
      </c>
      <c r="L258" t="inlineStr">
        <is>
          <t>flat</t>
        </is>
      </c>
      <c r="M258" s="4" t="n">
        <v>21</v>
      </c>
      <c r="N258" t="inlineStr">
        <is>
          <t>Solio</t>
        </is>
      </c>
      <c r="O258" s="5" t="n">
        <v>67.40000000000001</v>
      </c>
      <c r="P258" t="b">
        <v>1</v>
      </c>
      <c r="Q258" s="5">
        <f>IF(N(O258)&lt;=0,0,MIN(Assumptions!$B$15,N(M258)/N(O258)))</f>
        <v/>
      </c>
      <c r="R258" s="4" t="n">
        <v>0.322</v>
      </c>
      <c r="S258" s="3" t="n">
        <v>0.3711</v>
      </c>
      <c r="T258" t="inlineStr">
        <is>
          <t>adjusted xGOT</t>
        </is>
      </c>
      <c r="U258" s="3" t="n">
        <v>1</v>
      </c>
      <c r="V258" s="3" t="n">
        <v>0.992</v>
      </c>
      <c r="W258" s="3" t="n">
        <v>14</v>
      </c>
      <c r="X258" s="3" t="n">
        <v>0.0165</v>
      </c>
      <c r="Y258" s="3" t="n">
        <v>3.991</v>
      </c>
      <c r="Z258" s="3" t="n">
        <v>6.895197250766927e-05</v>
      </c>
      <c r="AA258" s="3" t="n">
        <v>0.0824</v>
      </c>
      <c r="AB258" s="3" t="n">
        <v>38</v>
      </c>
      <c r="AC258" s="3" t="n">
        <v>2.4232</v>
      </c>
      <c r="AD258" s="3" t="n">
        <v>1.1851</v>
      </c>
      <c r="AE258" s="3" t="n">
        <v>-0.3159241692174626</v>
      </c>
      <c r="AF258" s="4" t="n">
        <v>0.0003609129577271</v>
      </c>
      <c r="AG258" s="3" t="n">
        <v>0</v>
      </c>
      <c r="AH258" s="3" t="n">
        <v>1.4844</v>
      </c>
      <c r="AI258" s="3" t="n">
        <v>0.06534000000000001</v>
      </c>
      <c r="AJ258" s="3">
        <f>N(R258)*N(BC258)</f>
        <v/>
      </c>
      <c r="AK258" s="3" t="n">
        <v>0.0824</v>
      </c>
      <c r="AL258" s="3" t="n">
        <v>0</v>
      </c>
      <c r="AM258" s="3" t="n">
        <v>-0</v>
      </c>
      <c r="AN258" s="3" t="n">
        <v>-0.3159241692174626</v>
      </c>
      <c r="AO258" s="3">
        <f>SUM(AH258:AN258)</f>
        <v/>
      </c>
      <c r="AP258" s="5">
        <f>IF(OR(N(Q258)&lt;=0,N(BA258)=0),0,N(Q258)*IF(N(M258)/N(Q258)&gt;=60,N(BA258),1))</f>
        <v/>
      </c>
      <c r="AQ258" s="5">
        <f>N(Q258)*N(Z258)*N(BB258)</f>
        <v/>
      </c>
      <c r="AR258" s="5">
        <f>N(AF258)*(Assumptions!$B$13*N(BD258)-(1-Assumptions!$B$13)*Assumptions!$B$14)+N(AG258)</f>
        <v/>
      </c>
      <c r="AS258" s="5">
        <f>N(AO258)*N(M258)/90+N(AP258)+N(AQ258)+N(AR258)</f>
        <v/>
      </c>
      <c r="AT258" s="3">
        <f>IF(N(M258)&lt;=0,0,(N(AS258)-N(AR258))*90/N(M258))</f>
        <v/>
      </c>
      <c r="AU258" s="5">
        <f>IFERROR(AS258-VLOOKUP($C258,Assumptions!$A$36:$C$39,3,FALSE),"")</f>
        <v/>
      </c>
      <c r="AV258" s="3">
        <f>IFERROR(AU258/F258,"")</f>
        <v/>
      </c>
      <c r="AW258">
        <f>IF(AND($E258=TRUE,$C258="GKP"),AS258,"")</f>
        <v/>
      </c>
      <c r="AX258">
        <f>IF(AND($E258=TRUE,$C258="DEF"),AS258,"")</f>
        <v/>
      </c>
      <c r="AY258">
        <f>IF(AND($E258=TRUE,$C258="MID"),AS258,"")</f>
        <v/>
      </c>
      <c r="AZ258">
        <f>IF(AND($E258=TRUE,$C258="FWD"),AS258,"")</f>
        <v/>
      </c>
      <c r="BA258" t="n">
        <v>2</v>
      </c>
      <c r="BB258" t="n">
        <v>2</v>
      </c>
      <c r="BC258" t="n">
        <v>0</v>
      </c>
      <c r="BD258" t="n">
        <v>4</v>
      </c>
    </row>
    <row r="259">
      <c r="A259" t="inlineStr">
        <is>
          <t>Will Hughes</t>
        </is>
      </c>
      <c r="B259" t="inlineStr">
        <is>
          <t>CRY</t>
        </is>
      </c>
      <c r="C259" t="inlineStr">
        <is>
          <t>MID</t>
        </is>
      </c>
      <c r="D259" t="inlineStr">
        <is>
          <t>MID</t>
        </is>
      </c>
      <c r="E259" t="b">
        <v>1</v>
      </c>
      <c r="F259" s="2" t="n">
        <v>4.5</v>
      </c>
      <c r="G259" t="inlineStr">
        <is>
          <t>a</t>
        </is>
      </c>
      <c r="I259" s="2" t="n">
        <v>1560</v>
      </c>
      <c r="J259" t="n">
        <v>45</v>
      </c>
      <c r="K259" s="3" t="n">
        <v>1510</v>
      </c>
      <c r="L259" t="inlineStr">
        <is>
          <t>flat</t>
        </is>
      </c>
      <c r="M259" s="4" t="n">
        <v>1510</v>
      </c>
      <c r="N259" t="inlineStr">
        <is>
          <t>Solio</t>
        </is>
      </c>
      <c r="O259" s="5" t="n">
        <v>72.8</v>
      </c>
      <c r="P259" t="b">
        <v>1</v>
      </c>
      <c r="Q259" s="5">
        <f>IF(N(O259)&lt;=0,0,MIN(Assumptions!$B$15,N(M259)/N(O259)))</f>
        <v/>
      </c>
      <c r="R259" s="4" t="n">
        <v>0.216</v>
      </c>
      <c r="S259" s="3" t="n">
        <v>0.0549</v>
      </c>
      <c r="T259" t="inlineStr">
        <is>
          <t>adjusted xGOT</t>
        </is>
      </c>
      <c r="U259" s="3" t="n">
        <v>1</v>
      </c>
      <c r="V259" s="3" t="n">
        <v>0.857</v>
      </c>
      <c r="W259" s="3" t="n">
        <v>2.8</v>
      </c>
      <c r="X259" s="3" t="n">
        <v>0.1115</v>
      </c>
      <c r="Y259" s="3" t="n">
        <v>8.551</v>
      </c>
      <c r="Z259" s="3" t="n">
        <v>0.04968064863658972</v>
      </c>
      <c r="AA259" s="3" t="n">
        <v>0</v>
      </c>
      <c r="AB259" s="3" t="n">
        <v>44</v>
      </c>
      <c r="AC259" s="3" t="n">
        <v>3.2035</v>
      </c>
      <c r="AD259" s="3" t="n">
        <v>1.5923</v>
      </c>
      <c r="AE259" s="3" t="n">
        <v>-0.3610724434657475</v>
      </c>
      <c r="AF259" s="4" t="n">
        <v>0</v>
      </c>
      <c r="AG259" s="3" t="n">
        <v>0</v>
      </c>
      <c r="AH259" s="3" t="n">
        <v>0.2745</v>
      </c>
      <c r="AI259" s="3" t="n">
        <v>0.44154</v>
      </c>
      <c r="AJ259" s="3">
        <f>N(R259)*N(BC259)</f>
        <v/>
      </c>
      <c r="AK259" s="3" t="n">
        <v>0</v>
      </c>
      <c r="AL259" s="3" t="n">
        <v>0</v>
      </c>
      <c r="AM259" s="3" t="n">
        <v>-0</v>
      </c>
      <c r="AN259" s="3" t="n">
        <v>-0.3610724434657475</v>
      </c>
      <c r="AO259" s="3">
        <f>SUM(AH259:AN259)</f>
        <v/>
      </c>
      <c r="AP259" s="5">
        <f>IF(OR(N(Q259)&lt;=0,N(BA259)=0),0,N(Q259)*IF(N(M259)/N(Q259)&gt;=60,N(BA259),1))</f>
        <v/>
      </c>
      <c r="AQ259" s="5">
        <f>N(Q259)*N(Z259)*N(BB259)</f>
        <v/>
      </c>
      <c r="AR259" s="5">
        <f>N(AF259)*(Assumptions!$B$13*N(BD259)-(1-Assumptions!$B$13)*Assumptions!$B$14)+N(AG259)</f>
        <v/>
      </c>
      <c r="AS259" s="5">
        <f>N(AO259)*N(M259)/90+N(AP259)+N(AQ259)+N(AR259)</f>
        <v/>
      </c>
      <c r="AT259" s="3">
        <f>IF(N(M259)&lt;=0,0,(N(AS259)-N(AR259))*90/N(M259))</f>
        <v/>
      </c>
      <c r="AU259" s="5">
        <f>IFERROR(AS259-VLOOKUP($C259,Assumptions!$A$36:$C$39,3,FALSE),"")</f>
        <v/>
      </c>
      <c r="AV259" s="3">
        <f>IFERROR(AU259/F259,"")</f>
        <v/>
      </c>
      <c r="AW259">
        <f>IF(AND($E259=TRUE,$C259="GKP"),AS259,"")</f>
        <v/>
      </c>
      <c r="AX259">
        <f>IF(AND($E259=TRUE,$C259="DEF"),AS259,"")</f>
        <v/>
      </c>
      <c r="AY259">
        <f>IF(AND($E259=TRUE,$C259="MID"),AS259,"")</f>
        <v/>
      </c>
      <c r="AZ259">
        <f>IF(AND($E259=TRUE,$C259="FWD"),AS259,"")</f>
        <v/>
      </c>
      <c r="BA259" t="n">
        <v>2</v>
      </c>
      <c r="BB259" t="n">
        <v>2</v>
      </c>
      <c r="BC259" t="n">
        <v>1</v>
      </c>
      <c r="BD259" t="n">
        <v>5</v>
      </c>
    </row>
    <row r="260">
      <c r="A260" t="inlineStr">
        <is>
          <t>Ben White</t>
        </is>
      </c>
      <c r="B260" t="inlineStr">
        <is>
          <t>ARS</t>
        </is>
      </c>
      <c r="C260" t="inlineStr">
        <is>
          <t>DEF</t>
        </is>
      </c>
      <c r="D260" t="inlineStr">
        <is>
          <t>DEF</t>
        </is>
      </c>
      <c r="E260" t="b">
        <v>1</v>
      </c>
      <c r="F260" s="2" t="n">
        <v>5.5</v>
      </c>
      <c r="G260" t="inlineStr">
        <is>
          <t>a</t>
        </is>
      </c>
      <c r="I260" s="2" t="n">
        <v>699</v>
      </c>
      <c r="J260" t="n">
        <v>45</v>
      </c>
      <c r="K260" s="3" t="n">
        <v>287</v>
      </c>
      <c r="L260" t="inlineStr">
        <is>
          <t>fade (losing his place)</t>
        </is>
      </c>
      <c r="M260" s="4" t="n">
        <v>287</v>
      </c>
      <c r="N260" t="inlineStr">
        <is>
          <t>Solio</t>
        </is>
      </c>
      <c r="O260" s="5" t="n">
        <v>71.59999999999999</v>
      </c>
      <c r="P260" t="b">
        <v>1</v>
      </c>
      <c r="Q260" s="5">
        <f>IF(N(O260)&lt;=0,0,MIN(Assumptions!$B$15,N(M260)/N(O260)))</f>
        <v/>
      </c>
      <c r="R260" s="4" t="n">
        <v>0.391</v>
      </c>
      <c r="S260" s="3" t="n">
        <v>0.0578</v>
      </c>
      <c r="T260" t="inlineStr">
        <is>
          <t>adjusted xGOT</t>
        </is>
      </c>
      <c r="U260" s="3" t="n">
        <v>1</v>
      </c>
      <c r="V260" s="3" t="n">
        <v>0.997</v>
      </c>
      <c r="W260" s="3" t="n">
        <v>3.4</v>
      </c>
      <c r="X260" s="3" t="n">
        <v>0.1447</v>
      </c>
      <c r="Y260" s="3" t="n">
        <v>7.261</v>
      </c>
      <c r="Z260" s="3" t="n">
        <v>0.06939884962197829</v>
      </c>
      <c r="AA260" s="3" t="n">
        <v>0.3863</v>
      </c>
      <c r="AB260" s="3" t="n">
        <v>19</v>
      </c>
      <c r="AC260" s="3" t="n">
        <v>2.067</v>
      </c>
      <c r="AD260" s="3" t="n">
        <v>0.9838</v>
      </c>
      <c r="AE260" s="3" t="n">
        <v>-0.1841263655678415</v>
      </c>
      <c r="AF260" s="4" t="n">
        <v>0</v>
      </c>
      <c r="AG260" s="3" t="n">
        <v>0</v>
      </c>
      <c r="AH260" s="3" t="n">
        <v>0.3468</v>
      </c>
      <c r="AI260" s="3" t="n">
        <v>0.573012</v>
      </c>
      <c r="AJ260" s="3">
        <f>N(R260)*N(BC260)</f>
        <v/>
      </c>
      <c r="AK260" s="3" t="n">
        <v>0.3863</v>
      </c>
      <c r="AL260" s="3" t="n">
        <v>0</v>
      </c>
      <c r="AM260" s="3" t="n">
        <v>-0.2768479886568037</v>
      </c>
      <c r="AN260" s="3" t="n">
        <v>-0.1841263655678415</v>
      </c>
      <c r="AO260" s="3">
        <f>SUM(AH260:AN260)</f>
        <v/>
      </c>
      <c r="AP260" s="5">
        <f>IF(OR(N(Q260)&lt;=0,N(BA260)=0),0,N(Q260)*IF(N(M260)/N(Q260)&gt;=60,N(BA260),1))</f>
        <v/>
      </c>
      <c r="AQ260" s="5">
        <f>N(Q260)*N(Z260)*N(BB260)</f>
        <v/>
      </c>
      <c r="AR260" s="5">
        <f>N(AF260)*(Assumptions!$B$13*N(BD260)-(1-Assumptions!$B$13)*Assumptions!$B$14)+N(AG260)</f>
        <v/>
      </c>
      <c r="AS260" s="5">
        <f>N(AO260)*N(M260)/90+N(AP260)+N(AQ260)+N(AR260)</f>
        <v/>
      </c>
      <c r="AT260" s="3">
        <f>IF(N(M260)&lt;=0,0,(N(AS260)-N(AR260))*90/N(M260))</f>
        <v/>
      </c>
      <c r="AU260" s="5">
        <f>IFERROR(AS260-VLOOKUP($C260,Assumptions!$A$36:$C$39,3,FALSE),"")</f>
        <v/>
      </c>
      <c r="AV260" s="3">
        <f>IFERROR(AU260/F260,"")</f>
        <v/>
      </c>
      <c r="AW260">
        <f>IF(AND($E260=TRUE,$C260="GKP"),AS260,"")</f>
        <v/>
      </c>
      <c r="AX260">
        <f>IF(AND($E260=TRUE,$C260="DEF"),AS260,"")</f>
        <v/>
      </c>
      <c r="AY260">
        <f>IF(AND($E260=TRUE,$C260="MID"),AS260,"")</f>
        <v/>
      </c>
      <c r="AZ260">
        <f>IF(AND($E260=TRUE,$C260="FWD"),AS260,"")</f>
        <v/>
      </c>
      <c r="BA260" t="n">
        <v>2</v>
      </c>
      <c r="BB260" t="n">
        <v>2</v>
      </c>
      <c r="BC260" t="n">
        <v>4</v>
      </c>
      <c r="BD260" t="n">
        <v>6</v>
      </c>
    </row>
    <row r="261">
      <c r="A261" t="inlineStr">
        <is>
          <t>Conor Gallagher</t>
        </is>
      </c>
      <c r="B261" t="inlineStr">
        <is>
          <t>TOT</t>
        </is>
      </c>
      <c r="C261" t="inlineStr">
        <is>
          <t>MID</t>
        </is>
      </c>
      <c r="D261" t="inlineStr">
        <is>
          <t>MID</t>
        </is>
      </c>
      <c r="E261" t="b">
        <v>1</v>
      </c>
      <c r="F261" s="2" t="n">
        <v>5.5</v>
      </c>
      <c r="G261" t="inlineStr">
        <is>
          <t>a</t>
        </is>
      </c>
      <c r="I261" s="2" t="n">
        <v>1183</v>
      </c>
      <c r="J261" t="n">
        <v>44</v>
      </c>
      <c r="K261" s="3" t="n">
        <v>1858</v>
      </c>
      <c r="L261" t="inlineStr">
        <is>
          <t>fade (losing his place)</t>
        </is>
      </c>
      <c r="M261" s="4" t="n">
        <v>1858</v>
      </c>
      <c r="N261" t="inlineStr">
        <is>
          <t>Solio</t>
        </is>
      </c>
      <c r="O261" s="5" t="n">
        <v>80.7</v>
      </c>
      <c r="P261" t="b">
        <v>1</v>
      </c>
      <c r="Q261" s="5">
        <f>IF(N(O261)&lt;=0,0,MIN(Assumptions!$B$15,N(M261)/N(O261)))</f>
        <v/>
      </c>
      <c r="R261" s="4" t="n">
        <v>0.286</v>
      </c>
      <c r="S261" s="3" t="n">
        <v>0.09180000000000001</v>
      </c>
      <c r="T261" t="inlineStr">
        <is>
          <t>adjusted xGOT</t>
        </is>
      </c>
      <c r="U261" s="3" t="n">
        <v>1</v>
      </c>
      <c r="V261" s="3" t="n">
        <v>0.982</v>
      </c>
      <c r="W261" s="3" t="n">
        <v>7.8</v>
      </c>
      <c r="X261" s="3" t="n">
        <v>0.0592</v>
      </c>
      <c r="Y261" s="3" t="n">
        <v>9.109999999999999</v>
      </c>
      <c r="Z261" s="3" t="n">
        <v>0.1244805530316877</v>
      </c>
      <c r="AA261" s="3" t="n">
        <v>0.2282</v>
      </c>
      <c r="AB261" s="3" t="n">
        <v>29</v>
      </c>
      <c r="AC261" s="3" t="n">
        <v>2.5739</v>
      </c>
      <c r="AD261" s="3" t="n">
        <v>1.3096</v>
      </c>
      <c r="AE261" s="3" t="n">
        <v>-0.2022405945083572</v>
      </c>
      <c r="AF261" s="4" t="n">
        <v>0</v>
      </c>
      <c r="AG261" s="3" t="n">
        <v>0</v>
      </c>
      <c r="AH261" s="3" t="n">
        <v>0.459</v>
      </c>
      <c r="AI261" s="3" t="n">
        <v>0.234432</v>
      </c>
      <c r="AJ261" s="3">
        <f>N(R261)*N(BC261)</f>
        <v/>
      </c>
      <c r="AK261" s="3" t="n">
        <v>0.2282</v>
      </c>
      <c r="AL261" s="3" t="n">
        <v>0</v>
      </c>
      <c r="AM261" s="3" t="n">
        <v>-0</v>
      </c>
      <c r="AN261" s="3" t="n">
        <v>-0.2022405945083572</v>
      </c>
      <c r="AO261" s="3">
        <f>SUM(AH261:AN261)</f>
        <v/>
      </c>
      <c r="AP261" s="5">
        <f>IF(OR(N(Q261)&lt;=0,N(BA261)=0),0,N(Q261)*IF(N(M261)/N(Q261)&gt;=60,N(BA261),1))</f>
        <v/>
      </c>
      <c r="AQ261" s="5">
        <f>N(Q261)*N(Z261)*N(BB261)</f>
        <v/>
      </c>
      <c r="AR261" s="5">
        <f>N(AF261)*(Assumptions!$B$13*N(BD261)-(1-Assumptions!$B$13)*Assumptions!$B$14)+N(AG261)</f>
        <v/>
      </c>
      <c r="AS261" s="5">
        <f>N(AO261)*N(M261)/90+N(AP261)+N(AQ261)+N(AR261)</f>
        <v/>
      </c>
      <c r="AT261" s="3">
        <f>IF(N(M261)&lt;=0,0,(N(AS261)-N(AR261))*90/N(M261))</f>
        <v/>
      </c>
      <c r="AU261" s="5">
        <f>IFERROR(AS261-VLOOKUP($C261,Assumptions!$A$36:$C$39,3,FALSE),"")</f>
        <v/>
      </c>
      <c r="AV261" s="3">
        <f>IFERROR(AU261/F261,"")</f>
        <v/>
      </c>
      <c r="AW261">
        <f>IF(AND($E261=TRUE,$C261="GKP"),AS261,"")</f>
        <v/>
      </c>
      <c r="AX261">
        <f>IF(AND($E261=TRUE,$C261="DEF"),AS261,"")</f>
        <v/>
      </c>
      <c r="AY261">
        <f>IF(AND($E261=TRUE,$C261="MID"),AS261,"")</f>
        <v/>
      </c>
      <c r="AZ261">
        <f>IF(AND($E261=TRUE,$C261="FWD"),AS261,"")</f>
        <v/>
      </c>
      <c r="BA261" t="n">
        <v>2</v>
      </c>
      <c r="BB261" t="n">
        <v>2</v>
      </c>
      <c r="BC261" t="n">
        <v>1</v>
      </c>
      <c r="BD261" t="n">
        <v>5</v>
      </c>
    </row>
    <row r="262">
      <c r="A262" t="inlineStr">
        <is>
          <t>Evann Guessand</t>
        </is>
      </c>
      <c r="B262" t="inlineStr">
        <is>
          <t>CRY</t>
        </is>
      </c>
      <c r="C262" t="inlineStr">
        <is>
          <t>MID</t>
        </is>
      </c>
      <c r="D262" t="inlineStr">
        <is>
          <t>MID</t>
        </is>
      </c>
      <c r="E262" t="b">
        <v>1</v>
      </c>
      <c r="F262" s="2" t="n">
        <v>5.5</v>
      </c>
      <c r="G262" t="inlineStr">
        <is>
          <t>a</t>
        </is>
      </c>
      <c r="I262" s="2" t="n">
        <v>909</v>
      </c>
      <c r="J262" t="n">
        <v>44</v>
      </c>
      <c r="K262" s="3" t="n">
        <v>832</v>
      </c>
      <c r="L262" t="inlineStr">
        <is>
          <t>flat</t>
        </is>
      </c>
      <c r="M262" s="4" t="n">
        <v>832</v>
      </c>
      <c r="N262" t="inlineStr">
        <is>
          <t>Solio</t>
        </is>
      </c>
      <c r="O262" s="5" t="n">
        <v>68.3</v>
      </c>
      <c r="P262" t="b">
        <v>1</v>
      </c>
      <c r="Q262" s="5">
        <f>IF(N(O262)&lt;=0,0,MIN(Assumptions!$B$15,N(M262)/N(O262)))</f>
        <v/>
      </c>
      <c r="R262" s="4" t="n">
        <v>0.216</v>
      </c>
      <c r="S262" s="3" t="n">
        <v>0.1551</v>
      </c>
      <c r="T262" t="inlineStr">
        <is>
          <t>adjusted xGOT</t>
        </is>
      </c>
      <c r="U262" s="3" t="n">
        <v>1</v>
      </c>
      <c r="V262" s="3" t="n">
        <v>1.004</v>
      </c>
      <c r="W262" s="3" t="n">
        <v>1.6</v>
      </c>
      <c r="X262" s="3" t="n">
        <v>0.1034</v>
      </c>
      <c r="Y262" s="3" t="n">
        <v>8.377000000000001</v>
      </c>
      <c r="Z262" s="3" t="n">
        <v>0.02940242109095759</v>
      </c>
      <c r="AA262" s="3" t="n">
        <v>0</v>
      </c>
      <c r="AB262" s="3" t="n">
        <v>28</v>
      </c>
      <c r="AC262" s="3" t="n">
        <v>3.2035</v>
      </c>
      <c r="AD262" s="3" t="n">
        <v>1.5923</v>
      </c>
      <c r="AE262" s="3" t="n">
        <v>-0.1388775988728118</v>
      </c>
      <c r="AF262" s="4" t="n">
        <v>0</v>
      </c>
      <c r="AG262" s="3" t="n">
        <v>0</v>
      </c>
      <c r="AH262" s="3" t="n">
        <v>0.7755</v>
      </c>
      <c r="AI262" s="3" t="n">
        <v>0.4094640000000001</v>
      </c>
      <c r="AJ262" s="3">
        <f>N(R262)*N(BC262)</f>
        <v/>
      </c>
      <c r="AK262" s="3" t="n">
        <v>0</v>
      </c>
      <c r="AL262" s="3" t="n">
        <v>0</v>
      </c>
      <c r="AM262" s="3" t="n">
        <v>-0</v>
      </c>
      <c r="AN262" s="3" t="n">
        <v>-0.1388775988728118</v>
      </c>
      <c r="AO262" s="3">
        <f>SUM(AH262:AN262)</f>
        <v/>
      </c>
      <c r="AP262" s="5">
        <f>IF(OR(N(Q262)&lt;=0,N(BA262)=0),0,N(Q262)*IF(N(M262)/N(Q262)&gt;=60,N(BA262),1))</f>
        <v/>
      </c>
      <c r="AQ262" s="5">
        <f>N(Q262)*N(Z262)*N(BB262)</f>
        <v/>
      </c>
      <c r="AR262" s="5">
        <f>N(AF262)*(Assumptions!$B$13*N(BD262)-(1-Assumptions!$B$13)*Assumptions!$B$14)+N(AG262)</f>
        <v/>
      </c>
      <c r="AS262" s="5">
        <f>N(AO262)*N(M262)/90+N(AP262)+N(AQ262)+N(AR262)</f>
        <v/>
      </c>
      <c r="AT262" s="3">
        <f>IF(N(M262)&lt;=0,0,(N(AS262)-N(AR262))*90/N(M262))</f>
        <v/>
      </c>
      <c r="AU262" s="5">
        <f>IFERROR(AS262-VLOOKUP($C262,Assumptions!$A$36:$C$39,3,FALSE),"")</f>
        <v/>
      </c>
      <c r="AV262" s="3">
        <f>IFERROR(AU262/F262,"")</f>
        <v/>
      </c>
      <c r="AW262">
        <f>IF(AND($E262=TRUE,$C262="GKP"),AS262,"")</f>
        <v/>
      </c>
      <c r="AX262">
        <f>IF(AND($E262=TRUE,$C262="DEF"),AS262,"")</f>
        <v/>
      </c>
      <c r="AY262">
        <f>IF(AND($E262=TRUE,$C262="MID"),AS262,"")</f>
        <v/>
      </c>
      <c r="AZ262">
        <f>IF(AND($E262=TRUE,$C262="FWD"),AS262,"")</f>
        <v/>
      </c>
      <c r="BA262" t="n">
        <v>2</v>
      </c>
      <c r="BB262" t="n">
        <v>2</v>
      </c>
      <c r="BC262" t="n">
        <v>1</v>
      </c>
      <c r="BD262" t="n">
        <v>5</v>
      </c>
    </row>
    <row r="263">
      <c r="A263" t="inlineStr">
        <is>
          <t>Savinho</t>
        </is>
      </c>
      <c r="B263" t="inlineStr">
        <is>
          <t>MCI</t>
        </is>
      </c>
      <c r="C263" t="inlineStr">
        <is>
          <t>MID</t>
        </is>
      </c>
      <c r="D263" t="inlineStr">
        <is>
          <t>MID</t>
        </is>
      </c>
      <c r="E263" t="b">
        <v>1</v>
      </c>
      <c r="F263" s="2" t="n">
        <v>6.5</v>
      </c>
      <c r="G263" t="inlineStr">
        <is>
          <t>a</t>
        </is>
      </c>
      <c r="I263" s="2" t="n">
        <v>817</v>
      </c>
      <c r="J263" t="n">
        <v>43</v>
      </c>
      <c r="K263" s="3" t="n">
        <v>419</v>
      </c>
      <c r="L263" t="inlineStr">
        <is>
          <t>flat</t>
        </is>
      </c>
      <c r="M263" s="4" t="n">
        <v>419</v>
      </c>
      <c r="N263" t="inlineStr">
        <is>
          <t>Solio</t>
        </is>
      </c>
      <c r="O263" s="5" t="n">
        <v>78.3</v>
      </c>
      <c r="P263" t="b">
        <v>1</v>
      </c>
      <c r="Q263" s="5">
        <f>IF(N(O263)&lt;=0,0,MIN(Assumptions!$B$15,N(M263)/N(O263)))</f>
        <v/>
      </c>
      <c r="R263" s="4" t="n">
        <v>0.371</v>
      </c>
      <c r="S263" s="3" t="n">
        <v>0.2644</v>
      </c>
      <c r="T263" t="inlineStr">
        <is>
          <t>adjusted xGOT</t>
        </is>
      </c>
      <c r="U263" s="3" t="n">
        <v>1</v>
      </c>
      <c r="V263" s="3" t="n">
        <v>0.96</v>
      </c>
      <c r="W263" s="3" t="n">
        <v>7.5</v>
      </c>
      <c r="X263" s="3" t="n">
        <v>0.1389</v>
      </c>
      <c r="Y263" s="3" t="n">
        <v>7.473</v>
      </c>
      <c r="Z263" s="3" t="n">
        <v>0.0339293535191153</v>
      </c>
      <c r="AA263" s="3" t="n">
        <v>0.1102</v>
      </c>
      <c r="AB263" s="3" t="n">
        <v>30</v>
      </c>
      <c r="AC263" s="3" t="n">
        <v>1.9737</v>
      </c>
      <c r="AD263" s="3" t="n">
        <v>1.0365</v>
      </c>
      <c r="AE263" s="3" t="n">
        <v>-0.206537684616904</v>
      </c>
      <c r="AF263" s="4" t="n">
        <v>0</v>
      </c>
      <c r="AG263" s="3" t="n">
        <v>0</v>
      </c>
      <c r="AH263" s="3" t="n">
        <v>1.322</v>
      </c>
      <c r="AI263" s="3" t="n">
        <v>0.550044</v>
      </c>
      <c r="AJ263" s="3">
        <f>N(R263)*N(BC263)</f>
        <v/>
      </c>
      <c r="AK263" s="3" t="n">
        <v>0.1102</v>
      </c>
      <c r="AL263" s="3" t="n">
        <v>0</v>
      </c>
      <c r="AM263" s="3" t="n">
        <v>-0</v>
      </c>
      <c r="AN263" s="3" t="n">
        <v>-0.206537684616904</v>
      </c>
      <c r="AO263" s="3">
        <f>SUM(AH263:AN263)</f>
        <v/>
      </c>
      <c r="AP263" s="5">
        <f>IF(OR(N(Q263)&lt;=0,N(BA263)=0),0,N(Q263)*IF(N(M263)/N(Q263)&gt;=60,N(BA263),1))</f>
        <v/>
      </c>
      <c r="AQ263" s="5">
        <f>N(Q263)*N(Z263)*N(BB263)</f>
        <v/>
      </c>
      <c r="AR263" s="5">
        <f>N(AF263)*(Assumptions!$B$13*N(BD263)-(1-Assumptions!$B$13)*Assumptions!$B$14)+N(AG263)</f>
        <v/>
      </c>
      <c r="AS263" s="5">
        <f>N(AO263)*N(M263)/90+N(AP263)+N(AQ263)+N(AR263)</f>
        <v/>
      </c>
      <c r="AT263" s="3">
        <f>IF(N(M263)&lt;=0,0,(N(AS263)-N(AR263))*90/N(M263))</f>
        <v/>
      </c>
      <c r="AU263" s="5">
        <f>IFERROR(AS263-VLOOKUP($C263,Assumptions!$A$36:$C$39,3,FALSE),"")</f>
        <v/>
      </c>
      <c r="AV263" s="3">
        <f>IFERROR(AU263/F263,"")</f>
        <v/>
      </c>
      <c r="AW263">
        <f>IF(AND($E263=TRUE,$C263="GKP"),AS263,"")</f>
        <v/>
      </c>
      <c r="AX263">
        <f>IF(AND($E263=TRUE,$C263="DEF"),AS263,"")</f>
        <v/>
      </c>
      <c r="AY263">
        <f>IF(AND($E263=TRUE,$C263="MID"),AS263,"")</f>
        <v/>
      </c>
      <c r="AZ263">
        <f>IF(AND($E263=TRUE,$C263="FWD"),AS263,"")</f>
        <v/>
      </c>
      <c r="BA263" t="n">
        <v>2</v>
      </c>
      <c r="BB263" t="n">
        <v>2</v>
      </c>
      <c r="BC263" t="n">
        <v>1</v>
      </c>
      <c r="BD263" t="n">
        <v>5</v>
      </c>
    </row>
    <row r="264">
      <c r="A264" t="inlineStr">
        <is>
          <t>Rio Ngumoha</t>
        </is>
      </c>
      <c r="B264" t="inlineStr">
        <is>
          <t>LIV</t>
        </is>
      </c>
      <c r="C264" t="inlineStr">
        <is>
          <t>MID</t>
        </is>
      </c>
      <c r="D264" t="inlineStr">
        <is>
          <t>MID</t>
        </is>
      </c>
      <c r="E264" t="b">
        <v>1</v>
      </c>
      <c r="F264" s="2" t="n">
        <v>6</v>
      </c>
      <c r="G264" t="inlineStr">
        <is>
          <t>a</t>
        </is>
      </c>
      <c r="I264" s="2" t="n">
        <v>547</v>
      </c>
      <c r="J264" t="n">
        <v>43</v>
      </c>
      <c r="K264" s="3" t="n">
        <v>2269</v>
      </c>
      <c r="L264" t="inlineStr">
        <is>
          <t>flat</t>
        </is>
      </c>
      <c r="M264" s="4" t="n">
        <v>2269</v>
      </c>
      <c r="N264" t="inlineStr">
        <is>
          <t>Solio</t>
        </is>
      </c>
      <c r="O264" s="5" t="n">
        <v>71.8</v>
      </c>
      <c r="P264" t="b">
        <v>1</v>
      </c>
      <c r="Q264" s="5">
        <f>IF(N(O264)&lt;=0,0,MIN(Assumptions!$B$15,N(M264)/N(O264)))</f>
        <v/>
      </c>
      <c r="R264" s="4" t="n">
        <v>0.342</v>
      </c>
      <c r="S264" s="3" t="n">
        <v>0.2336</v>
      </c>
      <c r="T264" t="inlineStr">
        <is>
          <t>adjusted xGOT</t>
        </is>
      </c>
      <c r="U264" s="3" t="n">
        <v>1</v>
      </c>
      <c r="V264" s="3" t="n">
        <v>1.06</v>
      </c>
      <c r="W264" s="3" t="n">
        <v>1.3</v>
      </c>
      <c r="X264" s="3" t="n">
        <v>0.3403</v>
      </c>
      <c r="Y264" s="3" t="n">
        <v>7.005</v>
      </c>
      <c r="Z264" s="3" t="n">
        <v>0.01230629486675405</v>
      </c>
      <c r="AA264" s="3" t="n">
        <v>0.6581</v>
      </c>
      <c r="AB264" s="3" t="n">
        <v>24</v>
      </c>
      <c r="AC264" s="3" t="n">
        <v>2.409</v>
      </c>
      <c r="AD264" s="3" t="n">
        <v>1.1228</v>
      </c>
      <c r="AE264" s="3" t="n">
        <v>-0.1611483197653539</v>
      </c>
      <c r="AF264" s="4" t="n">
        <v>0</v>
      </c>
      <c r="AG264" s="3" t="n">
        <v>0</v>
      </c>
      <c r="AH264" s="3" t="n">
        <v>1.168</v>
      </c>
      <c r="AI264" s="3" t="n">
        <v>1.347588</v>
      </c>
      <c r="AJ264" s="3">
        <f>N(R264)*N(BC264)</f>
        <v/>
      </c>
      <c r="AK264" s="3" t="n">
        <v>0.6581</v>
      </c>
      <c r="AL264" s="3" t="n">
        <v>0</v>
      </c>
      <c r="AM264" s="3" t="n">
        <v>-0</v>
      </c>
      <c r="AN264" s="3" t="n">
        <v>-0.1611483197653539</v>
      </c>
      <c r="AO264" s="3">
        <f>SUM(AH264:AN264)</f>
        <v/>
      </c>
      <c r="AP264" s="5">
        <f>IF(OR(N(Q264)&lt;=0,N(BA264)=0),0,N(Q264)*IF(N(M264)/N(Q264)&gt;=60,N(BA264),1))</f>
        <v/>
      </c>
      <c r="AQ264" s="5">
        <f>N(Q264)*N(Z264)*N(BB264)</f>
        <v/>
      </c>
      <c r="AR264" s="5">
        <f>N(AF264)*(Assumptions!$B$13*N(BD264)-(1-Assumptions!$B$13)*Assumptions!$B$14)+N(AG264)</f>
        <v/>
      </c>
      <c r="AS264" s="5">
        <f>N(AO264)*N(M264)/90+N(AP264)+N(AQ264)+N(AR264)</f>
        <v/>
      </c>
      <c r="AT264" s="3">
        <f>IF(N(M264)&lt;=0,0,(N(AS264)-N(AR264))*90/N(M264))</f>
        <v/>
      </c>
      <c r="AU264" s="5">
        <f>IFERROR(AS264-VLOOKUP($C264,Assumptions!$A$36:$C$39,3,FALSE),"")</f>
        <v/>
      </c>
      <c r="AV264" s="3">
        <f>IFERROR(AU264/F264,"")</f>
        <v/>
      </c>
      <c r="AW264">
        <f>IF(AND($E264=TRUE,$C264="GKP"),AS264,"")</f>
        <v/>
      </c>
      <c r="AX264">
        <f>IF(AND($E264=TRUE,$C264="DEF"),AS264,"")</f>
        <v/>
      </c>
      <c r="AY264">
        <f>IF(AND($E264=TRUE,$C264="MID"),AS264,"")</f>
        <v/>
      </c>
      <c r="AZ264">
        <f>IF(AND($E264=TRUE,$C264="FWD"),AS264,"")</f>
        <v/>
      </c>
      <c r="BA264" t="n">
        <v>2</v>
      </c>
      <c r="BB264" t="n">
        <v>2</v>
      </c>
      <c r="BC264" t="n">
        <v>1</v>
      </c>
      <c r="BD264" t="n">
        <v>5</v>
      </c>
    </row>
    <row r="265">
      <c r="A265" t="inlineStr">
        <is>
          <t>Taiwo Awoniyi</t>
        </is>
      </c>
      <c r="B265" t="inlineStr">
        <is>
          <t>NFO</t>
        </is>
      </c>
      <c r="C265" t="inlineStr">
        <is>
          <t>FWD</t>
        </is>
      </c>
      <c r="D265" t="inlineStr">
        <is>
          <t>FWD</t>
        </is>
      </c>
      <c r="E265" t="b">
        <v>1</v>
      </c>
      <c r="F265" s="2" t="n">
        <v>5.5</v>
      </c>
      <c r="G265" t="inlineStr">
        <is>
          <t>a</t>
        </is>
      </c>
      <c r="I265" s="2" t="n">
        <v>480</v>
      </c>
      <c r="J265" t="n">
        <v>43</v>
      </c>
      <c r="K265" s="3" t="n">
        <v>72</v>
      </c>
      <c r="L265" t="inlineStr">
        <is>
          <t>flat</t>
        </is>
      </c>
      <c r="M265" s="4" t="n">
        <v>72</v>
      </c>
      <c r="N265" t="inlineStr">
        <is>
          <t>Solio</t>
        </is>
      </c>
      <c r="O265" s="5" t="n">
        <v>69</v>
      </c>
      <c r="P265" t="b">
        <v>1</v>
      </c>
      <c r="Q265" s="5">
        <f>IF(N(O265)&lt;=0,0,MIN(Assumptions!$B$15,N(M265)/N(O265)))</f>
        <v/>
      </c>
      <c r="R265" s="4" t="n">
        <v>0.224</v>
      </c>
      <c r="S265" s="3" t="n">
        <v>0.5998</v>
      </c>
      <c r="T265" t="inlineStr">
        <is>
          <t>adjusted xGOT</t>
        </is>
      </c>
      <c r="U265" s="3" t="n">
        <v>1</v>
      </c>
      <c r="V265" s="3" t="n">
        <v>0.869</v>
      </c>
      <c r="W265" s="3" t="n">
        <v>17.5</v>
      </c>
      <c r="X265" s="3" t="n">
        <v>0.1959</v>
      </c>
      <c r="Y265" s="3" t="n">
        <v>4.826</v>
      </c>
      <c r="Z265" s="3" t="n">
        <v>0.000470127664380704</v>
      </c>
      <c r="AA265" s="3" t="n">
        <v>0.75</v>
      </c>
      <c r="AB265" s="3" t="n">
        <v>19</v>
      </c>
      <c r="AC265" s="3" t="n">
        <v>3.1134</v>
      </c>
      <c r="AD265" s="3" t="n">
        <v>1.5588</v>
      </c>
      <c r="AE265" s="3" t="n">
        <v>-0.2008123290547753</v>
      </c>
      <c r="AF265" s="4" t="n">
        <v>0</v>
      </c>
      <c r="AG265" s="3" t="n">
        <v>0</v>
      </c>
      <c r="AH265" s="3" t="n">
        <v>2.3992</v>
      </c>
      <c r="AI265" s="3" t="n">
        <v>0.775764</v>
      </c>
      <c r="AJ265" s="3">
        <f>N(R265)*N(BC265)</f>
        <v/>
      </c>
      <c r="AK265" s="3" t="n">
        <v>0.75</v>
      </c>
      <c r="AL265" s="3" t="n">
        <v>0</v>
      </c>
      <c r="AM265" s="3" t="n">
        <v>-0</v>
      </c>
      <c r="AN265" s="3" t="n">
        <v>-0.2008123290547753</v>
      </c>
      <c r="AO265" s="3">
        <f>SUM(AH265:AN265)</f>
        <v/>
      </c>
      <c r="AP265" s="5">
        <f>IF(OR(N(Q265)&lt;=0,N(BA265)=0),0,N(Q265)*IF(N(M265)/N(Q265)&gt;=60,N(BA265),1))</f>
        <v/>
      </c>
      <c r="AQ265" s="5">
        <f>N(Q265)*N(Z265)*N(BB265)</f>
        <v/>
      </c>
      <c r="AR265" s="5">
        <f>N(AF265)*(Assumptions!$B$13*N(BD265)-(1-Assumptions!$B$13)*Assumptions!$B$14)+N(AG265)</f>
        <v/>
      </c>
      <c r="AS265" s="5">
        <f>N(AO265)*N(M265)/90+N(AP265)+N(AQ265)+N(AR265)</f>
        <v/>
      </c>
      <c r="AT265" s="3">
        <f>IF(N(M265)&lt;=0,0,(N(AS265)-N(AR265))*90/N(M265))</f>
        <v/>
      </c>
      <c r="AU265" s="5">
        <f>IFERROR(AS265-VLOOKUP($C265,Assumptions!$A$36:$C$39,3,FALSE),"")</f>
        <v/>
      </c>
      <c r="AV265" s="3">
        <f>IFERROR(AU265/F265,"")</f>
        <v/>
      </c>
      <c r="AW265">
        <f>IF(AND($E265=TRUE,$C265="GKP"),AS265,"")</f>
        <v/>
      </c>
      <c r="AX265">
        <f>IF(AND($E265=TRUE,$C265="DEF"),AS265,"")</f>
        <v/>
      </c>
      <c r="AY265">
        <f>IF(AND($E265=TRUE,$C265="MID"),AS265,"")</f>
        <v/>
      </c>
      <c r="AZ265">
        <f>IF(AND($E265=TRUE,$C265="FWD"),AS265,"")</f>
        <v/>
      </c>
      <c r="BA265" t="n">
        <v>2</v>
      </c>
      <c r="BB265" t="n">
        <v>2</v>
      </c>
      <c r="BC265" t="n">
        <v>0</v>
      </c>
      <c r="BD265" t="n">
        <v>4</v>
      </c>
    </row>
    <row r="266">
      <c r="A266" t="inlineStr">
        <is>
          <t>Matthijs de Ligt</t>
        </is>
      </c>
      <c r="B266" t="inlineStr">
        <is>
          <t>MUN</t>
        </is>
      </c>
      <c r="C266" t="inlineStr">
        <is>
          <t>DEF</t>
        </is>
      </c>
      <c r="D266" t="inlineStr">
        <is>
          <t>DEF</t>
        </is>
      </c>
      <c r="E266" t="b">
        <v>1</v>
      </c>
      <c r="F266" s="2" t="n">
        <v>5</v>
      </c>
      <c r="G266" t="inlineStr">
        <is>
          <t>i</t>
        </is>
      </c>
      <c r="H266" t="inlineStr">
        <is>
          <t>Back injury - Unknown return date</t>
        </is>
      </c>
      <c r="I266" s="2" t="n">
        <v>1170</v>
      </c>
      <c r="J266" t="n">
        <v>43</v>
      </c>
      <c r="K266" s="3" t="n">
        <v>1026</v>
      </c>
      <c r="L266" t="inlineStr">
        <is>
          <t>flat</t>
        </is>
      </c>
      <c r="M266" s="4" t="n">
        <v>1026</v>
      </c>
      <c r="N266" t="inlineStr">
        <is>
          <t>Solio</t>
        </is>
      </c>
      <c r="O266" s="5" t="n">
        <v>90</v>
      </c>
      <c r="P266" t="b">
        <v>1</v>
      </c>
      <c r="Q266" s="5">
        <f>IF(N(O266)&lt;=0,0,MIN(Assumptions!$B$15,N(M266)/N(O266)))</f>
        <v/>
      </c>
      <c r="R266" s="4" t="n">
        <v>0.334</v>
      </c>
      <c r="S266" s="3" t="n">
        <v>0.1164</v>
      </c>
      <c r="T266" t="inlineStr">
        <is>
          <t>adjusted xGOT</t>
        </is>
      </c>
      <c r="U266" s="3" t="n">
        <v>1</v>
      </c>
      <c r="V266" s="3" t="n">
        <v>1.096</v>
      </c>
      <c r="W266" s="3" t="n">
        <v>3.9</v>
      </c>
      <c r="X266" s="3" t="n">
        <v>0.0484</v>
      </c>
      <c r="Y266" s="3" t="n">
        <v>8.023</v>
      </c>
      <c r="Z266" s="3" t="n">
        <v>0.2862335811905423</v>
      </c>
      <c r="AA266" s="3" t="n">
        <v>0.2308</v>
      </c>
      <c r="AB266" s="3" t="n">
        <v>26</v>
      </c>
      <c r="AC266" s="3" t="n">
        <v>2.2165</v>
      </c>
      <c r="AD266" s="3" t="n">
        <v>1.1467</v>
      </c>
      <c r="AE266" s="3" t="n">
        <v>-0.1309496477453779</v>
      </c>
      <c r="AF266" s="4" t="n">
        <v>0</v>
      </c>
      <c r="AG266" s="3" t="n">
        <v>0</v>
      </c>
      <c r="AH266" s="3" t="n">
        <v>0.6984</v>
      </c>
      <c r="AI266" s="3" t="n">
        <v>0.191664</v>
      </c>
      <c r="AJ266" s="3">
        <f>N(R266)*N(BC266)</f>
        <v/>
      </c>
      <c r="AK266" s="3" t="n">
        <v>0.2308</v>
      </c>
      <c r="AL266" s="3" t="n">
        <v>0</v>
      </c>
      <c r="AM266" s="3" t="n">
        <v>-0.348580685135232</v>
      </c>
      <c r="AN266" s="3" t="n">
        <v>-0.1309496477453779</v>
      </c>
      <c r="AO266" s="3">
        <f>SUM(AH266:AN266)</f>
        <v/>
      </c>
      <c r="AP266" s="5">
        <f>IF(OR(N(Q266)&lt;=0,N(BA266)=0),0,N(Q266)*IF(N(M266)/N(Q266)&gt;=60,N(BA266),1))</f>
        <v/>
      </c>
      <c r="AQ266" s="5">
        <f>N(Q266)*N(Z266)*N(BB266)</f>
        <v/>
      </c>
      <c r="AR266" s="5">
        <f>N(AF266)*(Assumptions!$B$13*N(BD266)-(1-Assumptions!$B$13)*Assumptions!$B$14)+N(AG266)</f>
        <v/>
      </c>
      <c r="AS266" s="5">
        <f>N(AO266)*N(M266)/90+N(AP266)+N(AQ266)+N(AR266)</f>
        <v/>
      </c>
      <c r="AT266" s="3">
        <f>IF(N(M266)&lt;=0,0,(N(AS266)-N(AR266))*90/N(M266))</f>
        <v/>
      </c>
      <c r="AU266" s="5">
        <f>IFERROR(AS266-VLOOKUP($C266,Assumptions!$A$36:$C$39,3,FALSE),"")</f>
        <v/>
      </c>
      <c r="AV266" s="3">
        <f>IFERROR(AU266/F266,"")</f>
        <v/>
      </c>
      <c r="AW266">
        <f>IF(AND($E266=TRUE,$C266="GKP"),AS266,"")</f>
        <v/>
      </c>
      <c r="AX266">
        <f>IF(AND($E266=TRUE,$C266="DEF"),AS266,"")</f>
        <v/>
      </c>
      <c r="AY266">
        <f>IF(AND($E266=TRUE,$C266="MID"),AS266,"")</f>
        <v/>
      </c>
      <c r="AZ266">
        <f>IF(AND($E266=TRUE,$C266="FWD"),AS266,"")</f>
        <v/>
      </c>
      <c r="BA266" t="n">
        <v>2</v>
      </c>
      <c r="BB266" t="n">
        <v>2</v>
      </c>
      <c r="BC266" t="n">
        <v>4</v>
      </c>
      <c r="BD266" t="n">
        <v>6</v>
      </c>
    </row>
    <row r="267">
      <c r="A267" t="inlineStr">
        <is>
          <t>Lucas Perri</t>
        </is>
      </c>
      <c r="B267" t="inlineStr">
        <is>
          <t>LEE</t>
        </is>
      </c>
      <c r="C267" t="inlineStr">
        <is>
          <t>GKP</t>
        </is>
      </c>
      <c r="D267" t="inlineStr">
        <is>
          <t>GKP</t>
        </is>
      </c>
      <c r="E267" t="b">
        <v>1</v>
      </c>
      <c r="F267" s="2" t="n">
        <v>4.5</v>
      </c>
      <c r="G267" t="inlineStr">
        <is>
          <t>a</t>
        </is>
      </c>
      <c r="I267" s="2" t="n">
        <v>1440</v>
      </c>
      <c r="J267" t="n">
        <v>43</v>
      </c>
      <c r="K267" s="3" t="n">
        <v>35</v>
      </c>
      <c r="L267" t="inlineStr">
        <is>
          <t>flat</t>
        </is>
      </c>
      <c r="M267" s="4" t="n">
        <v>35</v>
      </c>
      <c r="N267" t="inlineStr">
        <is>
          <t>Solio</t>
        </is>
      </c>
      <c r="O267" s="5" t="n">
        <v>90</v>
      </c>
      <c r="P267" t="b">
        <v>1</v>
      </c>
      <c r="Q267" s="5">
        <f>IF(N(O267)&lt;=0,0,MIN(Assumptions!$B$15,N(M267)/N(O267)))</f>
        <v/>
      </c>
      <c r="R267" s="4" t="n">
        <v>0.218</v>
      </c>
      <c r="S267" s="3" t="n">
        <v>0</v>
      </c>
      <c r="T267" t="inlineStr">
        <is>
          <t>blended xG</t>
        </is>
      </c>
      <c r="U267" s="3" t="n">
        <v>1</v>
      </c>
      <c r="V267" s="3" t="n">
        <v>1</v>
      </c>
      <c r="W267" s="3" t="n">
        <v>0</v>
      </c>
      <c r="X267" s="3" t="n">
        <v>0</v>
      </c>
      <c r="Y267" s="3" t="n">
        <v>0</v>
      </c>
      <c r="Z267" s="3" t="n">
        <v>0</v>
      </c>
      <c r="AA267" s="3" t="n">
        <v>0.1875</v>
      </c>
      <c r="AB267" s="3" t="n">
        <v>32</v>
      </c>
      <c r="AC267" s="3" t="n">
        <v>3.0611</v>
      </c>
      <c r="AD267" s="3" t="n">
        <v>1.5875</v>
      </c>
      <c r="AE267" s="3" t="n">
        <v>-0.1021412005307425</v>
      </c>
      <c r="AF267" s="4" t="n">
        <v>0</v>
      </c>
      <c r="AG267" s="3" t="n">
        <v>0.0346842262529947</v>
      </c>
      <c r="AH267" s="3" t="n">
        <v>0</v>
      </c>
      <c r="AI267" s="3" t="n">
        <v>0</v>
      </c>
      <c r="AJ267" s="3">
        <f>N(R267)*N(BC267)</f>
        <v/>
      </c>
      <c r="AK267" s="3" t="n">
        <v>0.1875</v>
      </c>
      <c r="AL267" s="3" t="n">
        <v>0.684972232751521</v>
      </c>
      <c r="AM267" s="3" t="n">
        <v>-0.5541985260210861</v>
      </c>
      <c r="AN267" s="3" t="n">
        <v>-0.1021412005307425</v>
      </c>
      <c r="AO267" s="3">
        <f>SUM(AH267:AN267)</f>
        <v/>
      </c>
      <c r="AP267" s="5">
        <f>IF(OR(N(Q267)&lt;=0,N(BA267)=0),0,N(Q267)*IF(N(M267)/N(Q267)&gt;=60,N(BA267),1))</f>
        <v/>
      </c>
      <c r="AQ267" s="5">
        <f>N(Q267)*N(Z267)*N(BB267)</f>
        <v/>
      </c>
      <c r="AR267" s="5">
        <f>N(AF267)*(Assumptions!$B$13*N(BD267)-(1-Assumptions!$B$13)*Assumptions!$B$14)+N(AG267)</f>
        <v/>
      </c>
      <c r="AS267" s="5">
        <f>N(AO267)*N(M267)/90+N(AP267)+N(AQ267)+N(AR267)</f>
        <v/>
      </c>
      <c r="AT267" s="3">
        <f>IF(N(M267)&lt;=0,0,(N(AS267)-N(AR267))*90/N(M267))</f>
        <v/>
      </c>
      <c r="AU267" s="5">
        <f>IFERROR(AS267-VLOOKUP($C267,Assumptions!$A$36:$C$39,3,FALSE),"")</f>
        <v/>
      </c>
      <c r="AV267" s="3">
        <f>IFERROR(AU267/F267,"")</f>
        <v/>
      </c>
      <c r="AW267">
        <f>IF(AND($E267=TRUE,$C267="GKP"),AS267,"")</f>
        <v/>
      </c>
      <c r="AX267">
        <f>IF(AND($E267=TRUE,$C267="DEF"),AS267,"")</f>
        <v/>
      </c>
      <c r="AY267">
        <f>IF(AND($E267=TRUE,$C267="MID"),AS267,"")</f>
        <v/>
      </c>
      <c r="AZ267">
        <f>IF(AND($E267=TRUE,$C267="FWD"),AS267,"")</f>
        <v/>
      </c>
      <c r="BA267" t="n">
        <v>2</v>
      </c>
      <c r="BB267" t="n">
        <v>0</v>
      </c>
      <c r="BC267" t="n">
        <v>4</v>
      </c>
      <c r="BD267" t="n">
        <v>10</v>
      </c>
    </row>
    <row r="268">
      <c r="A268" t="inlineStr">
        <is>
          <t>Oscar Bobb</t>
        </is>
      </c>
      <c r="B268" t="inlineStr">
        <is>
          <t>FUL</t>
        </is>
      </c>
      <c r="C268" t="inlineStr">
        <is>
          <t>MID</t>
        </is>
      </c>
      <c r="D268" t="inlineStr">
        <is>
          <t>MID</t>
        </is>
      </c>
      <c r="E268" t="b">
        <v>1</v>
      </c>
      <c r="F268" s="2" t="n">
        <v>5.5</v>
      </c>
      <c r="G268" t="inlineStr">
        <is>
          <t>a</t>
        </is>
      </c>
      <c r="I268" s="2" t="n">
        <v>1030</v>
      </c>
      <c r="J268" t="n">
        <v>42</v>
      </c>
      <c r="K268" s="3" t="n">
        <v>2645</v>
      </c>
      <c r="L268" t="inlineStr">
        <is>
          <t>flat</t>
        </is>
      </c>
      <c r="M268" s="4" t="n">
        <v>2645</v>
      </c>
      <c r="N268" t="inlineStr">
        <is>
          <t>Solio</t>
        </is>
      </c>
      <c r="O268" s="5" t="n">
        <v>70.8</v>
      </c>
      <c r="P268" t="b">
        <v>1</v>
      </c>
      <c r="Q268" s="5">
        <f>IF(N(O268)&lt;=0,0,MIN(Assumptions!$B$15,N(M268)/N(O268)))</f>
        <v/>
      </c>
      <c r="R268" s="4" t="n">
        <v>0.214</v>
      </c>
      <c r="S268" s="3" t="n">
        <v>0.1206</v>
      </c>
      <c r="T268" t="inlineStr">
        <is>
          <t>adjusted xGOT</t>
        </is>
      </c>
      <c r="U268" s="3" t="n">
        <v>1</v>
      </c>
      <c r="V268" s="3" t="n">
        <v>0.9389999999999999</v>
      </c>
      <c r="W268" s="3" t="n">
        <v>3</v>
      </c>
      <c r="X268" s="3" t="n">
        <v>0.1799</v>
      </c>
      <c r="Y268" s="3" t="n">
        <v>7.437</v>
      </c>
      <c r="Z268" s="3" t="n">
        <v>0.01692758301945252</v>
      </c>
      <c r="AA268" s="3" t="n">
        <v>0</v>
      </c>
      <c r="AB268" s="3" t="n">
        <v>33</v>
      </c>
      <c r="AC268" s="3" t="n">
        <v>3.22</v>
      </c>
      <c r="AD268" s="3" t="n">
        <v>1.6019</v>
      </c>
      <c r="AE268" s="3" t="n">
        <v>-0.1619153526247274</v>
      </c>
      <c r="AF268" s="4" t="n">
        <v>0</v>
      </c>
      <c r="AG268" s="3" t="n">
        <v>0</v>
      </c>
      <c r="AH268" s="3" t="n">
        <v>0.603</v>
      </c>
      <c r="AI268" s="3" t="n">
        <v>0.7124040000000001</v>
      </c>
      <c r="AJ268" s="3">
        <f>N(R268)*N(BC268)</f>
        <v/>
      </c>
      <c r="AK268" s="3" t="n">
        <v>0</v>
      </c>
      <c r="AL268" s="3" t="n">
        <v>0</v>
      </c>
      <c r="AM268" s="3" t="n">
        <v>-0</v>
      </c>
      <c r="AN268" s="3" t="n">
        <v>-0.1619153526247274</v>
      </c>
      <c r="AO268" s="3">
        <f>SUM(AH268:AN268)</f>
        <v/>
      </c>
      <c r="AP268" s="5">
        <f>IF(OR(N(Q268)&lt;=0,N(BA268)=0),0,N(Q268)*IF(N(M268)/N(Q268)&gt;=60,N(BA268),1))</f>
        <v/>
      </c>
      <c r="AQ268" s="5">
        <f>N(Q268)*N(Z268)*N(BB268)</f>
        <v/>
      </c>
      <c r="AR268" s="5">
        <f>N(AF268)*(Assumptions!$B$13*N(BD268)-(1-Assumptions!$B$13)*Assumptions!$B$14)+N(AG268)</f>
        <v/>
      </c>
      <c r="AS268" s="5">
        <f>N(AO268)*N(M268)/90+N(AP268)+N(AQ268)+N(AR268)</f>
        <v/>
      </c>
      <c r="AT268" s="3">
        <f>IF(N(M268)&lt;=0,0,(N(AS268)-N(AR268))*90/N(M268))</f>
        <v/>
      </c>
      <c r="AU268" s="5">
        <f>IFERROR(AS268-VLOOKUP($C268,Assumptions!$A$36:$C$39,3,FALSE),"")</f>
        <v/>
      </c>
      <c r="AV268" s="3">
        <f>IFERROR(AU268/F268,"")</f>
        <v/>
      </c>
      <c r="AW268">
        <f>IF(AND($E268=TRUE,$C268="GKP"),AS268,"")</f>
        <v/>
      </c>
      <c r="AX268">
        <f>IF(AND($E268=TRUE,$C268="DEF"),AS268,"")</f>
        <v/>
      </c>
      <c r="AY268">
        <f>IF(AND($E268=TRUE,$C268="MID"),AS268,"")</f>
        <v/>
      </c>
      <c r="AZ268">
        <f>IF(AND($E268=TRUE,$C268="FWD"),AS268,"")</f>
        <v/>
      </c>
      <c r="BA268" t="n">
        <v>2</v>
      </c>
      <c r="BB268" t="n">
        <v>2</v>
      </c>
      <c r="BC268" t="n">
        <v>1</v>
      </c>
      <c r="BD268" t="n">
        <v>5</v>
      </c>
    </row>
    <row r="269">
      <c r="A269" t="inlineStr">
        <is>
          <t>Ayden Heaven</t>
        </is>
      </c>
      <c r="B269" t="inlineStr">
        <is>
          <t>MUN</t>
        </is>
      </c>
      <c r="C269" t="inlineStr">
        <is>
          <t>DEF</t>
        </is>
      </c>
      <c r="D269" t="inlineStr">
        <is>
          <t>DEF</t>
        </is>
      </c>
      <c r="E269" t="b">
        <v>1</v>
      </c>
      <c r="F269" s="2" t="n">
        <v>4.5</v>
      </c>
      <c r="G269" t="inlineStr">
        <is>
          <t>a</t>
        </is>
      </c>
      <c r="I269" s="2" t="n">
        <v>920</v>
      </c>
      <c r="J269" t="n">
        <v>42</v>
      </c>
      <c r="K269" s="3" t="n">
        <v>176</v>
      </c>
      <c r="L269" t="inlineStr">
        <is>
          <t>fade (losing his place)</t>
        </is>
      </c>
      <c r="M269" s="4" t="n">
        <v>176</v>
      </c>
      <c r="N269" t="inlineStr">
        <is>
          <t>Solio</t>
        </is>
      </c>
      <c r="O269" s="5" t="n">
        <v>79.7</v>
      </c>
      <c r="P269" t="b">
        <v>1</v>
      </c>
      <c r="Q269" s="5">
        <f>IF(N(O269)&lt;=0,0,MIN(Assumptions!$B$15,N(M269)/N(O269)))</f>
        <v/>
      </c>
      <c r="R269" s="4" t="n">
        <v>0.334</v>
      </c>
      <c r="S269" s="3" t="n">
        <v>0.0315</v>
      </c>
      <c r="T269" t="inlineStr">
        <is>
          <t>adjusted xGOT</t>
        </is>
      </c>
      <c r="U269" s="3" t="n">
        <v>1</v>
      </c>
      <c r="V269" s="3" t="n">
        <v>0.946</v>
      </c>
      <c r="W269" s="3" t="n">
        <v>0.5</v>
      </c>
      <c r="X269" s="3" t="n">
        <v>0.0267</v>
      </c>
      <c r="Y269" s="3" t="n">
        <v>8.478</v>
      </c>
      <c r="Z269" s="3" t="n">
        <v>0.2244788409263755</v>
      </c>
      <c r="AA269" s="3" t="n">
        <v>0</v>
      </c>
      <c r="AB269" s="3" t="n">
        <v>27</v>
      </c>
      <c r="AC269" s="3" t="n">
        <v>2.2165</v>
      </c>
      <c r="AD269" s="3" t="n">
        <v>1.1467</v>
      </c>
      <c r="AE269" s="3" t="n">
        <v>-0.2235172313821019</v>
      </c>
      <c r="AF269" s="4" t="n">
        <v>0</v>
      </c>
      <c r="AG269" s="3" t="n">
        <v>0</v>
      </c>
      <c r="AH269" s="3" t="n">
        <v>0.189</v>
      </c>
      <c r="AI269" s="3" t="n">
        <v>0.105732</v>
      </c>
      <c r="AJ269" s="3">
        <f>N(R269)*N(BC269)</f>
        <v/>
      </c>
      <c r="AK269" s="3" t="n">
        <v>0</v>
      </c>
      <c r="AL269" s="3" t="n">
        <v>0</v>
      </c>
      <c r="AM269" s="3" t="n">
        <v>-0.348580685135232</v>
      </c>
      <c r="AN269" s="3" t="n">
        <v>-0.2235172313821019</v>
      </c>
      <c r="AO269" s="3">
        <f>SUM(AH269:AN269)</f>
        <v/>
      </c>
      <c r="AP269" s="5">
        <f>IF(OR(N(Q269)&lt;=0,N(BA269)=0),0,N(Q269)*IF(N(M269)/N(Q269)&gt;=60,N(BA269),1))</f>
        <v/>
      </c>
      <c r="AQ269" s="5">
        <f>N(Q269)*N(Z269)*N(BB269)</f>
        <v/>
      </c>
      <c r="AR269" s="5">
        <f>N(AF269)*(Assumptions!$B$13*N(BD269)-(1-Assumptions!$B$13)*Assumptions!$B$14)+N(AG269)</f>
        <v/>
      </c>
      <c r="AS269" s="5">
        <f>N(AO269)*N(M269)/90+N(AP269)+N(AQ269)+N(AR269)</f>
        <v/>
      </c>
      <c r="AT269" s="3">
        <f>IF(N(M269)&lt;=0,0,(N(AS269)-N(AR269))*90/N(M269))</f>
        <v/>
      </c>
      <c r="AU269" s="5">
        <f>IFERROR(AS269-VLOOKUP($C269,Assumptions!$A$36:$C$39,3,FALSE),"")</f>
        <v/>
      </c>
      <c r="AV269" s="3">
        <f>IFERROR(AU269/F269,"")</f>
        <v/>
      </c>
      <c r="AW269">
        <f>IF(AND($E269=TRUE,$C269="GKP"),AS269,"")</f>
        <v/>
      </c>
      <c r="AX269">
        <f>IF(AND($E269=TRUE,$C269="DEF"),AS269,"")</f>
        <v/>
      </c>
      <c r="AY269">
        <f>IF(AND($E269=TRUE,$C269="MID"),AS269,"")</f>
        <v/>
      </c>
      <c r="AZ269">
        <f>IF(AND($E269=TRUE,$C269="FWD"),AS269,"")</f>
        <v/>
      </c>
      <c r="BA269" t="n">
        <v>2</v>
      </c>
      <c r="BB269" t="n">
        <v>2</v>
      </c>
      <c r="BC269" t="n">
        <v>4</v>
      </c>
      <c r="BD269" t="n">
        <v>6</v>
      </c>
    </row>
    <row r="270">
      <c r="A270" t="inlineStr">
        <is>
          <t>Conor Bradley</t>
        </is>
      </c>
      <c r="B270" t="inlineStr">
        <is>
          <t>LIV</t>
        </is>
      </c>
      <c r="C270" t="inlineStr">
        <is>
          <t>DEF</t>
        </is>
      </c>
      <c r="D270" t="inlineStr">
        <is>
          <t>DEF</t>
        </is>
      </c>
      <c r="E270" t="b">
        <v>1</v>
      </c>
      <c r="F270" s="2" t="n">
        <v>5</v>
      </c>
      <c r="G270" t="inlineStr">
        <is>
          <t>i</t>
        </is>
      </c>
      <c r="H270" t="inlineStr">
        <is>
          <t>Knee injury - Unknown return date</t>
        </is>
      </c>
      <c r="I270" s="2" t="n">
        <v>928</v>
      </c>
      <c r="J270" t="n">
        <v>42</v>
      </c>
      <c r="K270" s="3" t="n">
        <v>1328</v>
      </c>
      <c r="L270" t="inlineStr">
        <is>
          <t>ramp-up (injury / late WC return)</t>
        </is>
      </c>
      <c r="M270" s="4" t="n">
        <v>1328</v>
      </c>
      <c r="N270" t="inlineStr">
        <is>
          <t>Solio</t>
        </is>
      </c>
      <c r="O270" s="5" t="n">
        <v>70.3</v>
      </c>
      <c r="P270" t="b">
        <v>1</v>
      </c>
      <c r="Q270" s="5">
        <f>IF(N(O270)&lt;=0,0,MIN(Assumptions!$B$15,N(M270)/N(O270)))</f>
        <v/>
      </c>
      <c r="R270" s="4" t="n">
        <v>0.342</v>
      </c>
      <c r="S270" s="3" t="n">
        <v>0.0185</v>
      </c>
      <c r="T270" t="inlineStr">
        <is>
          <t>adjusted xGOT</t>
        </is>
      </c>
      <c r="U270" s="3" t="n">
        <v>1</v>
      </c>
      <c r="V270" s="3" t="n">
        <v>1.062</v>
      </c>
      <c r="W270" s="3" t="n">
        <v>1.8</v>
      </c>
      <c r="X270" s="3" t="n">
        <v>0.09859999999999999</v>
      </c>
      <c r="Y270" s="3" t="n">
        <v>6.907</v>
      </c>
      <c r="Z270" s="3" t="n">
        <v>0.04851888211066147</v>
      </c>
      <c r="AA270" s="3" t="n">
        <v>0</v>
      </c>
      <c r="AB270" s="3" t="n">
        <v>24</v>
      </c>
      <c r="AC270" s="3" t="n">
        <v>2.409</v>
      </c>
      <c r="AD270" s="3" t="n">
        <v>1.1228</v>
      </c>
      <c r="AE270" s="3" t="n">
        <v>-0.3428432368686911</v>
      </c>
      <c r="AF270" s="4" t="n">
        <v>0</v>
      </c>
      <c r="AG270" s="3" t="n">
        <v>0</v>
      </c>
      <c r="AH270" s="3" t="n">
        <v>0.111</v>
      </c>
      <c r="AI270" s="3" t="n">
        <v>0.390456</v>
      </c>
      <c r="AJ270" s="3">
        <f>N(R270)*N(BC270)</f>
        <v/>
      </c>
      <c r="AK270" s="3" t="n">
        <v>0</v>
      </c>
      <c r="AL270" s="3" t="n">
        <v>0</v>
      </c>
      <c r="AM270" s="3" t="n">
        <v>-0.3378660007281162</v>
      </c>
      <c r="AN270" s="3" t="n">
        <v>-0.3428432368686911</v>
      </c>
      <c r="AO270" s="3">
        <f>SUM(AH270:AN270)</f>
        <v/>
      </c>
      <c r="AP270" s="5">
        <f>IF(OR(N(Q270)&lt;=0,N(BA270)=0),0,N(Q270)*IF(N(M270)/N(Q270)&gt;=60,N(BA270),1))</f>
        <v/>
      </c>
      <c r="AQ270" s="5">
        <f>N(Q270)*N(Z270)*N(BB270)</f>
        <v/>
      </c>
      <c r="AR270" s="5">
        <f>N(AF270)*(Assumptions!$B$13*N(BD270)-(1-Assumptions!$B$13)*Assumptions!$B$14)+N(AG270)</f>
        <v/>
      </c>
      <c r="AS270" s="5">
        <f>N(AO270)*N(M270)/90+N(AP270)+N(AQ270)+N(AR270)</f>
        <v/>
      </c>
      <c r="AT270" s="3">
        <f>IF(N(M270)&lt;=0,0,(N(AS270)-N(AR270))*90/N(M270))</f>
        <v/>
      </c>
      <c r="AU270" s="5">
        <f>IFERROR(AS270-VLOOKUP($C270,Assumptions!$A$36:$C$39,3,FALSE),"")</f>
        <v/>
      </c>
      <c r="AV270" s="3">
        <f>IFERROR(AU270/F270,"")</f>
        <v/>
      </c>
      <c r="AW270">
        <f>IF(AND($E270=TRUE,$C270="GKP"),AS270,"")</f>
        <v/>
      </c>
      <c r="AX270">
        <f>IF(AND($E270=TRUE,$C270="DEF"),AS270,"")</f>
        <v/>
      </c>
      <c r="AY270">
        <f>IF(AND($E270=TRUE,$C270="MID"),AS270,"")</f>
        <v/>
      </c>
      <c r="AZ270">
        <f>IF(AND($E270=TRUE,$C270="FWD"),AS270,"")</f>
        <v/>
      </c>
      <c r="BA270" t="n">
        <v>2</v>
      </c>
      <c r="BB270" t="n">
        <v>2</v>
      </c>
      <c r="BC270" t="n">
        <v>4</v>
      </c>
      <c r="BD270" t="n">
        <v>6</v>
      </c>
    </row>
    <row r="271">
      <c r="A271" t="inlineStr">
        <is>
          <t>Joshua Zirkzee</t>
        </is>
      </c>
      <c r="B271" t="inlineStr">
        <is>
          <t>MUN</t>
        </is>
      </c>
      <c r="C271" t="inlineStr">
        <is>
          <t>FWD</t>
        </is>
      </c>
      <c r="D271" t="inlineStr">
        <is>
          <t>FWD</t>
        </is>
      </c>
      <c r="E271" t="b">
        <v>1</v>
      </c>
      <c r="F271" s="2" t="n">
        <v>5.5</v>
      </c>
      <c r="G271" t="inlineStr">
        <is>
          <t>a</t>
        </is>
      </c>
      <c r="I271" s="2" t="n">
        <v>607</v>
      </c>
      <c r="J271" t="n">
        <v>42</v>
      </c>
      <c r="K271" s="3" t="n">
        <v>59</v>
      </c>
      <c r="L271" t="inlineStr">
        <is>
          <t>flat</t>
        </is>
      </c>
      <c r="M271" s="4" t="n">
        <v>59</v>
      </c>
      <c r="N271" t="inlineStr">
        <is>
          <t>Solio</t>
        </is>
      </c>
      <c r="O271" s="5" t="n">
        <v>73.2</v>
      </c>
      <c r="P271" t="b">
        <v>1</v>
      </c>
      <c r="Q271" s="5">
        <f>IF(N(O271)&lt;=0,0,MIN(Assumptions!$B$15,N(M271)/N(O271)))</f>
        <v/>
      </c>
      <c r="R271" s="4" t="n">
        <v>0.334</v>
      </c>
      <c r="S271" s="3" t="n">
        <v>0.4147</v>
      </c>
      <c r="T271" t="inlineStr">
        <is>
          <t>adjusted xGOT</t>
        </is>
      </c>
      <c r="U271" s="3" t="n">
        <v>1</v>
      </c>
      <c r="V271" s="3" t="n">
        <v>1.021</v>
      </c>
      <c r="W271" s="3" t="n">
        <v>7.4</v>
      </c>
      <c r="X271" s="3" t="n">
        <v>0.1154</v>
      </c>
      <c r="Y271" s="3" t="n">
        <v>5.585</v>
      </c>
      <c r="Z271" s="3" t="n">
        <v>0.002591016688269332</v>
      </c>
      <c r="AA271" s="3" t="n">
        <v>0.8895999999999999</v>
      </c>
      <c r="AB271" s="3" t="n">
        <v>28</v>
      </c>
      <c r="AC271" s="3" t="n">
        <v>2.2165</v>
      </c>
      <c r="AD271" s="3" t="n">
        <v>1.1467</v>
      </c>
      <c r="AE271" s="3" t="n">
        <v>-0.2245566207903356</v>
      </c>
      <c r="AF271" s="4" t="n">
        <v>0</v>
      </c>
      <c r="AG271" s="3" t="n">
        <v>0</v>
      </c>
      <c r="AH271" s="3" t="n">
        <v>1.6588</v>
      </c>
      <c r="AI271" s="3" t="n">
        <v>0.4569840000000001</v>
      </c>
      <c r="AJ271" s="3">
        <f>N(R271)*N(BC271)</f>
        <v/>
      </c>
      <c r="AK271" s="3" t="n">
        <v>0.8895999999999999</v>
      </c>
      <c r="AL271" s="3" t="n">
        <v>0</v>
      </c>
      <c r="AM271" s="3" t="n">
        <v>-0</v>
      </c>
      <c r="AN271" s="3" t="n">
        <v>-0.2245566207903356</v>
      </c>
      <c r="AO271" s="3">
        <f>SUM(AH271:AN271)</f>
        <v/>
      </c>
      <c r="AP271" s="5">
        <f>IF(OR(N(Q271)&lt;=0,N(BA271)=0),0,N(Q271)*IF(N(M271)/N(Q271)&gt;=60,N(BA271),1))</f>
        <v/>
      </c>
      <c r="AQ271" s="5">
        <f>N(Q271)*N(Z271)*N(BB271)</f>
        <v/>
      </c>
      <c r="AR271" s="5">
        <f>N(AF271)*(Assumptions!$B$13*N(BD271)-(1-Assumptions!$B$13)*Assumptions!$B$14)+N(AG271)</f>
        <v/>
      </c>
      <c r="AS271" s="5">
        <f>N(AO271)*N(M271)/90+N(AP271)+N(AQ271)+N(AR271)</f>
        <v/>
      </c>
      <c r="AT271" s="3">
        <f>IF(N(M271)&lt;=0,0,(N(AS271)-N(AR271))*90/N(M271))</f>
        <v/>
      </c>
      <c r="AU271" s="5">
        <f>IFERROR(AS271-VLOOKUP($C271,Assumptions!$A$36:$C$39,3,FALSE),"")</f>
        <v/>
      </c>
      <c r="AV271" s="3">
        <f>IFERROR(AU271/F271,"")</f>
        <v/>
      </c>
      <c r="AW271">
        <f>IF(AND($E271=TRUE,$C271="GKP"),AS271,"")</f>
        <v/>
      </c>
      <c r="AX271">
        <f>IF(AND($E271=TRUE,$C271="DEF"),AS271,"")</f>
        <v/>
      </c>
      <c r="AY271">
        <f>IF(AND($E271=TRUE,$C271="MID"),AS271,"")</f>
        <v/>
      </c>
      <c r="AZ271">
        <f>IF(AND($E271=TRUE,$C271="FWD"),AS271,"")</f>
        <v/>
      </c>
      <c r="BA271" t="n">
        <v>2</v>
      </c>
      <c r="BB271" t="n">
        <v>2</v>
      </c>
      <c r="BC271" t="n">
        <v>0</v>
      </c>
      <c r="BD271" t="n">
        <v>4</v>
      </c>
    </row>
    <row r="272">
      <c r="A272" t="inlineStr">
        <is>
          <t>Justin Kluivert</t>
        </is>
      </c>
      <c r="B272" t="inlineStr">
        <is>
          <t>BOU</t>
        </is>
      </c>
      <c r="C272" t="inlineStr">
        <is>
          <t>MID</t>
        </is>
      </c>
      <c r="D272" t="inlineStr">
        <is>
          <t>MID</t>
        </is>
      </c>
      <c r="E272" t="b">
        <v>1</v>
      </c>
      <c r="F272" s="2" t="n">
        <v>6</v>
      </c>
      <c r="G272" t="inlineStr">
        <is>
          <t>a</t>
        </is>
      </c>
      <c r="I272" s="2" t="n">
        <v>945</v>
      </c>
      <c r="J272" t="n">
        <v>41</v>
      </c>
      <c r="K272" s="3" t="n">
        <v>935</v>
      </c>
      <c r="L272" t="inlineStr">
        <is>
          <t>fade (losing his place)</t>
        </is>
      </c>
      <c r="M272" s="4" t="n">
        <v>935</v>
      </c>
      <c r="N272" t="inlineStr">
        <is>
          <t>Solio</t>
        </is>
      </c>
      <c r="O272" s="5" t="n">
        <v>72.2</v>
      </c>
      <c r="P272" t="b">
        <v>1</v>
      </c>
      <c r="Q272" s="5">
        <f>IF(N(O272)&lt;=0,0,MIN(Assumptions!$B$15,N(M272)/N(O272)))</f>
        <v/>
      </c>
      <c r="R272" s="4" t="n">
        <v>0.23</v>
      </c>
      <c r="S272" s="3" t="n">
        <v>0.2249</v>
      </c>
      <c r="T272" t="inlineStr">
        <is>
          <t>adjusted xGOT</t>
        </is>
      </c>
      <c r="U272" s="3" t="n">
        <v>1</v>
      </c>
      <c r="V272" s="3" t="n">
        <v>1.022</v>
      </c>
      <c r="W272" s="3" t="n">
        <v>18.1</v>
      </c>
      <c r="X272" s="3" t="n">
        <v>0.1831</v>
      </c>
      <c r="Y272" s="3" t="n">
        <v>7.222</v>
      </c>
      <c r="Z272" s="3" t="n">
        <v>0.01582983976975694</v>
      </c>
      <c r="AA272" s="3" t="n">
        <v>0.2857</v>
      </c>
      <c r="AB272" s="3" t="n">
        <v>29</v>
      </c>
      <c r="AC272" s="3" t="n">
        <v>3.0957</v>
      </c>
      <c r="AD272" s="3" t="n">
        <v>1.53</v>
      </c>
      <c r="AE272" s="3" t="n">
        <v>-0.3129945567631165</v>
      </c>
      <c r="AF272" s="4" t="n">
        <v>0.2972649975908064</v>
      </c>
      <c r="AG272" s="3" t="n">
        <v>0</v>
      </c>
      <c r="AH272" s="3" t="n">
        <v>1.1245</v>
      </c>
      <c r="AI272" s="3" t="n">
        <v>0.7250760000000001</v>
      </c>
      <c r="AJ272" s="3">
        <f>N(R272)*N(BC272)</f>
        <v/>
      </c>
      <c r="AK272" s="3" t="n">
        <v>0.2857</v>
      </c>
      <c r="AL272" s="3" t="n">
        <v>0</v>
      </c>
      <c r="AM272" s="3" t="n">
        <v>-0</v>
      </c>
      <c r="AN272" s="3" t="n">
        <v>-0.3129945567631165</v>
      </c>
      <c r="AO272" s="3">
        <f>SUM(AH272:AN272)</f>
        <v/>
      </c>
      <c r="AP272" s="5">
        <f>IF(OR(N(Q272)&lt;=0,N(BA272)=0),0,N(Q272)*IF(N(M272)/N(Q272)&gt;=60,N(BA272),1))</f>
        <v/>
      </c>
      <c r="AQ272" s="5">
        <f>N(Q272)*N(Z272)*N(BB272)</f>
        <v/>
      </c>
      <c r="AR272" s="5">
        <f>N(AF272)*(Assumptions!$B$13*N(BD272)-(1-Assumptions!$B$13)*Assumptions!$B$14)+N(AG272)</f>
        <v/>
      </c>
      <c r="AS272" s="5">
        <f>N(AO272)*N(M272)/90+N(AP272)+N(AQ272)+N(AR272)</f>
        <v/>
      </c>
      <c r="AT272" s="3">
        <f>IF(N(M272)&lt;=0,0,(N(AS272)-N(AR272))*90/N(M272))</f>
        <v/>
      </c>
      <c r="AU272" s="5">
        <f>IFERROR(AS272-VLOOKUP($C272,Assumptions!$A$36:$C$39,3,FALSE),"")</f>
        <v/>
      </c>
      <c r="AV272" s="3">
        <f>IFERROR(AU272/F272,"")</f>
        <v/>
      </c>
      <c r="AW272">
        <f>IF(AND($E272=TRUE,$C272="GKP"),AS272,"")</f>
        <v/>
      </c>
      <c r="AX272">
        <f>IF(AND($E272=TRUE,$C272="DEF"),AS272,"")</f>
        <v/>
      </c>
      <c r="AY272">
        <f>IF(AND($E272=TRUE,$C272="MID"),AS272,"")</f>
        <v/>
      </c>
      <c r="AZ272">
        <f>IF(AND($E272=TRUE,$C272="FWD"),AS272,"")</f>
        <v/>
      </c>
      <c r="BA272" t="n">
        <v>2</v>
      </c>
      <c r="BB272" t="n">
        <v>2</v>
      </c>
      <c r="BC272" t="n">
        <v>1</v>
      </c>
      <c r="BD272" t="n">
        <v>5</v>
      </c>
    </row>
    <row r="273">
      <c r="A273" t="inlineStr">
        <is>
          <t>Tom Cairney</t>
        </is>
      </c>
      <c r="B273" t="inlineStr">
        <is>
          <t>FUL</t>
        </is>
      </c>
      <c r="C273" t="inlineStr">
        <is>
          <t>MID</t>
        </is>
      </c>
      <c r="D273" t="inlineStr">
        <is>
          <t>MID</t>
        </is>
      </c>
      <c r="E273" t="b">
        <v>1</v>
      </c>
      <c r="F273" s="2" t="n">
        <v>5</v>
      </c>
      <c r="G273" t="inlineStr">
        <is>
          <t>i</t>
        </is>
      </c>
      <c r="H273" t="inlineStr">
        <is>
          <t>Knee injury - Expected back 10 Oct</t>
        </is>
      </c>
      <c r="I273" s="2" t="n">
        <v>756</v>
      </c>
      <c r="J273" t="n">
        <v>41</v>
      </c>
      <c r="K273" s="3" t="n">
        <v>324</v>
      </c>
      <c r="L273" t="inlineStr">
        <is>
          <t>flat</t>
        </is>
      </c>
      <c r="M273" s="4" t="n">
        <v>324</v>
      </c>
      <c r="N273" t="inlineStr">
        <is>
          <t>Solio</t>
        </is>
      </c>
      <c r="O273" s="5" t="n">
        <v>70.5</v>
      </c>
      <c r="P273" t="b">
        <v>1</v>
      </c>
      <c r="Q273" s="5">
        <f>IF(N(O273)&lt;=0,0,MIN(Assumptions!$B$15,N(M273)/N(O273)))</f>
        <v/>
      </c>
      <c r="R273" s="4" t="n">
        <v>0.214</v>
      </c>
      <c r="S273" s="3" t="n">
        <v>0.1474</v>
      </c>
      <c r="T273" t="inlineStr">
        <is>
          <t>adjusted xGOT</t>
        </is>
      </c>
      <c r="U273" s="3" t="n">
        <v>1</v>
      </c>
      <c r="V273" s="3" t="n">
        <v>1.023</v>
      </c>
      <c r="W273" s="3" t="n">
        <v>4.4</v>
      </c>
      <c r="X273" s="3" t="n">
        <v>0.0892</v>
      </c>
      <c r="Y273" s="3" t="n">
        <v>7.903</v>
      </c>
      <c r="Z273" s="3" t="n">
        <v>0.02473918586989599</v>
      </c>
      <c r="AA273" s="3" t="n">
        <v>0.119</v>
      </c>
      <c r="AB273" s="3" t="n">
        <v>31</v>
      </c>
      <c r="AC273" s="3" t="n">
        <v>3.22</v>
      </c>
      <c r="AD273" s="3" t="n">
        <v>1.6019</v>
      </c>
      <c r="AE273" s="3" t="n">
        <v>-0.2791548805601698</v>
      </c>
      <c r="AF273" s="4" t="n">
        <v>0</v>
      </c>
      <c r="AG273" s="3" t="n">
        <v>0</v>
      </c>
      <c r="AH273" s="3" t="n">
        <v>0.737</v>
      </c>
      <c r="AI273" s="3" t="n">
        <v>0.353232</v>
      </c>
      <c r="AJ273" s="3">
        <f>N(R273)*N(BC273)</f>
        <v/>
      </c>
      <c r="AK273" s="3" t="n">
        <v>0.119</v>
      </c>
      <c r="AL273" s="3" t="n">
        <v>0</v>
      </c>
      <c r="AM273" s="3" t="n">
        <v>-0</v>
      </c>
      <c r="AN273" s="3" t="n">
        <v>-0.2791548805601698</v>
      </c>
      <c r="AO273" s="3">
        <f>SUM(AH273:AN273)</f>
        <v/>
      </c>
      <c r="AP273" s="5">
        <f>IF(OR(N(Q273)&lt;=0,N(BA273)=0),0,N(Q273)*IF(N(M273)/N(Q273)&gt;=60,N(BA273),1))</f>
        <v/>
      </c>
      <c r="AQ273" s="5">
        <f>N(Q273)*N(Z273)*N(BB273)</f>
        <v/>
      </c>
      <c r="AR273" s="5">
        <f>N(AF273)*(Assumptions!$B$13*N(BD273)-(1-Assumptions!$B$13)*Assumptions!$B$14)+N(AG273)</f>
        <v/>
      </c>
      <c r="AS273" s="5">
        <f>N(AO273)*N(M273)/90+N(AP273)+N(AQ273)+N(AR273)</f>
        <v/>
      </c>
      <c r="AT273" s="3">
        <f>IF(N(M273)&lt;=0,0,(N(AS273)-N(AR273))*90/N(M273))</f>
        <v/>
      </c>
      <c r="AU273" s="5">
        <f>IFERROR(AS273-VLOOKUP($C273,Assumptions!$A$36:$C$39,3,FALSE),"")</f>
        <v/>
      </c>
      <c r="AV273" s="3">
        <f>IFERROR(AU273/F273,"")</f>
        <v/>
      </c>
      <c r="AW273">
        <f>IF(AND($E273=TRUE,$C273="GKP"),AS273,"")</f>
        <v/>
      </c>
      <c r="AX273">
        <f>IF(AND($E273=TRUE,$C273="DEF"),AS273,"")</f>
        <v/>
      </c>
      <c r="AY273">
        <f>IF(AND($E273=TRUE,$C273="MID"),AS273,"")</f>
        <v/>
      </c>
      <c r="AZ273">
        <f>IF(AND($E273=TRUE,$C273="FWD"),AS273,"")</f>
        <v/>
      </c>
      <c r="BA273" t="n">
        <v>2</v>
      </c>
      <c r="BB273" t="n">
        <v>2</v>
      </c>
      <c r="BC273" t="n">
        <v>1</v>
      </c>
      <c r="BD273" t="n">
        <v>5</v>
      </c>
    </row>
    <row r="274">
      <c r="A274" t="inlineStr">
        <is>
          <t>Chris Wood</t>
        </is>
      </c>
      <c r="B274" t="inlineStr">
        <is>
          <t>NFO</t>
        </is>
      </c>
      <c r="C274" t="inlineStr">
        <is>
          <t>FWD</t>
        </is>
      </c>
      <c r="D274" t="inlineStr">
        <is>
          <t>FWD</t>
        </is>
      </c>
      <c r="E274" t="b">
        <v>1</v>
      </c>
      <c r="F274" s="2" t="n">
        <v>6</v>
      </c>
      <c r="G274" t="inlineStr">
        <is>
          <t>a</t>
        </is>
      </c>
      <c r="I274" s="2" t="n">
        <v>896</v>
      </c>
      <c r="J274" t="n">
        <v>41</v>
      </c>
      <c r="K274" s="3" t="n">
        <v>523</v>
      </c>
      <c r="L274" t="inlineStr">
        <is>
          <t>flat</t>
        </is>
      </c>
      <c r="M274" s="4" t="n">
        <v>523</v>
      </c>
      <c r="N274" t="inlineStr">
        <is>
          <t>Solio</t>
        </is>
      </c>
      <c r="O274" s="5" t="n">
        <v>74</v>
      </c>
      <c r="P274" t="b">
        <v>1</v>
      </c>
      <c r="Q274" s="5">
        <f>IF(N(O274)&lt;=0,0,MIN(Assumptions!$B$15,N(M274)/N(O274)))</f>
        <v/>
      </c>
      <c r="R274" s="4" t="n">
        <v>0.224</v>
      </c>
      <c r="S274" s="3" t="n">
        <v>0.4327</v>
      </c>
      <c r="T274" t="inlineStr">
        <is>
          <t>adjusted xGOT</t>
        </is>
      </c>
      <c r="U274" s="3" t="n">
        <v>1</v>
      </c>
      <c r="V274" s="3" t="n">
        <v>1.004</v>
      </c>
      <c r="W274" s="3" t="n">
        <v>32.1</v>
      </c>
      <c r="X274" s="3" t="n">
        <v>0.0322</v>
      </c>
      <c r="Y274" s="3" t="n">
        <v>3.751</v>
      </c>
      <c r="Z274" s="3" t="n">
        <v>9.220118251085374e-05</v>
      </c>
      <c r="AA274" s="3" t="n">
        <v>0.4018</v>
      </c>
      <c r="AB274" s="3" t="n">
        <v>25</v>
      </c>
      <c r="AC274" s="3" t="n">
        <v>3.1134</v>
      </c>
      <c r="AD274" s="3" t="n">
        <v>1.5588</v>
      </c>
      <c r="AE274" s="3" t="n">
        <v>-0.0714071602315091</v>
      </c>
      <c r="AF274" s="4" t="n">
        <v>0.6712660691758691</v>
      </c>
      <c r="AG274" s="3" t="n">
        <v>0</v>
      </c>
      <c r="AH274" s="3" t="n">
        <v>1.7308</v>
      </c>
      <c r="AI274" s="3" t="n">
        <v>0.127512</v>
      </c>
      <c r="AJ274" s="3">
        <f>N(R274)*N(BC274)</f>
        <v/>
      </c>
      <c r="AK274" s="3" t="n">
        <v>0.4018</v>
      </c>
      <c r="AL274" s="3" t="n">
        <v>0</v>
      </c>
      <c r="AM274" s="3" t="n">
        <v>-0</v>
      </c>
      <c r="AN274" s="3" t="n">
        <v>-0.0714071602315091</v>
      </c>
      <c r="AO274" s="3">
        <f>SUM(AH274:AN274)</f>
        <v/>
      </c>
      <c r="AP274" s="5">
        <f>IF(OR(N(Q274)&lt;=0,N(BA274)=0),0,N(Q274)*IF(N(M274)/N(Q274)&gt;=60,N(BA274),1))</f>
        <v/>
      </c>
      <c r="AQ274" s="5">
        <f>N(Q274)*N(Z274)*N(BB274)</f>
        <v/>
      </c>
      <c r="AR274" s="5">
        <f>N(AF274)*(Assumptions!$B$13*N(BD274)-(1-Assumptions!$B$13)*Assumptions!$B$14)+N(AG274)</f>
        <v/>
      </c>
      <c r="AS274" s="5">
        <f>N(AO274)*N(M274)/90+N(AP274)+N(AQ274)+N(AR274)</f>
        <v/>
      </c>
      <c r="AT274" s="3">
        <f>IF(N(M274)&lt;=0,0,(N(AS274)-N(AR274))*90/N(M274))</f>
        <v/>
      </c>
      <c r="AU274" s="5">
        <f>IFERROR(AS274-VLOOKUP($C274,Assumptions!$A$36:$C$39,3,FALSE),"")</f>
        <v/>
      </c>
      <c r="AV274" s="3">
        <f>IFERROR(AU274/F274,"")</f>
        <v/>
      </c>
      <c r="AW274">
        <f>IF(AND($E274=TRUE,$C274="GKP"),AS274,"")</f>
        <v/>
      </c>
      <c r="AX274">
        <f>IF(AND($E274=TRUE,$C274="DEF"),AS274,"")</f>
        <v/>
      </c>
      <c r="AY274">
        <f>IF(AND($E274=TRUE,$C274="MID"),AS274,"")</f>
        <v/>
      </c>
      <c r="AZ274">
        <f>IF(AND($E274=TRUE,$C274="FWD"),AS274,"")</f>
        <v/>
      </c>
      <c r="BA274" t="n">
        <v>2</v>
      </c>
      <c r="BB274" t="n">
        <v>2</v>
      </c>
      <c r="BC274" t="n">
        <v>0</v>
      </c>
      <c r="BD274" t="n">
        <v>4</v>
      </c>
    </row>
    <row r="275">
      <c r="A275" t="inlineStr">
        <is>
          <t>Alexander Isak</t>
        </is>
      </c>
      <c r="B275" t="inlineStr">
        <is>
          <t>LIV</t>
        </is>
      </c>
      <c r="C275" t="inlineStr">
        <is>
          <t>FWD</t>
        </is>
      </c>
      <c r="D275" t="inlineStr">
        <is>
          <t>FWD</t>
        </is>
      </c>
      <c r="E275" t="b">
        <v>1</v>
      </c>
      <c r="F275" s="2" t="n">
        <v>9</v>
      </c>
      <c r="G275" t="inlineStr">
        <is>
          <t>a</t>
        </is>
      </c>
      <c r="I275" s="2" t="n">
        <v>694</v>
      </c>
      <c r="J275" t="n">
        <v>41</v>
      </c>
      <c r="K275" s="3" t="n">
        <v>2177</v>
      </c>
      <c r="L275" t="inlineStr">
        <is>
          <t>flat</t>
        </is>
      </c>
      <c r="M275" s="4" t="n">
        <v>2177</v>
      </c>
      <c r="N275" t="inlineStr">
        <is>
          <t>Solio</t>
        </is>
      </c>
      <c r="O275" s="5" t="n">
        <v>74.40000000000001</v>
      </c>
      <c r="P275" t="b">
        <v>1</v>
      </c>
      <c r="Q275" s="5">
        <f>IF(N(O275)&lt;=0,0,MIN(Assumptions!$B$15,N(M275)/N(O275)))</f>
        <v/>
      </c>
      <c r="R275" s="4" t="n">
        <v>0.342</v>
      </c>
      <c r="S275" s="3" t="n">
        <v>0.3548</v>
      </c>
      <c r="T275" t="inlineStr">
        <is>
          <t>adjusted xGOT</t>
        </is>
      </c>
      <c r="U275" s="3" t="n">
        <v>1</v>
      </c>
      <c r="V275" s="3" t="n">
        <v>1.056</v>
      </c>
      <c r="W275" s="3" t="n">
        <v>51.2</v>
      </c>
      <c r="X275" s="3" t="n">
        <v>0.0601</v>
      </c>
      <c r="Y275" s="3" t="n">
        <v>4.35</v>
      </c>
      <c r="Z275" s="3" t="n">
        <v>0.0003667328438534678</v>
      </c>
      <c r="AA275" s="3" t="n">
        <v>0.5187</v>
      </c>
      <c r="AB275" s="3" t="n">
        <v>22</v>
      </c>
      <c r="AC275" s="3" t="n">
        <v>2.409</v>
      </c>
      <c r="AD275" s="3" t="n">
        <v>1.1228</v>
      </c>
      <c r="AE275" s="3" t="n">
        <v>-0.0808828680880328</v>
      </c>
      <c r="AF275" s="4" t="n">
        <v>3.879716204766393</v>
      </c>
      <c r="AG275" s="3" t="n">
        <v>0</v>
      </c>
      <c r="AH275" s="3" t="n">
        <v>1.4192</v>
      </c>
      <c r="AI275" s="3" t="n">
        <v>0.237996</v>
      </c>
      <c r="AJ275" s="3">
        <f>N(R275)*N(BC275)</f>
        <v/>
      </c>
      <c r="AK275" s="3" t="n">
        <v>0.5187</v>
      </c>
      <c r="AL275" s="3" t="n">
        <v>0</v>
      </c>
      <c r="AM275" s="3" t="n">
        <v>-0</v>
      </c>
      <c r="AN275" s="3" t="n">
        <v>-0.0808828680880328</v>
      </c>
      <c r="AO275" s="3">
        <f>SUM(AH275:AN275)</f>
        <v/>
      </c>
      <c r="AP275" s="5">
        <f>IF(OR(N(Q275)&lt;=0,N(BA275)=0),0,N(Q275)*IF(N(M275)/N(Q275)&gt;=60,N(BA275),1))</f>
        <v/>
      </c>
      <c r="AQ275" s="5">
        <f>N(Q275)*N(Z275)*N(BB275)</f>
        <v/>
      </c>
      <c r="AR275" s="5">
        <f>N(AF275)*(Assumptions!$B$13*N(BD275)-(1-Assumptions!$B$13)*Assumptions!$B$14)+N(AG275)</f>
        <v/>
      </c>
      <c r="AS275" s="5">
        <f>N(AO275)*N(M275)/90+N(AP275)+N(AQ275)+N(AR275)</f>
        <v/>
      </c>
      <c r="AT275" s="3">
        <f>IF(N(M275)&lt;=0,0,(N(AS275)-N(AR275))*90/N(M275))</f>
        <v/>
      </c>
      <c r="AU275" s="5">
        <f>IFERROR(AS275-VLOOKUP($C275,Assumptions!$A$36:$C$39,3,FALSE),"")</f>
        <v/>
      </c>
      <c r="AV275" s="3">
        <f>IFERROR(AU275/F275,"")</f>
        <v/>
      </c>
      <c r="AW275">
        <f>IF(AND($E275=TRUE,$C275="GKP"),AS275,"")</f>
        <v/>
      </c>
      <c r="AX275">
        <f>IF(AND($E275=TRUE,$C275="DEF"),AS275,"")</f>
        <v/>
      </c>
      <c r="AY275">
        <f>IF(AND($E275=TRUE,$C275="MID"),AS275,"")</f>
        <v/>
      </c>
      <c r="AZ275">
        <f>IF(AND($E275=TRUE,$C275="FWD"),AS275,"")</f>
        <v/>
      </c>
      <c r="BA275" t="n">
        <v>2</v>
      </c>
      <c r="BB275" t="n">
        <v>2</v>
      </c>
      <c r="BC275" t="n">
        <v>0</v>
      </c>
      <c r="BD275" t="n">
        <v>4</v>
      </c>
    </row>
    <row r="276">
      <c r="A276" t="inlineStr">
        <is>
          <t>Lamare Bogarde</t>
        </is>
      </c>
      <c r="B276" t="inlineStr">
        <is>
          <t>AVL</t>
        </is>
      </c>
      <c r="C276" t="inlineStr">
        <is>
          <t>MID</t>
        </is>
      </c>
      <c r="D276" t="inlineStr">
        <is>
          <t>DEF</t>
        </is>
      </c>
      <c r="E276" t="b">
        <v>1</v>
      </c>
      <c r="F276" s="2" t="n">
        <v>5</v>
      </c>
      <c r="G276" t="inlineStr">
        <is>
          <t>a</t>
        </is>
      </c>
      <c r="I276" s="2" t="n">
        <v>1042</v>
      </c>
      <c r="J276" t="n">
        <v>40</v>
      </c>
      <c r="K276" s="3" t="n">
        <v>272</v>
      </c>
      <c r="L276" t="inlineStr">
        <is>
          <t>flat</t>
        </is>
      </c>
      <c r="M276" s="4" t="n">
        <v>272</v>
      </c>
      <c r="N276" t="inlineStr">
        <is>
          <t>Solio</t>
        </is>
      </c>
      <c r="O276" s="5" t="n">
        <v>79.5</v>
      </c>
      <c r="P276" t="b">
        <v>1</v>
      </c>
      <c r="Q276" s="5">
        <f>IF(N(O276)&lt;=0,0,MIN(Assumptions!$B$15,N(M276)/N(O276)))</f>
        <v/>
      </c>
      <c r="R276" s="4" t="n">
        <v>0.273</v>
      </c>
      <c r="S276" s="3" t="n">
        <v>0</v>
      </c>
      <c r="T276" t="inlineStr">
        <is>
          <t>adjusted xGOT</t>
        </is>
      </c>
      <c r="U276" s="3" t="n">
        <v>1</v>
      </c>
      <c r="V276" s="3" t="n">
        <v>1.008</v>
      </c>
      <c r="W276" s="3" t="n">
        <v>0</v>
      </c>
      <c r="X276" s="3" t="n">
        <v>0.0104</v>
      </c>
      <c r="Y276" s="3" t="n">
        <v>6.205</v>
      </c>
      <c r="Z276" s="3" t="n">
        <v>0.01072087229156904</v>
      </c>
      <c r="AA276" s="3" t="n">
        <v>0.3455</v>
      </c>
      <c r="AB276" s="3" t="n">
        <v>38</v>
      </c>
      <c r="AC276" s="3" t="n">
        <v>2.7451</v>
      </c>
      <c r="AD276" s="3" t="n">
        <v>1.3575</v>
      </c>
      <c r="AE276" s="3" t="n">
        <v>-0.3222058105239432</v>
      </c>
      <c r="AF276" s="4" t="n">
        <v>0</v>
      </c>
      <c r="AG276" s="3" t="n">
        <v>0</v>
      </c>
      <c r="AH276" s="3" t="n">
        <v>0</v>
      </c>
      <c r="AI276" s="3" t="n">
        <v>0.041184</v>
      </c>
      <c r="AJ276" s="3">
        <f>N(R276)*N(BC276)</f>
        <v/>
      </c>
      <c r="AK276" s="3" t="n">
        <v>0.3455</v>
      </c>
      <c r="AL276" s="3" t="n">
        <v>0</v>
      </c>
      <c r="AM276" s="3" t="n">
        <v>-0</v>
      </c>
      <c r="AN276" s="3" t="n">
        <v>-0.3222058105239432</v>
      </c>
      <c r="AO276" s="3">
        <f>SUM(AH276:AN276)</f>
        <v/>
      </c>
      <c r="AP276" s="5">
        <f>IF(OR(N(Q276)&lt;=0,N(BA276)=0),0,N(Q276)*IF(N(M276)/N(Q276)&gt;=60,N(BA276),1))</f>
        <v/>
      </c>
      <c r="AQ276" s="5">
        <f>N(Q276)*N(Z276)*N(BB276)</f>
        <v/>
      </c>
      <c r="AR276" s="5">
        <f>N(AF276)*(Assumptions!$B$13*N(BD276)-(1-Assumptions!$B$13)*Assumptions!$B$14)+N(AG276)</f>
        <v/>
      </c>
      <c r="AS276" s="5">
        <f>N(AO276)*N(M276)/90+N(AP276)+N(AQ276)+N(AR276)</f>
        <v/>
      </c>
      <c r="AT276" s="3">
        <f>IF(N(M276)&lt;=0,0,(N(AS276)-N(AR276))*90/N(M276))</f>
        <v/>
      </c>
      <c r="AU276" s="5">
        <f>IFERROR(AS276-VLOOKUP($C276,Assumptions!$A$36:$C$39,3,FALSE),"")</f>
        <v/>
      </c>
      <c r="AV276" s="3">
        <f>IFERROR(AU276/F276,"")</f>
        <v/>
      </c>
      <c r="AW276">
        <f>IF(AND($E276=TRUE,$C276="GKP"),AS276,"")</f>
        <v/>
      </c>
      <c r="AX276">
        <f>IF(AND($E276=TRUE,$C276="DEF"),AS276,"")</f>
        <v/>
      </c>
      <c r="AY276">
        <f>IF(AND($E276=TRUE,$C276="MID"),AS276,"")</f>
        <v/>
      </c>
      <c r="AZ276">
        <f>IF(AND($E276=TRUE,$C276="FWD"),AS276,"")</f>
        <v/>
      </c>
      <c r="BA276" t="n">
        <v>2</v>
      </c>
      <c r="BB276" t="n">
        <v>2</v>
      </c>
      <c r="BC276" t="n">
        <v>1</v>
      </c>
      <c r="BD276" t="n">
        <v>5</v>
      </c>
    </row>
    <row r="277">
      <c r="A277" t="inlineStr">
        <is>
          <t>Cristhian Mosquera</t>
        </is>
      </c>
      <c r="B277" t="inlineStr">
        <is>
          <t>ARS</t>
        </is>
      </c>
      <c r="C277" t="inlineStr">
        <is>
          <t>DEF</t>
        </is>
      </c>
      <c r="D277" t="inlineStr">
        <is>
          <t>DEF</t>
        </is>
      </c>
      <c r="E277" t="b">
        <v>1</v>
      </c>
      <c r="F277" s="2" t="n">
        <v>5.5</v>
      </c>
      <c r="G277" t="inlineStr">
        <is>
          <t>a</t>
        </is>
      </c>
      <c r="I277" s="2" t="n">
        <v>986</v>
      </c>
      <c r="J277" t="n">
        <v>40</v>
      </c>
      <c r="K277" s="3" t="n">
        <v>295</v>
      </c>
      <c r="L277" t="inlineStr">
        <is>
          <t>fade (losing his place)</t>
        </is>
      </c>
      <c r="M277" s="4" t="n">
        <v>295</v>
      </c>
      <c r="N277" t="inlineStr">
        <is>
          <t>Solio</t>
        </is>
      </c>
      <c r="O277" s="5" t="n">
        <v>74.90000000000001</v>
      </c>
      <c r="P277" t="b">
        <v>1</v>
      </c>
      <c r="Q277" s="5">
        <f>IF(N(O277)&lt;=0,0,MIN(Assumptions!$B$15,N(M277)/N(O277)))</f>
        <v/>
      </c>
      <c r="R277" s="4" t="n">
        <v>0.391</v>
      </c>
      <c r="S277" s="3" t="n">
        <v>0.008999999999999999</v>
      </c>
      <c r="T277" t="inlineStr">
        <is>
          <t>adjusted xGOT</t>
        </is>
      </c>
      <c r="U277" s="3" t="n">
        <v>1</v>
      </c>
      <c r="V277" s="3" t="n">
        <v>0.988</v>
      </c>
      <c r="W277" s="3" t="n">
        <v>0.1</v>
      </c>
      <c r="X277" s="3" t="n">
        <v>0.0421</v>
      </c>
      <c r="Y277" s="3" t="n">
        <v>8.255000000000001</v>
      </c>
      <c r="Z277" s="3" t="n">
        <v>0.1565694222570166</v>
      </c>
      <c r="AA277" s="3" t="n">
        <v>0.09130000000000001</v>
      </c>
      <c r="AB277" s="3" t="n">
        <v>28</v>
      </c>
      <c r="AC277" s="3" t="n">
        <v>2.067</v>
      </c>
      <c r="AD277" s="3" t="n">
        <v>0.9838</v>
      </c>
      <c r="AE277" s="3" t="n">
        <v>-0.2784067877134873</v>
      </c>
      <c r="AF277" s="4" t="n">
        <v>0</v>
      </c>
      <c r="AG277" s="3" t="n">
        <v>0</v>
      </c>
      <c r="AH277" s="3" t="n">
        <v>0.05399999999999999</v>
      </c>
      <c r="AI277" s="3" t="n">
        <v>0.166716</v>
      </c>
      <c r="AJ277" s="3">
        <f>N(R277)*N(BC277)</f>
        <v/>
      </c>
      <c r="AK277" s="3" t="n">
        <v>0.09130000000000001</v>
      </c>
      <c r="AL277" s="3" t="n">
        <v>0</v>
      </c>
      <c r="AM277" s="3" t="n">
        <v>-0.2768479886568037</v>
      </c>
      <c r="AN277" s="3" t="n">
        <v>-0.2784067877134873</v>
      </c>
      <c r="AO277" s="3">
        <f>SUM(AH277:AN277)</f>
        <v/>
      </c>
      <c r="AP277" s="5">
        <f>IF(OR(N(Q277)&lt;=0,N(BA277)=0),0,N(Q277)*IF(N(M277)/N(Q277)&gt;=60,N(BA277),1))</f>
        <v/>
      </c>
      <c r="AQ277" s="5">
        <f>N(Q277)*N(Z277)*N(BB277)</f>
        <v/>
      </c>
      <c r="AR277" s="5">
        <f>N(AF277)*(Assumptions!$B$13*N(BD277)-(1-Assumptions!$B$13)*Assumptions!$B$14)+N(AG277)</f>
        <v/>
      </c>
      <c r="AS277" s="5">
        <f>N(AO277)*N(M277)/90+N(AP277)+N(AQ277)+N(AR277)</f>
        <v/>
      </c>
      <c r="AT277" s="3">
        <f>IF(N(M277)&lt;=0,0,(N(AS277)-N(AR277))*90/N(M277))</f>
        <v/>
      </c>
      <c r="AU277" s="5">
        <f>IFERROR(AS277-VLOOKUP($C277,Assumptions!$A$36:$C$39,3,FALSE),"")</f>
        <v/>
      </c>
      <c r="AV277" s="3">
        <f>IFERROR(AU277/F277,"")</f>
        <v/>
      </c>
      <c r="AW277">
        <f>IF(AND($E277=TRUE,$C277="GKP"),AS277,"")</f>
        <v/>
      </c>
      <c r="AX277">
        <f>IF(AND($E277=TRUE,$C277="DEF"),AS277,"")</f>
        <v/>
      </c>
      <c r="AY277">
        <f>IF(AND($E277=TRUE,$C277="MID"),AS277,"")</f>
        <v/>
      </c>
      <c r="AZ277">
        <f>IF(AND($E277=TRUE,$C277="FWD"),AS277,"")</f>
        <v/>
      </c>
      <c r="BA277" t="n">
        <v>2</v>
      </c>
      <c r="BB277" t="n">
        <v>2</v>
      </c>
      <c r="BC277" t="n">
        <v>4</v>
      </c>
      <c r="BD277" t="n">
        <v>6</v>
      </c>
    </row>
    <row r="278">
      <c r="A278" t="inlineStr">
        <is>
          <t>Dominic Solanke</t>
        </is>
      </c>
      <c r="B278" t="inlineStr">
        <is>
          <t>TOT</t>
        </is>
      </c>
      <c r="C278" t="inlineStr">
        <is>
          <t>FWD</t>
        </is>
      </c>
      <c r="D278" t="inlineStr">
        <is>
          <t>FWD</t>
        </is>
      </c>
      <c r="E278" t="b">
        <v>1</v>
      </c>
      <c r="F278" s="2" t="n">
        <v>6</v>
      </c>
      <c r="G278" t="inlineStr">
        <is>
          <t>a</t>
        </is>
      </c>
      <c r="I278" s="2" t="n">
        <v>997</v>
      </c>
      <c r="J278" t="n">
        <v>40</v>
      </c>
      <c r="K278" s="3" t="n">
        <v>2747</v>
      </c>
      <c r="L278" t="inlineStr">
        <is>
          <t>flat</t>
        </is>
      </c>
      <c r="M278" s="4" t="n">
        <v>2747</v>
      </c>
      <c r="N278" t="inlineStr">
        <is>
          <t>Solio</t>
        </is>
      </c>
      <c r="O278" s="5" t="n">
        <v>82.7</v>
      </c>
      <c r="P278" t="b">
        <v>1</v>
      </c>
      <c r="Q278" s="5">
        <f>IF(N(O278)&lt;=0,0,MIN(Assumptions!$B$15,N(M278)/N(O278)))</f>
        <v/>
      </c>
      <c r="R278" s="4" t="n">
        <v>0.286</v>
      </c>
      <c r="S278" s="3" t="n">
        <v>0.2459</v>
      </c>
      <c r="T278" t="inlineStr">
        <is>
          <t>adjusted xGOT</t>
        </is>
      </c>
      <c r="U278" s="3" t="n">
        <v>1</v>
      </c>
      <c r="V278" s="3" t="n">
        <v>0.917</v>
      </c>
      <c r="W278" s="3" t="n">
        <v>42.6</v>
      </c>
      <c r="X278" s="3" t="n">
        <v>0.0423</v>
      </c>
      <c r="Y278" s="3" t="n">
        <v>5.731</v>
      </c>
      <c r="Z278" s="3" t="n">
        <v>0.008023487465575463</v>
      </c>
      <c r="AA278" s="3" t="n">
        <v>0.3611</v>
      </c>
      <c r="AB278" s="3" t="n">
        <v>25</v>
      </c>
      <c r="AC278" s="3" t="n">
        <v>2.5739</v>
      </c>
      <c r="AD278" s="3" t="n">
        <v>1.3096</v>
      </c>
      <c r="AE278" s="3" t="n">
        <v>-0.0967185596671383</v>
      </c>
      <c r="AF278" s="4" t="n">
        <v>4.308494827596488</v>
      </c>
      <c r="AG278" s="3" t="n">
        <v>0</v>
      </c>
      <c r="AH278" s="3" t="n">
        <v>0.9836</v>
      </c>
      <c r="AI278" s="3" t="n">
        <v>0.167508</v>
      </c>
      <c r="AJ278" s="3">
        <f>N(R278)*N(BC278)</f>
        <v/>
      </c>
      <c r="AK278" s="3" t="n">
        <v>0.3611</v>
      </c>
      <c r="AL278" s="3" t="n">
        <v>0</v>
      </c>
      <c r="AM278" s="3" t="n">
        <v>-0</v>
      </c>
      <c r="AN278" s="3" t="n">
        <v>-0.0967185596671383</v>
      </c>
      <c r="AO278" s="3">
        <f>SUM(AH278:AN278)</f>
        <v/>
      </c>
      <c r="AP278" s="5">
        <f>IF(OR(N(Q278)&lt;=0,N(BA278)=0),0,N(Q278)*IF(N(M278)/N(Q278)&gt;=60,N(BA278),1))</f>
        <v/>
      </c>
      <c r="AQ278" s="5">
        <f>N(Q278)*N(Z278)*N(BB278)</f>
        <v/>
      </c>
      <c r="AR278" s="5">
        <f>N(AF278)*(Assumptions!$B$13*N(BD278)-(1-Assumptions!$B$13)*Assumptions!$B$14)+N(AG278)</f>
        <v/>
      </c>
      <c r="AS278" s="5">
        <f>N(AO278)*N(M278)/90+N(AP278)+N(AQ278)+N(AR278)</f>
        <v/>
      </c>
      <c r="AT278" s="3">
        <f>IF(N(M278)&lt;=0,0,(N(AS278)-N(AR278))*90/N(M278))</f>
        <v/>
      </c>
      <c r="AU278" s="5">
        <f>IFERROR(AS278-VLOOKUP($C278,Assumptions!$A$36:$C$39,3,FALSE),"")</f>
        <v/>
      </c>
      <c r="AV278" s="3">
        <f>IFERROR(AU278/F278,"")</f>
        <v/>
      </c>
      <c r="AW278">
        <f>IF(AND($E278=TRUE,$C278="GKP"),AS278,"")</f>
        <v/>
      </c>
      <c r="AX278">
        <f>IF(AND($E278=TRUE,$C278="DEF"),AS278,"")</f>
        <v/>
      </c>
      <c r="AY278">
        <f>IF(AND($E278=TRUE,$C278="MID"),AS278,"")</f>
        <v/>
      </c>
      <c r="AZ278">
        <f>IF(AND($E278=TRUE,$C278="FWD"),AS278,"")</f>
        <v/>
      </c>
      <c r="BA278" t="n">
        <v>2</v>
      </c>
      <c r="BB278" t="n">
        <v>2</v>
      </c>
      <c r="BC278" t="n">
        <v>0</v>
      </c>
      <c r="BD278" t="n">
        <v>4</v>
      </c>
    </row>
    <row r="279">
      <c r="A279" t="inlineStr">
        <is>
          <t>Lewis Cook</t>
        </is>
      </c>
      <c r="B279" t="inlineStr">
        <is>
          <t>BOU</t>
        </is>
      </c>
      <c r="C279" t="inlineStr">
        <is>
          <t>MID</t>
        </is>
      </c>
      <c r="D279" t="inlineStr">
        <is>
          <t>MID</t>
        </is>
      </c>
      <c r="E279" t="b">
        <v>1</v>
      </c>
      <c r="F279" s="2" t="n">
        <v>5</v>
      </c>
      <c r="G279" t="inlineStr">
        <is>
          <t>a</t>
        </is>
      </c>
      <c r="I279" s="2" t="n">
        <v>872</v>
      </c>
      <c r="J279" t="n">
        <v>40</v>
      </c>
      <c r="K279" s="3" t="n">
        <v>451</v>
      </c>
      <c r="L279" t="inlineStr">
        <is>
          <t>flat</t>
        </is>
      </c>
      <c r="M279" s="4" t="n">
        <v>451</v>
      </c>
      <c r="N279" t="inlineStr">
        <is>
          <t>Solio</t>
        </is>
      </c>
      <c r="O279" s="5" t="n">
        <v>90</v>
      </c>
      <c r="P279" t="b">
        <v>1</v>
      </c>
      <c r="Q279" s="5">
        <f>IF(N(O279)&lt;=0,0,MIN(Assumptions!$B$15,N(M279)/N(O279)))</f>
        <v/>
      </c>
      <c r="R279" s="4" t="n">
        <v>0.23</v>
      </c>
      <c r="S279" s="3" t="n">
        <v>0.0071</v>
      </c>
      <c r="T279" t="inlineStr">
        <is>
          <t>adjusted xGOT</t>
        </is>
      </c>
      <c r="U279" s="3" t="n">
        <v>1</v>
      </c>
      <c r="V279" s="3" t="n">
        <v>0.993</v>
      </c>
      <c r="W279" s="3" t="n">
        <v>1.7</v>
      </c>
      <c r="X279" s="3" t="n">
        <v>0.0447</v>
      </c>
      <c r="Y279" s="3" t="n">
        <v>11.963</v>
      </c>
      <c r="Z279" s="3" t="n">
        <v>0.5341645976541621</v>
      </c>
      <c r="AA279" s="3" t="n">
        <v>0</v>
      </c>
      <c r="AB279" s="3" t="n">
        <v>26</v>
      </c>
      <c r="AC279" s="3" t="n">
        <v>3.0957</v>
      </c>
      <c r="AD279" s="3" t="n">
        <v>1.53</v>
      </c>
      <c r="AE279" s="3" t="n">
        <v>-0.2064030647938763</v>
      </c>
      <c r="AF279" s="4" t="n">
        <v>0</v>
      </c>
      <c r="AG279" s="3" t="n">
        <v>0</v>
      </c>
      <c r="AH279" s="3" t="n">
        <v>0.0355</v>
      </c>
      <c r="AI279" s="3" t="n">
        <v>0.177012</v>
      </c>
      <c r="AJ279" s="3">
        <f>N(R279)*N(BC279)</f>
        <v/>
      </c>
      <c r="AK279" s="3" t="n">
        <v>0</v>
      </c>
      <c r="AL279" s="3" t="n">
        <v>0</v>
      </c>
      <c r="AM279" s="3" t="n">
        <v>-0</v>
      </c>
      <c r="AN279" s="3" t="n">
        <v>-0.2064030647938763</v>
      </c>
      <c r="AO279" s="3">
        <f>SUM(AH279:AN279)</f>
        <v/>
      </c>
      <c r="AP279" s="5">
        <f>IF(OR(N(Q279)&lt;=0,N(BA279)=0),0,N(Q279)*IF(N(M279)/N(Q279)&gt;=60,N(BA279),1))</f>
        <v/>
      </c>
      <c r="AQ279" s="5">
        <f>N(Q279)*N(Z279)*N(BB279)</f>
        <v/>
      </c>
      <c r="AR279" s="5">
        <f>N(AF279)*(Assumptions!$B$13*N(BD279)-(1-Assumptions!$B$13)*Assumptions!$B$14)+N(AG279)</f>
        <v/>
      </c>
      <c r="AS279" s="5">
        <f>N(AO279)*N(M279)/90+N(AP279)+N(AQ279)+N(AR279)</f>
        <v/>
      </c>
      <c r="AT279" s="3">
        <f>IF(N(M279)&lt;=0,0,(N(AS279)-N(AR279))*90/N(M279))</f>
        <v/>
      </c>
      <c r="AU279" s="5">
        <f>IFERROR(AS279-VLOOKUP($C279,Assumptions!$A$36:$C$39,3,FALSE),"")</f>
        <v/>
      </c>
      <c r="AV279" s="3">
        <f>IFERROR(AU279/F279,"")</f>
        <v/>
      </c>
      <c r="AW279">
        <f>IF(AND($E279=TRUE,$C279="GKP"),AS279,"")</f>
        <v/>
      </c>
      <c r="AX279">
        <f>IF(AND($E279=TRUE,$C279="DEF"),AS279,"")</f>
        <v/>
      </c>
      <c r="AY279">
        <f>IF(AND($E279=TRUE,$C279="MID"),AS279,"")</f>
        <v/>
      </c>
      <c r="AZ279">
        <f>IF(AND($E279=TRUE,$C279="FWD"),AS279,"")</f>
        <v/>
      </c>
      <c r="BA279" t="n">
        <v>2</v>
      </c>
      <c r="BB279" t="n">
        <v>2</v>
      </c>
      <c r="BC279" t="n">
        <v>1</v>
      </c>
      <c r="BD279" t="n">
        <v>5</v>
      </c>
    </row>
    <row r="280">
      <c r="A280" t="inlineStr">
        <is>
          <t>Josh Acheampong</t>
        </is>
      </c>
      <c r="B280" t="inlineStr">
        <is>
          <t>CHE</t>
        </is>
      </c>
      <c r="C280" t="inlineStr">
        <is>
          <t>DEF</t>
        </is>
      </c>
      <c r="D280" t="inlineStr">
        <is>
          <t>DEF</t>
        </is>
      </c>
      <c r="E280" t="b">
        <v>1</v>
      </c>
      <c r="F280" s="2" t="n">
        <v>4.5</v>
      </c>
      <c r="G280" t="inlineStr">
        <is>
          <t>a</t>
        </is>
      </c>
      <c r="I280" s="2" t="n">
        <v>657</v>
      </c>
      <c r="J280" t="n">
        <v>39</v>
      </c>
      <c r="K280" s="3" t="n">
        <v>136</v>
      </c>
      <c r="L280" t="inlineStr">
        <is>
          <t>flat</t>
        </is>
      </c>
      <c r="M280" s="4" t="n">
        <v>136</v>
      </c>
      <c r="N280" t="inlineStr">
        <is>
          <t>Solio</t>
        </is>
      </c>
      <c r="O280" s="5" t="n">
        <v>71.09999999999999</v>
      </c>
      <c r="P280" t="b">
        <v>1</v>
      </c>
      <c r="Q280" s="5">
        <f>IF(N(O280)&lt;=0,0,MIN(Assumptions!$B$15,N(M280)/N(O280)))</f>
        <v/>
      </c>
      <c r="R280" s="4" t="n">
        <v>0.322</v>
      </c>
      <c r="S280" s="3" t="n">
        <v>0.0864</v>
      </c>
      <c r="T280" t="inlineStr">
        <is>
          <t>adjusted xGOT</t>
        </is>
      </c>
      <c r="U280" s="3" t="n">
        <v>1</v>
      </c>
      <c r="V280" s="3" t="n">
        <v>1.018</v>
      </c>
      <c r="W280" s="3" t="n">
        <v>0.8</v>
      </c>
      <c r="X280" s="3" t="n">
        <v>0.0184</v>
      </c>
      <c r="Y280" s="3" t="n">
        <v>6.894</v>
      </c>
      <c r="Z280" s="3" t="n">
        <v>0.051037710625921</v>
      </c>
      <c r="AA280" s="3" t="n">
        <v>0.6849</v>
      </c>
      <c r="AB280" s="3" t="n">
        <v>24</v>
      </c>
      <c r="AC280" s="3" t="n">
        <v>2.4232</v>
      </c>
      <c r="AD280" s="3" t="n">
        <v>1.1851</v>
      </c>
      <c r="AE280" s="3" t="n">
        <v>-0.2066640795218735</v>
      </c>
      <c r="AF280" s="4" t="n">
        <v>0</v>
      </c>
      <c r="AG280" s="3" t="n">
        <v>0</v>
      </c>
      <c r="AH280" s="3" t="n">
        <v>0.5184</v>
      </c>
      <c r="AI280" s="3" t="n">
        <v>0.072864</v>
      </c>
      <c r="AJ280" s="3">
        <f>N(R280)*N(BC280)</f>
        <v/>
      </c>
      <c r="AK280" s="3" t="n">
        <v>0.6849</v>
      </c>
      <c r="AL280" s="3" t="n">
        <v>0</v>
      </c>
      <c r="AM280" s="3" t="n">
        <v>-0.365915508000572</v>
      </c>
      <c r="AN280" s="3" t="n">
        <v>-0.2066640795218735</v>
      </c>
      <c r="AO280" s="3">
        <f>SUM(AH280:AN280)</f>
        <v/>
      </c>
      <c r="AP280" s="5">
        <f>IF(OR(N(Q280)&lt;=0,N(BA280)=0),0,N(Q280)*IF(N(M280)/N(Q280)&gt;=60,N(BA280),1))</f>
        <v/>
      </c>
      <c r="AQ280" s="5">
        <f>N(Q280)*N(Z280)*N(BB280)</f>
        <v/>
      </c>
      <c r="AR280" s="5">
        <f>N(AF280)*(Assumptions!$B$13*N(BD280)-(1-Assumptions!$B$13)*Assumptions!$B$14)+N(AG280)</f>
        <v/>
      </c>
      <c r="AS280" s="5">
        <f>N(AO280)*N(M280)/90+N(AP280)+N(AQ280)+N(AR280)</f>
        <v/>
      </c>
      <c r="AT280" s="3">
        <f>IF(N(M280)&lt;=0,0,(N(AS280)-N(AR280))*90/N(M280))</f>
        <v/>
      </c>
      <c r="AU280" s="5">
        <f>IFERROR(AS280-VLOOKUP($C280,Assumptions!$A$36:$C$39,3,FALSE),"")</f>
        <v/>
      </c>
      <c r="AV280" s="3">
        <f>IFERROR(AU280/F280,"")</f>
        <v/>
      </c>
      <c r="AW280">
        <f>IF(AND($E280=TRUE,$C280="GKP"),AS280,"")</f>
        <v/>
      </c>
      <c r="AX280">
        <f>IF(AND($E280=TRUE,$C280="DEF"),AS280,"")</f>
        <v/>
      </c>
      <c r="AY280">
        <f>IF(AND($E280=TRUE,$C280="MID"),AS280,"")</f>
        <v/>
      </c>
      <c r="AZ280">
        <f>IF(AND($E280=TRUE,$C280="FWD"),AS280,"")</f>
        <v/>
      </c>
      <c r="BA280" t="n">
        <v>2</v>
      </c>
      <c r="BB280" t="n">
        <v>2</v>
      </c>
      <c r="BC280" t="n">
        <v>4</v>
      </c>
      <c r="BD280" t="n">
        <v>6</v>
      </c>
    </row>
    <row r="281">
      <c r="A281" t="inlineStr">
        <is>
          <t>Nicolò Savona</t>
        </is>
      </c>
      <c r="B281" t="inlineStr">
        <is>
          <t>NFO</t>
        </is>
      </c>
      <c r="C281" t="inlineStr">
        <is>
          <t>DEF</t>
        </is>
      </c>
      <c r="D281" t="inlineStr">
        <is>
          <t>DEF</t>
        </is>
      </c>
      <c r="E281" t="b">
        <v>1</v>
      </c>
      <c r="F281" s="2" t="n">
        <v>4.5</v>
      </c>
      <c r="G281" t="inlineStr">
        <is>
          <t>i</t>
        </is>
      </c>
      <c r="H281" t="inlineStr">
        <is>
          <t>Knee injury - Unknown return date</t>
        </is>
      </c>
      <c r="I281" s="2" t="n">
        <v>1025</v>
      </c>
      <c r="J281" t="n">
        <v>39</v>
      </c>
      <c r="K281" s="3" t="n">
        <v>395</v>
      </c>
      <c r="L281" t="inlineStr">
        <is>
          <t>flat</t>
        </is>
      </c>
      <c r="M281" s="4" t="n">
        <v>395</v>
      </c>
      <c r="N281" t="inlineStr">
        <is>
          <t>Solio</t>
        </is>
      </c>
      <c r="O281" s="5" t="n">
        <v>85</v>
      </c>
      <c r="P281" t="b">
        <v>1</v>
      </c>
      <c r="Q281" s="5">
        <f>IF(N(O281)&lt;=0,0,MIN(Assumptions!$B$15,N(M281)/N(O281)))</f>
        <v/>
      </c>
      <c r="R281" s="4" t="n">
        <v>0.224</v>
      </c>
      <c r="S281" s="3" t="n">
        <v>0.1209</v>
      </c>
      <c r="T281" t="inlineStr">
        <is>
          <t>adjusted xGOT</t>
        </is>
      </c>
      <c r="U281" s="3" t="n">
        <v>1</v>
      </c>
      <c r="V281" s="3" t="n">
        <v>1.028</v>
      </c>
      <c r="W281" s="3" t="n">
        <v>1.3</v>
      </c>
      <c r="X281" s="3" t="n">
        <v>0.0459</v>
      </c>
      <c r="Y281" s="3" t="n">
        <v>6.111</v>
      </c>
      <c r="Z281" s="3" t="n">
        <v>0.06909167367283631</v>
      </c>
      <c r="AA281" s="3" t="n">
        <v>0</v>
      </c>
      <c r="AB281" s="3" t="n">
        <v>24</v>
      </c>
      <c r="AC281" s="3" t="n">
        <v>3.1134</v>
      </c>
      <c r="AD281" s="3" t="n">
        <v>1.5588</v>
      </c>
      <c r="AE281" s="3" t="n">
        <v>-0.2013150628397314</v>
      </c>
      <c r="AF281" s="4" t="n">
        <v>0</v>
      </c>
      <c r="AG281" s="3" t="n">
        <v>0</v>
      </c>
      <c r="AH281" s="3" t="n">
        <v>0.7253999999999999</v>
      </c>
      <c r="AI281" s="3" t="n">
        <v>0.181764</v>
      </c>
      <c r="AJ281" s="3">
        <f>N(R281)*N(BC281)</f>
        <v/>
      </c>
      <c r="AK281" s="3" t="n">
        <v>0</v>
      </c>
      <c r="AL281" s="3" t="n">
        <v>0</v>
      </c>
      <c r="AM281" s="3" t="n">
        <v>-0.5404658182244797</v>
      </c>
      <c r="AN281" s="3" t="n">
        <v>-0.2013150628397314</v>
      </c>
      <c r="AO281" s="3">
        <f>SUM(AH281:AN281)</f>
        <v/>
      </c>
      <c r="AP281" s="5">
        <f>IF(OR(N(Q281)&lt;=0,N(BA281)=0),0,N(Q281)*IF(N(M281)/N(Q281)&gt;=60,N(BA281),1))</f>
        <v/>
      </c>
      <c r="AQ281" s="5">
        <f>N(Q281)*N(Z281)*N(BB281)</f>
        <v/>
      </c>
      <c r="AR281" s="5">
        <f>N(AF281)*(Assumptions!$B$13*N(BD281)-(1-Assumptions!$B$13)*Assumptions!$B$14)+N(AG281)</f>
        <v/>
      </c>
      <c r="AS281" s="5">
        <f>N(AO281)*N(M281)/90+N(AP281)+N(AQ281)+N(AR281)</f>
        <v/>
      </c>
      <c r="AT281" s="3">
        <f>IF(N(M281)&lt;=0,0,(N(AS281)-N(AR281))*90/N(M281))</f>
        <v/>
      </c>
      <c r="AU281" s="5">
        <f>IFERROR(AS281-VLOOKUP($C281,Assumptions!$A$36:$C$39,3,FALSE),"")</f>
        <v/>
      </c>
      <c r="AV281" s="3">
        <f>IFERROR(AU281/F281,"")</f>
        <v/>
      </c>
      <c r="AW281">
        <f>IF(AND($E281=TRUE,$C281="GKP"),AS281,"")</f>
        <v/>
      </c>
      <c r="AX281">
        <f>IF(AND($E281=TRUE,$C281="DEF"),AS281,"")</f>
        <v/>
      </c>
      <c r="AY281">
        <f>IF(AND($E281=TRUE,$C281="MID"),AS281,"")</f>
        <v/>
      </c>
      <c r="AZ281">
        <f>IF(AND($E281=TRUE,$C281="FWD"),AS281,"")</f>
        <v/>
      </c>
      <c r="BA281" t="n">
        <v>2</v>
      </c>
      <c r="BB281" t="n">
        <v>2</v>
      </c>
      <c r="BC281" t="n">
        <v>4</v>
      </c>
      <c r="BD281" t="n">
        <v>6</v>
      </c>
    </row>
    <row r="282">
      <c r="A282" t="inlineStr">
        <is>
          <t>Jorge Cuenca</t>
        </is>
      </c>
      <c r="B282" t="inlineStr">
        <is>
          <t>FUL</t>
        </is>
      </c>
      <c r="C282" t="inlineStr">
        <is>
          <t>DEF</t>
        </is>
      </c>
      <c r="D282" t="inlineStr">
        <is>
          <t>DEF</t>
        </is>
      </c>
      <c r="E282" t="b">
        <v>1</v>
      </c>
      <c r="F282" s="2" t="n">
        <v>4.5</v>
      </c>
      <c r="G282" t="inlineStr">
        <is>
          <t>a</t>
        </is>
      </c>
      <c r="I282" s="2" t="n">
        <v>935</v>
      </c>
      <c r="J282" t="n">
        <v>39</v>
      </c>
      <c r="K282" s="3" t="n">
        <v>889</v>
      </c>
      <c r="L282" t="inlineStr">
        <is>
          <t>fade (losing his place)</t>
        </is>
      </c>
      <c r="M282" s="4" t="n">
        <v>889</v>
      </c>
      <c r="N282" t="inlineStr">
        <is>
          <t>Solio</t>
        </is>
      </c>
      <c r="O282" s="5" t="n">
        <v>84</v>
      </c>
      <c r="P282" t="b">
        <v>1</v>
      </c>
      <c r="Q282" s="5">
        <f>IF(N(O282)&lt;=0,0,MIN(Assumptions!$B$15,N(M282)/N(O282)))</f>
        <v/>
      </c>
      <c r="R282" s="4" t="n">
        <v>0.214</v>
      </c>
      <c r="S282" s="3" t="n">
        <v>0.0048</v>
      </c>
      <c r="T282" t="inlineStr">
        <is>
          <t>adjusted xGOT</t>
        </is>
      </c>
      <c r="U282" s="3" t="n">
        <v>1</v>
      </c>
      <c r="V282" s="3" t="n">
        <v>0.991</v>
      </c>
      <c r="W282" s="3" t="n">
        <v>0.1</v>
      </c>
      <c r="X282" s="3" t="n">
        <v>0.0503</v>
      </c>
      <c r="Y282" s="3" t="n">
        <v>9.706</v>
      </c>
      <c r="Z282" s="3" t="n">
        <v>0.420356056965274</v>
      </c>
      <c r="AA282" s="3" t="n">
        <v>0.0963</v>
      </c>
      <c r="AB282" s="3" t="n">
        <v>25</v>
      </c>
      <c r="AC282" s="3" t="n">
        <v>3.22</v>
      </c>
      <c r="AD282" s="3" t="n">
        <v>1.6019</v>
      </c>
      <c r="AE282" s="3" t="n">
        <v>-0.3322909752121754</v>
      </c>
      <c r="AF282" s="4" t="n">
        <v>0</v>
      </c>
      <c r="AG282" s="3" t="n">
        <v>0</v>
      </c>
      <c r="AH282" s="3" t="n">
        <v>0.0288</v>
      </c>
      <c r="AI282" s="3" t="n">
        <v>0.199188</v>
      </c>
      <c r="AJ282" s="3">
        <f>N(R282)*N(BC282)</f>
        <v/>
      </c>
      <c r="AK282" s="3" t="n">
        <v>0.0963</v>
      </c>
      <c r="AL282" s="3" t="n">
        <v>0</v>
      </c>
      <c r="AM282" s="3" t="n">
        <v>-0.5611019003833156</v>
      </c>
      <c r="AN282" s="3" t="n">
        <v>-0.3322909752121754</v>
      </c>
      <c r="AO282" s="3">
        <f>SUM(AH282:AN282)</f>
        <v/>
      </c>
      <c r="AP282" s="5">
        <f>IF(OR(N(Q282)&lt;=0,N(BA282)=0),0,N(Q282)*IF(N(M282)/N(Q282)&gt;=60,N(BA282),1))</f>
        <v/>
      </c>
      <c r="AQ282" s="5">
        <f>N(Q282)*N(Z282)*N(BB282)</f>
        <v/>
      </c>
      <c r="AR282" s="5">
        <f>N(AF282)*(Assumptions!$B$13*N(BD282)-(1-Assumptions!$B$13)*Assumptions!$B$14)+N(AG282)</f>
        <v/>
      </c>
      <c r="AS282" s="5">
        <f>N(AO282)*N(M282)/90+N(AP282)+N(AQ282)+N(AR282)</f>
        <v/>
      </c>
      <c r="AT282" s="3">
        <f>IF(N(M282)&lt;=0,0,(N(AS282)-N(AR282))*90/N(M282))</f>
        <v/>
      </c>
      <c r="AU282" s="5">
        <f>IFERROR(AS282-VLOOKUP($C282,Assumptions!$A$36:$C$39,3,FALSE),"")</f>
        <v/>
      </c>
      <c r="AV282" s="3">
        <f>IFERROR(AU282/F282,"")</f>
        <v/>
      </c>
      <c r="AW282">
        <f>IF(AND($E282=TRUE,$C282="GKP"),AS282,"")</f>
        <v/>
      </c>
      <c r="AX282">
        <f>IF(AND($E282=TRUE,$C282="DEF"),AS282,"")</f>
        <v/>
      </c>
      <c r="AY282">
        <f>IF(AND($E282=TRUE,$C282="MID"),AS282,"")</f>
        <v/>
      </c>
      <c r="AZ282">
        <f>IF(AND($E282=TRUE,$C282="FWD"),AS282,"")</f>
        <v/>
      </c>
      <c r="BA282" t="n">
        <v>2</v>
      </c>
      <c r="BB282" t="n">
        <v>2</v>
      </c>
      <c r="BC282" t="n">
        <v>4</v>
      </c>
      <c r="BD282" t="n">
        <v>6</v>
      </c>
    </row>
    <row r="283">
      <c r="A283" t="inlineStr">
        <is>
          <t>Olivier Boscagli</t>
        </is>
      </c>
      <c r="B283" t="inlineStr">
        <is>
          <t>BHA</t>
        </is>
      </c>
      <c r="C283" t="inlineStr">
        <is>
          <t>DEF</t>
        </is>
      </c>
      <c r="D283" t="inlineStr">
        <is>
          <t>DEF</t>
        </is>
      </c>
      <c r="E283" t="b">
        <v>1</v>
      </c>
      <c r="F283" s="2" t="n">
        <v>4.5</v>
      </c>
      <c r="G283" t="inlineStr">
        <is>
          <t>a</t>
        </is>
      </c>
      <c r="I283" s="2" t="n">
        <v>799</v>
      </c>
      <c r="J283" t="n">
        <v>39</v>
      </c>
      <c r="K283" s="3" t="n">
        <v>826</v>
      </c>
      <c r="L283" t="inlineStr">
        <is>
          <t>fade (losing his place)</t>
        </is>
      </c>
      <c r="M283" s="4" t="n">
        <v>826</v>
      </c>
      <c r="N283" t="inlineStr">
        <is>
          <t>Solio</t>
        </is>
      </c>
      <c r="O283" s="5" t="n">
        <v>84.7</v>
      </c>
      <c r="P283" t="b">
        <v>1</v>
      </c>
      <c r="Q283" s="5">
        <f>IF(N(O283)&lt;=0,0,MIN(Assumptions!$B$15,N(M283)/N(O283)))</f>
        <v/>
      </c>
      <c r="R283" s="4" t="n">
        <v>0.252</v>
      </c>
      <c r="S283" s="3" t="n">
        <v>0.0056</v>
      </c>
      <c r="T283" t="inlineStr">
        <is>
          <t>adjusted xGOT</t>
        </is>
      </c>
      <c r="U283" s="3" t="n">
        <v>1</v>
      </c>
      <c r="V283" s="3" t="n">
        <v>0.994</v>
      </c>
      <c r="W283" s="3" t="n">
        <v>0</v>
      </c>
      <c r="X283" s="3" t="n">
        <v>0.0348</v>
      </c>
      <c r="Y283" s="3" t="n">
        <v>8.263999999999999</v>
      </c>
      <c r="Z283" s="3" t="n">
        <v>0.2561618132458285</v>
      </c>
      <c r="AA283" s="3" t="n">
        <v>0.3379</v>
      </c>
      <c r="AB283" s="3" t="n">
        <v>20</v>
      </c>
      <c r="AC283" s="3" t="n">
        <v>2.8404</v>
      </c>
      <c r="AD283" s="3" t="n">
        <v>1.439</v>
      </c>
      <c r="AE283" s="3" t="n">
        <v>-0.2194955984140306</v>
      </c>
      <c r="AF283" s="4" t="n">
        <v>0</v>
      </c>
      <c r="AG283" s="3" t="n">
        <v>0</v>
      </c>
      <c r="AH283" s="3" t="n">
        <v>0.0336</v>
      </c>
      <c r="AI283" s="3" t="n">
        <v>0.137808</v>
      </c>
      <c r="AJ283" s="3">
        <f>N(R283)*N(BC283)</f>
        <v/>
      </c>
      <c r="AK283" s="3" t="n">
        <v>0.3379</v>
      </c>
      <c r="AL283" s="3" t="n">
        <v>0</v>
      </c>
      <c r="AM283" s="3" t="n">
        <v>-0.4835617861760246</v>
      </c>
      <c r="AN283" s="3" t="n">
        <v>-0.2194955984140306</v>
      </c>
      <c r="AO283" s="3">
        <f>SUM(AH283:AN283)</f>
        <v/>
      </c>
      <c r="AP283" s="5">
        <f>IF(OR(N(Q283)&lt;=0,N(BA283)=0),0,N(Q283)*IF(N(M283)/N(Q283)&gt;=60,N(BA283),1))</f>
        <v/>
      </c>
      <c r="AQ283" s="5">
        <f>N(Q283)*N(Z283)*N(BB283)</f>
        <v/>
      </c>
      <c r="AR283" s="5">
        <f>N(AF283)*(Assumptions!$B$13*N(BD283)-(1-Assumptions!$B$13)*Assumptions!$B$14)+N(AG283)</f>
        <v/>
      </c>
      <c r="AS283" s="5">
        <f>N(AO283)*N(M283)/90+N(AP283)+N(AQ283)+N(AR283)</f>
        <v/>
      </c>
      <c r="AT283" s="3">
        <f>IF(N(M283)&lt;=0,0,(N(AS283)-N(AR283))*90/N(M283))</f>
        <v/>
      </c>
      <c r="AU283" s="5">
        <f>IFERROR(AS283-VLOOKUP($C283,Assumptions!$A$36:$C$39,3,FALSE),"")</f>
        <v/>
      </c>
      <c r="AV283" s="3">
        <f>IFERROR(AU283/F283,"")</f>
        <v/>
      </c>
      <c r="AW283">
        <f>IF(AND($E283=TRUE,$C283="GKP"),AS283,"")</f>
        <v/>
      </c>
      <c r="AX283">
        <f>IF(AND($E283=TRUE,$C283="DEF"),AS283,"")</f>
        <v/>
      </c>
      <c r="AY283">
        <f>IF(AND($E283=TRUE,$C283="MID"),AS283,"")</f>
        <v/>
      </c>
      <c r="AZ283">
        <f>IF(AND($E283=TRUE,$C283="FWD"),AS283,"")</f>
        <v/>
      </c>
      <c r="BA283" t="n">
        <v>2</v>
      </c>
      <c r="BB283" t="n">
        <v>2</v>
      </c>
      <c r="BC283" t="n">
        <v>4</v>
      </c>
      <c r="BD283" t="n">
        <v>6</v>
      </c>
    </row>
    <row r="284">
      <c r="A284" t="inlineStr">
        <is>
          <t>Joe Willock</t>
        </is>
      </c>
      <c r="B284" t="inlineStr">
        <is>
          <t>NEW</t>
        </is>
      </c>
      <c r="C284" t="inlineStr">
        <is>
          <t>MID</t>
        </is>
      </c>
      <c r="D284" t="inlineStr">
        <is>
          <t>MID</t>
        </is>
      </c>
      <c r="E284" t="b">
        <v>1</v>
      </c>
      <c r="F284" s="2" t="n">
        <v>5</v>
      </c>
      <c r="G284" t="inlineStr">
        <is>
          <t>a</t>
        </is>
      </c>
      <c r="I284" s="2" t="n">
        <v>972</v>
      </c>
      <c r="J284" t="n">
        <v>38</v>
      </c>
      <c r="K284" s="3" t="n">
        <v>912</v>
      </c>
      <c r="L284" t="inlineStr">
        <is>
          <t>flat</t>
        </is>
      </c>
      <c r="M284" s="4" t="n">
        <v>912</v>
      </c>
      <c r="N284" t="inlineStr">
        <is>
          <t>Solio</t>
        </is>
      </c>
      <c r="O284" s="5" t="n">
        <v>70.40000000000001</v>
      </c>
      <c r="P284" t="b">
        <v>1</v>
      </c>
      <c r="Q284" s="5">
        <f>IF(N(O284)&lt;=0,0,MIN(Assumptions!$B$15,N(M284)/N(O284)))</f>
        <v/>
      </c>
      <c r="R284" s="4" t="n">
        <v>0.248</v>
      </c>
      <c r="S284" s="3" t="n">
        <v>0.1076</v>
      </c>
      <c r="T284" t="inlineStr">
        <is>
          <t>adjusted xGOT</t>
        </is>
      </c>
      <c r="U284" s="3" t="n">
        <v>1</v>
      </c>
      <c r="V284" s="3" t="n">
        <v>0.922</v>
      </c>
      <c r="W284" s="3" t="n">
        <v>11.1</v>
      </c>
      <c r="X284" s="3" t="n">
        <v>0.1467</v>
      </c>
      <c r="Y284" s="3" t="n">
        <v>8.384</v>
      </c>
      <c r="Z284" s="3" t="n">
        <v>0.03583498942562335</v>
      </c>
      <c r="AA284" s="3" t="n">
        <v>0</v>
      </c>
      <c r="AB284" s="3" t="n">
        <v>32</v>
      </c>
      <c r="AC284" s="3" t="n">
        <v>3.0912</v>
      </c>
      <c r="AD284" s="3" t="n">
        <v>1.4534</v>
      </c>
      <c r="AE284" s="3" t="n">
        <v>-0.2569668685375061</v>
      </c>
      <c r="AF284" s="4" t="n">
        <v>0</v>
      </c>
      <c r="AG284" s="3" t="n">
        <v>0</v>
      </c>
      <c r="AH284" s="3" t="n">
        <v>0.538</v>
      </c>
      <c r="AI284" s="3" t="n">
        <v>0.580932</v>
      </c>
      <c r="AJ284" s="3">
        <f>N(R284)*N(BC284)</f>
        <v/>
      </c>
      <c r="AK284" s="3" t="n">
        <v>0</v>
      </c>
      <c r="AL284" s="3" t="n">
        <v>0</v>
      </c>
      <c r="AM284" s="3" t="n">
        <v>-0</v>
      </c>
      <c r="AN284" s="3" t="n">
        <v>-0.2569668685375061</v>
      </c>
      <c r="AO284" s="3">
        <f>SUM(AH284:AN284)</f>
        <v/>
      </c>
      <c r="AP284" s="5">
        <f>IF(OR(N(Q284)&lt;=0,N(BA284)=0),0,N(Q284)*IF(N(M284)/N(Q284)&gt;=60,N(BA284),1))</f>
        <v/>
      </c>
      <c r="AQ284" s="5">
        <f>N(Q284)*N(Z284)*N(BB284)</f>
        <v/>
      </c>
      <c r="AR284" s="5">
        <f>N(AF284)*(Assumptions!$B$13*N(BD284)-(1-Assumptions!$B$13)*Assumptions!$B$14)+N(AG284)</f>
        <v/>
      </c>
      <c r="AS284" s="5">
        <f>N(AO284)*N(M284)/90+N(AP284)+N(AQ284)+N(AR284)</f>
        <v/>
      </c>
      <c r="AT284" s="3">
        <f>IF(N(M284)&lt;=0,0,(N(AS284)-N(AR284))*90/N(M284))</f>
        <v/>
      </c>
      <c r="AU284" s="5">
        <f>IFERROR(AS284-VLOOKUP($C284,Assumptions!$A$36:$C$39,3,FALSE),"")</f>
        <v/>
      </c>
      <c r="AV284" s="3">
        <f>IFERROR(AU284/F284,"")</f>
        <v/>
      </c>
      <c r="AW284">
        <f>IF(AND($E284=TRUE,$C284="GKP"),AS284,"")</f>
        <v/>
      </c>
      <c r="AX284">
        <f>IF(AND($E284=TRUE,$C284="DEF"),AS284,"")</f>
        <v/>
      </c>
      <c r="AY284">
        <f>IF(AND($E284=TRUE,$C284="MID"),AS284,"")</f>
        <v/>
      </c>
      <c r="AZ284">
        <f>IF(AND($E284=TRUE,$C284="FWD"),AS284,"")</f>
        <v/>
      </c>
      <c r="BA284" t="n">
        <v>2</v>
      </c>
      <c r="BB284" t="n">
        <v>2</v>
      </c>
      <c r="BC284" t="n">
        <v>1</v>
      </c>
      <c r="BD284" t="n">
        <v>5</v>
      </c>
    </row>
    <row r="285">
      <c r="A285" t="inlineStr">
        <is>
          <t>Manuel Ugarte</t>
        </is>
      </c>
      <c r="B285" t="inlineStr">
        <is>
          <t>MUN</t>
        </is>
      </c>
      <c r="C285" t="inlineStr">
        <is>
          <t>MID</t>
        </is>
      </c>
      <c r="D285" t="inlineStr">
        <is>
          <t>MID</t>
        </is>
      </c>
      <c r="E285" t="b">
        <v>1</v>
      </c>
      <c r="F285" s="2" t="n">
        <v>5</v>
      </c>
      <c r="G285" t="inlineStr">
        <is>
          <t>i</t>
        </is>
      </c>
      <c r="H285" t="inlineStr">
        <is>
          <t>Knee injury - Unknown return date</t>
        </is>
      </c>
      <c r="I285" s="2" t="n">
        <v>876</v>
      </c>
      <c r="J285" t="n">
        <v>38</v>
      </c>
      <c r="K285" s="3" t="n">
        <v>89</v>
      </c>
      <c r="L285" t="inlineStr">
        <is>
          <t>flat</t>
        </is>
      </c>
      <c r="M285" s="4" t="n">
        <v>89</v>
      </c>
      <c r="N285" t="inlineStr">
        <is>
          <t>Solio</t>
        </is>
      </c>
      <c r="O285" s="5" t="n">
        <v>80.40000000000001</v>
      </c>
      <c r="P285" t="b">
        <v>1</v>
      </c>
      <c r="Q285" s="5">
        <f>IF(N(O285)&lt;=0,0,MIN(Assumptions!$B$15,N(M285)/N(O285)))</f>
        <v/>
      </c>
      <c r="R285" s="4" t="n">
        <v>0.334</v>
      </c>
      <c r="S285" s="3" t="n">
        <v>0.0639</v>
      </c>
      <c r="T285" t="inlineStr">
        <is>
          <t>adjusted xGOT</t>
        </is>
      </c>
      <c r="U285" s="3" t="n">
        <v>1</v>
      </c>
      <c r="V285" s="3" t="n">
        <v>0.864</v>
      </c>
      <c r="W285" s="3" t="n">
        <v>1.7</v>
      </c>
      <c r="X285" s="3" t="n">
        <v>0.0148</v>
      </c>
      <c r="Y285" s="3" t="n">
        <v>11.877</v>
      </c>
      <c r="Z285" s="3" t="n">
        <v>0.3742990239016302</v>
      </c>
      <c r="AA285" s="3" t="n">
        <v>0</v>
      </c>
      <c r="AB285" s="3" t="n">
        <v>30</v>
      </c>
      <c r="AC285" s="3" t="n">
        <v>2.2165</v>
      </c>
      <c r="AD285" s="3" t="n">
        <v>1.1467</v>
      </c>
      <c r="AE285" s="3" t="n">
        <v>-0.3037698751433417</v>
      </c>
      <c r="AF285" s="4" t="n">
        <v>0</v>
      </c>
      <c r="AG285" s="3" t="n">
        <v>0</v>
      </c>
      <c r="AH285" s="3" t="n">
        <v>0.3195</v>
      </c>
      <c r="AI285" s="3" t="n">
        <v>0.05860800000000001</v>
      </c>
      <c r="AJ285" s="3">
        <f>N(R285)*N(BC285)</f>
        <v/>
      </c>
      <c r="AK285" s="3" t="n">
        <v>0</v>
      </c>
      <c r="AL285" s="3" t="n">
        <v>0</v>
      </c>
      <c r="AM285" s="3" t="n">
        <v>-0</v>
      </c>
      <c r="AN285" s="3" t="n">
        <v>-0.3037698751433417</v>
      </c>
      <c r="AO285" s="3">
        <f>SUM(AH285:AN285)</f>
        <v/>
      </c>
      <c r="AP285" s="5">
        <f>IF(OR(N(Q285)&lt;=0,N(BA285)=0),0,N(Q285)*IF(N(M285)/N(Q285)&gt;=60,N(BA285),1))</f>
        <v/>
      </c>
      <c r="AQ285" s="5">
        <f>N(Q285)*N(Z285)*N(BB285)</f>
        <v/>
      </c>
      <c r="AR285" s="5">
        <f>N(AF285)*(Assumptions!$B$13*N(BD285)-(1-Assumptions!$B$13)*Assumptions!$B$14)+N(AG285)</f>
        <v/>
      </c>
      <c r="AS285" s="5">
        <f>N(AO285)*N(M285)/90+N(AP285)+N(AQ285)+N(AR285)</f>
        <v/>
      </c>
      <c r="AT285" s="3">
        <f>IF(N(M285)&lt;=0,0,(N(AS285)-N(AR285))*90/N(M285))</f>
        <v/>
      </c>
      <c r="AU285" s="5">
        <f>IFERROR(AS285-VLOOKUP($C285,Assumptions!$A$36:$C$39,3,FALSE),"")</f>
        <v/>
      </c>
      <c r="AV285" s="3">
        <f>IFERROR(AU285/F285,"")</f>
        <v/>
      </c>
      <c r="AW285">
        <f>IF(AND($E285=TRUE,$C285="GKP"),AS285,"")</f>
        <v/>
      </c>
      <c r="AX285">
        <f>IF(AND($E285=TRUE,$C285="DEF"),AS285,"")</f>
        <v/>
      </c>
      <c r="AY285">
        <f>IF(AND($E285=TRUE,$C285="MID"),AS285,"")</f>
        <v/>
      </c>
      <c r="AZ285">
        <f>IF(AND($E285=TRUE,$C285="FWD"),AS285,"")</f>
        <v/>
      </c>
      <c r="BA285" t="n">
        <v>2</v>
      </c>
      <c r="BB285" t="n">
        <v>2</v>
      </c>
      <c r="BC285" t="n">
        <v>1</v>
      </c>
      <c r="BD285" t="n">
        <v>5</v>
      </c>
    </row>
    <row r="286">
      <c r="A286" t="inlineStr">
        <is>
          <t>Federico Chiesa</t>
        </is>
      </c>
      <c r="B286" t="inlineStr">
        <is>
          <t>LIV</t>
        </is>
      </c>
      <c r="C286" t="inlineStr">
        <is>
          <t>MID</t>
        </is>
      </c>
      <c r="D286" t="inlineStr">
        <is>
          <t>MID</t>
        </is>
      </c>
      <c r="E286" t="b">
        <v>1</v>
      </c>
      <c r="F286" s="2" t="n">
        <v>5.5</v>
      </c>
      <c r="G286" t="inlineStr">
        <is>
          <t>a</t>
        </is>
      </c>
      <c r="I286" s="2" t="n">
        <v>317</v>
      </c>
      <c r="J286" t="n">
        <v>37</v>
      </c>
      <c r="K286" s="3" t="n">
        <v>40</v>
      </c>
      <c r="L286" t="inlineStr">
        <is>
          <t>flat</t>
        </is>
      </c>
      <c r="M286" s="4" t="n">
        <v>40</v>
      </c>
      <c r="N286" t="inlineStr">
        <is>
          <t>Solio</t>
        </is>
      </c>
      <c r="O286" s="5" t="n">
        <v>60</v>
      </c>
      <c r="P286" t="b">
        <v>1</v>
      </c>
      <c r="Q286" s="5">
        <f>IF(N(O286)&lt;=0,0,MIN(Assumptions!$B$15,N(M286)/N(O286)))</f>
        <v/>
      </c>
      <c r="R286" s="4" t="n">
        <v>0.342</v>
      </c>
      <c r="S286" s="3" t="n">
        <v>0.429</v>
      </c>
      <c r="T286" t="inlineStr">
        <is>
          <t>adjusted xGOT</t>
        </is>
      </c>
      <c r="U286" s="3" t="n">
        <v>1</v>
      </c>
      <c r="V286" s="3" t="n">
        <v>1.042</v>
      </c>
      <c r="W286" s="3" t="n">
        <v>1.8</v>
      </c>
      <c r="X286" s="3" t="n">
        <v>0.2956</v>
      </c>
      <c r="Y286" s="3" t="n">
        <v>8.558999999999999</v>
      </c>
      <c r="Z286" s="3" t="n">
        <v>0.01424223006615588</v>
      </c>
      <c r="AA286" s="3" t="n">
        <v>0</v>
      </c>
      <c r="AB286" s="3" t="n">
        <v>27</v>
      </c>
      <c r="AC286" s="3" t="n">
        <v>2.409</v>
      </c>
      <c r="AD286" s="3" t="n">
        <v>1.1228</v>
      </c>
      <c r="AE286" s="3" t="n">
        <v>-0.3229622562080891</v>
      </c>
      <c r="AF286" s="4" t="n">
        <v>0</v>
      </c>
      <c r="AG286" s="3" t="n">
        <v>0</v>
      </c>
      <c r="AH286" s="3" t="n">
        <v>2.145</v>
      </c>
      <c r="AI286" s="3" t="n">
        <v>1.170576</v>
      </c>
      <c r="AJ286" s="3">
        <f>N(R286)*N(BC286)</f>
        <v/>
      </c>
      <c r="AK286" s="3" t="n">
        <v>0</v>
      </c>
      <c r="AL286" s="3" t="n">
        <v>0</v>
      </c>
      <c r="AM286" s="3" t="n">
        <v>-0</v>
      </c>
      <c r="AN286" s="3" t="n">
        <v>-0.3229622562080891</v>
      </c>
      <c r="AO286" s="3">
        <f>SUM(AH286:AN286)</f>
        <v/>
      </c>
      <c r="AP286" s="5">
        <f>IF(OR(N(Q286)&lt;=0,N(BA286)=0),0,N(Q286)*IF(N(M286)/N(Q286)&gt;=60,N(BA286),1))</f>
        <v/>
      </c>
      <c r="AQ286" s="5">
        <f>N(Q286)*N(Z286)*N(BB286)</f>
        <v/>
      </c>
      <c r="AR286" s="5">
        <f>N(AF286)*(Assumptions!$B$13*N(BD286)-(1-Assumptions!$B$13)*Assumptions!$B$14)+N(AG286)</f>
        <v/>
      </c>
      <c r="AS286" s="5">
        <f>N(AO286)*N(M286)/90+N(AP286)+N(AQ286)+N(AR286)</f>
        <v/>
      </c>
      <c r="AT286" s="3">
        <f>IF(N(M286)&lt;=0,0,(N(AS286)-N(AR286))*90/N(M286))</f>
        <v/>
      </c>
      <c r="AU286" s="5">
        <f>IFERROR(AS286-VLOOKUP($C286,Assumptions!$A$36:$C$39,3,FALSE),"")</f>
        <v/>
      </c>
      <c r="AV286" s="3">
        <f>IFERROR(AU286/F286,"")</f>
        <v/>
      </c>
      <c r="AW286">
        <f>IF(AND($E286=TRUE,$C286="GKP"),AS286,"")</f>
        <v/>
      </c>
      <c r="AX286">
        <f>IF(AND($E286=TRUE,$C286="DEF"),AS286,"")</f>
        <v/>
      </c>
      <c r="AY286">
        <f>IF(AND($E286=TRUE,$C286="MID"),AS286,"")</f>
        <v/>
      </c>
      <c r="AZ286">
        <f>IF(AND($E286=TRUE,$C286="FWD"),AS286,"")</f>
        <v/>
      </c>
      <c r="BA286" t="n">
        <v>2</v>
      </c>
      <c r="BB286" t="n">
        <v>2</v>
      </c>
      <c r="BC286" t="n">
        <v>1</v>
      </c>
      <c r="BD286" t="n">
        <v>5</v>
      </c>
    </row>
    <row r="287">
      <c r="A287" t="inlineStr">
        <is>
          <t>Aaron Hickey</t>
        </is>
      </c>
      <c r="B287" t="inlineStr">
        <is>
          <t>BRE</t>
        </is>
      </c>
      <c r="C287" t="inlineStr">
        <is>
          <t>DEF</t>
        </is>
      </c>
      <c r="D287" t="inlineStr">
        <is>
          <t>DEF</t>
        </is>
      </c>
      <c r="E287" t="b">
        <v>1</v>
      </c>
      <c r="F287" s="2" t="n">
        <v>4.5</v>
      </c>
      <c r="G287" t="inlineStr">
        <is>
          <t>a</t>
        </is>
      </c>
      <c r="I287" s="2" t="n">
        <v>679</v>
      </c>
      <c r="J287" t="n">
        <v>37</v>
      </c>
      <c r="K287" s="3" t="n">
        <v>166</v>
      </c>
      <c r="L287" t="inlineStr">
        <is>
          <t>flat</t>
        </is>
      </c>
      <c r="M287" s="4" t="n">
        <v>166</v>
      </c>
      <c r="N287" t="inlineStr">
        <is>
          <t>Solio</t>
        </is>
      </c>
      <c r="O287" s="5" t="n">
        <v>68.09999999999999</v>
      </c>
      <c r="P287" t="b">
        <v>1</v>
      </c>
      <c r="Q287" s="5">
        <f>IF(N(O287)&lt;=0,0,MIN(Assumptions!$B$15,N(M287)/N(O287)))</f>
        <v/>
      </c>
      <c r="R287" s="4" t="n">
        <v>0.228</v>
      </c>
      <c r="S287" s="3" t="n">
        <v>0.055</v>
      </c>
      <c r="T287" t="inlineStr">
        <is>
          <t>adjusted xGOT</t>
        </is>
      </c>
      <c r="U287" s="3" t="n">
        <v>1</v>
      </c>
      <c r="V287" s="3" t="n">
        <v>0.9419999999999999</v>
      </c>
      <c r="W287" s="3" t="n">
        <v>1</v>
      </c>
      <c r="X287" s="3" t="n">
        <v>0.0513</v>
      </c>
      <c r="Y287" s="3" t="n">
        <v>7.236</v>
      </c>
      <c r="Z287" s="3" t="n">
        <v>0.05250337389219972</v>
      </c>
      <c r="AA287" s="3" t="n">
        <v>0</v>
      </c>
      <c r="AB287" s="3" t="n">
        <v>28</v>
      </c>
      <c r="AC287" s="3" t="n">
        <v>3.2371</v>
      </c>
      <c r="AD287" s="3" t="n">
        <v>1.5396</v>
      </c>
      <c r="AE287" s="3" t="n">
        <v>-0.2433045203090201</v>
      </c>
      <c r="AF287" s="4" t="n">
        <v>0</v>
      </c>
      <c r="AG287" s="3" t="n">
        <v>0</v>
      </c>
      <c r="AH287" s="3" t="n">
        <v>0.33</v>
      </c>
      <c r="AI287" s="3" t="n">
        <v>0.203148</v>
      </c>
      <c r="AJ287" s="3">
        <f>N(R287)*N(BC287)</f>
        <v/>
      </c>
      <c r="AK287" s="3" t="n">
        <v>0</v>
      </c>
      <c r="AL287" s="3" t="n">
        <v>0</v>
      </c>
      <c r="AM287" s="3" t="n">
        <v>-0.5312990096912251</v>
      </c>
      <c r="AN287" s="3" t="n">
        <v>-0.2433045203090201</v>
      </c>
      <c r="AO287" s="3">
        <f>SUM(AH287:AN287)</f>
        <v/>
      </c>
      <c r="AP287" s="5">
        <f>IF(OR(N(Q287)&lt;=0,N(BA287)=0),0,N(Q287)*IF(N(M287)/N(Q287)&gt;=60,N(BA287),1))</f>
        <v/>
      </c>
      <c r="AQ287" s="5">
        <f>N(Q287)*N(Z287)*N(BB287)</f>
        <v/>
      </c>
      <c r="AR287" s="5">
        <f>N(AF287)*(Assumptions!$B$13*N(BD287)-(1-Assumptions!$B$13)*Assumptions!$B$14)+N(AG287)</f>
        <v/>
      </c>
      <c r="AS287" s="5">
        <f>N(AO287)*N(M287)/90+N(AP287)+N(AQ287)+N(AR287)</f>
        <v/>
      </c>
      <c r="AT287" s="3">
        <f>IF(N(M287)&lt;=0,0,(N(AS287)-N(AR287))*90/N(M287))</f>
        <v/>
      </c>
      <c r="AU287" s="5">
        <f>IFERROR(AS287-VLOOKUP($C287,Assumptions!$A$36:$C$39,3,FALSE),"")</f>
        <v/>
      </c>
      <c r="AV287" s="3">
        <f>IFERROR(AU287/F287,"")</f>
        <v/>
      </c>
      <c r="AW287">
        <f>IF(AND($E287=TRUE,$C287="GKP"),AS287,"")</f>
        <v/>
      </c>
      <c r="AX287">
        <f>IF(AND($E287=TRUE,$C287="DEF"),AS287,"")</f>
        <v/>
      </c>
      <c r="AY287">
        <f>IF(AND($E287=TRUE,$C287="MID"),AS287,"")</f>
        <v/>
      </c>
      <c r="AZ287">
        <f>IF(AND($E287=TRUE,$C287="FWD"),AS287,"")</f>
        <v/>
      </c>
      <c r="BA287" t="n">
        <v>2</v>
      </c>
      <c r="BB287" t="n">
        <v>2</v>
      </c>
      <c r="BC287" t="n">
        <v>4</v>
      </c>
      <c r="BD287" t="n">
        <v>6</v>
      </c>
    </row>
    <row r="288">
      <c r="A288" t="inlineStr">
        <is>
          <t>Chris Rigg</t>
        </is>
      </c>
      <c r="B288" t="inlineStr">
        <is>
          <t>SUN</t>
        </is>
      </c>
      <c r="C288" t="inlineStr">
        <is>
          <t>MID</t>
        </is>
      </c>
      <c r="D288" t="inlineStr">
        <is>
          <t>MID</t>
        </is>
      </c>
      <c r="E288" t="b">
        <v>1</v>
      </c>
      <c r="F288" s="2" t="n">
        <v>5</v>
      </c>
      <c r="G288" t="inlineStr">
        <is>
          <t>a</t>
        </is>
      </c>
      <c r="I288" s="2" t="n">
        <v>758</v>
      </c>
      <c r="J288" t="n">
        <v>36</v>
      </c>
      <c r="K288" s="3" t="n">
        <v>144</v>
      </c>
      <c r="L288" t="inlineStr">
        <is>
          <t>flat</t>
        </is>
      </c>
      <c r="M288" s="4" t="n">
        <v>144</v>
      </c>
      <c r="N288" t="inlineStr">
        <is>
          <t>Solio</t>
        </is>
      </c>
      <c r="O288" s="5" t="n">
        <v>65.3</v>
      </c>
      <c r="P288" t="b">
        <v>1</v>
      </c>
      <c r="Q288" s="5">
        <f>IF(N(O288)&lt;=0,0,MIN(Assumptions!$B$15,N(M288)/N(O288)))</f>
        <v/>
      </c>
      <c r="R288" s="4" t="n">
        <v>0.204</v>
      </c>
      <c r="S288" s="3" t="n">
        <v>0.1026</v>
      </c>
      <c r="T288" t="inlineStr">
        <is>
          <t>adjusted xGOT</t>
        </is>
      </c>
      <c r="U288" s="3" t="n">
        <v>1</v>
      </c>
      <c r="V288" s="3" t="n">
        <v>1.004</v>
      </c>
      <c r="W288" s="3" t="n">
        <v>0.9</v>
      </c>
      <c r="X288" s="3" t="n">
        <v>0.1258</v>
      </c>
      <c r="Y288" s="3" t="n">
        <v>7.649</v>
      </c>
      <c r="Z288" s="3" t="n">
        <v>0.01171593448831931</v>
      </c>
      <c r="AA288" s="3" t="n">
        <v>0</v>
      </c>
      <c r="AB288" s="3" t="n">
        <v>25</v>
      </c>
      <c r="AC288" s="3" t="n">
        <v>3.3348</v>
      </c>
      <c r="AD288" s="3" t="n">
        <v>1.6498</v>
      </c>
      <c r="AE288" s="3" t="n">
        <v>-0.1882218549323582</v>
      </c>
      <c r="AF288" s="4" t="n">
        <v>0</v>
      </c>
      <c r="AG288" s="3" t="n">
        <v>0</v>
      </c>
      <c r="AH288" s="3" t="n">
        <v>0.513</v>
      </c>
      <c r="AI288" s="3" t="n">
        <v>0.4981679999999999</v>
      </c>
      <c r="AJ288" s="3">
        <f>N(R288)*N(BC288)</f>
        <v/>
      </c>
      <c r="AK288" s="3" t="n">
        <v>0</v>
      </c>
      <c r="AL288" s="3" t="n">
        <v>0</v>
      </c>
      <c r="AM288" s="3" t="n">
        <v>-0</v>
      </c>
      <c r="AN288" s="3" t="n">
        <v>-0.1882218549323582</v>
      </c>
      <c r="AO288" s="3">
        <f>SUM(AH288:AN288)</f>
        <v/>
      </c>
      <c r="AP288" s="5">
        <f>IF(OR(N(Q288)&lt;=0,N(BA288)=0),0,N(Q288)*IF(N(M288)/N(Q288)&gt;=60,N(BA288),1))</f>
        <v/>
      </c>
      <c r="AQ288" s="5">
        <f>N(Q288)*N(Z288)*N(BB288)</f>
        <v/>
      </c>
      <c r="AR288" s="5">
        <f>N(AF288)*(Assumptions!$B$13*N(BD288)-(1-Assumptions!$B$13)*Assumptions!$B$14)+N(AG288)</f>
        <v/>
      </c>
      <c r="AS288" s="5">
        <f>N(AO288)*N(M288)/90+N(AP288)+N(AQ288)+N(AR288)</f>
        <v/>
      </c>
      <c r="AT288" s="3">
        <f>IF(N(M288)&lt;=0,0,(N(AS288)-N(AR288))*90/N(M288))</f>
        <v/>
      </c>
      <c r="AU288" s="5">
        <f>IFERROR(AS288-VLOOKUP($C288,Assumptions!$A$36:$C$39,3,FALSE),"")</f>
        <v/>
      </c>
      <c r="AV288" s="3">
        <f>IFERROR(AU288/F288,"")</f>
        <v/>
      </c>
      <c r="AW288">
        <f>IF(AND($E288=TRUE,$C288="GKP"),AS288,"")</f>
        <v/>
      </c>
      <c r="AX288">
        <f>IF(AND($E288=TRUE,$C288="DEF"),AS288,"")</f>
        <v/>
      </c>
      <c r="AY288">
        <f>IF(AND($E288=TRUE,$C288="MID"),AS288,"")</f>
        <v/>
      </c>
      <c r="AZ288">
        <f>IF(AND($E288=TRUE,$C288="FWD"),AS288,"")</f>
        <v/>
      </c>
      <c r="BA288" t="n">
        <v>2</v>
      </c>
      <c r="BB288" t="n">
        <v>2</v>
      </c>
      <c r="BC288" t="n">
        <v>1</v>
      </c>
      <c r="BD288" t="n">
        <v>5</v>
      </c>
    </row>
    <row r="289">
      <c r="A289" t="inlineStr">
        <is>
          <t>Rodrigo Muniz</t>
        </is>
      </c>
      <c r="B289" t="inlineStr">
        <is>
          <t>FUL</t>
        </is>
      </c>
      <c r="C289" t="inlineStr">
        <is>
          <t>FWD</t>
        </is>
      </c>
      <c r="D289" t="inlineStr">
        <is>
          <t>FWD</t>
        </is>
      </c>
      <c r="E289" t="b">
        <v>1</v>
      </c>
      <c r="F289" s="2" t="n">
        <v>5.5</v>
      </c>
      <c r="G289" t="inlineStr">
        <is>
          <t>a</t>
        </is>
      </c>
      <c r="I289" s="2" t="n">
        <v>987</v>
      </c>
      <c r="J289" t="n">
        <v>36</v>
      </c>
      <c r="K289" s="3" t="n">
        <v>540</v>
      </c>
      <c r="L289" t="inlineStr">
        <is>
          <t>flat</t>
        </is>
      </c>
      <c r="M289" s="4" t="n">
        <v>540</v>
      </c>
      <c r="N289" t="inlineStr">
        <is>
          <t>Solio</t>
        </is>
      </c>
      <c r="O289" s="5" t="n">
        <v>74.3</v>
      </c>
      <c r="P289" t="b">
        <v>1</v>
      </c>
      <c r="Q289" s="5">
        <f>IF(N(O289)&lt;=0,0,MIN(Assumptions!$B$15,N(M289)/N(O289)))</f>
        <v/>
      </c>
      <c r="R289" s="4" t="n">
        <v>0.214</v>
      </c>
      <c r="S289" s="3" t="n">
        <v>0.2989</v>
      </c>
      <c r="T289" t="inlineStr">
        <is>
          <t>adjusted xGOT</t>
        </is>
      </c>
      <c r="U289" s="3" t="n">
        <v>1</v>
      </c>
      <c r="V289" s="3" t="n">
        <v>0.994</v>
      </c>
      <c r="W289" s="3" t="n">
        <v>18</v>
      </c>
      <c r="X289" s="3" t="n">
        <v>0.0507</v>
      </c>
      <c r="Y289" s="3" t="n">
        <v>4.763</v>
      </c>
      <c r="Z289" s="3" t="n">
        <v>0.0007921179815478796</v>
      </c>
      <c r="AA289" s="3" t="n">
        <v>0.2736</v>
      </c>
      <c r="AB289" s="3" t="n">
        <v>30</v>
      </c>
      <c r="AC289" s="3" t="n">
        <v>3.22</v>
      </c>
      <c r="AD289" s="3" t="n">
        <v>1.6019</v>
      </c>
      <c r="AE289" s="3" t="n">
        <v>-0.1507546754351593</v>
      </c>
      <c r="AF289" s="4" t="n">
        <v>0</v>
      </c>
      <c r="AG289" s="3" t="n">
        <v>0</v>
      </c>
      <c r="AH289" s="3" t="n">
        <v>1.1956</v>
      </c>
      <c r="AI289" s="3" t="n">
        <v>0.200772</v>
      </c>
      <c r="AJ289" s="3">
        <f>N(R289)*N(BC289)</f>
        <v/>
      </c>
      <c r="AK289" s="3" t="n">
        <v>0.2736</v>
      </c>
      <c r="AL289" s="3" t="n">
        <v>0</v>
      </c>
      <c r="AM289" s="3" t="n">
        <v>-0</v>
      </c>
      <c r="AN289" s="3" t="n">
        <v>-0.1507546754351593</v>
      </c>
      <c r="AO289" s="3">
        <f>SUM(AH289:AN289)</f>
        <v/>
      </c>
      <c r="AP289" s="5">
        <f>IF(OR(N(Q289)&lt;=0,N(BA289)=0),0,N(Q289)*IF(N(M289)/N(Q289)&gt;=60,N(BA289),1))</f>
        <v/>
      </c>
      <c r="AQ289" s="5">
        <f>N(Q289)*N(Z289)*N(BB289)</f>
        <v/>
      </c>
      <c r="AR289" s="5">
        <f>N(AF289)*(Assumptions!$B$13*N(BD289)-(1-Assumptions!$B$13)*Assumptions!$B$14)+N(AG289)</f>
        <v/>
      </c>
      <c r="AS289" s="5">
        <f>N(AO289)*N(M289)/90+N(AP289)+N(AQ289)+N(AR289)</f>
        <v/>
      </c>
      <c r="AT289" s="3">
        <f>IF(N(M289)&lt;=0,0,(N(AS289)-N(AR289))*90/N(M289))</f>
        <v/>
      </c>
      <c r="AU289" s="5">
        <f>IFERROR(AS289-VLOOKUP($C289,Assumptions!$A$36:$C$39,3,FALSE),"")</f>
        <v/>
      </c>
      <c r="AV289" s="3">
        <f>IFERROR(AU289/F289,"")</f>
        <v/>
      </c>
      <c r="AW289">
        <f>IF(AND($E289=TRUE,$C289="GKP"),AS289,"")</f>
        <v/>
      </c>
      <c r="AX289">
        <f>IF(AND($E289=TRUE,$C289="DEF"),AS289,"")</f>
        <v/>
      </c>
      <c r="AY289">
        <f>IF(AND($E289=TRUE,$C289="MID"),AS289,"")</f>
        <v/>
      </c>
      <c r="AZ289">
        <f>IF(AND($E289=TRUE,$C289="FWD"),AS289,"")</f>
        <v/>
      </c>
      <c r="BA289" t="n">
        <v>2</v>
      </c>
      <c r="BB289" t="n">
        <v>2</v>
      </c>
      <c r="BC289" t="n">
        <v>0</v>
      </c>
      <c r="BD289" t="n">
        <v>4</v>
      </c>
    </row>
    <row r="290">
      <c r="A290" t="inlineStr">
        <is>
          <t>Kai Havertz</t>
        </is>
      </c>
      <c r="B290" t="inlineStr">
        <is>
          <t>ARS</t>
        </is>
      </c>
      <c r="C290" t="inlineStr">
        <is>
          <t>FWD</t>
        </is>
      </c>
      <c r="D290" t="inlineStr">
        <is>
          <t>FWD</t>
        </is>
      </c>
      <c r="E290" t="b">
        <v>1</v>
      </c>
      <c r="F290" s="2" t="n">
        <v>7.5</v>
      </c>
      <c r="G290" t="inlineStr">
        <is>
          <t>a</t>
        </is>
      </c>
      <c r="I290" s="2" t="n">
        <v>577</v>
      </c>
      <c r="J290" t="n">
        <v>36</v>
      </c>
      <c r="K290" s="3" t="n">
        <v>2394</v>
      </c>
      <c r="L290" t="inlineStr">
        <is>
          <t>flat</t>
        </is>
      </c>
      <c r="M290" s="4" t="n">
        <v>2394</v>
      </c>
      <c r="N290" t="inlineStr">
        <is>
          <t>Solio</t>
        </is>
      </c>
      <c r="O290" s="5" t="n">
        <v>62</v>
      </c>
      <c r="P290" t="b">
        <v>1</v>
      </c>
      <c r="Q290" s="5">
        <f>IF(N(O290)&lt;=0,0,MIN(Assumptions!$B$15,N(M290)/N(O290)))</f>
        <v/>
      </c>
      <c r="R290" s="4" t="n">
        <v>0.391</v>
      </c>
      <c r="S290" s="3" t="n">
        <v>0.475</v>
      </c>
      <c r="T290" t="inlineStr">
        <is>
          <t>adjusted xGOT</t>
        </is>
      </c>
      <c r="U290" s="3" t="n">
        <v>1</v>
      </c>
      <c r="V290" s="3" t="n">
        <v>0.92</v>
      </c>
      <c r="W290" s="3" t="n">
        <v>36.8</v>
      </c>
      <c r="X290" s="3" t="n">
        <v>0.1635</v>
      </c>
      <c r="Y290" s="3" t="n">
        <v>4.881</v>
      </c>
      <c r="Z290" s="3" t="n">
        <v>0.0002022195045595643</v>
      </c>
      <c r="AA290" s="3" t="n">
        <v>0.4679</v>
      </c>
      <c r="AB290" s="3" t="n">
        <v>17</v>
      </c>
      <c r="AC290" s="3" t="n">
        <v>2.067</v>
      </c>
      <c r="AD290" s="3" t="n">
        <v>0.9838</v>
      </c>
      <c r="AE290" s="3" t="n">
        <v>-0.2480408426132738</v>
      </c>
      <c r="AF290" s="4" t="n">
        <v>0</v>
      </c>
      <c r="AG290" s="3" t="n">
        <v>0</v>
      </c>
      <c r="AH290" s="3" t="n">
        <v>1.9</v>
      </c>
      <c r="AI290" s="3" t="n">
        <v>0.6474600000000001</v>
      </c>
      <c r="AJ290" s="3">
        <f>N(R290)*N(BC290)</f>
        <v/>
      </c>
      <c r="AK290" s="3" t="n">
        <v>0.4679</v>
      </c>
      <c r="AL290" s="3" t="n">
        <v>0</v>
      </c>
      <c r="AM290" s="3" t="n">
        <v>-0</v>
      </c>
      <c r="AN290" s="3" t="n">
        <v>-0.2480408426132738</v>
      </c>
      <c r="AO290" s="3">
        <f>SUM(AH290:AN290)</f>
        <v/>
      </c>
      <c r="AP290" s="5">
        <f>IF(OR(N(Q290)&lt;=0,N(BA290)=0),0,N(Q290)*IF(N(M290)/N(Q290)&gt;=60,N(BA290),1))</f>
        <v/>
      </c>
      <c r="AQ290" s="5">
        <f>N(Q290)*N(Z290)*N(BB290)</f>
        <v/>
      </c>
      <c r="AR290" s="5">
        <f>N(AF290)*(Assumptions!$B$13*N(BD290)-(1-Assumptions!$B$13)*Assumptions!$B$14)+N(AG290)</f>
        <v/>
      </c>
      <c r="AS290" s="5">
        <f>N(AO290)*N(M290)/90+N(AP290)+N(AQ290)+N(AR290)</f>
        <v/>
      </c>
      <c r="AT290" s="3">
        <f>IF(N(M290)&lt;=0,0,(N(AS290)-N(AR290))*90/N(M290))</f>
        <v/>
      </c>
      <c r="AU290" s="5">
        <f>IFERROR(AS290-VLOOKUP($C290,Assumptions!$A$36:$C$39,3,FALSE),"")</f>
        <v/>
      </c>
      <c r="AV290" s="3">
        <f>IFERROR(AU290/F290,"")</f>
        <v/>
      </c>
      <c r="AW290">
        <f>IF(AND($E290=TRUE,$C290="GKP"),AS290,"")</f>
        <v/>
      </c>
      <c r="AX290">
        <f>IF(AND($E290=TRUE,$C290="DEF"),AS290,"")</f>
        <v/>
      </c>
      <c r="AY290">
        <f>IF(AND($E290=TRUE,$C290="MID"),AS290,"")</f>
        <v/>
      </c>
      <c r="AZ290">
        <f>IF(AND($E290=TRUE,$C290="FWD"),AS290,"")</f>
        <v/>
      </c>
      <c r="BA290" t="n">
        <v>2</v>
      </c>
      <c r="BB290" t="n">
        <v>2</v>
      </c>
      <c r="BC290" t="n">
        <v>0</v>
      </c>
      <c r="BD290" t="n">
        <v>4</v>
      </c>
    </row>
    <row r="291">
      <c r="A291" t="inlineStr">
        <is>
          <t>Justin Devenny</t>
        </is>
      </c>
      <c r="B291" t="inlineStr">
        <is>
          <t>CRY</t>
        </is>
      </c>
      <c r="C291" t="inlineStr">
        <is>
          <t>MID</t>
        </is>
      </c>
      <c r="D291" t="inlineStr">
        <is>
          <t>MID</t>
        </is>
      </c>
      <c r="E291" t="b">
        <v>1</v>
      </c>
      <c r="F291" s="2" t="n">
        <v>5</v>
      </c>
      <c r="G291" t="inlineStr">
        <is>
          <t>a</t>
        </is>
      </c>
      <c r="I291" s="2" t="n">
        <v>785</v>
      </c>
      <c r="J291" t="n">
        <v>36</v>
      </c>
      <c r="K291" s="3" t="n">
        <v>64</v>
      </c>
      <c r="L291" t="inlineStr">
        <is>
          <t>flat</t>
        </is>
      </c>
      <c r="M291" s="4" t="n">
        <v>64</v>
      </c>
      <c r="N291" t="inlineStr">
        <is>
          <t>Solio</t>
        </is>
      </c>
      <c r="O291" s="5" t="n">
        <v>84.09999999999999</v>
      </c>
      <c r="P291" t="b">
        <v>1</v>
      </c>
      <c r="Q291" s="5">
        <f>IF(N(O291)&lt;=0,0,MIN(Assumptions!$B$15,N(M291)/N(O291)))</f>
        <v/>
      </c>
      <c r="R291" s="4" t="n">
        <v>0.216</v>
      </c>
      <c r="S291" s="3" t="n">
        <v>0.1601</v>
      </c>
      <c r="T291" t="inlineStr">
        <is>
          <t>adjusted xGOT</t>
        </is>
      </c>
      <c r="U291" s="3" t="n">
        <v>0.661</v>
      </c>
      <c r="V291" s="3" t="n">
        <v>0.888</v>
      </c>
      <c r="W291" s="3" t="n">
        <v>3.2</v>
      </c>
      <c r="X291" s="3" t="n">
        <v>0.0414</v>
      </c>
      <c r="Y291" s="3" t="n">
        <v>8.409000000000001</v>
      </c>
      <c r="Z291" s="3" t="n">
        <v>0.1019293453101077</v>
      </c>
      <c r="AA291" s="3" t="n">
        <v>0</v>
      </c>
      <c r="AB291" s="3" t="n">
        <v>28</v>
      </c>
      <c r="AC291" s="3" t="n">
        <v>3.2035</v>
      </c>
      <c r="AD291" s="3" t="n">
        <v>1.5923</v>
      </c>
      <c r="AE291" s="3" t="n">
        <v>-0.1519359504067924</v>
      </c>
      <c r="AF291" s="4" t="n">
        <v>0.0019378760237209</v>
      </c>
      <c r="AG291" s="3" t="n">
        <v>0</v>
      </c>
      <c r="AH291" s="3" t="n">
        <v>0.8005</v>
      </c>
      <c r="AI291" s="3" t="n">
        <v>0.163944</v>
      </c>
      <c r="AJ291" s="3">
        <f>N(R291)*N(BC291)</f>
        <v/>
      </c>
      <c r="AK291" s="3" t="n">
        <v>0</v>
      </c>
      <c r="AL291" s="3" t="n">
        <v>0</v>
      </c>
      <c r="AM291" s="3" t="n">
        <v>-0</v>
      </c>
      <c r="AN291" s="3" t="n">
        <v>-0.1519359504067924</v>
      </c>
      <c r="AO291" s="3">
        <f>SUM(AH291:AN291)</f>
        <v/>
      </c>
      <c r="AP291" s="5">
        <f>IF(OR(N(Q291)&lt;=0,N(BA291)=0),0,N(Q291)*IF(N(M291)/N(Q291)&gt;=60,N(BA291),1))</f>
        <v/>
      </c>
      <c r="AQ291" s="5">
        <f>N(Q291)*N(Z291)*N(BB291)</f>
        <v/>
      </c>
      <c r="AR291" s="5">
        <f>N(AF291)*(Assumptions!$B$13*N(BD291)-(1-Assumptions!$B$13)*Assumptions!$B$14)+N(AG291)</f>
        <v/>
      </c>
      <c r="AS291" s="5">
        <f>N(AO291)*N(M291)/90+N(AP291)+N(AQ291)+N(AR291)</f>
        <v/>
      </c>
      <c r="AT291" s="3">
        <f>IF(N(M291)&lt;=0,0,(N(AS291)-N(AR291))*90/N(M291))</f>
        <v/>
      </c>
      <c r="AU291" s="5">
        <f>IFERROR(AS291-VLOOKUP($C291,Assumptions!$A$36:$C$39,3,FALSE),"")</f>
        <v/>
      </c>
      <c r="AV291" s="3">
        <f>IFERROR(AU291/F291,"")</f>
        <v/>
      </c>
      <c r="AW291">
        <f>IF(AND($E291=TRUE,$C291="GKP"),AS291,"")</f>
        <v/>
      </c>
      <c r="AX291">
        <f>IF(AND($E291=TRUE,$C291="DEF"),AS291,"")</f>
        <v/>
      </c>
      <c r="AY291">
        <f>IF(AND($E291=TRUE,$C291="MID"),AS291,"")</f>
        <v/>
      </c>
      <c r="AZ291">
        <f>IF(AND($E291=TRUE,$C291="FWD"),AS291,"")</f>
        <v/>
      </c>
      <c r="BA291" t="n">
        <v>2</v>
      </c>
      <c r="BB291" t="n">
        <v>2</v>
      </c>
      <c r="BC291" t="n">
        <v>1</v>
      </c>
      <c r="BD291" t="n">
        <v>5</v>
      </c>
    </row>
    <row r="292">
      <c r="A292" t="inlineStr">
        <is>
          <t>Merlin Röhl</t>
        </is>
      </c>
      <c r="B292" t="inlineStr">
        <is>
          <t>EVE</t>
        </is>
      </c>
      <c r="C292" t="inlineStr">
        <is>
          <t>MID</t>
        </is>
      </c>
      <c r="D292" t="inlineStr">
        <is>
          <t>MID</t>
        </is>
      </c>
      <c r="E292" t="b">
        <v>1</v>
      </c>
      <c r="F292" s="2" t="n">
        <v>5</v>
      </c>
      <c r="G292" t="inlineStr">
        <is>
          <t>a</t>
        </is>
      </c>
      <c r="I292" s="2" t="n">
        <v>675</v>
      </c>
      <c r="J292" t="n">
        <v>36</v>
      </c>
      <c r="K292" s="3" t="n">
        <v>727</v>
      </c>
      <c r="L292" t="inlineStr">
        <is>
          <t>fade (losing his place)</t>
        </is>
      </c>
      <c r="M292" s="4" t="n">
        <v>727</v>
      </c>
      <c r="N292" t="inlineStr">
        <is>
          <t>Solio</t>
        </is>
      </c>
      <c r="O292" s="5" t="n">
        <v>82.8</v>
      </c>
      <c r="P292" t="b">
        <v>1</v>
      </c>
      <c r="Q292" s="5">
        <f>IF(N(O292)&lt;=0,0,MIN(Assumptions!$B$15,N(M292)/N(O292)))</f>
        <v/>
      </c>
      <c r="R292" s="4" t="n">
        <v>0.231</v>
      </c>
      <c r="S292" s="3" t="n">
        <v>0.08550000000000001</v>
      </c>
      <c r="T292" t="inlineStr">
        <is>
          <t>adjusted xGOT</t>
        </is>
      </c>
      <c r="U292" s="3" t="n">
        <v>1</v>
      </c>
      <c r="V292" s="3" t="n">
        <v>0.957</v>
      </c>
      <c r="W292" s="3" t="n">
        <v>0.7</v>
      </c>
      <c r="X292" s="3" t="n">
        <v>0.0474</v>
      </c>
      <c r="Y292" s="3" t="n">
        <v>8.814</v>
      </c>
      <c r="Z292" s="3" t="n">
        <v>0.1199440075377146</v>
      </c>
      <c r="AA292" s="3" t="n">
        <v>0.2667</v>
      </c>
      <c r="AB292" s="3" t="n">
        <v>22</v>
      </c>
      <c r="AC292" s="3" t="n">
        <v>3.0311</v>
      </c>
      <c r="AD292" s="3" t="n">
        <v>1.5252</v>
      </c>
      <c r="AE292" s="3" t="n">
        <v>-0.1524023429982439</v>
      </c>
      <c r="AF292" s="4" t="n">
        <v>0</v>
      </c>
      <c r="AG292" s="3" t="n">
        <v>0</v>
      </c>
      <c r="AH292" s="3" t="n">
        <v>0.4275</v>
      </c>
      <c r="AI292" s="3" t="n">
        <v>0.187704</v>
      </c>
      <c r="AJ292" s="3">
        <f>N(R292)*N(BC292)</f>
        <v/>
      </c>
      <c r="AK292" s="3" t="n">
        <v>0.2667</v>
      </c>
      <c r="AL292" s="3" t="n">
        <v>0</v>
      </c>
      <c r="AM292" s="3" t="n">
        <v>-0</v>
      </c>
      <c r="AN292" s="3" t="n">
        <v>-0.1524023429982439</v>
      </c>
      <c r="AO292" s="3">
        <f>SUM(AH292:AN292)</f>
        <v/>
      </c>
      <c r="AP292" s="5">
        <f>IF(OR(N(Q292)&lt;=0,N(BA292)=0),0,N(Q292)*IF(N(M292)/N(Q292)&gt;=60,N(BA292),1))</f>
        <v/>
      </c>
      <c r="AQ292" s="5">
        <f>N(Q292)*N(Z292)*N(BB292)</f>
        <v/>
      </c>
      <c r="AR292" s="5">
        <f>N(AF292)*(Assumptions!$B$13*N(BD292)-(1-Assumptions!$B$13)*Assumptions!$B$14)+N(AG292)</f>
        <v/>
      </c>
      <c r="AS292" s="5">
        <f>N(AO292)*N(M292)/90+N(AP292)+N(AQ292)+N(AR292)</f>
        <v/>
      </c>
      <c r="AT292" s="3">
        <f>IF(N(M292)&lt;=0,0,(N(AS292)-N(AR292))*90/N(M292))</f>
        <v/>
      </c>
      <c r="AU292" s="5">
        <f>IFERROR(AS292-VLOOKUP($C292,Assumptions!$A$36:$C$39,3,FALSE),"")</f>
        <v/>
      </c>
      <c r="AV292" s="3">
        <f>IFERROR(AU292/F292,"")</f>
        <v/>
      </c>
      <c r="AW292">
        <f>IF(AND($E292=TRUE,$C292="GKP"),AS292,"")</f>
        <v/>
      </c>
      <c r="AX292">
        <f>IF(AND($E292=TRUE,$C292="DEF"),AS292,"")</f>
        <v/>
      </c>
      <c r="AY292">
        <f>IF(AND($E292=TRUE,$C292="MID"),AS292,"")</f>
        <v/>
      </c>
      <c r="AZ292">
        <f>IF(AND($E292=TRUE,$C292="FWD"),AS292,"")</f>
        <v/>
      </c>
      <c r="BA292" t="n">
        <v>2</v>
      </c>
      <c r="BB292" t="n">
        <v>2</v>
      </c>
      <c r="BC292" t="n">
        <v>1</v>
      </c>
      <c r="BD292" t="n">
        <v>5</v>
      </c>
    </row>
    <row r="293">
      <c r="A293" t="inlineStr">
        <is>
          <t>Charalampos Kostoulas</t>
        </is>
      </c>
      <c r="B293" t="inlineStr">
        <is>
          <t>BHA</t>
        </is>
      </c>
      <c r="C293" t="inlineStr">
        <is>
          <t>FWD</t>
        </is>
      </c>
      <c r="D293" t="inlineStr">
        <is>
          <t>FWD</t>
        </is>
      </c>
      <c r="E293" t="b">
        <v>1</v>
      </c>
      <c r="F293" s="2" t="n">
        <v>5.5</v>
      </c>
      <c r="G293" t="inlineStr">
        <is>
          <t>a</t>
        </is>
      </c>
      <c r="I293" s="2" t="n">
        <v>351</v>
      </c>
      <c r="J293" t="n">
        <v>35</v>
      </c>
      <c r="K293" s="3" t="n">
        <v>821</v>
      </c>
      <c r="L293" t="inlineStr">
        <is>
          <t>fade (losing his place)</t>
        </is>
      </c>
      <c r="M293" s="4" t="n">
        <v>821</v>
      </c>
      <c r="N293" t="inlineStr">
        <is>
          <t>Solio</t>
        </is>
      </c>
      <c r="O293" s="5" t="n">
        <v>75.5</v>
      </c>
      <c r="P293" t="b">
        <v>1</v>
      </c>
      <c r="Q293" s="5">
        <f>IF(N(O293)&lt;=0,0,MIN(Assumptions!$B$15,N(M293)/N(O293)))</f>
        <v/>
      </c>
      <c r="R293" s="4" t="n">
        <v>0.252</v>
      </c>
      <c r="S293" s="3" t="n">
        <v>0.5479000000000001</v>
      </c>
      <c r="T293" t="inlineStr">
        <is>
          <t>adjusted xGOT</t>
        </is>
      </c>
      <c r="U293" s="3" t="n">
        <v>1</v>
      </c>
      <c r="V293" s="3" t="n">
        <v>1.008</v>
      </c>
      <c r="W293" s="3" t="n">
        <v>2.1</v>
      </c>
      <c r="X293" s="3" t="n">
        <v>0.2333</v>
      </c>
      <c r="Y293" s="3" t="n">
        <v>6.668</v>
      </c>
      <c r="Z293" s="3" t="n">
        <v>0.01238862711736777</v>
      </c>
      <c r="AA293" s="3" t="n">
        <v>0.7692</v>
      </c>
      <c r="AB293" s="3" t="n">
        <v>23</v>
      </c>
      <c r="AC293" s="3" t="n">
        <v>2.8404</v>
      </c>
      <c r="AD293" s="3" t="n">
        <v>1.439</v>
      </c>
      <c r="AE293" s="3" t="n">
        <v>-0.2432363271122691</v>
      </c>
      <c r="AF293" s="4" t="n">
        <v>0</v>
      </c>
      <c r="AG293" s="3" t="n">
        <v>0</v>
      </c>
      <c r="AH293" s="3" t="n">
        <v>2.1916</v>
      </c>
      <c r="AI293" s="3" t="n">
        <v>0.923868</v>
      </c>
      <c r="AJ293" s="3">
        <f>N(R293)*N(BC293)</f>
        <v/>
      </c>
      <c r="AK293" s="3" t="n">
        <v>0.7692</v>
      </c>
      <c r="AL293" s="3" t="n">
        <v>0</v>
      </c>
      <c r="AM293" s="3" t="n">
        <v>-0</v>
      </c>
      <c r="AN293" s="3" t="n">
        <v>-0.2432363271122691</v>
      </c>
      <c r="AO293" s="3">
        <f>SUM(AH293:AN293)</f>
        <v/>
      </c>
      <c r="AP293" s="5">
        <f>IF(OR(N(Q293)&lt;=0,N(BA293)=0),0,N(Q293)*IF(N(M293)/N(Q293)&gt;=60,N(BA293),1))</f>
        <v/>
      </c>
      <c r="AQ293" s="5">
        <f>N(Q293)*N(Z293)*N(BB293)</f>
        <v/>
      </c>
      <c r="AR293" s="5">
        <f>N(AF293)*(Assumptions!$B$13*N(BD293)-(1-Assumptions!$B$13)*Assumptions!$B$14)+N(AG293)</f>
        <v/>
      </c>
      <c r="AS293" s="5">
        <f>N(AO293)*N(M293)/90+N(AP293)+N(AQ293)+N(AR293)</f>
        <v/>
      </c>
      <c r="AT293" s="3">
        <f>IF(N(M293)&lt;=0,0,(N(AS293)-N(AR293))*90/N(M293))</f>
        <v/>
      </c>
      <c r="AU293" s="5">
        <f>IFERROR(AS293-VLOOKUP($C293,Assumptions!$A$36:$C$39,3,FALSE),"")</f>
        <v/>
      </c>
      <c r="AV293" s="3">
        <f>IFERROR(AU293/F293,"")</f>
        <v/>
      </c>
      <c r="AW293">
        <f>IF(AND($E293=TRUE,$C293="GKP"),AS293,"")</f>
        <v/>
      </c>
      <c r="AX293">
        <f>IF(AND($E293=TRUE,$C293="DEF"),AS293,"")</f>
        <v/>
      </c>
      <c r="AY293">
        <f>IF(AND($E293=TRUE,$C293="MID"),AS293,"")</f>
        <v/>
      </c>
      <c r="AZ293">
        <f>IF(AND($E293=TRUE,$C293="FWD"),AS293,"")</f>
        <v/>
      </c>
      <c r="BA293" t="n">
        <v>2</v>
      </c>
      <c r="BB293" t="n">
        <v>2</v>
      </c>
      <c r="BC293" t="n">
        <v>0</v>
      </c>
      <c r="BD293" t="n">
        <v>4</v>
      </c>
    </row>
    <row r="294">
      <c r="A294" t="inlineStr">
        <is>
          <t>Tosin Adarabioyo</t>
        </is>
      </c>
      <c r="B294" t="inlineStr">
        <is>
          <t>CHE</t>
        </is>
      </c>
      <c r="C294" t="inlineStr">
        <is>
          <t>DEF</t>
        </is>
      </c>
      <c r="D294" t="inlineStr">
        <is>
          <t>DEF</t>
        </is>
      </c>
      <c r="E294" t="b">
        <v>1</v>
      </c>
      <c r="F294" s="2" t="n">
        <v>4.5</v>
      </c>
      <c r="G294" t="inlineStr">
        <is>
          <t>a</t>
        </is>
      </c>
      <c r="I294" s="2" t="n">
        <v>788</v>
      </c>
      <c r="J294" t="n">
        <v>34</v>
      </c>
      <c r="K294" s="3" t="n">
        <v>261</v>
      </c>
      <c r="L294" t="inlineStr">
        <is>
          <t>flat</t>
        </is>
      </c>
      <c r="M294" s="4" t="n">
        <v>261</v>
      </c>
      <c r="N294" t="inlineStr">
        <is>
          <t>Solio</t>
        </is>
      </c>
      <c r="O294" s="5" t="n">
        <v>80.2</v>
      </c>
      <c r="P294" t="b">
        <v>1</v>
      </c>
      <c r="Q294" s="5">
        <f>IF(N(O294)&lt;=0,0,MIN(Assumptions!$B$15,N(M294)/N(O294)))</f>
        <v/>
      </c>
      <c r="R294" s="4" t="n">
        <v>0.322</v>
      </c>
      <c r="S294" s="3" t="n">
        <v>0.0126</v>
      </c>
      <c r="T294" t="inlineStr">
        <is>
          <t>adjusted xGOT</t>
        </is>
      </c>
      <c r="U294" s="3" t="n">
        <v>1</v>
      </c>
      <c r="V294" s="3" t="n">
        <v>0.997</v>
      </c>
      <c r="W294" s="3" t="n">
        <v>2.5</v>
      </c>
      <c r="X294" s="3" t="n">
        <v>0.0466</v>
      </c>
      <c r="Y294" s="3" t="n">
        <v>9.458</v>
      </c>
      <c r="Z294" s="3" t="n">
        <v>0.3377132449041775</v>
      </c>
      <c r="AA294" s="3" t="n">
        <v>0.2284</v>
      </c>
      <c r="AB294" s="3" t="n">
        <v>23</v>
      </c>
      <c r="AC294" s="3" t="n">
        <v>2.4232</v>
      </c>
      <c r="AD294" s="3" t="n">
        <v>1.1851</v>
      </c>
      <c r="AE294" s="3" t="n">
        <v>-0.2181706796945746</v>
      </c>
      <c r="AF294" s="4" t="n">
        <v>0</v>
      </c>
      <c r="AG294" s="3" t="n">
        <v>0</v>
      </c>
      <c r="AH294" s="3" t="n">
        <v>0.0756</v>
      </c>
      <c r="AI294" s="3" t="n">
        <v>0.184536</v>
      </c>
      <c r="AJ294" s="3">
        <f>N(R294)*N(BC294)</f>
        <v/>
      </c>
      <c r="AK294" s="3" t="n">
        <v>0.2284</v>
      </c>
      <c r="AL294" s="3" t="n">
        <v>0</v>
      </c>
      <c r="AM294" s="3" t="n">
        <v>-0.365915508000572</v>
      </c>
      <c r="AN294" s="3" t="n">
        <v>-0.2181706796945746</v>
      </c>
      <c r="AO294" s="3">
        <f>SUM(AH294:AN294)</f>
        <v/>
      </c>
      <c r="AP294" s="5">
        <f>IF(OR(N(Q294)&lt;=0,N(BA294)=0),0,N(Q294)*IF(N(M294)/N(Q294)&gt;=60,N(BA294),1))</f>
        <v/>
      </c>
      <c r="AQ294" s="5">
        <f>N(Q294)*N(Z294)*N(BB294)</f>
        <v/>
      </c>
      <c r="AR294" s="5">
        <f>N(AF294)*(Assumptions!$B$13*N(BD294)-(1-Assumptions!$B$13)*Assumptions!$B$14)+N(AG294)</f>
        <v/>
      </c>
      <c r="AS294" s="5">
        <f>N(AO294)*N(M294)/90+N(AP294)+N(AQ294)+N(AR294)</f>
        <v/>
      </c>
      <c r="AT294" s="3">
        <f>IF(N(M294)&lt;=0,0,(N(AS294)-N(AR294))*90/N(M294))</f>
        <v/>
      </c>
      <c r="AU294" s="5">
        <f>IFERROR(AS294-VLOOKUP($C294,Assumptions!$A$36:$C$39,3,FALSE),"")</f>
        <v/>
      </c>
      <c r="AV294" s="3">
        <f>IFERROR(AU294/F294,"")</f>
        <v/>
      </c>
      <c r="AW294">
        <f>IF(AND($E294=TRUE,$C294="GKP"),AS294,"")</f>
        <v/>
      </c>
      <c r="AX294">
        <f>IF(AND($E294=TRUE,$C294="DEF"),AS294,"")</f>
        <v/>
      </c>
      <c r="AY294">
        <f>IF(AND($E294=TRUE,$C294="MID"),AS294,"")</f>
        <v/>
      </c>
      <c r="AZ294">
        <f>IF(AND($E294=TRUE,$C294="FWD"),AS294,"")</f>
        <v/>
      </c>
      <c r="BA294" t="n">
        <v>2</v>
      </c>
      <c r="BB294" t="n">
        <v>2</v>
      </c>
      <c r="BC294" t="n">
        <v>4</v>
      </c>
      <c r="BD294" t="n">
        <v>6</v>
      </c>
    </row>
    <row r="295">
      <c r="A295" t="inlineStr">
        <is>
          <t>Giorgi Mamardashvili</t>
        </is>
      </c>
      <c r="B295" t="inlineStr">
        <is>
          <t>LIV</t>
        </is>
      </c>
      <c r="C295" t="inlineStr">
        <is>
          <t>GKP</t>
        </is>
      </c>
      <c r="D295" t="inlineStr">
        <is>
          <t>GKP</t>
        </is>
      </c>
      <c r="E295" t="b">
        <v>1</v>
      </c>
      <c r="F295" s="2" t="n">
        <v>5</v>
      </c>
      <c r="G295" t="inlineStr">
        <is>
          <t>a</t>
        </is>
      </c>
      <c r="I295" s="2" t="n">
        <v>867</v>
      </c>
      <c r="J295" t="n">
        <v>34</v>
      </c>
      <c r="K295" s="3" t="n">
        <v>35</v>
      </c>
      <c r="L295" t="inlineStr">
        <is>
          <t>flat</t>
        </is>
      </c>
      <c r="M295" s="4" t="n">
        <v>35</v>
      </c>
      <c r="N295" t="inlineStr">
        <is>
          <t>Solio</t>
        </is>
      </c>
      <c r="O295" s="5" t="n">
        <v>86.7</v>
      </c>
      <c r="P295" t="b">
        <v>1</v>
      </c>
      <c r="Q295" s="5">
        <f>IF(N(O295)&lt;=0,0,MIN(Assumptions!$B$15,N(M295)/N(O295)))</f>
        <v/>
      </c>
      <c r="R295" s="4" t="n">
        <v>0.342</v>
      </c>
      <c r="S295" s="3" t="n">
        <v>0</v>
      </c>
      <c r="T295" t="inlineStr">
        <is>
          <t>blended xG</t>
        </is>
      </c>
      <c r="U295" s="3" t="n">
        <v>1</v>
      </c>
      <c r="V295" s="3" t="n">
        <v>1</v>
      </c>
      <c r="W295" s="3" t="n">
        <v>0</v>
      </c>
      <c r="X295" s="3" t="n">
        <v>0</v>
      </c>
      <c r="Y295" s="3" t="n">
        <v>0</v>
      </c>
      <c r="Z295" s="3" t="n">
        <v>0</v>
      </c>
      <c r="AA295" s="3" t="n">
        <v>0.2076</v>
      </c>
      <c r="AB295" s="3" t="n">
        <v>19</v>
      </c>
      <c r="AC295" s="3" t="n">
        <v>2.409</v>
      </c>
      <c r="AD295" s="3" t="n">
        <v>1.1228</v>
      </c>
      <c r="AE295" s="3" t="n">
        <v>-0.0487516886583745</v>
      </c>
      <c r="AF295" s="4" t="n">
        <v>0</v>
      </c>
      <c r="AG295" s="3" t="n">
        <v>0.0245300950350432</v>
      </c>
      <c r="AH295" s="3" t="n">
        <v>0</v>
      </c>
      <c r="AI295" s="3" t="n">
        <v>0</v>
      </c>
      <c r="AJ295" s="3">
        <f>N(R295)*N(BC295)</f>
        <v/>
      </c>
      <c r="AK295" s="3" t="n">
        <v>0.2076</v>
      </c>
      <c r="AL295" s="3" t="n">
        <v>0.4697511244203511</v>
      </c>
      <c r="AM295" s="3" t="n">
        <v>-0.3378660007281162</v>
      </c>
      <c r="AN295" s="3" t="n">
        <v>-0.0487516886583745</v>
      </c>
      <c r="AO295" s="3">
        <f>SUM(AH295:AN295)</f>
        <v/>
      </c>
      <c r="AP295" s="5">
        <f>IF(OR(N(Q295)&lt;=0,N(BA295)=0),0,N(Q295)*IF(N(M295)/N(Q295)&gt;=60,N(BA295),1))</f>
        <v/>
      </c>
      <c r="AQ295" s="5">
        <f>N(Q295)*N(Z295)*N(BB295)</f>
        <v/>
      </c>
      <c r="AR295" s="5">
        <f>N(AF295)*(Assumptions!$B$13*N(BD295)-(1-Assumptions!$B$13)*Assumptions!$B$14)+N(AG295)</f>
        <v/>
      </c>
      <c r="AS295" s="5">
        <f>N(AO295)*N(M295)/90+N(AP295)+N(AQ295)+N(AR295)</f>
        <v/>
      </c>
      <c r="AT295" s="3">
        <f>IF(N(M295)&lt;=0,0,(N(AS295)-N(AR295))*90/N(M295))</f>
        <v/>
      </c>
      <c r="AU295" s="5">
        <f>IFERROR(AS295-VLOOKUP($C295,Assumptions!$A$36:$C$39,3,FALSE),"")</f>
        <v/>
      </c>
      <c r="AV295" s="3">
        <f>IFERROR(AU295/F295,"")</f>
        <v/>
      </c>
      <c r="AW295">
        <f>IF(AND($E295=TRUE,$C295="GKP"),AS295,"")</f>
        <v/>
      </c>
      <c r="AX295">
        <f>IF(AND($E295=TRUE,$C295="DEF"),AS295,"")</f>
        <v/>
      </c>
      <c r="AY295">
        <f>IF(AND($E295=TRUE,$C295="MID"),AS295,"")</f>
        <v/>
      </c>
      <c r="AZ295">
        <f>IF(AND($E295=TRUE,$C295="FWD"),AS295,"")</f>
        <v/>
      </c>
      <c r="BA295" t="n">
        <v>2</v>
      </c>
      <c r="BB295" t="n">
        <v>0</v>
      </c>
      <c r="BC295" t="n">
        <v>4</v>
      </c>
      <c r="BD295" t="n">
        <v>10</v>
      </c>
    </row>
    <row r="296">
      <c r="A296" t="inlineStr">
        <is>
          <t>Simon Adingra</t>
        </is>
      </c>
      <c r="B296" t="inlineStr">
        <is>
          <t>SUN</t>
        </is>
      </c>
      <c r="C296" t="inlineStr">
        <is>
          <t>MID</t>
        </is>
      </c>
      <c r="D296" t="inlineStr">
        <is>
          <t>MID</t>
        </is>
      </c>
      <c r="E296" t="b">
        <v>1</v>
      </c>
      <c r="F296" s="2" t="n">
        <v>5</v>
      </c>
      <c r="G296" t="inlineStr">
        <is>
          <t>a</t>
        </is>
      </c>
      <c r="I296" s="2" t="n">
        <v>649</v>
      </c>
      <c r="J296" t="n">
        <v>34</v>
      </c>
      <c r="K296" s="3" t="n">
        <v>178</v>
      </c>
      <c r="L296" t="inlineStr">
        <is>
          <t>flat</t>
        </is>
      </c>
      <c r="M296" s="4" t="n">
        <v>178</v>
      </c>
      <c r="N296" t="inlineStr">
        <is>
          <t>Solio</t>
        </is>
      </c>
      <c r="O296" s="5" t="n">
        <v>63.8</v>
      </c>
      <c r="P296" t="b">
        <v>1</v>
      </c>
      <c r="Q296" s="5">
        <f>IF(N(O296)&lt;=0,0,MIN(Assumptions!$B$15,N(M296)/N(O296)))</f>
        <v/>
      </c>
      <c r="R296" s="4" t="n">
        <v>0.204</v>
      </c>
      <c r="S296" s="3" t="n">
        <v>0.0553</v>
      </c>
      <c r="T296" t="inlineStr">
        <is>
          <t>adjusted xGOT</t>
        </is>
      </c>
      <c r="U296" s="3" t="n">
        <v>1</v>
      </c>
      <c r="V296" s="3" t="n">
        <v>1.139</v>
      </c>
      <c r="W296" s="3" t="n">
        <v>7</v>
      </c>
      <c r="X296" s="3" t="n">
        <v>0.09379999999999999</v>
      </c>
      <c r="Y296" s="3" t="n">
        <v>7.469</v>
      </c>
      <c r="Z296" s="3" t="n">
        <v>0.008347371452020913</v>
      </c>
      <c r="AA296" s="3" t="n">
        <v>0.416</v>
      </c>
      <c r="AB296" s="3" t="n">
        <v>21</v>
      </c>
      <c r="AC296" s="3" t="n">
        <v>3.3348</v>
      </c>
      <c r="AD296" s="3" t="n">
        <v>1.6498</v>
      </c>
      <c r="AE296" s="3" t="n">
        <v>-0.1752701242227406</v>
      </c>
      <c r="AF296" s="4" t="n">
        <v>0</v>
      </c>
      <c r="AG296" s="3" t="n">
        <v>0</v>
      </c>
      <c r="AH296" s="3" t="n">
        <v>0.2765</v>
      </c>
      <c r="AI296" s="3" t="n">
        <v>0.371448</v>
      </c>
      <c r="AJ296" s="3">
        <f>N(R296)*N(BC296)</f>
        <v/>
      </c>
      <c r="AK296" s="3" t="n">
        <v>0.416</v>
      </c>
      <c r="AL296" s="3" t="n">
        <v>0</v>
      </c>
      <c r="AM296" s="3" t="n">
        <v>-0</v>
      </c>
      <c r="AN296" s="3" t="n">
        <v>-0.1752701242227406</v>
      </c>
      <c r="AO296" s="3">
        <f>SUM(AH296:AN296)</f>
        <v/>
      </c>
      <c r="AP296" s="5">
        <f>IF(OR(N(Q296)&lt;=0,N(BA296)=0),0,N(Q296)*IF(N(M296)/N(Q296)&gt;=60,N(BA296),1))</f>
        <v/>
      </c>
      <c r="AQ296" s="5">
        <f>N(Q296)*N(Z296)*N(BB296)</f>
        <v/>
      </c>
      <c r="AR296" s="5">
        <f>N(AF296)*(Assumptions!$B$13*N(BD296)-(1-Assumptions!$B$13)*Assumptions!$B$14)+N(AG296)</f>
        <v/>
      </c>
      <c r="AS296" s="5">
        <f>N(AO296)*N(M296)/90+N(AP296)+N(AQ296)+N(AR296)</f>
        <v/>
      </c>
      <c r="AT296" s="3">
        <f>IF(N(M296)&lt;=0,0,(N(AS296)-N(AR296))*90/N(M296))</f>
        <v/>
      </c>
      <c r="AU296" s="5">
        <f>IFERROR(AS296-VLOOKUP($C296,Assumptions!$A$36:$C$39,3,FALSE),"")</f>
        <v/>
      </c>
      <c r="AV296" s="3">
        <f>IFERROR(AU296/F296,"")</f>
        <v/>
      </c>
      <c r="AW296">
        <f>IF(AND($E296=TRUE,$C296="GKP"),AS296,"")</f>
        <v/>
      </c>
      <c r="AX296">
        <f>IF(AND($E296=TRUE,$C296="DEF"),AS296,"")</f>
        <v/>
      </c>
      <c r="AY296">
        <f>IF(AND($E296=TRUE,$C296="MID"),AS296,"")</f>
        <v/>
      </c>
      <c r="AZ296">
        <f>IF(AND($E296=TRUE,$C296="FWD"),AS296,"")</f>
        <v/>
      </c>
      <c r="BA296" t="n">
        <v>2</v>
      </c>
      <c r="BB296" t="n">
        <v>2</v>
      </c>
      <c r="BC296" t="n">
        <v>1</v>
      </c>
      <c r="BD296" t="n">
        <v>5</v>
      </c>
    </row>
    <row r="297">
      <c r="A297" t="inlineStr">
        <is>
          <t>Joe Gomez</t>
        </is>
      </c>
      <c r="B297" t="inlineStr">
        <is>
          <t>LIV</t>
        </is>
      </c>
      <c r="C297" t="inlineStr">
        <is>
          <t>DEF</t>
        </is>
      </c>
      <c r="D297" t="inlineStr">
        <is>
          <t>DEF</t>
        </is>
      </c>
      <c r="E297" t="b">
        <v>1</v>
      </c>
      <c r="F297" s="2" t="n">
        <v>5</v>
      </c>
      <c r="G297" t="inlineStr">
        <is>
          <t>i</t>
        </is>
      </c>
      <c r="H297" t="inlineStr">
        <is>
          <t>Muscular injury - Unknown return date</t>
        </is>
      </c>
      <c r="I297" s="2" t="n">
        <v>594</v>
      </c>
      <c r="J297" t="n">
        <v>33</v>
      </c>
      <c r="K297" s="3" t="n">
        <v>442</v>
      </c>
      <c r="L297" t="inlineStr">
        <is>
          <t>flat</t>
        </is>
      </c>
      <c r="M297" s="4" t="n">
        <v>442</v>
      </c>
      <c r="N297" t="inlineStr">
        <is>
          <t>Solio</t>
        </is>
      </c>
      <c r="O297" s="5" t="n">
        <v>63.3</v>
      </c>
      <c r="P297" t="b">
        <v>1</v>
      </c>
      <c r="Q297" s="5">
        <f>IF(N(O297)&lt;=0,0,MIN(Assumptions!$B$15,N(M297)/N(O297)))</f>
        <v/>
      </c>
      <c r="R297" s="4" t="n">
        <v>0.342</v>
      </c>
      <c r="S297" s="3" t="n">
        <v>0.0397</v>
      </c>
      <c r="T297" t="inlineStr">
        <is>
          <t>adjusted xGOT</t>
        </is>
      </c>
      <c r="U297" s="3" t="n">
        <v>1</v>
      </c>
      <c r="V297" s="3" t="n">
        <v>0.9360000000000001</v>
      </c>
      <c r="W297" s="3" t="n">
        <v>1.8</v>
      </c>
      <c r="X297" s="3" t="n">
        <v>0.1431</v>
      </c>
      <c r="Y297" s="3" t="n">
        <v>7.362</v>
      </c>
      <c r="Z297" s="3" t="n">
        <v>0.03874966868266538</v>
      </c>
      <c r="AA297" s="3" t="n">
        <v>0.303</v>
      </c>
      <c r="AB297" s="3" t="n">
        <v>26</v>
      </c>
      <c r="AC297" s="3" t="n">
        <v>2.409</v>
      </c>
      <c r="AD297" s="3" t="n">
        <v>1.1228</v>
      </c>
      <c r="AE297" s="3" t="n">
        <v>-0.3022295023425802</v>
      </c>
      <c r="AF297" s="4" t="n">
        <v>0</v>
      </c>
      <c r="AG297" s="3" t="n">
        <v>0</v>
      </c>
      <c r="AH297" s="3" t="n">
        <v>0.2382</v>
      </c>
      <c r="AI297" s="3" t="n">
        <v>0.5666760000000001</v>
      </c>
      <c r="AJ297" s="3">
        <f>N(R297)*N(BC297)</f>
        <v/>
      </c>
      <c r="AK297" s="3" t="n">
        <v>0.303</v>
      </c>
      <c r="AL297" s="3" t="n">
        <v>0</v>
      </c>
      <c r="AM297" s="3" t="n">
        <v>-0.3378660007281162</v>
      </c>
      <c r="AN297" s="3" t="n">
        <v>-0.3022295023425802</v>
      </c>
      <c r="AO297" s="3">
        <f>SUM(AH297:AN297)</f>
        <v/>
      </c>
      <c r="AP297" s="5">
        <f>IF(OR(N(Q297)&lt;=0,N(BA297)=0),0,N(Q297)*IF(N(M297)/N(Q297)&gt;=60,N(BA297),1))</f>
        <v/>
      </c>
      <c r="AQ297" s="5">
        <f>N(Q297)*N(Z297)*N(BB297)</f>
        <v/>
      </c>
      <c r="AR297" s="5">
        <f>N(AF297)*(Assumptions!$B$13*N(BD297)-(1-Assumptions!$B$13)*Assumptions!$B$14)+N(AG297)</f>
        <v/>
      </c>
      <c r="AS297" s="5">
        <f>N(AO297)*N(M297)/90+N(AP297)+N(AQ297)+N(AR297)</f>
        <v/>
      </c>
      <c r="AT297" s="3">
        <f>IF(N(M297)&lt;=0,0,(N(AS297)-N(AR297))*90/N(M297))</f>
        <v/>
      </c>
      <c r="AU297" s="5">
        <f>IFERROR(AS297-VLOOKUP($C297,Assumptions!$A$36:$C$39,3,FALSE),"")</f>
        <v/>
      </c>
      <c r="AV297" s="3">
        <f>IFERROR(AU297/F297,"")</f>
        <v/>
      </c>
      <c r="AW297">
        <f>IF(AND($E297=TRUE,$C297="GKP"),AS297,"")</f>
        <v/>
      </c>
      <c r="AX297">
        <f>IF(AND($E297=TRUE,$C297="DEF"),AS297,"")</f>
        <v/>
      </c>
      <c r="AY297">
        <f>IF(AND($E297=TRUE,$C297="MID"),AS297,"")</f>
        <v/>
      </c>
      <c r="AZ297">
        <f>IF(AND($E297=TRUE,$C297="FWD"),AS297,"")</f>
        <v/>
      </c>
      <c r="BA297" t="n">
        <v>2</v>
      </c>
      <c r="BB297" t="n">
        <v>2</v>
      </c>
      <c r="BC297" t="n">
        <v>4</v>
      </c>
      <c r="BD297" t="n">
        <v>6</v>
      </c>
    </row>
    <row r="298">
      <c r="A298" t="inlineStr">
        <is>
          <t>Jarrad Branthwaite</t>
        </is>
      </c>
      <c r="B298" t="inlineStr">
        <is>
          <t>EVE</t>
        </is>
      </c>
      <c r="C298" t="inlineStr">
        <is>
          <t>DEF</t>
        </is>
      </c>
      <c r="D298" t="inlineStr">
        <is>
          <t>DEF</t>
        </is>
      </c>
      <c r="E298" t="b">
        <v>1</v>
      </c>
      <c r="F298" s="2" t="n">
        <v>5.5</v>
      </c>
      <c r="G298" t="inlineStr">
        <is>
          <t>a</t>
        </is>
      </c>
      <c r="I298" s="2" t="n">
        <v>678</v>
      </c>
      <c r="J298" t="n">
        <v>32</v>
      </c>
      <c r="K298" s="3" t="n">
        <v>3203</v>
      </c>
      <c r="L298" t="inlineStr">
        <is>
          <t>flat</t>
        </is>
      </c>
      <c r="M298" s="4" t="n">
        <v>3203</v>
      </c>
      <c r="N298" t="inlineStr">
        <is>
          <t>Solio</t>
        </is>
      </c>
      <c r="O298" s="5" t="n">
        <v>88</v>
      </c>
      <c r="P298" t="b">
        <v>1</v>
      </c>
      <c r="Q298" s="5">
        <f>IF(N(O298)&lt;=0,0,MIN(Assumptions!$B$15,N(M298)/N(O298)))</f>
        <v/>
      </c>
      <c r="R298" s="4" t="n">
        <v>0.231</v>
      </c>
      <c r="S298" s="3" t="n">
        <v>0.0445</v>
      </c>
      <c r="T298" t="inlineStr">
        <is>
          <t>adjusted xGOT</t>
        </is>
      </c>
      <c r="U298" s="3" t="n">
        <v>1</v>
      </c>
      <c r="V298" s="3" t="n">
        <v>0.986</v>
      </c>
      <c r="W298" s="3" t="n">
        <v>3.2</v>
      </c>
      <c r="X298" s="3" t="n">
        <v>0.0321</v>
      </c>
      <c r="Y298" s="3" t="n">
        <v>8.271000000000001</v>
      </c>
      <c r="Z298" s="3" t="n">
        <v>0.2942524964139254</v>
      </c>
      <c r="AA298" s="3" t="n">
        <v>0</v>
      </c>
      <c r="AB298" s="3" t="n">
        <v>17</v>
      </c>
      <c r="AC298" s="3" t="n">
        <v>3.0311</v>
      </c>
      <c r="AD298" s="3" t="n">
        <v>1.5252</v>
      </c>
      <c r="AE298" s="3" t="n">
        <v>-0.1973841025688087</v>
      </c>
      <c r="AF298" s="4" t="n">
        <v>0</v>
      </c>
      <c r="AG298" s="3" t="n">
        <v>0</v>
      </c>
      <c r="AH298" s="3" t="n">
        <v>0.267</v>
      </c>
      <c r="AI298" s="3" t="n">
        <v>0.127116</v>
      </c>
      <c r="AJ298" s="3">
        <f>N(R298)*N(BC298)</f>
        <v/>
      </c>
      <c r="AK298" s="3" t="n">
        <v>0</v>
      </c>
      <c r="AL298" s="3" t="n">
        <v>0</v>
      </c>
      <c r="AM298" s="3" t="n">
        <v>-0.524434996152324</v>
      </c>
      <c r="AN298" s="3" t="n">
        <v>-0.1973841025688087</v>
      </c>
      <c r="AO298" s="3">
        <f>SUM(AH298:AN298)</f>
        <v/>
      </c>
      <c r="AP298" s="5">
        <f>IF(OR(N(Q298)&lt;=0,N(BA298)=0),0,N(Q298)*IF(N(M298)/N(Q298)&gt;=60,N(BA298),1))</f>
        <v/>
      </c>
      <c r="AQ298" s="5">
        <f>N(Q298)*N(Z298)*N(BB298)</f>
        <v/>
      </c>
      <c r="AR298" s="5">
        <f>N(AF298)*(Assumptions!$B$13*N(BD298)-(1-Assumptions!$B$13)*Assumptions!$B$14)+N(AG298)</f>
        <v/>
      </c>
      <c r="AS298" s="5">
        <f>N(AO298)*N(M298)/90+N(AP298)+N(AQ298)+N(AR298)</f>
        <v/>
      </c>
      <c r="AT298" s="3">
        <f>IF(N(M298)&lt;=0,0,(N(AS298)-N(AR298))*90/N(M298))</f>
        <v/>
      </c>
      <c r="AU298" s="5">
        <f>IFERROR(AS298-VLOOKUP($C298,Assumptions!$A$36:$C$39,3,FALSE),"")</f>
        <v/>
      </c>
      <c r="AV298" s="3">
        <f>IFERROR(AU298/F298,"")</f>
        <v/>
      </c>
      <c r="AW298">
        <f>IF(AND($E298=TRUE,$C298="GKP"),AS298,"")</f>
        <v/>
      </c>
      <c r="AX298">
        <f>IF(AND($E298=TRUE,$C298="DEF"),AS298,"")</f>
        <v/>
      </c>
      <c r="AY298">
        <f>IF(AND($E298=TRUE,$C298="MID"),AS298,"")</f>
        <v/>
      </c>
      <c r="AZ298">
        <f>IF(AND($E298=TRUE,$C298="FWD"),AS298,"")</f>
        <v/>
      </c>
      <c r="BA298" t="n">
        <v>2</v>
      </c>
      <c r="BB298" t="n">
        <v>2</v>
      </c>
      <c r="BC298" t="n">
        <v>4</v>
      </c>
      <c r="BD298" t="n">
        <v>6</v>
      </c>
    </row>
    <row r="299">
      <c r="A299" t="inlineStr">
        <is>
          <t>Wilfried Gnonto</t>
        </is>
      </c>
      <c r="B299" t="inlineStr">
        <is>
          <t>LEE</t>
        </is>
      </c>
      <c r="C299" t="inlineStr">
        <is>
          <t>MID</t>
        </is>
      </c>
      <c r="D299" t="inlineStr">
        <is>
          <t>MID</t>
        </is>
      </c>
      <c r="E299" t="b">
        <v>1</v>
      </c>
      <c r="F299" s="2" t="n">
        <v>5</v>
      </c>
      <c r="G299" t="inlineStr">
        <is>
          <t>a</t>
        </is>
      </c>
      <c r="I299" s="2" t="n">
        <v>521</v>
      </c>
      <c r="J299" t="n">
        <v>32</v>
      </c>
      <c r="K299" s="3" t="n">
        <v>120</v>
      </c>
      <c r="L299" t="inlineStr">
        <is>
          <t>flat</t>
        </is>
      </c>
      <c r="M299" s="4" t="n">
        <v>120</v>
      </c>
      <c r="N299" t="inlineStr">
        <is>
          <t>Solio</t>
        </is>
      </c>
      <c r="O299" s="5" t="n">
        <v>58.8</v>
      </c>
      <c r="P299" t="b">
        <v>1</v>
      </c>
      <c r="Q299" s="5">
        <f>IF(N(O299)&lt;=0,0,MIN(Assumptions!$B$15,N(M299)/N(O299)))</f>
        <v/>
      </c>
      <c r="R299" s="4" t="n">
        <v>0.218</v>
      </c>
      <c r="S299" s="3" t="n">
        <v>0.0672</v>
      </c>
      <c r="T299" t="inlineStr">
        <is>
          <t>adjusted xGOT</t>
        </is>
      </c>
      <c r="U299" s="3" t="n">
        <v>1</v>
      </c>
      <c r="V299" s="3" t="n">
        <v>0.972</v>
      </c>
      <c r="W299" s="3" t="n">
        <v>2.2</v>
      </c>
      <c r="X299" s="3" t="n">
        <v>0.1742</v>
      </c>
      <c r="Y299" s="3" t="n">
        <v>9.255000000000001</v>
      </c>
      <c r="Z299" s="3" t="n">
        <v>0.02116234504347958</v>
      </c>
      <c r="AA299" s="3" t="n">
        <v>0</v>
      </c>
      <c r="AB299" s="3" t="n">
        <v>25</v>
      </c>
      <c r="AC299" s="3" t="n">
        <v>3.0611</v>
      </c>
      <c r="AD299" s="3" t="n">
        <v>1.5875</v>
      </c>
      <c r="AE299" s="3" t="n">
        <v>-0.3007492140094552</v>
      </c>
      <c r="AF299" s="4" t="n">
        <v>0</v>
      </c>
      <c r="AG299" s="3" t="n">
        <v>0</v>
      </c>
      <c r="AH299" s="3" t="n">
        <v>0.336</v>
      </c>
      <c r="AI299" s="3" t="n">
        <v>0.689832</v>
      </c>
      <c r="AJ299" s="3">
        <f>N(R299)*N(BC299)</f>
        <v/>
      </c>
      <c r="AK299" s="3" t="n">
        <v>0</v>
      </c>
      <c r="AL299" s="3" t="n">
        <v>0</v>
      </c>
      <c r="AM299" s="3" t="n">
        <v>-0</v>
      </c>
      <c r="AN299" s="3" t="n">
        <v>-0.3007492140094552</v>
      </c>
      <c r="AO299" s="3">
        <f>SUM(AH299:AN299)</f>
        <v/>
      </c>
      <c r="AP299" s="5">
        <f>IF(OR(N(Q299)&lt;=0,N(BA299)=0),0,N(Q299)*IF(N(M299)/N(Q299)&gt;=60,N(BA299),1))</f>
        <v/>
      </c>
      <c r="AQ299" s="5">
        <f>N(Q299)*N(Z299)*N(BB299)</f>
        <v/>
      </c>
      <c r="AR299" s="5">
        <f>N(AF299)*(Assumptions!$B$13*N(BD299)-(1-Assumptions!$B$13)*Assumptions!$B$14)+N(AG299)</f>
        <v/>
      </c>
      <c r="AS299" s="5">
        <f>N(AO299)*N(M299)/90+N(AP299)+N(AQ299)+N(AR299)</f>
        <v/>
      </c>
      <c r="AT299" s="3">
        <f>IF(N(M299)&lt;=0,0,(N(AS299)-N(AR299))*90/N(M299))</f>
        <v/>
      </c>
      <c r="AU299" s="5">
        <f>IFERROR(AS299-VLOOKUP($C299,Assumptions!$A$36:$C$39,3,FALSE),"")</f>
        <v/>
      </c>
      <c r="AV299" s="3">
        <f>IFERROR(AU299/F299,"")</f>
        <v/>
      </c>
      <c r="AW299">
        <f>IF(AND($E299=TRUE,$C299="GKP"),AS299,"")</f>
        <v/>
      </c>
      <c r="AX299">
        <f>IF(AND($E299=TRUE,$C299="DEF"),AS299,"")</f>
        <v/>
      </c>
      <c r="AY299">
        <f>IF(AND($E299=TRUE,$C299="MID"),AS299,"")</f>
        <v/>
      </c>
      <c r="AZ299">
        <f>IF(AND($E299=TRUE,$C299="FWD"),AS299,"")</f>
        <v/>
      </c>
      <c r="BA299" t="n">
        <v>2</v>
      </c>
      <c r="BB299" t="n">
        <v>2</v>
      </c>
      <c r="BC299" t="n">
        <v>1</v>
      </c>
      <c r="BD299" t="n">
        <v>5</v>
      </c>
    </row>
    <row r="300">
      <c r="A300" t="inlineStr">
        <is>
          <t>Issa Diop</t>
        </is>
      </c>
      <c r="B300" t="inlineStr">
        <is>
          <t>IPS</t>
        </is>
      </c>
      <c r="C300" t="inlineStr">
        <is>
          <t>DEF</t>
        </is>
      </c>
      <c r="D300" t="inlineStr">
        <is>
          <t>DEF</t>
        </is>
      </c>
      <c r="E300" t="b">
        <v>1</v>
      </c>
      <c r="F300" s="2" t="n">
        <v>4</v>
      </c>
      <c r="G300" t="inlineStr">
        <is>
          <t>a</t>
        </is>
      </c>
      <c r="I300" s="2" t="n">
        <v>812</v>
      </c>
      <c r="J300" t="n">
        <v>31</v>
      </c>
      <c r="K300" s="3" t="n">
        <v>2394</v>
      </c>
      <c r="L300" t="inlineStr">
        <is>
          <t>flat</t>
        </is>
      </c>
      <c r="M300" s="4" t="n">
        <v>2394</v>
      </c>
      <c r="N300" t="inlineStr">
        <is>
          <t>Solio</t>
        </is>
      </c>
      <c r="O300" s="5" t="n">
        <v>88.8</v>
      </c>
      <c r="P300" t="b">
        <v>1</v>
      </c>
      <c r="Q300" s="5">
        <f>IF(N(O300)&lt;=0,0,MIN(Assumptions!$B$15,N(M300)/N(O300)))</f>
        <v/>
      </c>
      <c r="R300" s="4" t="n">
        <v>0.17</v>
      </c>
      <c r="S300" s="3" t="n">
        <v>0.09619999999999999</v>
      </c>
      <c r="T300" t="inlineStr">
        <is>
          <t>adjusted xGOT</t>
        </is>
      </c>
      <c r="U300" s="3" t="n">
        <v>1</v>
      </c>
      <c r="V300" s="3" t="n">
        <v>1.085</v>
      </c>
      <c r="W300" s="3" t="n">
        <v>1.9</v>
      </c>
      <c r="X300" s="3" t="n">
        <v>0.0028</v>
      </c>
      <c r="Y300" s="3" t="n">
        <v>7.195</v>
      </c>
      <c r="Z300" s="3" t="n">
        <v>0.1796903481599679</v>
      </c>
      <c r="AA300" s="3" t="n">
        <v>0.3325</v>
      </c>
      <c r="AB300" s="3" t="n">
        <v>21</v>
      </c>
      <c r="AC300" s="3" t="n">
        <v>3.5741</v>
      </c>
      <c r="AD300" s="3" t="n">
        <v>1.8319</v>
      </c>
      <c r="AE300" s="3" t="n">
        <v>-0.1934947122418925</v>
      </c>
      <c r="AF300" s="4" t="n">
        <v>0</v>
      </c>
      <c r="AG300" s="3" t="n">
        <v>0</v>
      </c>
      <c r="AH300" s="3" t="n">
        <v>0.5771999999999999</v>
      </c>
      <c r="AI300" s="3" t="n">
        <v>0.011088</v>
      </c>
      <c r="AJ300" s="3">
        <f>N(R300)*N(BC300)</f>
        <v/>
      </c>
      <c r="AK300" s="3" t="n">
        <v>0.3325</v>
      </c>
      <c r="AL300" s="3" t="n">
        <v>0</v>
      </c>
      <c r="AM300" s="3" t="n">
        <v>-0.6723587286814016</v>
      </c>
      <c r="AN300" s="3" t="n">
        <v>-0.1934947122418925</v>
      </c>
      <c r="AO300" s="3">
        <f>SUM(AH300:AN300)</f>
        <v/>
      </c>
      <c r="AP300" s="5">
        <f>IF(OR(N(Q300)&lt;=0,N(BA300)=0),0,N(Q300)*IF(N(M300)/N(Q300)&gt;=60,N(BA300),1))</f>
        <v/>
      </c>
      <c r="AQ300" s="5">
        <f>N(Q300)*N(Z300)*N(BB300)</f>
        <v/>
      </c>
      <c r="AR300" s="5">
        <f>N(AF300)*(Assumptions!$B$13*N(BD300)-(1-Assumptions!$B$13)*Assumptions!$B$14)+N(AG300)</f>
        <v/>
      </c>
      <c r="AS300" s="5">
        <f>N(AO300)*N(M300)/90+N(AP300)+N(AQ300)+N(AR300)</f>
        <v/>
      </c>
      <c r="AT300" s="3">
        <f>IF(N(M300)&lt;=0,0,(N(AS300)-N(AR300))*90/N(M300))</f>
        <v/>
      </c>
      <c r="AU300" s="5">
        <f>IFERROR(AS300-VLOOKUP($C300,Assumptions!$A$36:$C$39,3,FALSE),"")</f>
        <v/>
      </c>
      <c r="AV300" s="3">
        <f>IFERROR(AU300/F300,"")</f>
        <v/>
      </c>
      <c r="AW300">
        <f>IF(AND($E300=TRUE,$C300="GKP"),AS300,"")</f>
        <v/>
      </c>
      <c r="AX300">
        <f>IF(AND($E300=TRUE,$C300="DEF"),AS300,"")</f>
        <v/>
      </c>
      <c r="AY300">
        <f>IF(AND($E300=TRUE,$C300="MID"),AS300,"")</f>
        <v/>
      </c>
      <c r="AZ300">
        <f>IF(AND($E300=TRUE,$C300="FWD"),AS300,"")</f>
        <v/>
      </c>
      <c r="BA300" t="n">
        <v>2</v>
      </c>
      <c r="BB300" t="n">
        <v>2</v>
      </c>
      <c r="BC300" t="n">
        <v>4</v>
      </c>
      <c r="BD300" t="n">
        <v>6</v>
      </c>
    </row>
    <row r="301">
      <c r="A301" t="inlineStr">
        <is>
          <t>Ryan Yates</t>
        </is>
      </c>
      <c r="B301" t="inlineStr">
        <is>
          <t>NFO</t>
        </is>
      </c>
      <c r="C301" t="inlineStr">
        <is>
          <t>MID</t>
        </is>
      </c>
      <c r="D301" t="inlineStr">
        <is>
          <t>MID</t>
        </is>
      </c>
      <c r="E301" t="b">
        <v>1</v>
      </c>
      <c r="F301" s="2" t="n">
        <v>4.5</v>
      </c>
      <c r="G301" t="inlineStr">
        <is>
          <t>a</t>
        </is>
      </c>
      <c r="I301" s="2" t="n">
        <v>602</v>
      </c>
      <c r="J301" t="n">
        <v>30</v>
      </c>
      <c r="K301" s="3" t="n">
        <v>340</v>
      </c>
      <c r="L301" t="inlineStr">
        <is>
          <t>flat</t>
        </is>
      </c>
      <c r="M301" s="4" t="n">
        <v>340</v>
      </c>
      <c r="N301" t="inlineStr">
        <is>
          <t>Solio</t>
        </is>
      </c>
      <c r="O301" s="5" t="n">
        <v>76.5</v>
      </c>
      <c r="P301" t="b">
        <v>1</v>
      </c>
      <c r="Q301" s="5">
        <f>IF(N(O301)&lt;=0,0,MIN(Assumptions!$B$15,N(M301)/N(O301)))</f>
        <v/>
      </c>
      <c r="R301" s="4" t="n">
        <v>0.224</v>
      </c>
      <c r="S301" s="3" t="n">
        <v>0.0646</v>
      </c>
      <c r="T301" t="inlineStr">
        <is>
          <t>adjusted xGOT</t>
        </is>
      </c>
      <c r="U301" s="3" t="n">
        <v>1</v>
      </c>
      <c r="V301" s="3" t="n">
        <v>0.881</v>
      </c>
      <c r="W301" s="3" t="n">
        <v>7.7</v>
      </c>
      <c r="X301" s="3" t="n">
        <v>0.0447</v>
      </c>
      <c r="Y301" s="3" t="n">
        <v>9.369</v>
      </c>
      <c r="Z301" s="3" t="n">
        <v>0.1093177895376286</v>
      </c>
      <c r="AA301" s="3" t="n">
        <v>0</v>
      </c>
      <c r="AB301" s="3" t="n">
        <v>25</v>
      </c>
      <c r="AC301" s="3" t="n">
        <v>3.1134</v>
      </c>
      <c r="AD301" s="3" t="n">
        <v>1.5588</v>
      </c>
      <c r="AE301" s="3" t="n">
        <v>-0.3470530485436379</v>
      </c>
      <c r="AF301" s="4" t="n">
        <v>0</v>
      </c>
      <c r="AG301" s="3" t="n">
        <v>0</v>
      </c>
      <c r="AH301" s="3" t="n">
        <v>0.323</v>
      </c>
      <c r="AI301" s="3" t="n">
        <v>0.177012</v>
      </c>
      <c r="AJ301" s="3">
        <f>N(R301)*N(BC301)</f>
        <v/>
      </c>
      <c r="AK301" s="3" t="n">
        <v>0</v>
      </c>
      <c r="AL301" s="3" t="n">
        <v>0</v>
      </c>
      <c r="AM301" s="3" t="n">
        <v>-0</v>
      </c>
      <c r="AN301" s="3" t="n">
        <v>-0.3470530485436379</v>
      </c>
      <c r="AO301" s="3">
        <f>SUM(AH301:AN301)</f>
        <v/>
      </c>
      <c r="AP301" s="5">
        <f>IF(OR(N(Q301)&lt;=0,N(BA301)=0),0,N(Q301)*IF(N(M301)/N(Q301)&gt;=60,N(BA301),1))</f>
        <v/>
      </c>
      <c r="AQ301" s="5">
        <f>N(Q301)*N(Z301)*N(BB301)</f>
        <v/>
      </c>
      <c r="AR301" s="5">
        <f>N(AF301)*(Assumptions!$B$13*N(BD301)-(1-Assumptions!$B$13)*Assumptions!$B$14)+N(AG301)</f>
        <v/>
      </c>
      <c r="AS301" s="5">
        <f>N(AO301)*N(M301)/90+N(AP301)+N(AQ301)+N(AR301)</f>
        <v/>
      </c>
      <c r="AT301" s="3">
        <f>IF(N(M301)&lt;=0,0,(N(AS301)-N(AR301))*90/N(M301))</f>
        <v/>
      </c>
      <c r="AU301" s="5">
        <f>IFERROR(AS301-VLOOKUP($C301,Assumptions!$A$36:$C$39,3,FALSE),"")</f>
        <v/>
      </c>
      <c r="AV301" s="3">
        <f>IFERROR(AU301/F301,"")</f>
        <v/>
      </c>
      <c r="AW301">
        <f>IF(AND($E301=TRUE,$C301="GKP"),AS301,"")</f>
        <v/>
      </c>
      <c r="AX301">
        <f>IF(AND($E301=TRUE,$C301="DEF"),AS301,"")</f>
        <v/>
      </c>
      <c r="AY301">
        <f>IF(AND($E301=TRUE,$C301="MID"),AS301,"")</f>
        <v/>
      </c>
      <c r="AZ301">
        <f>IF(AND($E301=TRUE,$C301="FWD"),AS301,"")</f>
        <v/>
      </c>
      <c r="BA301" t="n">
        <v>2</v>
      </c>
      <c r="BB301" t="n">
        <v>2</v>
      </c>
      <c r="BC301" t="n">
        <v>1</v>
      </c>
      <c r="BD301" t="n">
        <v>5</v>
      </c>
    </row>
    <row r="302">
      <c r="A302" t="inlineStr">
        <is>
          <t>Destiny Udogie</t>
        </is>
      </c>
      <c r="B302" t="inlineStr">
        <is>
          <t>TOT</t>
        </is>
      </c>
      <c r="C302" t="inlineStr">
        <is>
          <t>DEF</t>
        </is>
      </c>
      <c r="D302" t="inlineStr">
        <is>
          <t>DEF</t>
        </is>
      </c>
      <c r="E302" t="b">
        <v>1</v>
      </c>
      <c r="F302" s="2" t="n">
        <v>4.5</v>
      </c>
      <c r="G302" t="inlineStr">
        <is>
          <t>a</t>
        </is>
      </c>
      <c r="I302" s="2" t="n">
        <v>1335</v>
      </c>
      <c r="J302" t="n">
        <v>29</v>
      </c>
      <c r="K302" s="3" t="n">
        <v>685</v>
      </c>
      <c r="L302" t="inlineStr">
        <is>
          <t>flat</t>
        </is>
      </c>
      <c r="M302" s="4" t="n">
        <v>685</v>
      </c>
      <c r="N302" t="inlineStr">
        <is>
          <t>Solio</t>
        </is>
      </c>
      <c r="O302" s="5" t="n">
        <v>83.40000000000001</v>
      </c>
      <c r="P302" t="b">
        <v>1</v>
      </c>
      <c r="Q302" s="5">
        <f>IF(N(O302)&lt;=0,0,MIN(Assumptions!$B$15,N(M302)/N(O302)))</f>
        <v/>
      </c>
      <c r="R302" s="4" t="n">
        <v>0.286</v>
      </c>
      <c r="S302" s="3" t="n">
        <v>0.0132</v>
      </c>
      <c r="T302" t="inlineStr">
        <is>
          <t>adjusted xGOT</t>
        </is>
      </c>
      <c r="U302" s="3" t="n">
        <v>1</v>
      </c>
      <c r="V302" s="3" t="n">
        <v>1.091</v>
      </c>
      <c r="W302" s="3" t="n">
        <v>2.9</v>
      </c>
      <c r="X302" s="3" t="n">
        <v>0.0621</v>
      </c>
      <c r="Y302" s="3" t="n">
        <v>5.671</v>
      </c>
      <c r="Z302" s="3" t="n">
        <v>0.04205128458295992</v>
      </c>
      <c r="AA302" s="3" t="n">
        <v>0.0674</v>
      </c>
      <c r="AB302" s="3" t="n">
        <v>33</v>
      </c>
      <c r="AC302" s="3" t="n">
        <v>2.5739</v>
      </c>
      <c r="AD302" s="3" t="n">
        <v>1.3096</v>
      </c>
      <c r="AE302" s="3" t="n">
        <v>-0.2078824957100245</v>
      </c>
      <c r="AF302" s="4" t="n">
        <v>0</v>
      </c>
      <c r="AG302" s="3" t="n">
        <v>0</v>
      </c>
      <c r="AH302" s="3" t="n">
        <v>0.07919999999999999</v>
      </c>
      <c r="AI302" s="3" t="n">
        <v>0.2459160000000001</v>
      </c>
      <c r="AJ302" s="3">
        <f>N(R302)*N(BC302)</f>
        <v/>
      </c>
      <c r="AK302" s="3" t="n">
        <v>0.0674</v>
      </c>
      <c r="AL302" s="3" t="n">
        <v>0</v>
      </c>
      <c r="AM302" s="3" t="n">
        <v>-0.4230152821052008</v>
      </c>
      <c r="AN302" s="3" t="n">
        <v>-0.2078824957100245</v>
      </c>
      <c r="AO302" s="3">
        <f>SUM(AH302:AN302)</f>
        <v/>
      </c>
      <c r="AP302" s="5">
        <f>IF(OR(N(Q302)&lt;=0,N(BA302)=0),0,N(Q302)*IF(N(M302)/N(Q302)&gt;=60,N(BA302),1))</f>
        <v/>
      </c>
      <c r="AQ302" s="5">
        <f>N(Q302)*N(Z302)*N(BB302)</f>
        <v/>
      </c>
      <c r="AR302" s="5">
        <f>N(AF302)*(Assumptions!$B$13*N(BD302)-(1-Assumptions!$B$13)*Assumptions!$B$14)+N(AG302)</f>
        <v/>
      </c>
      <c r="AS302" s="5">
        <f>N(AO302)*N(M302)/90+N(AP302)+N(AQ302)+N(AR302)</f>
        <v/>
      </c>
      <c r="AT302" s="3">
        <f>IF(N(M302)&lt;=0,0,(N(AS302)-N(AR302))*90/N(M302))</f>
        <v/>
      </c>
      <c r="AU302" s="5">
        <f>IFERROR(AS302-VLOOKUP($C302,Assumptions!$A$36:$C$39,3,FALSE),"")</f>
        <v/>
      </c>
      <c r="AV302" s="3">
        <f>IFERROR(AU302/F302,"")</f>
        <v/>
      </c>
      <c r="AW302">
        <f>IF(AND($E302=TRUE,$C302="GKP"),AS302,"")</f>
        <v/>
      </c>
      <c r="AX302">
        <f>IF(AND($E302=TRUE,$C302="DEF"),AS302,"")</f>
        <v/>
      </c>
      <c r="AY302">
        <f>IF(AND($E302=TRUE,$C302="MID"),AS302,"")</f>
        <v/>
      </c>
      <c r="AZ302">
        <f>IF(AND($E302=TRUE,$C302="FWD"),AS302,"")</f>
        <v/>
      </c>
      <c r="BA302" t="n">
        <v>2</v>
      </c>
      <c r="BB302" t="n">
        <v>2</v>
      </c>
      <c r="BC302" t="n">
        <v>4</v>
      </c>
      <c r="BD302" t="n">
        <v>6</v>
      </c>
    </row>
    <row r="303">
      <c r="A303" t="inlineStr">
        <is>
          <t>Myles Lewis-Skelly</t>
        </is>
      </c>
      <c r="B303" t="inlineStr">
        <is>
          <t>ARS</t>
        </is>
      </c>
      <c r="C303" t="inlineStr">
        <is>
          <t>MID</t>
        </is>
      </c>
      <c r="D303" t="inlineStr">
        <is>
          <t>DEF</t>
        </is>
      </c>
      <c r="E303" t="b">
        <v>1</v>
      </c>
      <c r="F303" s="2" t="n">
        <v>5.5</v>
      </c>
      <c r="G303" t="inlineStr">
        <is>
          <t>a</t>
        </is>
      </c>
      <c r="I303" s="2" t="n">
        <v>697</v>
      </c>
      <c r="J303" t="n">
        <v>29</v>
      </c>
      <c r="K303" s="3" t="n">
        <v>394</v>
      </c>
      <c r="L303" t="inlineStr">
        <is>
          <t>flat</t>
        </is>
      </c>
      <c r="M303" s="4" t="n">
        <v>394</v>
      </c>
      <c r="N303" t="inlineStr">
        <is>
          <t>Solio</t>
        </is>
      </c>
      <c r="O303" s="5" t="n">
        <v>86</v>
      </c>
      <c r="P303" t="b">
        <v>1</v>
      </c>
      <c r="Q303" s="5">
        <f>IF(N(O303)&lt;=0,0,MIN(Assumptions!$B$15,N(M303)/N(O303)))</f>
        <v/>
      </c>
      <c r="R303" s="4" t="n">
        <v>0.391</v>
      </c>
      <c r="S303" s="3" t="n">
        <v>0.0128</v>
      </c>
      <c r="T303" t="inlineStr">
        <is>
          <t>adjusted xGOT</t>
        </is>
      </c>
      <c r="U303" s="3" t="n">
        <v>1</v>
      </c>
      <c r="V303" s="3" t="n">
        <v>0.993</v>
      </c>
      <c r="W303" s="3" t="n">
        <v>0.3</v>
      </c>
      <c r="X303" s="3" t="n">
        <v>0.0244</v>
      </c>
      <c r="Y303" s="3" t="n">
        <v>5.493</v>
      </c>
      <c r="Z303" s="3" t="n">
        <v>0.007832147690442937</v>
      </c>
      <c r="AA303" s="3" t="n">
        <v>0</v>
      </c>
      <c r="AB303" s="3" t="n">
        <v>25</v>
      </c>
      <c r="AC303" s="3" t="n">
        <v>2.067</v>
      </c>
      <c r="AD303" s="3" t="n">
        <v>0.9838</v>
      </c>
      <c r="AE303" s="3" t="n">
        <v>-0.26006729803636</v>
      </c>
      <c r="AF303" s="4" t="n">
        <v>0</v>
      </c>
      <c r="AG303" s="3" t="n">
        <v>0</v>
      </c>
      <c r="AH303" s="3" t="n">
        <v>0.064</v>
      </c>
      <c r="AI303" s="3" t="n">
        <v>0.096624</v>
      </c>
      <c r="AJ303" s="3">
        <f>N(R303)*N(BC303)</f>
        <v/>
      </c>
      <c r="AK303" s="3" t="n">
        <v>0</v>
      </c>
      <c r="AL303" s="3" t="n">
        <v>0</v>
      </c>
      <c r="AM303" s="3" t="n">
        <v>-0</v>
      </c>
      <c r="AN303" s="3" t="n">
        <v>-0.26006729803636</v>
      </c>
      <c r="AO303" s="3">
        <f>SUM(AH303:AN303)</f>
        <v/>
      </c>
      <c r="AP303" s="5">
        <f>IF(OR(N(Q303)&lt;=0,N(BA303)=0),0,N(Q303)*IF(N(M303)/N(Q303)&gt;=60,N(BA303),1))</f>
        <v/>
      </c>
      <c r="AQ303" s="5">
        <f>N(Q303)*N(Z303)*N(BB303)</f>
        <v/>
      </c>
      <c r="AR303" s="5">
        <f>N(AF303)*(Assumptions!$B$13*N(BD303)-(1-Assumptions!$B$13)*Assumptions!$B$14)+N(AG303)</f>
        <v/>
      </c>
      <c r="AS303" s="5">
        <f>N(AO303)*N(M303)/90+N(AP303)+N(AQ303)+N(AR303)</f>
        <v/>
      </c>
      <c r="AT303" s="3">
        <f>IF(N(M303)&lt;=0,0,(N(AS303)-N(AR303))*90/N(M303))</f>
        <v/>
      </c>
      <c r="AU303" s="5">
        <f>IFERROR(AS303-VLOOKUP($C303,Assumptions!$A$36:$C$39,3,FALSE),"")</f>
        <v/>
      </c>
      <c r="AV303" s="3">
        <f>IFERROR(AU303/F303,"")</f>
        <v/>
      </c>
      <c r="AW303">
        <f>IF(AND($E303=TRUE,$C303="GKP"),AS303,"")</f>
        <v/>
      </c>
      <c r="AX303">
        <f>IF(AND($E303=TRUE,$C303="DEF"),AS303,"")</f>
        <v/>
      </c>
      <c r="AY303">
        <f>IF(AND($E303=TRUE,$C303="MID"),AS303,"")</f>
        <v/>
      </c>
      <c r="AZ303">
        <f>IF(AND($E303=TRUE,$C303="FWD"),AS303,"")</f>
        <v/>
      </c>
      <c r="BA303" t="n">
        <v>2</v>
      </c>
      <c r="BB303" t="n">
        <v>2</v>
      </c>
      <c r="BC303" t="n">
        <v>1</v>
      </c>
      <c r="BD303" t="n">
        <v>5</v>
      </c>
    </row>
    <row r="304">
      <c r="A304" t="inlineStr">
        <is>
          <t>Victor Lindelöf</t>
        </is>
      </c>
      <c r="B304" t="inlineStr">
        <is>
          <t>AVL</t>
        </is>
      </c>
      <c r="C304" t="inlineStr">
        <is>
          <t>DEF</t>
        </is>
      </c>
      <c r="D304" t="inlineStr">
        <is>
          <t>DEF</t>
        </is>
      </c>
      <c r="E304" t="b">
        <v>1</v>
      </c>
      <c r="F304" s="2" t="n">
        <v>4.5</v>
      </c>
      <c r="G304" t="inlineStr">
        <is>
          <t>a</t>
        </is>
      </c>
      <c r="I304" s="2" t="n">
        <v>942</v>
      </c>
      <c r="J304" t="n">
        <v>29</v>
      </c>
      <c r="K304" s="3" t="n">
        <v>884</v>
      </c>
      <c r="L304" t="inlineStr">
        <is>
          <t>fade (losing his place)</t>
        </is>
      </c>
      <c r="M304" s="4" t="n">
        <v>884</v>
      </c>
      <c r="N304" t="inlineStr">
        <is>
          <t>Solio</t>
        </is>
      </c>
      <c r="O304" s="5" t="n">
        <v>82.7</v>
      </c>
      <c r="P304" t="b">
        <v>1</v>
      </c>
      <c r="Q304" s="5">
        <f>IF(N(O304)&lt;=0,0,MIN(Assumptions!$B$15,N(M304)/N(O304)))</f>
        <v/>
      </c>
      <c r="R304" s="4" t="n">
        <v>0.273</v>
      </c>
      <c r="S304" s="3" t="n">
        <v>0.0261</v>
      </c>
      <c r="T304" t="inlineStr">
        <is>
          <t>adjusted xGOT</t>
        </is>
      </c>
      <c r="U304" s="3" t="n">
        <v>1</v>
      </c>
      <c r="V304" s="3" t="n">
        <v>0.976</v>
      </c>
      <c r="W304" s="3" t="n">
        <v>1.2</v>
      </c>
      <c r="X304" s="3" t="n">
        <v>0.0333</v>
      </c>
      <c r="Y304" s="3" t="n">
        <v>6.253</v>
      </c>
      <c r="Z304" s="3" t="n">
        <v>0.06753605991928691</v>
      </c>
      <c r="AA304" s="3" t="n">
        <v>0</v>
      </c>
      <c r="AB304" s="3" t="n">
        <v>27</v>
      </c>
      <c r="AC304" s="3" t="n">
        <v>2.7451</v>
      </c>
      <c r="AD304" s="3" t="n">
        <v>1.3575</v>
      </c>
      <c r="AE304" s="3" t="n">
        <v>-0.1383049207274015</v>
      </c>
      <c r="AF304" s="4" t="n">
        <v>0</v>
      </c>
      <c r="AG304" s="3" t="n">
        <v>0</v>
      </c>
      <c r="AH304" s="3" t="n">
        <v>0.1566</v>
      </c>
      <c r="AI304" s="3" t="n">
        <v>0.131868</v>
      </c>
      <c r="AJ304" s="3">
        <f>N(R304)*N(BC304)</f>
        <v/>
      </c>
      <c r="AK304" s="3" t="n">
        <v>0</v>
      </c>
      <c r="AL304" s="3" t="n">
        <v>0</v>
      </c>
      <c r="AM304" s="3" t="n">
        <v>-0.4453012382517575</v>
      </c>
      <c r="AN304" s="3" t="n">
        <v>-0.1383049207274015</v>
      </c>
      <c r="AO304" s="3">
        <f>SUM(AH304:AN304)</f>
        <v/>
      </c>
      <c r="AP304" s="5">
        <f>IF(OR(N(Q304)&lt;=0,N(BA304)=0),0,N(Q304)*IF(N(M304)/N(Q304)&gt;=60,N(BA304),1))</f>
        <v/>
      </c>
      <c r="AQ304" s="5">
        <f>N(Q304)*N(Z304)*N(BB304)</f>
        <v/>
      </c>
      <c r="AR304" s="5">
        <f>N(AF304)*(Assumptions!$B$13*N(BD304)-(1-Assumptions!$B$13)*Assumptions!$B$14)+N(AG304)</f>
        <v/>
      </c>
      <c r="AS304" s="5">
        <f>N(AO304)*N(M304)/90+N(AP304)+N(AQ304)+N(AR304)</f>
        <v/>
      </c>
      <c r="AT304" s="3">
        <f>IF(N(M304)&lt;=0,0,(N(AS304)-N(AR304))*90/N(M304))</f>
        <v/>
      </c>
      <c r="AU304" s="5">
        <f>IFERROR(AS304-VLOOKUP($C304,Assumptions!$A$36:$C$39,3,FALSE),"")</f>
        <v/>
      </c>
      <c r="AV304" s="3">
        <f>IFERROR(AU304/F304,"")</f>
        <v/>
      </c>
      <c r="AW304">
        <f>IF(AND($E304=TRUE,$C304="GKP"),AS304,"")</f>
        <v/>
      </c>
      <c r="AX304">
        <f>IF(AND($E304=TRUE,$C304="DEF"),AS304,"")</f>
        <v/>
      </c>
      <c r="AY304">
        <f>IF(AND($E304=TRUE,$C304="MID"),AS304,"")</f>
        <v/>
      </c>
      <c r="AZ304">
        <f>IF(AND($E304=TRUE,$C304="FWD"),AS304,"")</f>
        <v/>
      </c>
      <c r="BA304" t="n">
        <v>2</v>
      </c>
      <c r="BB304" t="n">
        <v>2</v>
      </c>
      <c r="BC304" t="n">
        <v>4</v>
      </c>
      <c r="BD304" t="n">
        <v>6</v>
      </c>
    </row>
    <row r="305">
      <c r="A305" t="inlineStr">
        <is>
          <t>Charly Alcaraz</t>
        </is>
      </c>
      <c r="B305" t="inlineStr">
        <is>
          <t>EVE</t>
        </is>
      </c>
      <c r="C305" t="inlineStr">
        <is>
          <t>MID</t>
        </is>
      </c>
      <c r="D305" t="inlineStr">
        <is>
          <t>MID</t>
        </is>
      </c>
      <c r="E305" t="b">
        <v>1</v>
      </c>
      <c r="F305" s="2" t="n">
        <v>5</v>
      </c>
      <c r="G305" t="inlineStr">
        <is>
          <t>a</t>
        </is>
      </c>
      <c r="I305" s="2" t="n">
        <v>679</v>
      </c>
      <c r="J305" t="n">
        <v>29</v>
      </c>
      <c r="K305" s="3" t="n">
        <v>191</v>
      </c>
      <c r="L305" t="inlineStr">
        <is>
          <t>flat</t>
        </is>
      </c>
      <c r="M305" s="4" t="n">
        <v>191</v>
      </c>
      <c r="N305" t="inlineStr">
        <is>
          <t>Solio</t>
        </is>
      </c>
      <c r="O305" s="5" t="n">
        <v>74.5</v>
      </c>
      <c r="P305" t="b">
        <v>1</v>
      </c>
      <c r="Q305" s="5">
        <f>IF(N(O305)&lt;=0,0,MIN(Assumptions!$B$15,N(M305)/N(O305)))</f>
        <v/>
      </c>
      <c r="R305" s="4" t="n">
        <v>0.231</v>
      </c>
      <c r="S305" s="3" t="n">
        <v>0.1671</v>
      </c>
      <c r="T305" t="inlineStr">
        <is>
          <t>adjusted xGOT</t>
        </is>
      </c>
      <c r="U305" s="3" t="n">
        <v>1</v>
      </c>
      <c r="V305" s="3" t="n">
        <v>1.078</v>
      </c>
      <c r="W305" s="3" t="n">
        <v>4.7</v>
      </c>
      <c r="X305" s="3" t="n">
        <v>0.1162</v>
      </c>
      <c r="Y305" s="3" t="n">
        <v>8.917</v>
      </c>
      <c r="Z305" s="3" t="n">
        <v>0.07248656635010664</v>
      </c>
      <c r="AA305" s="3" t="n">
        <v>0</v>
      </c>
      <c r="AB305" s="3" t="n">
        <v>27</v>
      </c>
      <c r="AC305" s="3" t="n">
        <v>3.0311</v>
      </c>
      <c r="AD305" s="3" t="n">
        <v>1.5252</v>
      </c>
      <c r="AE305" s="3" t="n">
        <v>-0.3513700501428538</v>
      </c>
      <c r="AF305" s="4" t="n">
        <v>0</v>
      </c>
      <c r="AG305" s="3" t="n">
        <v>0</v>
      </c>
      <c r="AH305" s="3" t="n">
        <v>0.8355</v>
      </c>
      <c r="AI305" s="3" t="n">
        <v>0.4601520000000001</v>
      </c>
      <c r="AJ305" s="3">
        <f>N(R305)*N(BC305)</f>
        <v/>
      </c>
      <c r="AK305" s="3" t="n">
        <v>0</v>
      </c>
      <c r="AL305" s="3" t="n">
        <v>0</v>
      </c>
      <c r="AM305" s="3" t="n">
        <v>-0</v>
      </c>
      <c r="AN305" s="3" t="n">
        <v>-0.3513700501428538</v>
      </c>
      <c r="AO305" s="3">
        <f>SUM(AH305:AN305)</f>
        <v/>
      </c>
      <c r="AP305" s="5">
        <f>IF(OR(N(Q305)&lt;=0,N(BA305)=0),0,N(Q305)*IF(N(M305)/N(Q305)&gt;=60,N(BA305),1))</f>
        <v/>
      </c>
      <c r="AQ305" s="5">
        <f>N(Q305)*N(Z305)*N(BB305)</f>
        <v/>
      </c>
      <c r="AR305" s="5">
        <f>N(AF305)*(Assumptions!$B$13*N(BD305)-(1-Assumptions!$B$13)*Assumptions!$B$14)+N(AG305)</f>
        <v/>
      </c>
      <c r="AS305" s="5">
        <f>N(AO305)*N(M305)/90+N(AP305)+N(AQ305)+N(AR305)</f>
        <v/>
      </c>
      <c r="AT305" s="3">
        <f>IF(N(M305)&lt;=0,0,(N(AS305)-N(AR305))*90/N(M305))</f>
        <v/>
      </c>
      <c r="AU305" s="5">
        <f>IFERROR(AS305-VLOOKUP($C305,Assumptions!$A$36:$C$39,3,FALSE),"")</f>
        <v/>
      </c>
      <c r="AV305" s="3">
        <f>IFERROR(AU305/F305,"")</f>
        <v/>
      </c>
      <c r="AW305">
        <f>IF(AND($E305=TRUE,$C305="GKP"),AS305,"")</f>
        <v/>
      </c>
      <c r="AX305">
        <f>IF(AND($E305=TRUE,$C305="DEF"),AS305,"")</f>
        <v/>
      </c>
      <c r="AY305">
        <f>IF(AND($E305=TRUE,$C305="MID"),AS305,"")</f>
        <v/>
      </c>
      <c r="AZ305">
        <f>IF(AND($E305=TRUE,$C305="FWD"),AS305,"")</f>
        <v/>
      </c>
      <c r="BA305" t="n">
        <v>2</v>
      </c>
      <c r="BB305" t="n">
        <v>2</v>
      </c>
      <c r="BC305" t="n">
        <v>1</v>
      </c>
      <c r="BD305" t="n">
        <v>5</v>
      </c>
    </row>
    <row r="306">
      <c r="A306" t="inlineStr">
        <is>
          <t>Yoane Wissa</t>
        </is>
      </c>
      <c r="B306" t="inlineStr">
        <is>
          <t>NEW</t>
        </is>
      </c>
      <c r="C306" t="inlineStr">
        <is>
          <t>FWD</t>
        </is>
      </c>
      <c r="D306" t="inlineStr">
        <is>
          <t>FWD</t>
        </is>
      </c>
      <c r="E306" t="b">
        <v>1</v>
      </c>
      <c r="F306" s="2" t="n">
        <v>6</v>
      </c>
      <c r="G306" t="inlineStr">
        <is>
          <t>a</t>
        </is>
      </c>
      <c r="I306" s="2" t="n">
        <v>517</v>
      </c>
      <c r="J306" t="n">
        <v>27</v>
      </c>
      <c r="K306" s="3" t="n">
        <v>1277</v>
      </c>
      <c r="L306" t="inlineStr">
        <is>
          <t>flat</t>
        </is>
      </c>
      <c r="M306" s="4" t="n">
        <v>1277</v>
      </c>
      <c r="N306" t="inlineStr">
        <is>
          <t>Solio</t>
        </is>
      </c>
      <c r="O306" s="5" t="n">
        <v>70.2</v>
      </c>
      <c r="P306" t="b">
        <v>1</v>
      </c>
      <c r="Q306" s="5">
        <f>IF(N(O306)&lt;=0,0,MIN(Assumptions!$B$15,N(M306)/N(O306)))</f>
        <v/>
      </c>
      <c r="R306" s="4" t="n">
        <v>0.248</v>
      </c>
      <c r="S306" s="3" t="n">
        <v>0.5092</v>
      </c>
      <c r="T306" t="inlineStr">
        <is>
          <t>adjusted xGOT</t>
        </is>
      </c>
      <c r="U306" s="3" t="n">
        <v>1</v>
      </c>
      <c r="V306" s="3" t="n">
        <v>0.9350000000000001</v>
      </c>
      <c r="W306" s="3" t="n">
        <v>37.9</v>
      </c>
      <c r="X306" s="3" t="n">
        <v>0.0618</v>
      </c>
      <c r="Y306" s="3" t="n">
        <v>4.39</v>
      </c>
      <c r="Z306" s="3" t="n">
        <v>0.0002379328390600399</v>
      </c>
      <c r="AA306" s="3" t="n">
        <v>0</v>
      </c>
      <c r="AB306" s="3" t="n">
        <v>23</v>
      </c>
      <c r="AC306" s="3" t="n">
        <v>3.0912</v>
      </c>
      <c r="AD306" s="3" t="n">
        <v>1.4534</v>
      </c>
      <c r="AE306" s="3" t="n">
        <v>-0.229874323940444</v>
      </c>
      <c r="AF306" s="4" t="n">
        <v>0.2172485302400686</v>
      </c>
      <c r="AG306" s="3" t="n">
        <v>0</v>
      </c>
      <c r="AH306" s="3" t="n">
        <v>2.0368</v>
      </c>
      <c r="AI306" s="3" t="n">
        <v>0.244728</v>
      </c>
      <c r="AJ306" s="3">
        <f>N(R306)*N(BC306)</f>
        <v/>
      </c>
      <c r="AK306" s="3" t="n">
        <v>0</v>
      </c>
      <c r="AL306" s="3" t="n">
        <v>0</v>
      </c>
      <c r="AM306" s="3" t="n">
        <v>-0</v>
      </c>
      <c r="AN306" s="3" t="n">
        <v>-0.229874323940444</v>
      </c>
      <c r="AO306" s="3">
        <f>SUM(AH306:AN306)</f>
        <v/>
      </c>
      <c r="AP306" s="5">
        <f>IF(OR(N(Q306)&lt;=0,N(BA306)=0),0,N(Q306)*IF(N(M306)/N(Q306)&gt;=60,N(BA306),1))</f>
        <v/>
      </c>
      <c r="AQ306" s="5">
        <f>N(Q306)*N(Z306)*N(BB306)</f>
        <v/>
      </c>
      <c r="AR306" s="5">
        <f>N(AF306)*(Assumptions!$B$13*N(BD306)-(1-Assumptions!$B$13)*Assumptions!$B$14)+N(AG306)</f>
        <v/>
      </c>
      <c r="AS306" s="5">
        <f>N(AO306)*N(M306)/90+N(AP306)+N(AQ306)+N(AR306)</f>
        <v/>
      </c>
      <c r="AT306" s="3">
        <f>IF(N(M306)&lt;=0,0,(N(AS306)-N(AR306))*90/N(M306))</f>
        <v/>
      </c>
      <c r="AU306" s="5">
        <f>IFERROR(AS306-VLOOKUP($C306,Assumptions!$A$36:$C$39,3,FALSE),"")</f>
        <v/>
      </c>
      <c r="AV306" s="3">
        <f>IFERROR(AU306/F306,"")</f>
        <v/>
      </c>
      <c r="AW306">
        <f>IF(AND($E306=TRUE,$C306="GKP"),AS306,"")</f>
        <v/>
      </c>
      <c r="AX306">
        <f>IF(AND($E306=TRUE,$C306="DEF"),AS306,"")</f>
        <v/>
      </c>
      <c r="AY306">
        <f>IF(AND($E306=TRUE,$C306="MID"),AS306,"")</f>
        <v/>
      </c>
      <c r="AZ306">
        <f>IF(AND($E306=TRUE,$C306="FWD"),AS306,"")</f>
        <v/>
      </c>
      <c r="BA306" t="n">
        <v>2</v>
      </c>
      <c r="BB306" t="n">
        <v>2</v>
      </c>
      <c r="BC306" t="n">
        <v>0</v>
      </c>
      <c r="BD306" t="n">
        <v>4</v>
      </c>
    </row>
    <row r="307">
      <c r="A307" t="inlineStr">
        <is>
          <t>Enes Ünal</t>
        </is>
      </c>
      <c r="B307" t="inlineStr">
        <is>
          <t>BOU</t>
        </is>
      </c>
      <c r="C307" t="inlineStr">
        <is>
          <t>FWD</t>
        </is>
      </c>
      <c r="D307" t="inlineStr">
        <is>
          <t>FWD</t>
        </is>
      </c>
      <c r="E307" t="b">
        <v>1</v>
      </c>
      <c r="F307" s="2" t="n">
        <v>5.5</v>
      </c>
      <c r="G307" t="inlineStr">
        <is>
          <t>u</t>
        </is>
      </c>
      <c r="H307" t="inlineStr">
        <is>
          <t>Has joined Getafe permanently</t>
        </is>
      </c>
      <c r="I307" s="2" t="n">
        <v>214</v>
      </c>
      <c r="J307" t="n">
        <v>27</v>
      </c>
      <c r="K307" s="3" t="n"/>
      <c r="M307" s="4" t="n">
        <v>214</v>
      </c>
      <c r="N307" t="inlineStr">
        <is>
          <t>25/26 actual</t>
        </is>
      </c>
      <c r="O307" s="5" t="n">
        <v>85</v>
      </c>
      <c r="P307" t="b">
        <v>1</v>
      </c>
      <c r="Q307" s="5">
        <f>IF(N(O307)&lt;=0,0,MIN(Assumptions!$B$15,N(M307)/N(O307)))</f>
        <v/>
      </c>
      <c r="R307" s="4" t="n">
        <v>0.23</v>
      </c>
      <c r="S307" s="3" t="n">
        <v>0.7023</v>
      </c>
      <c r="T307" t="inlineStr">
        <is>
          <t>adjusted xGOT</t>
        </is>
      </c>
      <c r="U307" s="3" t="n">
        <v>1</v>
      </c>
      <c r="V307" s="3" t="n">
        <v>0.835</v>
      </c>
      <c r="W307" s="3" t="n">
        <v>7.6</v>
      </c>
      <c r="X307" s="3" t="n">
        <v>0.0745</v>
      </c>
      <c r="Y307" s="3" t="n">
        <v>5.911</v>
      </c>
      <c r="Z307" s="3" t="n">
        <v>0.01221595622344873</v>
      </c>
      <c r="AA307" s="3" t="n">
        <v>0.4206</v>
      </c>
      <c r="AB307" s="3" t="n">
        <v>23</v>
      </c>
      <c r="AC307" s="3" t="n">
        <v>3.0957</v>
      </c>
      <c r="AD307" s="3" t="n">
        <v>1.53</v>
      </c>
      <c r="AE307" s="3" t="n">
        <v>-0.2485444029356791</v>
      </c>
      <c r="AF307" s="4" t="n">
        <v>0</v>
      </c>
      <c r="AG307" s="3" t="n">
        <v>0</v>
      </c>
      <c r="AH307" s="3" t="n">
        <v>2.8092</v>
      </c>
      <c r="AI307" s="3" t="n">
        <v>0.29502</v>
      </c>
      <c r="AJ307" s="3">
        <f>N(R307)*N(BC307)</f>
        <v/>
      </c>
      <c r="AK307" s="3" t="n">
        <v>0.4206</v>
      </c>
      <c r="AL307" s="3" t="n">
        <v>0</v>
      </c>
      <c r="AM307" s="3" t="n">
        <v>-0</v>
      </c>
      <c r="AN307" s="3" t="n">
        <v>-0.2485444029356791</v>
      </c>
      <c r="AO307" s="3">
        <f>SUM(AH307:AN307)</f>
        <v/>
      </c>
      <c r="AP307" s="5">
        <f>IF(OR(N(Q307)&lt;=0,N(BA307)=0),0,N(Q307)*IF(N(M307)/N(Q307)&gt;=60,N(BA307),1))</f>
        <v/>
      </c>
      <c r="AQ307" s="5">
        <f>N(Q307)*N(Z307)*N(BB307)</f>
        <v/>
      </c>
      <c r="AR307" s="5">
        <f>N(AF307)*(Assumptions!$B$13*N(BD307)-(1-Assumptions!$B$13)*Assumptions!$B$14)+N(AG307)</f>
        <v/>
      </c>
      <c r="AS307" s="5">
        <f>N(AO307)*N(M307)/90+N(AP307)+N(AQ307)+N(AR307)</f>
        <v/>
      </c>
      <c r="AT307" s="3">
        <f>IF(N(M307)&lt;=0,0,(N(AS307)-N(AR307))*90/N(M307))</f>
        <v/>
      </c>
      <c r="AU307" s="5">
        <f>IFERROR(AS307-VLOOKUP($C307,Assumptions!$A$36:$C$39,3,FALSE),"")</f>
        <v/>
      </c>
      <c r="AV307" s="3">
        <f>IFERROR(AU307/F307,"")</f>
        <v/>
      </c>
      <c r="AW307">
        <f>IF(AND($E307=TRUE,$C307="GKP"),AS307,"")</f>
        <v/>
      </c>
      <c r="AX307">
        <f>IF(AND($E307=TRUE,$C307="DEF"),AS307,"")</f>
        <v/>
      </c>
      <c r="AY307">
        <f>IF(AND($E307=TRUE,$C307="MID"),AS307,"")</f>
        <v/>
      </c>
      <c r="AZ307">
        <f>IF(AND($E307=TRUE,$C307="FWD"),AS307,"")</f>
        <v/>
      </c>
      <c r="BA307" t="n">
        <v>2</v>
      </c>
      <c r="BB307" t="n">
        <v>2</v>
      </c>
      <c r="BC307" t="n">
        <v>0</v>
      </c>
      <c r="BD307" t="n">
        <v>4</v>
      </c>
    </row>
    <row r="308">
      <c r="A308" t="inlineStr">
        <is>
          <t>Luke O'Nien</t>
        </is>
      </c>
      <c r="B308" t="inlineStr">
        <is>
          <t>SUN</t>
        </is>
      </c>
      <c r="C308" t="inlineStr">
        <is>
          <t>DEF</t>
        </is>
      </c>
      <c r="D308" t="inlineStr">
        <is>
          <t>DEF</t>
        </is>
      </c>
      <c r="E308" t="b">
        <v>1</v>
      </c>
      <c r="F308" s="2" t="n">
        <v>4</v>
      </c>
      <c r="G308" t="inlineStr">
        <is>
          <t>a</t>
        </is>
      </c>
      <c r="I308" s="2" t="n">
        <v>565</v>
      </c>
      <c r="J308" t="n">
        <v>26</v>
      </c>
      <c r="K308" s="3" t="n">
        <v>406</v>
      </c>
      <c r="L308" t="inlineStr">
        <is>
          <t>flat</t>
        </is>
      </c>
      <c r="M308" s="4" t="n">
        <v>406</v>
      </c>
      <c r="N308" t="inlineStr">
        <is>
          <t>Solio</t>
        </is>
      </c>
      <c r="O308" s="5" t="n">
        <v>90</v>
      </c>
      <c r="P308" t="b">
        <v>1</v>
      </c>
      <c r="Q308" s="5">
        <f>IF(N(O308)&lt;=0,0,MIN(Assumptions!$B$15,N(M308)/N(O308)))</f>
        <v/>
      </c>
      <c r="R308" s="4" t="n">
        <v>0.204</v>
      </c>
      <c r="S308" s="3" t="n">
        <v>0.0237</v>
      </c>
      <c r="T308" t="inlineStr">
        <is>
          <t>adjusted xGOT</t>
        </is>
      </c>
      <c r="U308" s="3" t="n">
        <v>1</v>
      </c>
      <c r="V308" s="3" t="n">
        <v>0.994</v>
      </c>
      <c r="W308" s="3" t="n">
        <v>0.2</v>
      </c>
      <c r="X308" s="3" t="n">
        <v>0.0188</v>
      </c>
      <c r="Y308" s="3" t="n">
        <v>7.318</v>
      </c>
      <c r="Z308" s="3" t="n">
        <v>0.203156840024056</v>
      </c>
      <c r="AA308" s="3" t="n">
        <v>0.1593</v>
      </c>
      <c r="AB308" s="3" t="n">
        <v>18</v>
      </c>
      <c r="AC308" s="3" t="n">
        <v>3.3348</v>
      </c>
      <c r="AD308" s="3" t="n">
        <v>1.6498</v>
      </c>
      <c r="AE308" s="3" t="n">
        <v>-0.1977506570608021</v>
      </c>
      <c r="AF308" s="4" t="n">
        <v>0</v>
      </c>
      <c r="AG308" s="3" t="n">
        <v>0</v>
      </c>
      <c r="AH308" s="3" t="n">
        <v>0.1422</v>
      </c>
      <c r="AI308" s="3" t="n">
        <v>0.07444800000000001</v>
      </c>
      <c r="AJ308" s="3">
        <f>N(R308)*N(BC308)</f>
        <v/>
      </c>
      <c r="AK308" s="3" t="n">
        <v>0.1593</v>
      </c>
      <c r="AL308" s="3" t="n">
        <v>0</v>
      </c>
      <c r="AM308" s="3" t="n">
        <v>-0.5841244809045405</v>
      </c>
      <c r="AN308" s="3" t="n">
        <v>-0.1977506570608021</v>
      </c>
      <c r="AO308" s="3">
        <f>SUM(AH308:AN308)</f>
        <v/>
      </c>
      <c r="AP308" s="5">
        <f>IF(OR(N(Q308)&lt;=0,N(BA308)=0),0,N(Q308)*IF(N(M308)/N(Q308)&gt;=60,N(BA308),1))</f>
        <v/>
      </c>
      <c r="AQ308" s="5">
        <f>N(Q308)*N(Z308)*N(BB308)</f>
        <v/>
      </c>
      <c r="AR308" s="5">
        <f>N(AF308)*(Assumptions!$B$13*N(BD308)-(1-Assumptions!$B$13)*Assumptions!$B$14)+N(AG308)</f>
        <v/>
      </c>
      <c r="AS308" s="5">
        <f>N(AO308)*N(M308)/90+N(AP308)+N(AQ308)+N(AR308)</f>
        <v/>
      </c>
      <c r="AT308" s="3">
        <f>IF(N(M308)&lt;=0,0,(N(AS308)-N(AR308))*90/N(M308))</f>
        <v/>
      </c>
      <c r="AU308" s="5">
        <f>IFERROR(AS308-VLOOKUP($C308,Assumptions!$A$36:$C$39,3,FALSE),"")</f>
        <v/>
      </c>
      <c r="AV308" s="3">
        <f>IFERROR(AU308/F308,"")</f>
        <v/>
      </c>
      <c r="AW308">
        <f>IF(AND($E308=TRUE,$C308="GKP"),AS308,"")</f>
        <v/>
      </c>
      <c r="AX308">
        <f>IF(AND($E308=TRUE,$C308="DEF"),AS308,"")</f>
        <v/>
      </c>
      <c r="AY308">
        <f>IF(AND($E308=TRUE,$C308="MID"),AS308,"")</f>
        <v/>
      </c>
      <c r="AZ308">
        <f>IF(AND($E308=TRUE,$C308="FWD"),AS308,"")</f>
        <v/>
      </c>
      <c r="BA308" t="n">
        <v>2</v>
      </c>
      <c r="BB308" t="n">
        <v>2</v>
      </c>
      <c r="BC308" t="n">
        <v>4</v>
      </c>
      <c r="BD308" t="n">
        <v>6</v>
      </c>
    </row>
    <row r="309">
      <c r="A309" t="inlineStr">
        <is>
          <t>Dilane Bakwa</t>
        </is>
      </c>
      <c r="B309" t="inlineStr">
        <is>
          <t>NFO</t>
        </is>
      </c>
      <c r="C309" t="inlineStr">
        <is>
          <t>MID</t>
        </is>
      </c>
      <c r="D309" t="inlineStr">
        <is>
          <t>MID</t>
        </is>
      </c>
      <c r="E309" t="b">
        <v>1</v>
      </c>
      <c r="F309" s="2" t="n">
        <v>5.5</v>
      </c>
      <c r="G309" t="inlineStr">
        <is>
          <t>a</t>
        </is>
      </c>
      <c r="I309" s="2" t="n">
        <v>549</v>
      </c>
      <c r="J309" t="n">
        <v>26</v>
      </c>
      <c r="K309" s="3" t="n">
        <v>164</v>
      </c>
      <c r="L309" t="inlineStr">
        <is>
          <t>flat</t>
        </is>
      </c>
      <c r="M309" s="4" t="n">
        <v>164</v>
      </c>
      <c r="N309" t="inlineStr">
        <is>
          <t>Solio</t>
        </is>
      </c>
      <c r="O309" s="5" t="n">
        <v>64</v>
      </c>
      <c r="P309" t="b">
        <v>1</v>
      </c>
      <c r="Q309" s="5">
        <f>IF(N(O309)&lt;=0,0,MIN(Assumptions!$B$15,N(M309)/N(O309)))</f>
        <v/>
      </c>
      <c r="R309" s="4" t="n">
        <v>0.224</v>
      </c>
      <c r="S309" s="3" t="n">
        <v>0.0851</v>
      </c>
      <c r="T309" t="inlineStr">
        <is>
          <t>adjusted xGOT</t>
        </is>
      </c>
      <c r="U309" s="3" t="n">
        <v>1</v>
      </c>
      <c r="V309" s="3" t="n">
        <v>0.96</v>
      </c>
      <c r="W309" s="3" t="n">
        <v>0.5</v>
      </c>
      <c r="X309" s="3" t="n">
        <v>0.1825</v>
      </c>
      <c r="Y309" s="3" t="n">
        <v>7.349</v>
      </c>
      <c r="Z309" s="3" t="n">
        <v>0.007584061439604217</v>
      </c>
      <c r="AA309" s="3" t="n">
        <v>0.1639</v>
      </c>
      <c r="AB309" s="3" t="n">
        <v>18</v>
      </c>
      <c r="AC309" s="3" t="n">
        <v>3.1134</v>
      </c>
      <c r="AD309" s="3" t="n">
        <v>1.5588</v>
      </c>
      <c r="AE309" s="3" t="n">
        <v>-0.2062518757226311</v>
      </c>
      <c r="AF309" s="4" t="n">
        <v>0</v>
      </c>
      <c r="AG309" s="3" t="n">
        <v>0</v>
      </c>
      <c r="AH309" s="3" t="n">
        <v>0.4255</v>
      </c>
      <c r="AI309" s="3" t="n">
        <v>0.7227</v>
      </c>
      <c r="AJ309" s="3">
        <f>N(R309)*N(BC309)</f>
        <v/>
      </c>
      <c r="AK309" s="3" t="n">
        <v>0.1639</v>
      </c>
      <c r="AL309" s="3" t="n">
        <v>0</v>
      </c>
      <c r="AM309" s="3" t="n">
        <v>-0</v>
      </c>
      <c r="AN309" s="3" t="n">
        <v>-0.2062518757226311</v>
      </c>
      <c r="AO309" s="3">
        <f>SUM(AH309:AN309)</f>
        <v/>
      </c>
      <c r="AP309" s="5">
        <f>IF(OR(N(Q309)&lt;=0,N(BA309)=0),0,N(Q309)*IF(N(M309)/N(Q309)&gt;=60,N(BA309),1))</f>
        <v/>
      </c>
      <c r="AQ309" s="5">
        <f>N(Q309)*N(Z309)*N(BB309)</f>
        <v/>
      </c>
      <c r="AR309" s="5">
        <f>N(AF309)*(Assumptions!$B$13*N(BD309)-(1-Assumptions!$B$13)*Assumptions!$B$14)+N(AG309)</f>
        <v/>
      </c>
      <c r="AS309" s="5">
        <f>N(AO309)*N(M309)/90+N(AP309)+N(AQ309)+N(AR309)</f>
        <v/>
      </c>
      <c r="AT309" s="3">
        <f>IF(N(M309)&lt;=0,0,(N(AS309)-N(AR309))*90/N(M309))</f>
        <v/>
      </c>
      <c r="AU309" s="5">
        <f>IFERROR(AS309-VLOOKUP($C309,Assumptions!$A$36:$C$39,3,FALSE),"")</f>
        <v/>
      </c>
      <c r="AV309" s="3">
        <f>IFERROR(AU309/F309,"")</f>
        <v/>
      </c>
      <c r="AW309">
        <f>IF(AND($E309=TRUE,$C309="GKP"),AS309,"")</f>
        <v/>
      </c>
      <c r="AX309">
        <f>IF(AND($E309=TRUE,$C309="DEF"),AS309,"")</f>
        <v/>
      </c>
      <c r="AY309">
        <f>IF(AND($E309=TRUE,$C309="MID"),AS309,"")</f>
        <v/>
      </c>
      <c r="AZ309">
        <f>IF(AND($E309=TRUE,$C309="FWD"),AS309,"")</f>
        <v/>
      </c>
      <c r="BA309" t="n">
        <v>2</v>
      </c>
      <c r="BB309" t="n">
        <v>2</v>
      </c>
      <c r="BC309" t="n">
        <v>1</v>
      </c>
      <c r="BD309" t="n">
        <v>5</v>
      </c>
    </row>
    <row r="310">
      <c r="A310" t="inlineStr">
        <is>
          <t>Jamie Gittens</t>
        </is>
      </c>
      <c r="B310" t="inlineStr">
        <is>
          <t>CHE</t>
        </is>
      </c>
      <c r="C310" t="inlineStr">
        <is>
          <t>MID</t>
        </is>
      </c>
      <c r="D310" t="inlineStr">
        <is>
          <t>MID</t>
        </is>
      </c>
      <c r="E310" t="b">
        <v>1</v>
      </c>
      <c r="F310" s="2" t="n">
        <v>6</v>
      </c>
      <c r="G310" t="inlineStr">
        <is>
          <t>a</t>
        </is>
      </c>
      <c r="I310" s="2" t="n">
        <v>486</v>
      </c>
      <c r="J310" t="n">
        <v>25</v>
      </c>
      <c r="K310" s="3" t="n">
        <v>464</v>
      </c>
      <c r="L310" t="inlineStr">
        <is>
          <t>flat</t>
        </is>
      </c>
      <c r="M310" s="4" t="n">
        <v>464</v>
      </c>
      <c r="N310" t="inlineStr">
        <is>
          <t>Solio</t>
        </is>
      </c>
      <c r="O310" s="5" t="n">
        <v>56.6</v>
      </c>
      <c r="P310" t="b">
        <v>1</v>
      </c>
      <c r="Q310" s="5">
        <f>IF(N(O310)&lt;=0,0,MIN(Assumptions!$B$15,N(M310)/N(O310)))</f>
        <v/>
      </c>
      <c r="R310" s="4" t="n">
        <v>0.322</v>
      </c>
      <c r="S310" s="3" t="n">
        <v>0.138</v>
      </c>
      <c r="T310" t="inlineStr">
        <is>
          <t>adjusted xGOT</t>
        </is>
      </c>
      <c r="U310" s="3" t="n">
        <v>1</v>
      </c>
      <c r="V310" s="3" t="n">
        <v>0.919</v>
      </c>
      <c r="W310" s="3" t="n">
        <v>0.8</v>
      </c>
      <c r="X310" s="3" t="n">
        <v>0.1776</v>
      </c>
      <c r="Y310" s="3" t="n">
        <v>7.285</v>
      </c>
      <c r="Z310" s="3" t="n">
        <v>0.002772676229580107</v>
      </c>
      <c r="AA310" s="3" t="n">
        <v>0</v>
      </c>
      <c r="AB310" s="3" t="n">
        <v>18</v>
      </c>
      <c r="AC310" s="3" t="n">
        <v>2.4232</v>
      </c>
      <c r="AD310" s="3" t="n">
        <v>1.1851</v>
      </c>
      <c r="AE310" s="3" t="n">
        <v>-0.1657253341110213</v>
      </c>
      <c r="AF310" s="4" t="n">
        <v>0</v>
      </c>
      <c r="AG310" s="3" t="n">
        <v>0</v>
      </c>
      <c r="AH310" s="3" t="n">
        <v>0.6900000000000001</v>
      </c>
      <c r="AI310" s="3" t="n">
        <v>0.7032960000000001</v>
      </c>
      <c r="AJ310" s="3">
        <f>N(R310)*N(BC310)</f>
        <v/>
      </c>
      <c r="AK310" s="3" t="n">
        <v>0</v>
      </c>
      <c r="AL310" s="3" t="n">
        <v>0</v>
      </c>
      <c r="AM310" s="3" t="n">
        <v>-0</v>
      </c>
      <c r="AN310" s="3" t="n">
        <v>-0.1657253341110213</v>
      </c>
      <c r="AO310" s="3">
        <f>SUM(AH310:AN310)</f>
        <v/>
      </c>
      <c r="AP310" s="5">
        <f>IF(OR(N(Q310)&lt;=0,N(BA310)=0),0,N(Q310)*IF(N(M310)/N(Q310)&gt;=60,N(BA310),1))</f>
        <v/>
      </c>
      <c r="AQ310" s="5">
        <f>N(Q310)*N(Z310)*N(BB310)</f>
        <v/>
      </c>
      <c r="AR310" s="5">
        <f>N(AF310)*(Assumptions!$B$13*N(BD310)-(1-Assumptions!$B$13)*Assumptions!$B$14)+N(AG310)</f>
        <v/>
      </c>
      <c r="AS310" s="5">
        <f>N(AO310)*N(M310)/90+N(AP310)+N(AQ310)+N(AR310)</f>
        <v/>
      </c>
      <c r="AT310" s="3">
        <f>IF(N(M310)&lt;=0,0,(N(AS310)-N(AR310))*90/N(M310))</f>
        <v/>
      </c>
      <c r="AU310" s="5">
        <f>IFERROR(AS310-VLOOKUP($C310,Assumptions!$A$36:$C$39,3,FALSE),"")</f>
        <v/>
      </c>
      <c r="AV310" s="3">
        <f>IFERROR(AU310/F310,"")</f>
        <v/>
      </c>
      <c r="AW310">
        <f>IF(AND($E310=TRUE,$C310="GKP"),AS310,"")</f>
        <v/>
      </c>
      <c r="AX310">
        <f>IF(AND($E310=TRUE,$C310="DEF"),AS310,"")</f>
        <v/>
      </c>
      <c r="AY310">
        <f>IF(AND($E310=TRUE,$C310="MID"),AS310,"")</f>
        <v/>
      </c>
      <c r="AZ310">
        <f>IF(AND($E310=TRUE,$C310="FWD"),AS310,"")</f>
        <v/>
      </c>
      <c r="BA310" t="n">
        <v>2</v>
      </c>
      <c r="BB310" t="n">
        <v>2</v>
      </c>
      <c r="BC310" t="n">
        <v>1</v>
      </c>
      <c r="BD310" t="n">
        <v>5</v>
      </c>
    </row>
    <row r="311">
      <c r="A311" t="inlineStr">
        <is>
          <t>Sebastiaan Bornauw</t>
        </is>
      </c>
      <c r="B311" t="inlineStr">
        <is>
          <t>LEE</t>
        </is>
      </c>
      <c r="C311" t="inlineStr">
        <is>
          <t>DEF</t>
        </is>
      </c>
      <c r="D311" t="inlineStr">
        <is>
          <t>DEF</t>
        </is>
      </c>
      <c r="E311" t="b">
        <v>1</v>
      </c>
      <c r="F311" s="2" t="n">
        <v>4.5</v>
      </c>
      <c r="G311" t="inlineStr">
        <is>
          <t>a</t>
        </is>
      </c>
      <c r="I311" s="2" t="n">
        <v>429</v>
      </c>
      <c r="J311" t="n">
        <v>25</v>
      </c>
      <c r="K311" s="3" t="n">
        <v>345</v>
      </c>
      <c r="L311" t="inlineStr">
        <is>
          <t>flat</t>
        </is>
      </c>
      <c r="M311" s="4" t="n">
        <v>345</v>
      </c>
      <c r="N311" t="inlineStr">
        <is>
          <t>Solio</t>
        </is>
      </c>
      <c r="O311" s="5" t="n">
        <v>77.8</v>
      </c>
      <c r="P311" t="b">
        <v>1</v>
      </c>
      <c r="Q311" s="5">
        <f>IF(N(O311)&lt;=0,0,MIN(Assumptions!$B$15,N(M311)/N(O311)))</f>
        <v/>
      </c>
      <c r="R311" s="4" t="n">
        <v>0.218</v>
      </c>
      <c r="S311" s="3" t="n">
        <v>0.0409</v>
      </c>
      <c r="T311" t="inlineStr">
        <is>
          <t>adjusted xGOT</t>
        </is>
      </c>
      <c r="U311" s="3" t="n">
        <v>1</v>
      </c>
      <c r="V311" s="3" t="n">
        <v>0.976</v>
      </c>
      <c r="W311" s="3" t="n">
        <v>0.2</v>
      </c>
      <c r="X311" s="3" t="n">
        <v>0.001</v>
      </c>
      <c r="Y311" s="3" t="n">
        <v>8.654</v>
      </c>
      <c r="Z311" s="3" t="n">
        <v>0.2214110177053338</v>
      </c>
      <c r="AA311" s="3" t="n">
        <v>0</v>
      </c>
      <c r="AB311" s="3" t="n">
        <v>16</v>
      </c>
      <c r="AC311" s="3" t="n">
        <v>3.0611</v>
      </c>
      <c r="AD311" s="3" t="n">
        <v>1.5875</v>
      </c>
      <c r="AE311" s="3" t="n">
        <v>-0.2105976440646309</v>
      </c>
      <c r="AF311" s="4" t="n">
        <v>0</v>
      </c>
      <c r="AG311" s="3" t="n">
        <v>0</v>
      </c>
      <c r="AH311" s="3" t="n">
        <v>0.2454</v>
      </c>
      <c r="AI311" s="3" t="n">
        <v>0.00396</v>
      </c>
      <c r="AJ311" s="3">
        <f>N(R311)*N(BC311)</f>
        <v/>
      </c>
      <c r="AK311" s="3" t="n">
        <v>0</v>
      </c>
      <c r="AL311" s="3" t="n">
        <v>0</v>
      </c>
      <c r="AM311" s="3" t="n">
        <v>-0.5541985260210861</v>
      </c>
      <c r="AN311" s="3" t="n">
        <v>-0.2105976440646309</v>
      </c>
      <c r="AO311" s="3">
        <f>SUM(AH311:AN311)</f>
        <v/>
      </c>
      <c r="AP311" s="5">
        <f>IF(OR(N(Q311)&lt;=0,N(BA311)=0),0,N(Q311)*IF(N(M311)/N(Q311)&gt;=60,N(BA311),1))</f>
        <v/>
      </c>
      <c r="AQ311" s="5">
        <f>N(Q311)*N(Z311)*N(BB311)</f>
        <v/>
      </c>
      <c r="AR311" s="5">
        <f>N(AF311)*(Assumptions!$B$13*N(BD311)-(1-Assumptions!$B$13)*Assumptions!$B$14)+N(AG311)</f>
        <v/>
      </c>
      <c r="AS311" s="5">
        <f>N(AO311)*N(M311)/90+N(AP311)+N(AQ311)+N(AR311)</f>
        <v/>
      </c>
      <c r="AT311" s="3">
        <f>IF(N(M311)&lt;=0,0,(N(AS311)-N(AR311))*90/N(M311))</f>
        <v/>
      </c>
      <c r="AU311" s="5">
        <f>IFERROR(AS311-VLOOKUP($C311,Assumptions!$A$36:$C$39,3,FALSE),"")</f>
        <v/>
      </c>
      <c r="AV311" s="3">
        <f>IFERROR(AU311/F311,"")</f>
        <v/>
      </c>
      <c r="AW311">
        <f>IF(AND($E311=TRUE,$C311="GKP"),AS311,"")</f>
        <v/>
      </c>
      <c r="AX311">
        <f>IF(AND($E311=TRUE,$C311="DEF"),AS311,"")</f>
        <v/>
      </c>
      <c r="AY311">
        <f>IF(AND($E311=TRUE,$C311="MID"),AS311,"")</f>
        <v/>
      </c>
      <c r="AZ311">
        <f>IF(AND($E311=TRUE,$C311="FWD"),AS311,"")</f>
        <v/>
      </c>
      <c r="BA311" t="n">
        <v>2</v>
      </c>
      <c r="BB311" t="n">
        <v>2</v>
      </c>
      <c r="BC311" t="n">
        <v>4</v>
      </c>
      <c r="BD311" t="n">
        <v>6</v>
      </c>
    </row>
    <row r="312">
      <c r="A312" t="inlineStr">
        <is>
          <t>Gabriel Jesus</t>
        </is>
      </c>
      <c r="B312" t="inlineStr">
        <is>
          <t>ARS</t>
        </is>
      </c>
      <c r="C312" t="inlineStr">
        <is>
          <t>FWD</t>
        </is>
      </c>
      <c r="D312" t="inlineStr">
        <is>
          <t>FWD</t>
        </is>
      </c>
      <c r="E312" t="b">
        <v>1</v>
      </c>
      <c r="F312" s="2" t="n">
        <v>6</v>
      </c>
      <c r="G312" t="inlineStr">
        <is>
          <t>a</t>
        </is>
      </c>
      <c r="I312" s="2" t="n">
        <v>418</v>
      </c>
      <c r="J312" t="n">
        <v>24</v>
      </c>
      <c r="K312" s="3" t="n">
        <v>86</v>
      </c>
      <c r="L312" t="inlineStr">
        <is>
          <t>flat</t>
        </is>
      </c>
      <c r="M312" s="4" t="n">
        <v>86</v>
      </c>
      <c r="N312" t="inlineStr">
        <is>
          <t>Solio</t>
        </is>
      </c>
      <c r="O312" s="5" t="n">
        <v>63.3</v>
      </c>
      <c r="P312" t="b">
        <v>1</v>
      </c>
      <c r="Q312" s="5">
        <f>IF(N(O312)&lt;=0,0,MIN(Assumptions!$B$15,N(M312)/N(O312)))</f>
        <v/>
      </c>
      <c r="R312" s="4" t="n">
        <v>0.391</v>
      </c>
      <c r="S312" s="3" t="n">
        <v>0.509</v>
      </c>
      <c r="T312" t="inlineStr">
        <is>
          <t>adjusted xGOT</t>
        </is>
      </c>
      <c r="U312" s="3" t="n">
        <v>1</v>
      </c>
      <c r="V312" s="3" t="n">
        <v>0.872</v>
      </c>
      <c r="W312" s="3" t="n">
        <v>26.3</v>
      </c>
      <c r="X312" s="3" t="n">
        <v>0.0504</v>
      </c>
      <c r="Y312" s="3" t="n">
        <v>5.405</v>
      </c>
      <c r="Z312" s="3" t="n">
        <v>0.0005938836595960062</v>
      </c>
      <c r="AA312" s="3" t="n">
        <v>0</v>
      </c>
      <c r="AB312" s="3" t="n">
        <v>15</v>
      </c>
      <c r="AC312" s="3" t="n">
        <v>2.067</v>
      </c>
      <c r="AD312" s="3" t="n">
        <v>0.9838</v>
      </c>
      <c r="AE312" s="3" t="n">
        <v>-0.3454871230750396</v>
      </c>
      <c r="AF312" s="4" t="n">
        <v>0</v>
      </c>
      <c r="AG312" s="3" t="n">
        <v>0</v>
      </c>
      <c r="AH312" s="3" t="n">
        <v>2.036</v>
      </c>
      <c r="AI312" s="3" t="n">
        <v>0.199584</v>
      </c>
      <c r="AJ312" s="3">
        <f>N(R312)*N(BC312)</f>
        <v/>
      </c>
      <c r="AK312" s="3" t="n">
        <v>0</v>
      </c>
      <c r="AL312" s="3" t="n">
        <v>0</v>
      </c>
      <c r="AM312" s="3" t="n">
        <v>-0</v>
      </c>
      <c r="AN312" s="3" t="n">
        <v>-0.3454871230750396</v>
      </c>
      <c r="AO312" s="3">
        <f>SUM(AH312:AN312)</f>
        <v/>
      </c>
      <c r="AP312" s="5">
        <f>IF(OR(N(Q312)&lt;=0,N(BA312)=0),0,N(Q312)*IF(N(M312)/N(Q312)&gt;=60,N(BA312),1))</f>
        <v/>
      </c>
      <c r="AQ312" s="5">
        <f>N(Q312)*N(Z312)*N(BB312)</f>
        <v/>
      </c>
      <c r="AR312" s="5">
        <f>N(AF312)*(Assumptions!$B$13*N(BD312)-(1-Assumptions!$B$13)*Assumptions!$B$14)+N(AG312)</f>
        <v/>
      </c>
      <c r="AS312" s="5">
        <f>N(AO312)*N(M312)/90+N(AP312)+N(AQ312)+N(AR312)</f>
        <v/>
      </c>
      <c r="AT312" s="3">
        <f>IF(N(M312)&lt;=0,0,(N(AS312)-N(AR312))*90/N(M312))</f>
        <v/>
      </c>
      <c r="AU312" s="5">
        <f>IFERROR(AS312-VLOOKUP($C312,Assumptions!$A$36:$C$39,3,FALSE),"")</f>
        <v/>
      </c>
      <c r="AV312" s="3">
        <f>IFERROR(AU312/F312,"")</f>
        <v/>
      </c>
      <c r="AW312">
        <f>IF(AND($E312=TRUE,$C312="GKP"),AS312,"")</f>
        <v/>
      </c>
      <c r="AX312">
        <f>IF(AND($E312=TRUE,$C312="DEF"),AS312,"")</f>
        <v/>
      </c>
      <c r="AY312">
        <f>IF(AND($E312=TRUE,$C312="MID"),AS312,"")</f>
        <v/>
      </c>
      <c r="AZ312">
        <f>IF(AND($E312=TRUE,$C312="FWD"),AS312,"")</f>
        <v/>
      </c>
      <c r="BA312" t="n">
        <v>2</v>
      </c>
      <c r="BB312" t="n">
        <v>2</v>
      </c>
      <c r="BC312" t="n">
        <v>0</v>
      </c>
      <c r="BD312" t="n">
        <v>4</v>
      </c>
    </row>
    <row r="313">
      <c r="A313" t="inlineStr">
        <is>
          <t>Daniel James</t>
        </is>
      </c>
      <c r="B313" t="inlineStr">
        <is>
          <t>LEE</t>
        </is>
      </c>
      <c r="C313" t="inlineStr">
        <is>
          <t>MID</t>
        </is>
      </c>
      <c r="D313" t="inlineStr">
        <is>
          <t>MID</t>
        </is>
      </c>
      <c r="E313" t="b">
        <v>1</v>
      </c>
      <c r="F313" s="2" t="n">
        <v>5</v>
      </c>
      <c r="G313" t="inlineStr">
        <is>
          <t>a</t>
        </is>
      </c>
      <c r="I313" s="2" t="n">
        <v>547</v>
      </c>
      <c r="J313" t="n">
        <v>23</v>
      </c>
      <c r="K313" s="3" t="n">
        <v>429</v>
      </c>
      <c r="L313" t="inlineStr">
        <is>
          <t>flat</t>
        </is>
      </c>
      <c r="M313" s="4" t="n">
        <v>429</v>
      </c>
      <c r="N313" t="inlineStr">
        <is>
          <t>Solio</t>
        </is>
      </c>
      <c r="O313" s="5" t="n">
        <v>61.2</v>
      </c>
      <c r="P313" t="b">
        <v>1</v>
      </c>
      <c r="Q313" s="5">
        <f>IF(N(O313)&lt;=0,0,MIN(Assumptions!$B$15,N(M313)/N(O313)))</f>
        <v/>
      </c>
      <c r="R313" s="4" t="n">
        <v>0.218</v>
      </c>
      <c r="S313" s="3" t="n">
        <v>0.1466</v>
      </c>
      <c r="T313" t="inlineStr">
        <is>
          <t>adjusted xGOT</t>
        </is>
      </c>
      <c r="U313" s="3" t="n">
        <v>1</v>
      </c>
      <c r="V313" s="3" t="n">
        <v>0.979</v>
      </c>
      <c r="W313" s="3" t="n">
        <v>2.9</v>
      </c>
      <c r="X313" s="3" t="n">
        <v>0.0987</v>
      </c>
      <c r="Y313" s="3" t="n">
        <v>7.36</v>
      </c>
      <c r="Z313" s="3" t="n">
        <v>0.005492768452927677</v>
      </c>
      <c r="AA313" s="3" t="n">
        <v>0</v>
      </c>
      <c r="AB313" s="3" t="n">
        <v>22</v>
      </c>
      <c r="AC313" s="3" t="n">
        <v>3.0611</v>
      </c>
      <c r="AD313" s="3" t="n">
        <v>1.5875</v>
      </c>
      <c r="AE313" s="3" t="n">
        <v>-0.1611483197653539</v>
      </c>
      <c r="AF313" s="4" t="n">
        <v>0</v>
      </c>
      <c r="AG313" s="3" t="n">
        <v>0</v>
      </c>
      <c r="AH313" s="3" t="n">
        <v>0.7330000000000001</v>
      </c>
      <c r="AI313" s="3" t="n">
        <v>0.390852</v>
      </c>
      <c r="AJ313" s="3">
        <f>N(R313)*N(BC313)</f>
        <v/>
      </c>
      <c r="AK313" s="3" t="n">
        <v>0</v>
      </c>
      <c r="AL313" s="3" t="n">
        <v>0</v>
      </c>
      <c r="AM313" s="3" t="n">
        <v>-0</v>
      </c>
      <c r="AN313" s="3" t="n">
        <v>-0.1611483197653539</v>
      </c>
      <c r="AO313" s="3">
        <f>SUM(AH313:AN313)</f>
        <v/>
      </c>
      <c r="AP313" s="5">
        <f>IF(OR(N(Q313)&lt;=0,N(BA313)=0),0,N(Q313)*IF(N(M313)/N(Q313)&gt;=60,N(BA313),1))</f>
        <v/>
      </c>
      <c r="AQ313" s="5">
        <f>N(Q313)*N(Z313)*N(BB313)</f>
        <v/>
      </c>
      <c r="AR313" s="5">
        <f>N(AF313)*(Assumptions!$B$13*N(BD313)-(1-Assumptions!$B$13)*Assumptions!$B$14)+N(AG313)</f>
        <v/>
      </c>
      <c r="AS313" s="5">
        <f>N(AO313)*N(M313)/90+N(AP313)+N(AQ313)+N(AR313)</f>
        <v/>
      </c>
      <c r="AT313" s="3">
        <f>IF(N(M313)&lt;=0,0,(N(AS313)-N(AR313))*90/N(M313))</f>
        <v/>
      </c>
      <c r="AU313" s="5">
        <f>IFERROR(AS313-VLOOKUP($C313,Assumptions!$A$36:$C$39,3,FALSE),"")</f>
        <v/>
      </c>
      <c r="AV313" s="3">
        <f>IFERROR(AU313/F313,"")</f>
        <v/>
      </c>
      <c r="AW313">
        <f>IF(AND($E313=TRUE,$C313="GKP"),AS313,"")</f>
        <v/>
      </c>
      <c r="AX313">
        <f>IF(AND($E313=TRUE,$C313="DEF"),AS313,"")</f>
        <v/>
      </c>
      <c r="AY313">
        <f>IF(AND($E313=TRUE,$C313="MID"),AS313,"")</f>
        <v/>
      </c>
      <c r="AZ313">
        <f>IF(AND($E313=TRUE,$C313="FWD"),AS313,"")</f>
        <v/>
      </c>
      <c r="BA313" t="n">
        <v>2</v>
      </c>
      <c r="BB313" t="n">
        <v>2</v>
      </c>
      <c r="BC313" t="n">
        <v>1</v>
      </c>
      <c r="BD313" t="n">
        <v>5</v>
      </c>
    </row>
    <row r="314">
      <c r="A314" t="inlineStr">
        <is>
          <t>Eddie Nketiah</t>
        </is>
      </c>
      <c r="B314" t="inlineStr">
        <is>
          <t>CRY</t>
        </is>
      </c>
      <c r="C314" t="inlineStr">
        <is>
          <t>FWD</t>
        </is>
      </c>
      <c r="D314" t="inlineStr">
        <is>
          <t>FWD</t>
        </is>
      </c>
      <c r="E314" t="b">
        <v>1</v>
      </c>
      <c r="F314" s="2" t="n">
        <v>5.5</v>
      </c>
      <c r="G314" t="inlineStr">
        <is>
          <t>a</t>
        </is>
      </c>
      <c r="I314" s="2" t="n">
        <v>414</v>
      </c>
      <c r="J314" t="n">
        <v>23</v>
      </c>
      <c r="K314" s="3" t="n">
        <v>266</v>
      </c>
      <c r="L314" t="inlineStr">
        <is>
          <t>flat</t>
        </is>
      </c>
      <c r="M314" s="4" t="n">
        <v>266</v>
      </c>
      <c r="N314" t="inlineStr">
        <is>
          <t>Solio</t>
        </is>
      </c>
      <c r="O314" s="5" t="n">
        <v>70</v>
      </c>
      <c r="P314" t="b">
        <v>1</v>
      </c>
      <c r="Q314" s="5">
        <f>IF(N(O314)&lt;=0,0,MIN(Assumptions!$B$15,N(M314)/N(O314)))</f>
        <v/>
      </c>
      <c r="R314" s="4" t="n">
        <v>0.216</v>
      </c>
      <c r="S314" s="3" t="n">
        <v>0.335</v>
      </c>
      <c r="T314" t="inlineStr">
        <is>
          <t>adjusted xGOT</t>
        </is>
      </c>
      <c r="U314" s="3" t="n">
        <v>1</v>
      </c>
      <c r="V314" s="3" t="n">
        <v>0.871</v>
      </c>
      <c r="W314" s="3" t="n">
        <v>20.2</v>
      </c>
      <c r="X314" s="3" t="n">
        <v>0.1544</v>
      </c>
      <c r="Y314" s="3" t="n">
        <v>6.059</v>
      </c>
      <c r="Z314" s="3" t="n">
        <v>0.003460703797955711</v>
      </c>
      <c r="AA314" s="3" t="n">
        <v>0.6522</v>
      </c>
      <c r="AB314" s="3" t="n">
        <v>14</v>
      </c>
      <c r="AC314" s="3" t="n">
        <v>3.2035</v>
      </c>
      <c r="AD314" s="3" t="n">
        <v>1.5923</v>
      </c>
      <c r="AE314" s="3" t="n">
        <v>-0.2672003494368691</v>
      </c>
      <c r="AF314" s="4" t="n">
        <v>0</v>
      </c>
      <c r="AG314" s="3" t="n">
        <v>0</v>
      </c>
      <c r="AH314" s="3" t="n">
        <v>1.34</v>
      </c>
      <c r="AI314" s="3" t="n">
        <v>0.6114240000000001</v>
      </c>
      <c r="AJ314" s="3">
        <f>N(R314)*N(BC314)</f>
        <v/>
      </c>
      <c r="AK314" s="3" t="n">
        <v>0.6522</v>
      </c>
      <c r="AL314" s="3" t="n">
        <v>0</v>
      </c>
      <c r="AM314" s="3" t="n">
        <v>-0</v>
      </c>
      <c r="AN314" s="3" t="n">
        <v>-0.2672003494368691</v>
      </c>
      <c r="AO314" s="3">
        <f>SUM(AH314:AN314)</f>
        <v/>
      </c>
      <c r="AP314" s="5">
        <f>IF(OR(N(Q314)&lt;=0,N(BA314)=0),0,N(Q314)*IF(N(M314)/N(Q314)&gt;=60,N(BA314),1))</f>
        <v/>
      </c>
      <c r="AQ314" s="5">
        <f>N(Q314)*N(Z314)*N(BB314)</f>
        <v/>
      </c>
      <c r="AR314" s="5">
        <f>N(AF314)*(Assumptions!$B$13*N(BD314)-(1-Assumptions!$B$13)*Assumptions!$B$14)+N(AG314)</f>
        <v/>
      </c>
      <c r="AS314" s="5">
        <f>N(AO314)*N(M314)/90+N(AP314)+N(AQ314)+N(AR314)</f>
        <v/>
      </c>
      <c r="AT314" s="3">
        <f>IF(N(M314)&lt;=0,0,(N(AS314)-N(AR314))*90/N(M314))</f>
        <v/>
      </c>
      <c r="AU314" s="5">
        <f>IFERROR(AS314-VLOOKUP($C314,Assumptions!$A$36:$C$39,3,FALSE),"")</f>
        <v/>
      </c>
      <c r="AV314" s="3">
        <f>IFERROR(AU314/F314,"")</f>
        <v/>
      </c>
      <c r="AW314">
        <f>IF(AND($E314=TRUE,$C314="GKP"),AS314,"")</f>
        <v/>
      </c>
      <c r="AX314">
        <f>IF(AND($E314=TRUE,$C314="DEF"),AS314,"")</f>
        <v/>
      </c>
      <c r="AY314">
        <f>IF(AND($E314=TRUE,$C314="MID"),AS314,"")</f>
        <v/>
      </c>
      <c r="AZ314">
        <f>IF(AND($E314=TRUE,$C314="FWD"),AS314,"")</f>
        <v/>
      </c>
      <c r="BA314" t="n">
        <v>2</v>
      </c>
      <c r="BB314" t="n">
        <v>2</v>
      </c>
      <c r="BC314" t="n">
        <v>0</v>
      </c>
      <c r="BD314" t="n">
        <v>4</v>
      </c>
    </row>
    <row r="315">
      <c r="A315" t="inlineStr">
        <is>
          <t>Tammy Abraham</t>
        </is>
      </c>
      <c r="B315" t="inlineStr">
        <is>
          <t>AVL</t>
        </is>
      </c>
      <c r="C315" t="inlineStr">
        <is>
          <t>FWD</t>
        </is>
      </c>
      <c r="D315" t="inlineStr">
        <is>
          <t>FWD</t>
        </is>
      </c>
      <c r="E315" t="b">
        <v>1</v>
      </c>
      <c r="F315" s="2" t="n">
        <v>5.5</v>
      </c>
      <c r="G315" t="inlineStr">
        <is>
          <t>a</t>
        </is>
      </c>
      <c r="I315" s="2" t="n">
        <v>278</v>
      </c>
      <c r="J315" t="n">
        <v>23</v>
      </c>
      <c r="K315" s="3" t="n">
        <v>280</v>
      </c>
      <c r="L315" t="inlineStr">
        <is>
          <t>flat</t>
        </is>
      </c>
      <c r="M315" s="4" t="n">
        <v>280</v>
      </c>
      <c r="N315" t="inlineStr">
        <is>
          <t>Solio</t>
        </is>
      </c>
      <c r="O315" s="5" t="n">
        <v>74.5</v>
      </c>
      <c r="P315" t="b">
        <v>1</v>
      </c>
      <c r="Q315" s="5">
        <f>IF(N(O315)&lt;=0,0,MIN(Assumptions!$B$15,N(M315)/N(O315)))</f>
        <v/>
      </c>
      <c r="R315" s="4" t="n">
        <v>0.273</v>
      </c>
      <c r="S315" s="3" t="n">
        <v>0.6604</v>
      </c>
      <c r="T315" t="inlineStr">
        <is>
          <t>adjusted xGOT</t>
        </is>
      </c>
      <c r="U315" s="3" t="n">
        <v>1</v>
      </c>
      <c r="V315" s="3" t="n">
        <v>0.995</v>
      </c>
      <c r="W315" s="3" t="n">
        <v>2</v>
      </c>
      <c r="X315" s="3" t="n">
        <v>0.07920000000000001</v>
      </c>
      <c r="Y315" s="3" t="n">
        <v>4.63</v>
      </c>
      <c r="Z315" s="3" t="n">
        <v>0.0006368244233194709</v>
      </c>
      <c r="AA315" s="3" t="n">
        <v>0.6475</v>
      </c>
      <c r="AB315" s="3" t="n">
        <v>13</v>
      </c>
      <c r="AC315" s="3" t="n">
        <v>2.7451</v>
      </c>
      <c r="AD315" s="3" t="n">
        <v>1.3575</v>
      </c>
      <c r="AE315" s="3" t="n">
        <v>-0.1483047429334944</v>
      </c>
      <c r="AF315" s="4" t="n">
        <v>0</v>
      </c>
      <c r="AG315" s="3" t="n">
        <v>0</v>
      </c>
      <c r="AH315" s="3" t="n">
        <v>2.6416</v>
      </c>
      <c r="AI315" s="3" t="n">
        <v>0.3136320000000001</v>
      </c>
      <c r="AJ315" s="3">
        <f>N(R315)*N(BC315)</f>
        <v/>
      </c>
      <c r="AK315" s="3" t="n">
        <v>0.6475</v>
      </c>
      <c r="AL315" s="3" t="n">
        <v>0</v>
      </c>
      <c r="AM315" s="3" t="n">
        <v>-0</v>
      </c>
      <c r="AN315" s="3" t="n">
        <v>-0.1483047429334944</v>
      </c>
      <c r="AO315" s="3">
        <f>SUM(AH315:AN315)</f>
        <v/>
      </c>
      <c r="AP315" s="5">
        <f>IF(OR(N(Q315)&lt;=0,N(BA315)=0),0,N(Q315)*IF(N(M315)/N(Q315)&gt;=60,N(BA315),1))</f>
        <v/>
      </c>
      <c r="AQ315" s="5">
        <f>N(Q315)*N(Z315)*N(BB315)</f>
        <v/>
      </c>
      <c r="AR315" s="5">
        <f>N(AF315)*(Assumptions!$B$13*N(BD315)-(1-Assumptions!$B$13)*Assumptions!$B$14)+N(AG315)</f>
        <v/>
      </c>
      <c r="AS315" s="5">
        <f>N(AO315)*N(M315)/90+N(AP315)+N(AQ315)+N(AR315)</f>
        <v/>
      </c>
      <c r="AT315" s="3">
        <f>IF(N(M315)&lt;=0,0,(N(AS315)-N(AR315))*90/N(M315))</f>
        <v/>
      </c>
      <c r="AU315" s="5">
        <f>IFERROR(AS315-VLOOKUP($C315,Assumptions!$A$36:$C$39,3,FALSE),"")</f>
        <v/>
      </c>
      <c r="AV315" s="3">
        <f>IFERROR(AU315/F315,"")</f>
        <v/>
      </c>
      <c r="AW315">
        <f>IF(AND($E315=TRUE,$C315="GKP"),AS315,"")</f>
        <v/>
      </c>
      <c r="AX315">
        <f>IF(AND($E315=TRUE,$C315="DEF"),AS315,"")</f>
        <v/>
      </c>
      <c r="AY315">
        <f>IF(AND($E315=TRUE,$C315="MID"),AS315,"")</f>
        <v/>
      </c>
      <c r="AZ315">
        <f>IF(AND($E315=TRUE,$C315="FWD"),AS315,"")</f>
        <v/>
      </c>
      <c r="BA315" t="n">
        <v>2</v>
      </c>
      <c r="BB315" t="n">
        <v>2</v>
      </c>
      <c r="BC315" t="n">
        <v>0</v>
      </c>
      <c r="BD315" t="n">
        <v>4</v>
      </c>
    </row>
    <row r="316">
      <c r="A316" t="inlineStr">
        <is>
          <t>Nathan Patterson</t>
        </is>
      </c>
      <c r="B316" t="inlineStr">
        <is>
          <t>EVE</t>
        </is>
      </c>
      <c r="C316" t="inlineStr">
        <is>
          <t>DEF</t>
        </is>
      </c>
      <c r="D316" t="inlineStr">
        <is>
          <t>DEF</t>
        </is>
      </c>
      <c r="E316" t="b">
        <v>1</v>
      </c>
      <c r="F316" s="2" t="n">
        <v>4.5</v>
      </c>
      <c r="G316" t="inlineStr">
        <is>
          <t>a</t>
        </is>
      </c>
      <c r="I316" s="2" t="n">
        <v>238</v>
      </c>
      <c r="J316" t="n">
        <v>22</v>
      </c>
      <c r="K316" s="3" t="n">
        <v>140</v>
      </c>
      <c r="L316" t="inlineStr">
        <is>
          <t>flat</t>
        </is>
      </c>
      <c r="M316" s="4" t="n">
        <v>140</v>
      </c>
      <c r="N316" t="inlineStr">
        <is>
          <t>Solio</t>
        </is>
      </c>
      <c r="O316" s="5" t="n">
        <v>77</v>
      </c>
      <c r="P316" t="b">
        <v>1</v>
      </c>
      <c r="Q316" s="5">
        <f>IF(N(O316)&lt;=0,0,MIN(Assumptions!$B$15,N(M316)/N(O316)))</f>
        <v/>
      </c>
      <c r="R316" s="4" t="n">
        <v>0.231</v>
      </c>
      <c r="S316" s="3" t="n">
        <v>0.0106</v>
      </c>
      <c r="T316" t="inlineStr">
        <is>
          <t>adjusted xGOT</t>
        </is>
      </c>
      <c r="U316" s="3" t="n">
        <v>1</v>
      </c>
      <c r="V316" s="3" t="n">
        <v>0.93</v>
      </c>
      <c r="W316" s="3" t="n">
        <v>0.9</v>
      </c>
      <c r="X316" s="3" t="n">
        <v>0.0076</v>
      </c>
      <c r="Y316" s="3" t="n">
        <v>8.688000000000001</v>
      </c>
      <c r="Z316" s="3" t="n">
        <v>0.2159844553365379</v>
      </c>
      <c r="AA316" s="3" t="n">
        <v>0</v>
      </c>
      <c r="AB316" s="3" t="n">
        <v>10</v>
      </c>
      <c r="AC316" s="3" t="n">
        <v>3.0311</v>
      </c>
      <c r="AD316" s="3" t="n">
        <v>1.5252</v>
      </c>
      <c r="AE316" s="3" t="n">
        <v>-0.2235404882666001</v>
      </c>
      <c r="AF316" s="4" t="n">
        <v>0</v>
      </c>
      <c r="AG316" s="3" t="n">
        <v>0</v>
      </c>
      <c r="AH316" s="3" t="n">
        <v>0.0636</v>
      </c>
      <c r="AI316" s="3" t="n">
        <v>0.030096</v>
      </c>
      <c r="AJ316" s="3">
        <f>N(R316)*N(BC316)</f>
        <v/>
      </c>
      <c r="AK316" s="3" t="n">
        <v>0</v>
      </c>
      <c r="AL316" s="3" t="n">
        <v>0</v>
      </c>
      <c r="AM316" s="3" t="n">
        <v>-0.524434996152324</v>
      </c>
      <c r="AN316" s="3" t="n">
        <v>-0.2235404882666001</v>
      </c>
      <c r="AO316" s="3">
        <f>SUM(AH316:AN316)</f>
        <v/>
      </c>
      <c r="AP316" s="5">
        <f>IF(OR(N(Q316)&lt;=0,N(BA316)=0),0,N(Q316)*IF(N(M316)/N(Q316)&gt;=60,N(BA316),1))</f>
        <v/>
      </c>
      <c r="AQ316" s="5">
        <f>N(Q316)*N(Z316)*N(BB316)</f>
        <v/>
      </c>
      <c r="AR316" s="5">
        <f>N(AF316)*(Assumptions!$B$13*N(BD316)-(1-Assumptions!$B$13)*Assumptions!$B$14)+N(AG316)</f>
        <v/>
      </c>
      <c r="AS316" s="5">
        <f>N(AO316)*N(M316)/90+N(AP316)+N(AQ316)+N(AR316)</f>
        <v/>
      </c>
      <c r="AT316" s="3">
        <f>IF(N(M316)&lt;=0,0,(N(AS316)-N(AR316))*90/N(M316))</f>
        <v/>
      </c>
      <c r="AU316" s="5">
        <f>IFERROR(AS316-VLOOKUP($C316,Assumptions!$A$36:$C$39,3,FALSE),"")</f>
        <v/>
      </c>
      <c r="AV316" s="3">
        <f>IFERROR(AU316/F316,"")</f>
        <v/>
      </c>
      <c r="AW316">
        <f>IF(AND($E316=TRUE,$C316="GKP"),AS316,"")</f>
        <v/>
      </c>
      <c r="AX316">
        <f>IF(AND($E316=TRUE,$C316="DEF"),AS316,"")</f>
        <v/>
      </c>
      <c r="AY316">
        <f>IF(AND($E316=TRUE,$C316="MID"),AS316,"")</f>
        <v/>
      </c>
      <c r="AZ316">
        <f>IF(AND($E316=TRUE,$C316="FWD"),AS316,"")</f>
        <v/>
      </c>
      <c r="BA316" t="n">
        <v>2</v>
      </c>
      <c r="BB316" t="n">
        <v>2</v>
      </c>
      <c r="BC316" t="n">
        <v>4</v>
      </c>
      <c r="BD316" t="n">
        <v>6</v>
      </c>
    </row>
    <row r="317">
      <c r="A317" t="inlineStr">
        <is>
          <t>Leon Bailey</t>
        </is>
      </c>
      <c r="B317" t="inlineStr">
        <is>
          <t>AVL</t>
        </is>
      </c>
      <c r="C317" t="inlineStr">
        <is>
          <t>MID</t>
        </is>
      </c>
      <c r="D317" t="inlineStr">
        <is>
          <t>MID</t>
        </is>
      </c>
      <c r="E317" t="b">
        <v>1</v>
      </c>
      <c r="F317" s="2" t="n">
        <v>5.5</v>
      </c>
      <c r="G317" t="inlineStr">
        <is>
          <t>a</t>
        </is>
      </c>
      <c r="I317" s="2" t="n">
        <v>450</v>
      </c>
      <c r="J317" t="n">
        <v>21</v>
      </c>
      <c r="K317" s="3" t="n">
        <v>111</v>
      </c>
      <c r="L317" t="inlineStr">
        <is>
          <t>flat</t>
        </is>
      </c>
      <c r="M317" s="4" t="n">
        <v>111</v>
      </c>
      <c r="N317" t="inlineStr">
        <is>
          <t>Solio</t>
        </is>
      </c>
      <c r="O317" s="5" t="n">
        <v>70.7</v>
      </c>
      <c r="P317" t="b">
        <v>1</v>
      </c>
      <c r="Q317" s="5">
        <f>IF(N(O317)&lt;=0,0,MIN(Assumptions!$B$15,N(M317)/N(O317)))</f>
        <v/>
      </c>
      <c r="R317" s="4" t="n">
        <v>0.273</v>
      </c>
      <c r="S317" s="3" t="n">
        <v>0.081</v>
      </c>
      <c r="T317" t="inlineStr">
        <is>
          <t>adjusted xGOT</t>
        </is>
      </c>
      <c r="U317" s="3" t="n">
        <v>1</v>
      </c>
      <c r="V317" s="3" t="n">
        <v>0.8100000000000001</v>
      </c>
      <c r="W317" s="3" t="n">
        <v>13.9</v>
      </c>
      <c r="X317" s="3" t="n">
        <v>0.2577</v>
      </c>
      <c r="Y317" s="3" t="n">
        <v>8.970000000000001</v>
      </c>
      <c r="Z317" s="3" t="n">
        <v>0.05547497306368832</v>
      </c>
      <c r="AA317" s="3" t="n">
        <v>0</v>
      </c>
      <c r="AB317" s="3" t="n">
        <v>16</v>
      </c>
      <c r="AC317" s="3" t="n">
        <v>2.7451</v>
      </c>
      <c r="AD317" s="3" t="n">
        <v>1.3575</v>
      </c>
      <c r="AE317" s="3" t="n">
        <v>-0.2284979422828767</v>
      </c>
      <c r="AF317" s="4" t="n">
        <v>0</v>
      </c>
      <c r="AG317" s="3" t="n">
        <v>0</v>
      </c>
      <c r="AH317" s="3" t="n">
        <v>0.405</v>
      </c>
      <c r="AI317" s="3" t="n">
        <v>1.020492</v>
      </c>
      <c r="AJ317" s="3">
        <f>N(R317)*N(BC317)</f>
        <v/>
      </c>
      <c r="AK317" s="3" t="n">
        <v>0</v>
      </c>
      <c r="AL317" s="3" t="n">
        <v>0</v>
      </c>
      <c r="AM317" s="3" t="n">
        <v>-0</v>
      </c>
      <c r="AN317" s="3" t="n">
        <v>-0.2284979422828767</v>
      </c>
      <c r="AO317" s="3">
        <f>SUM(AH317:AN317)</f>
        <v/>
      </c>
      <c r="AP317" s="5">
        <f>IF(OR(N(Q317)&lt;=0,N(BA317)=0),0,N(Q317)*IF(N(M317)/N(Q317)&gt;=60,N(BA317),1))</f>
        <v/>
      </c>
      <c r="AQ317" s="5">
        <f>N(Q317)*N(Z317)*N(BB317)</f>
        <v/>
      </c>
      <c r="AR317" s="5">
        <f>N(AF317)*(Assumptions!$B$13*N(BD317)-(1-Assumptions!$B$13)*Assumptions!$B$14)+N(AG317)</f>
        <v/>
      </c>
      <c r="AS317" s="5">
        <f>N(AO317)*N(M317)/90+N(AP317)+N(AQ317)+N(AR317)</f>
        <v/>
      </c>
      <c r="AT317" s="3">
        <f>IF(N(M317)&lt;=0,0,(N(AS317)-N(AR317))*90/N(M317))</f>
        <v/>
      </c>
      <c r="AU317" s="5">
        <f>IFERROR(AS317-VLOOKUP($C317,Assumptions!$A$36:$C$39,3,FALSE),"")</f>
        <v/>
      </c>
      <c r="AV317" s="3">
        <f>IFERROR(AU317/F317,"")</f>
        <v/>
      </c>
      <c r="AW317">
        <f>IF(AND($E317=TRUE,$C317="GKP"),AS317,"")</f>
        <v/>
      </c>
      <c r="AX317">
        <f>IF(AND($E317=TRUE,$C317="DEF"),AS317,"")</f>
        <v/>
      </c>
      <c r="AY317">
        <f>IF(AND($E317=TRUE,$C317="MID"),AS317,"")</f>
        <v/>
      </c>
      <c r="AZ317">
        <f>IF(AND($E317=TRUE,$C317="FWD"),AS317,"")</f>
        <v/>
      </c>
      <c r="BA317" t="n">
        <v>2</v>
      </c>
      <c r="BB317" t="n">
        <v>2</v>
      </c>
      <c r="BC317" t="n">
        <v>1</v>
      </c>
      <c r="BD317" t="n">
        <v>5</v>
      </c>
    </row>
    <row r="318">
      <c r="A318" t="inlineStr">
        <is>
          <t>Harrison Armstrong</t>
        </is>
      </c>
      <c r="B318" t="inlineStr">
        <is>
          <t>EVE</t>
        </is>
      </c>
      <c r="C318" t="inlineStr">
        <is>
          <t>MID</t>
        </is>
      </c>
      <c r="D318" t="inlineStr">
        <is>
          <t>MID</t>
        </is>
      </c>
      <c r="E318" t="b">
        <v>1</v>
      </c>
      <c r="F318" s="2" t="n">
        <v>5</v>
      </c>
      <c r="G318" t="inlineStr">
        <is>
          <t>a</t>
        </is>
      </c>
      <c r="I318" s="2" t="n">
        <v>524</v>
      </c>
      <c r="J318" t="n">
        <v>21</v>
      </c>
      <c r="K318" s="3" t="n">
        <v>357</v>
      </c>
      <c r="L318" t="inlineStr">
        <is>
          <t>flat</t>
        </is>
      </c>
      <c r="M318" s="4" t="n">
        <v>357</v>
      </c>
      <c r="N318" t="inlineStr">
        <is>
          <t>Solio</t>
        </is>
      </c>
      <c r="O318" s="5" t="n">
        <v>73.3</v>
      </c>
      <c r="P318" t="b">
        <v>1</v>
      </c>
      <c r="Q318" s="5">
        <f>IF(N(O318)&lt;=0,0,MIN(Assumptions!$B$15,N(M318)/N(O318)))</f>
        <v/>
      </c>
      <c r="R318" s="4" t="n">
        <v>0.231</v>
      </c>
      <c r="S318" s="3" t="n">
        <v>0.1304</v>
      </c>
      <c r="T318" t="inlineStr">
        <is>
          <t>adjusted xGOT</t>
        </is>
      </c>
      <c r="U318" s="3" t="n">
        <v>1</v>
      </c>
      <c r="V318" s="3" t="n">
        <v>0.961</v>
      </c>
      <c r="W318" s="3" t="n">
        <v>1.2</v>
      </c>
      <c r="X318" s="3" t="n">
        <v>0.0293</v>
      </c>
      <c r="Y318" s="3" t="n">
        <v>8.582000000000001</v>
      </c>
      <c r="Z318" s="3" t="n">
        <v>0.05287954170848719</v>
      </c>
      <c r="AA318" s="3" t="n">
        <v>0</v>
      </c>
      <c r="AB318" s="3" t="n">
        <v>18</v>
      </c>
      <c r="AC318" s="3" t="n">
        <v>3.0311</v>
      </c>
      <c r="AD318" s="3" t="n">
        <v>1.5252</v>
      </c>
      <c r="AE318" s="3" t="n">
        <v>-0.1878768255767501</v>
      </c>
      <c r="AF318" s="4" t="n">
        <v>0</v>
      </c>
      <c r="AG318" s="3" t="n">
        <v>0</v>
      </c>
      <c r="AH318" s="3" t="n">
        <v>0.6519999999999999</v>
      </c>
      <c r="AI318" s="3" t="n">
        <v>0.116028</v>
      </c>
      <c r="AJ318" s="3">
        <f>N(R318)*N(BC318)</f>
        <v/>
      </c>
      <c r="AK318" s="3" t="n">
        <v>0</v>
      </c>
      <c r="AL318" s="3" t="n">
        <v>0</v>
      </c>
      <c r="AM318" s="3" t="n">
        <v>-0</v>
      </c>
      <c r="AN318" s="3" t="n">
        <v>-0.1878768255767501</v>
      </c>
      <c r="AO318" s="3">
        <f>SUM(AH318:AN318)</f>
        <v/>
      </c>
      <c r="AP318" s="5">
        <f>IF(OR(N(Q318)&lt;=0,N(BA318)=0),0,N(Q318)*IF(N(M318)/N(Q318)&gt;=60,N(BA318),1))</f>
        <v/>
      </c>
      <c r="AQ318" s="5">
        <f>N(Q318)*N(Z318)*N(BB318)</f>
        <v/>
      </c>
      <c r="AR318" s="5">
        <f>N(AF318)*(Assumptions!$B$13*N(BD318)-(1-Assumptions!$B$13)*Assumptions!$B$14)+N(AG318)</f>
        <v/>
      </c>
      <c r="AS318" s="5">
        <f>N(AO318)*N(M318)/90+N(AP318)+N(AQ318)+N(AR318)</f>
        <v/>
      </c>
      <c r="AT318" s="3">
        <f>IF(N(M318)&lt;=0,0,(N(AS318)-N(AR318))*90/N(M318))</f>
        <v/>
      </c>
      <c r="AU318" s="5">
        <f>IFERROR(AS318-VLOOKUP($C318,Assumptions!$A$36:$C$39,3,FALSE),"")</f>
        <v/>
      </c>
      <c r="AV318" s="3">
        <f>IFERROR(AU318/F318,"")</f>
        <v/>
      </c>
      <c r="AW318">
        <f>IF(AND($E318=TRUE,$C318="GKP"),AS318,"")</f>
        <v/>
      </c>
      <c r="AX318">
        <f>IF(AND($E318=TRUE,$C318="DEF"),AS318,"")</f>
        <v/>
      </c>
      <c r="AY318">
        <f>IF(AND($E318=TRUE,$C318="MID"),AS318,"")</f>
        <v/>
      </c>
      <c r="AZ318">
        <f>IF(AND($E318=TRUE,$C318="FWD"),AS318,"")</f>
        <v/>
      </c>
      <c r="BA318" t="n">
        <v>2</v>
      </c>
      <c r="BB318" t="n">
        <v>2</v>
      </c>
      <c r="BC318" t="n">
        <v>1</v>
      </c>
      <c r="BD318" t="n">
        <v>5</v>
      </c>
    </row>
    <row r="319">
      <c r="A319" t="inlineStr">
        <is>
          <t>Antonín Kinsky</t>
        </is>
      </c>
      <c r="B319" t="inlineStr">
        <is>
          <t>TOT</t>
        </is>
      </c>
      <c r="C319" t="inlineStr">
        <is>
          <t>GKP</t>
        </is>
      </c>
      <c r="D319" t="inlineStr">
        <is>
          <t>GKP</t>
        </is>
      </c>
      <c r="E319" t="b">
        <v>1</v>
      </c>
      <c r="F319" s="2" t="n">
        <v>4.5</v>
      </c>
      <c r="G319" t="inlineStr">
        <is>
          <t>a</t>
        </is>
      </c>
      <c r="I319" s="2" t="n">
        <v>630</v>
      </c>
      <c r="J319" t="n">
        <v>20</v>
      </c>
      <c r="K319" s="3" t="n">
        <v>3385</v>
      </c>
      <c r="L319" t="inlineStr">
        <is>
          <t>flat</t>
        </is>
      </c>
      <c r="M319" s="4" t="n">
        <v>3385</v>
      </c>
      <c r="N319" t="inlineStr">
        <is>
          <t>Solio</t>
        </is>
      </c>
      <c r="O319" s="5" t="n">
        <v>90</v>
      </c>
      <c r="P319" t="b">
        <v>1</v>
      </c>
      <c r="Q319" s="5">
        <f>IF(N(O319)&lt;=0,0,MIN(Assumptions!$B$15,N(M319)/N(O319)))</f>
        <v/>
      </c>
      <c r="R319" s="4" t="n">
        <v>0.286</v>
      </c>
      <c r="S319" s="3" t="n">
        <v>0</v>
      </c>
      <c r="T319" t="inlineStr">
        <is>
          <t>blended xG</t>
        </is>
      </c>
      <c r="U319" s="3" t="n">
        <v>1</v>
      </c>
      <c r="V319" s="3" t="n">
        <v>1</v>
      </c>
      <c r="W319" s="3" t="n">
        <v>0</v>
      </c>
      <c r="X319" s="3" t="n">
        <v>0</v>
      </c>
      <c r="Y319" s="3" t="n">
        <v>0</v>
      </c>
      <c r="Z319" s="3" t="n">
        <v>0</v>
      </c>
      <c r="AA319" s="3" t="n">
        <v>0</v>
      </c>
      <c r="AB319" s="3" t="n">
        <v>14</v>
      </c>
      <c r="AC319" s="3" t="n">
        <v>2.5739</v>
      </c>
      <c r="AD319" s="3" t="n">
        <v>1.3096</v>
      </c>
      <c r="AE319" s="3" t="n">
        <v>-0.08468159201970139</v>
      </c>
      <c r="AF319" s="4" t="n">
        <v>0</v>
      </c>
      <c r="AG319" s="3" t="n">
        <v>2.767265601918447</v>
      </c>
      <c r="AH319" s="3" t="n">
        <v>0</v>
      </c>
      <c r="AI319" s="3" t="n">
        <v>0</v>
      </c>
      <c r="AJ319" s="3">
        <f>N(R319)*N(BC319)</f>
        <v/>
      </c>
      <c r="AK319" s="3" t="n">
        <v>0</v>
      </c>
      <c r="AL319" s="3" t="n">
        <v>0.5235455255089686</v>
      </c>
      <c r="AM319" s="3" t="n">
        <v>-0.4230152821052008</v>
      </c>
      <c r="AN319" s="3" t="n">
        <v>-0.08468159201970139</v>
      </c>
      <c r="AO319" s="3">
        <f>SUM(AH319:AN319)</f>
        <v/>
      </c>
      <c r="AP319" s="5">
        <f>IF(OR(N(Q319)&lt;=0,N(BA319)=0),0,N(Q319)*IF(N(M319)/N(Q319)&gt;=60,N(BA319),1))</f>
        <v/>
      </c>
      <c r="AQ319" s="5">
        <f>N(Q319)*N(Z319)*N(BB319)</f>
        <v/>
      </c>
      <c r="AR319" s="5">
        <f>N(AF319)*(Assumptions!$B$13*N(BD319)-(1-Assumptions!$B$13)*Assumptions!$B$14)+N(AG319)</f>
        <v/>
      </c>
      <c r="AS319" s="5">
        <f>N(AO319)*N(M319)/90+N(AP319)+N(AQ319)+N(AR319)</f>
        <v/>
      </c>
      <c r="AT319" s="3">
        <f>IF(N(M319)&lt;=0,0,(N(AS319)-N(AR319))*90/N(M319))</f>
        <v/>
      </c>
      <c r="AU319" s="5">
        <f>IFERROR(AS319-VLOOKUP($C319,Assumptions!$A$36:$C$39,3,FALSE),"")</f>
        <v/>
      </c>
      <c r="AV319" s="3">
        <f>IFERROR(AU319/F319,"")</f>
        <v/>
      </c>
      <c r="AW319">
        <f>IF(AND($E319=TRUE,$C319="GKP"),AS319,"")</f>
        <v/>
      </c>
      <c r="AX319">
        <f>IF(AND($E319=TRUE,$C319="DEF"),AS319,"")</f>
        <v/>
      </c>
      <c r="AY319">
        <f>IF(AND($E319=TRUE,$C319="MID"),AS319,"")</f>
        <v/>
      </c>
      <c r="AZ319">
        <f>IF(AND($E319=TRUE,$C319="FWD"),AS319,"")</f>
        <v/>
      </c>
      <c r="BA319" t="n">
        <v>2</v>
      </c>
      <c r="BB319" t="n">
        <v>0</v>
      </c>
      <c r="BC319" t="n">
        <v>4</v>
      </c>
      <c r="BD319" t="n">
        <v>10</v>
      </c>
    </row>
    <row r="320">
      <c r="A320" t="inlineStr">
        <is>
          <t>Chadi Riad</t>
        </is>
      </c>
      <c r="B320" t="inlineStr">
        <is>
          <t>CRY</t>
        </is>
      </c>
      <c r="C320" t="inlineStr">
        <is>
          <t>DEF</t>
        </is>
      </c>
      <c r="D320" t="inlineStr">
        <is>
          <t>DEF</t>
        </is>
      </c>
      <c r="E320" t="b">
        <v>1</v>
      </c>
      <c r="F320" s="2" t="n">
        <v>4.5</v>
      </c>
      <c r="G320" t="inlineStr">
        <is>
          <t>a</t>
        </is>
      </c>
      <c r="I320" s="2" t="n">
        <v>550</v>
      </c>
      <c r="J320" t="n">
        <v>20</v>
      </c>
      <c r="K320" s="3" t="n">
        <v>356</v>
      </c>
      <c r="L320" t="inlineStr">
        <is>
          <t>flat</t>
        </is>
      </c>
      <c r="M320" s="4" t="n">
        <v>356</v>
      </c>
      <c r="N320" t="inlineStr">
        <is>
          <t>Solio</t>
        </is>
      </c>
      <c r="O320" s="5" t="n">
        <v>76.5</v>
      </c>
      <c r="P320" t="b">
        <v>1</v>
      </c>
      <c r="Q320" s="5">
        <f>IF(N(O320)&lt;=0,0,MIN(Assumptions!$B$15,N(M320)/N(O320)))</f>
        <v/>
      </c>
      <c r="R320" s="4" t="n">
        <v>0.216</v>
      </c>
      <c r="S320" s="3" t="n">
        <v>0.0532</v>
      </c>
      <c r="T320" t="inlineStr">
        <is>
          <t>adjusted xGOT</t>
        </is>
      </c>
      <c r="U320" s="3" t="n">
        <v>1</v>
      </c>
      <c r="V320" s="3" t="n">
        <v>0.984</v>
      </c>
      <c r="W320" s="3" t="n">
        <v>0.3</v>
      </c>
      <c r="X320" s="3" t="n">
        <v>0.0456</v>
      </c>
      <c r="Y320" s="3" t="n">
        <v>7.546</v>
      </c>
      <c r="Z320" s="3" t="n">
        <v>0.1153671163166248</v>
      </c>
      <c r="AA320" s="3" t="n">
        <v>0</v>
      </c>
      <c r="AB320" s="3" t="n">
        <v>15</v>
      </c>
      <c r="AC320" s="3" t="n">
        <v>3.2035</v>
      </c>
      <c r="AD320" s="3" t="n">
        <v>1.5923</v>
      </c>
      <c r="AE320" s="3" t="n">
        <v>-0.2384133220713924</v>
      </c>
      <c r="AF320" s="4" t="n">
        <v>0</v>
      </c>
      <c r="AG320" s="3" t="n">
        <v>0</v>
      </c>
      <c r="AH320" s="3" t="n">
        <v>0.3192</v>
      </c>
      <c r="AI320" s="3" t="n">
        <v>0.180576</v>
      </c>
      <c r="AJ320" s="3">
        <f>N(R320)*N(BC320)</f>
        <v/>
      </c>
      <c r="AK320" s="3" t="n">
        <v>0</v>
      </c>
      <c r="AL320" s="3" t="n">
        <v>0</v>
      </c>
      <c r="AM320" s="3" t="n">
        <v>-0.5564987001023466</v>
      </c>
      <c r="AN320" s="3" t="n">
        <v>-0.2384133220713924</v>
      </c>
      <c r="AO320" s="3">
        <f>SUM(AH320:AN320)</f>
        <v/>
      </c>
      <c r="AP320" s="5">
        <f>IF(OR(N(Q320)&lt;=0,N(BA320)=0),0,N(Q320)*IF(N(M320)/N(Q320)&gt;=60,N(BA320),1))</f>
        <v/>
      </c>
      <c r="AQ320" s="5">
        <f>N(Q320)*N(Z320)*N(BB320)</f>
        <v/>
      </c>
      <c r="AR320" s="5">
        <f>N(AF320)*(Assumptions!$B$13*N(BD320)-(1-Assumptions!$B$13)*Assumptions!$B$14)+N(AG320)</f>
        <v/>
      </c>
      <c r="AS320" s="5">
        <f>N(AO320)*N(M320)/90+N(AP320)+N(AQ320)+N(AR320)</f>
        <v/>
      </c>
      <c r="AT320" s="3">
        <f>IF(N(M320)&lt;=0,0,(N(AS320)-N(AR320))*90/N(M320))</f>
        <v/>
      </c>
      <c r="AU320" s="5">
        <f>IFERROR(AS320-VLOOKUP($C320,Assumptions!$A$36:$C$39,3,FALSE),"")</f>
        <v/>
      </c>
      <c r="AV320" s="3">
        <f>IFERROR(AU320/F320,"")</f>
        <v/>
      </c>
      <c r="AW320">
        <f>IF(AND($E320=TRUE,$C320="GKP"),AS320,"")</f>
        <v/>
      </c>
      <c r="AX320">
        <f>IF(AND($E320=TRUE,$C320="DEF"),AS320,"")</f>
        <v/>
      </c>
      <c r="AY320">
        <f>IF(AND($E320=TRUE,$C320="MID"),AS320,"")</f>
        <v/>
      </c>
      <c r="AZ320">
        <f>IF(AND($E320=TRUE,$C320="FWD"),AS320,"")</f>
        <v/>
      </c>
      <c r="BA320" t="n">
        <v>2</v>
      </c>
      <c r="BB320" t="n">
        <v>2</v>
      </c>
      <c r="BC320" t="n">
        <v>4</v>
      </c>
      <c r="BD320" t="n">
        <v>6</v>
      </c>
    </row>
    <row r="321">
      <c r="A321" t="inlineStr">
        <is>
          <t>Jorrel Hato</t>
        </is>
      </c>
      <c r="B321" t="inlineStr">
        <is>
          <t>CHE</t>
        </is>
      </c>
      <c r="C321" t="inlineStr">
        <is>
          <t>DEF</t>
        </is>
      </c>
      <c r="D321" t="inlineStr">
        <is>
          <t>DEF</t>
        </is>
      </c>
      <c r="E321" t="b">
        <v>1</v>
      </c>
      <c r="F321" s="2" t="n">
        <v>4.5</v>
      </c>
      <c r="G321" t="inlineStr">
        <is>
          <t>a</t>
        </is>
      </c>
      <c r="I321" s="2" t="n">
        <v>1139</v>
      </c>
      <c r="J321" t="n">
        <v>19</v>
      </c>
      <c r="K321" s="3" t="n">
        <v>1151</v>
      </c>
      <c r="L321" t="inlineStr">
        <is>
          <t>flat</t>
        </is>
      </c>
      <c r="M321" s="4" t="n">
        <v>1151</v>
      </c>
      <c r="N321" t="inlineStr">
        <is>
          <t>Solio</t>
        </is>
      </c>
      <c r="O321" s="5" t="n">
        <v>76.90000000000001</v>
      </c>
      <c r="P321" t="b">
        <v>1</v>
      </c>
      <c r="Q321" s="5">
        <f>IF(N(O321)&lt;=0,0,MIN(Assumptions!$B$15,N(M321)/N(O321)))</f>
        <v/>
      </c>
      <c r="R321" s="4" t="n">
        <v>0.322</v>
      </c>
      <c r="S321" s="3" t="n">
        <v>0.0228</v>
      </c>
      <c r="T321" t="inlineStr">
        <is>
          <t>adjusted xGOT</t>
        </is>
      </c>
      <c r="U321" s="3" t="n">
        <v>1</v>
      </c>
      <c r="V321" s="3" t="n">
        <v>0.964</v>
      </c>
      <c r="W321" s="3" t="n">
        <v>0.3</v>
      </c>
      <c r="X321" s="3" t="n">
        <v>0.0521</v>
      </c>
      <c r="Y321" s="3" t="n">
        <v>7.769</v>
      </c>
      <c r="Z321" s="3" t="n">
        <v>0.1347856879335687</v>
      </c>
      <c r="AA321" s="3" t="n">
        <v>0</v>
      </c>
      <c r="AB321" s="3" t="n">
        <v>32</v>
      </c>
      <c r="AC321" s="3" t="n">
        <v>2.4232</v>
      </c>
      <c r="AD321" s="3" t="n">
        <v>1.1851</v>
      </c>
      <c r="AE321" s="3" t="n">
        <v>-0.3678395973145783</v>
      </c>
      <c r="AF321" s="4" t="n">
        <v>0</v>
      </c>
      <c r="AG321" s="3" t="n">
        <v>0</v>
      </c>
      <c r="AH321" s="3" t="n">
        <v>0.1368</v>
      </c>
      <c r="AI321" s="3" t="n">
        <v>0.206316</v>
      </c>
      <c r="AJ321" s="3">
        <f>N(R321)*N(BC321)</f>
        <v/>
      </c>
      <c r="AK321" s="3" t="n">
        <v>0</v>
      </c>
      <c r="AL321" s="3" t="n">
        <v>0</v>
      </c>
      <c r="AM321" s="3" t="n">
        <v>-0.365915508000572</v>
      </c>
      <c r="AN321" s="3" t="n">
        <v>-0.3678395973145783</v>
      </c>
      <c r="AO321" s="3">
        <f>SUM(AH321:AN321)</f>
        <v/>
      </c>
      <c r="AP321" s="5">
        <f>IF(OR(N(Q321)&lt;=0,N(BA321)=0),0,N(Q321)*IF(N(M321)/N(Q321)&gt;=60,N(BA321),1))</f>
        <v/>
      </c>
      <c r="AQ321" s="5">
        <f>N(Q321)*N(Z321)*N(BB321)</f>
        <v/>
      </c>
      <c r="AR321" s="5">
        <f>N(AF321)*(Assumptions!$B$13*N(BD321)-(1-Assumptions!$B$13)*Assumptions!$B$14)+N(AG321)</f>
        <v/>
      </c>
      <c r="AS321" s="5">
        <f>N(AO321)*N(M321)/90+N(AP321)+N(AQ321)+N(AR321)</f>
        <v/>
      </c>
      <c r="AT321" s="3">
        <f>IF(N(M321)&lt;=0,0,(N(AS321)-N(AR321))*90/N(M321))</f>
        <v/>
      </c>
      <c r="AU321" s="5">
        <f>IFERROR(AS321-VLOOKUP($C321,Assumptions!$A$36:$C$39,3,FALSE),"")</f>
        <v/>
      </c>
      <c r="AV321" s="3">
        <f>IFERROR(AU321/F321,"")</f>
        <v/>
      </c>
      <c r="AW321">
        <f>IF(AND($E321=TRUE,$C321="GKP"),AS321,"")</f>
        <v/>
      </c>
      <c r="AX321">
        <f>IF(AND($E321=TRUE,$C321="DEF"),AS321,"")</f>
        <v/>
      </c>
      <c r="AY321">
        <f>IF(AND($E321=TRUE,$C321="MID"),AS321,"")</f>
        <v/>
      </c>
      <c r="AZ321">
        <f>IF(AND($E321=TRUE,$C321="FWD"),AS321,"")</f>
        <v/>
      </c>
      <c r="BA321" t="n">
        <v>2</v>
      </c>
      <c r="BB321" t="n">
        <v>2</v>
      </c>
      <c r="BC321" t="n">
        <v>4</v>
      </c>
      <c r="BD321" t="n">
        <v>6</v>
      </c>
    </row>
    <row r="322">
      <c r="A322" t="inlineStr">
        <is>
          <t>Rico Lewis</t>
        </is>
      </c>
      <c r="B322" t="inlineStr">
        <is>
          <t>MCI</t>
        </is>
      </c>
      <c r="C322" t="inlineStr">
        <is>
          <t>DEF</t>
        </is>
      </c>
      <c r="D322" t="inlineStr">
        <is>
          <t>DEF</t>
        </is>
      </c>
      <c r="E322" t="b">
        <v>1</v>
      </c>
      <c r="F322" s="2" t="n">
        <v>4.5</v>
      </c>
      <c r="G322" t="inlineStr">
        <is>
          <t>a</t>
        </is>
      </c>
      <c r="I322" s="2" t="n">
        <v>401</v>
      </c>
      <c r="J322" t="n">
        <v>19</v>
      </c>
      <c r="K322" s="3" t="n">
        <v>50</v>
      </c>
      <c r="L322" t="inlineStr">
        <is>
          <t>flat</t>
        </is>
      </c>
      <c r="M322" s="4" t="n">
        <v>50</v>
      </c>
      <c r="N322" t="inlineStr">
        <is>
          <t>Solio</t>
        </is>
      </c>
      <c r="O322" s="5" t="n">
        <v>83.8</v>
      </c>
      <c r="P322" t="b">
        <v>1</v>
      </c>
      <c r="Q322" s="5">
        <f>IF(N(O322)&lt;=0,0,MIN(Assumptions!$B$15,N(M322)/N(O322)))</f>
        <v/>
      </c>
      <c r="R322" s="4" t="n">
        <v>0.371</v>
      </c>
      <c r="S322" s="3" t="n">
        <v>0.0462</v>
      </c>
      <c r="T322" t="inlineStr">
        <is>
          <t>adjusted xGOT</t>
        </is>
      </c>
      <c r="U322" s="3" t="n">
        <v>1</v>
      </c>
      <c r="V322" s="3" t="n">
        <v>1.082</v>
      </c>
      <c r="W322" s="3" t="n">
        <v>2.4</v>
      </c>
      <c r="X322" s="3" t="n">
        <v>0.3304</v>
      </c>
      <c r="Y322" s="3" t="n">
        <v>6.461</v>
      </c>
      <c r="Z322" s="3" t="n">
        <v>0.08502351646791007</v>
      </c>
      <c r="AA322" s="3" t="n">
        <v>0.4489</v>
      </c>
      <c r="AB322" s="3" t="n">
        <v>15</v>
      </c>
      <c r="AC322" s="3" t="n">
        <v>1.9737</v>
      </c>
      <c r="AD322" s="3" t="n">
        <v>1.0365</v>
      </c>
      <c r="AE322" s="3" t="n">
        <v>-0.2160118104341646</v>
      </c>
      <c r="AF322" s="4" t="n">
        <v>0</v>
      </c>
      <c r="AG322" s="3" t="n">
        <v>0</v>
      </c>
      <c r="AH322" s="3" t="n">
        <v>0.2772</v>
      </c>
      <c r="AI322" s="3" t="n">
        <v>1.308384</v>
      </c>
      <c r="AJ322" s="3">
        <f>N(R322)*N(BC322)</f>
        <v/>
      </c>
      <c r="AK322" s="3" t="n">
        <v>0.4489</v>
      </c>
      <c r="AL322" s="3" t="n">
        <v>0</v>
      </c>
      <c r="AM322" s="3" t="n">
        <v>-0.2997019479071323</v>
      </c>
      <c r="AN322" s="3" t="n">
        <v>-0.2160118104341646</v>
      </c>
      <c r="AO322" s="3">
        <f>SUM(AH322:AN322)</f>
        <v/>
      </c>
      <c r="AP322" s="5">
        <f>IF(OR(N(Q322)&lt;=0,N(BA322)=0),0,N(Q322)*IF(N(M322)/N(Q322)&gt;=60,N(BA322),1))</f>
        <v/>
      </c>
      <c r="AQ322" s="5">
        <f>N(Q322)*N(Z322)*N(BB322)</f>
        <v/>
      </c>
      <c r="AR322" s="5">
        <f>N(AF322)*(Assumptions!$B$13*N(BD322)-(1-Assumptions!$B$13)*Assumptions!$B$14)+N(AG322)</f>
        <v/>
      </c>
      <c r="AS322" s="5">
        <f>N(AO322)*N(M322)/90+N(AP322)+N(AQ322)+N(AR322)</f>
        <v/>
      </c>
      <c r="AT322" s="3">
        <f>IF(N(M322)&lt;=0,0,(N(AS322)-N(AR322))*90/N(M322))</f>
        <v/>
      </c>
      <c r="AU322" s="5">
        <f>IFERROR(AS322-VLOOKUP($C322,Assumptions!$A$36:$C$39,3,FALSE),"")</f>
        <v/>
      </c>
      <c r="AV322" s="3">
        <f>IFERROR(AU322/F322,"")</f>
        <v/>
      </c>
      <c r="AW322">
        <f>IF(AND($E322=TRUE,$C322="GKP"),AS322,"")</f>
        <v/>
      </c>
      <c r="AX322">
        <f>IF(AND($E322=TRUE,$C322="DEF"),AS322,"")</f>
        <v/>
      </c>
      <c r="AY322">
        <f>IF(AND($E322=TRUE,$C322="MID"),AS322,"")</f>
        <v/>
      </c>
      <c r="AZ322">
        <f>IF(AND($E322=TRUE,$C322="FWD"),AS322,"")</f>
        <v/>
      </c>
      <c r="BA322" t="n">
        <v>2</v>
      </c>
      <c r="BB322" t="n">
        <v>2</v>
      </c>
      <c r="BC322" t="n">
        <v>4</v>
      </c>
      <c r="BD322" t="n">
        <v>6</v>
      </c>
    </row>
    <row r="323">
      <c r="A323" t="inlineStr">
        <is>
          <t>Veljko Milosavljevic</t>
        </is>
      </c>
      <c r="B323" t="inlineStr">
        <is>
          <t>BOU</t>
        </is>
      </c>
      <c r="C323" t="inlineStr">
        <is>
          <t>DEF</t>
        </is>
      </c>
      <c r="D323" t="inlineStr">
        <is>
          <t>DEF</t>
        </is>
      </c>
      <c r="E323" t="b">
        <v>1</v>
      </c>
      <c r="F323" s="2" t="n">
        <v>5</v>
      </c>
      <c r="G323" t="inlineStr">
        <is>
          <t>i</t>
        </is>
      </c>
      <c r="H323" t="inlineStr">
        <is>
          <t>Unspecified injury - Unknown return date</t>
        </is>
      </c>
      <c r="I323" s="2" t="n">
        <v>367</v>
      </c>
      <c r="J323" t="n">
        <v>19</v>
      </c>
      <c r="K323" s="3" t="n">
        <v>101</v>
      </c>
      <c r="L323" t="inlineStr">
        <is>
          <t>flat</t>
        </is>
      </c>
      <c r="M323" s="4" t="n">
        <v>101</v>
      </c>
      <c r="N323" t="inlineStr">
        <is>
          <t>Solio</t>
        </is>
      </c>
      <c r="O323" s="5" t="n">
        <v>90</v>
      </c>
      <c r="P323" t="b">
        <v>1</v>
      </c>
      <c r="Q323" s="5">
        <f>IF(N(O323)&lt;=0,0,MIN(Assumptions!$B$15,N(M323)/N(O323)))</f>
        <v/>
      </c>
      <c r="R323" s="4" t="n">
        <v>0.23</v>
      </c>
      <c r="S323" s="3" t="n">
        <v>0.036</v>
      </c>
      <c r="T323" t="inlineStr">
        <is>
          <t>adjusted xGOT</t>
        </is>
      </c>
      <c r="U323" s="3" t="n">
        <v>1</v>
      </c>
      <c r="V323" s="3" t="n">
        <v>0.982</v>
      </c>
      <c r="W323" s="3" t="n">
        <v>0.2</v>
      </c>
      <c r="X323" s="3" t="n">
        <v>0.0315</v>
      </c>
      <c r="Y323" s="3" t="n">
        <v>8.319000000000001</v>
      </c>
      <c r="Z323" s="3" t="n">
        <v>0.3236608379810151</v>
      </c>
      <c r="AA323" s="3" t="n">
        <v>0</v>
      </c>
      <c r="AB323" s="3" t="n">
        <v>11</v>
      </c>
      <c r="AC323" s="3" t="n">
        <v>3.0957</v>
      </c>
      <c r="AD323" s="3" t="n">
        <v>1.53</v>
      </c>
      <c r="AE323" s="3" t="n">
        <v>-0.1672897928750006</v>
      </c>
      <c r="AF323" s="4" t="n">
        <v>0</v>
      </c>
      <c r="AG323" s="3" t="n">
        <v>0</v>
      </c>
      <c r="AH323" s="3" t="n">
        <v>0.216</v>
      </c>
      <c r="AI323" s="3" t="n">
        <v>0.12474</v>
      </c>
      <c r="AJ323" s="3">
        <f>N(R323)*N(BC323)</f>
        <v/>
      </c>
      <c r="AK323" s="3" t="n">
        <v>0</v>
      </c>
      <c r="AL323" s="3" t="n">
        <v>0</v>
      </c>
      <c r="AM323" s="3" t="n">
        <v>-0.5267219238049191</v>
      </c>
      <c r="AN323" s="3" t="n">
        <v>-0.1672897928750006</v>
      </c>
      <c r="AO323" s="3">
        <f>SUM(AH323:AN323)</f>
        <v/>
      </c>
      <c r="AP323" s="5">
        <f>IF(OR(N(Q323)&lt;=0,N(BA323)=0),0,N(Q323)*IF(N(M323)/N(Q323)&gt;=60,N(BA323),1))</f>
        <v/>
      </c>
      <c r="AQ323" s="5">
        <f>N(Q323)*N(Z323)*N(BB323)</f>
        <v/>
      </c>
      <c r="AR323" s="5">
        <f>N(AF323)*(Assumptions!$B$13*N(BD323)-(1-Assumptions!$B$13)*Assumptions!$B$14)+N(AG323)</f>
        <v/>
      </c>
      <c r="AS323" s="5">
        <f>N(AO323)*N(M323)/90+N(AP323)+N(AQ323)+N(AR323)</f>
        <v/>
      </c>
      <c r="AT323" s="3">
        <f>IF(N(M323)&lt;=0,0,(N(AS323)-N(AR323))*90/N(M323))</f>
        <v/>
      </c>
      <c r="AU323" s="5">
        <f>IFERROR(AS323-VLOOKUP($C323,Assumptions!$A$36:$C$39,3,FALSE),"")</f>
        <v/>
      </c>
      <c r="AV323" s="3">
        <f>IFERROR(AU323/F323,"")</f>
        <v/>
      </c>
      <c r="AW323">
        <f>IF(AND($E323=TRUE,$C323="GKP"),AS323,"")</f>
        <v/>
      </c>
      <c r="AX323">
        <f>IF(AND($E323=TRUE,$C323="DEF"),AS323,"")</f>
        <v/>
      </c>
      <c r="AY323">
        <f>IF(AND($E323=TRUE,$C323="MID"),AS323,"")</f>
        <v/>
      </c>
      <c r="AZ323">
        <f>IF(AND($E323=TRUE,$C323="FWD"),AS323,"")</f>
        <v/>
      </c>
      <c r="BA323" t="n">
        <v>2</v>
      </c>
      <c r="BB323" t="n">
        <v>2</v>
      </c>
      <c r="BC323" t="n">
        <v>4</v>
      </c>
      <c r="BD323" t="n">
        <v>6</v>
      </c>
    </row>
    <row r="324">
      <c r="A324" t="inlineStr">
        <is>
          <t>Tyler Dibling</t>
        </is>
      </c>
      <c r="B324" t="inlineStr">
        <is>
          <t>EVE</t>
        </is>
      </c>
      <c r="C324" t="inlineStr">
        <is>
          <t>MID</t>
        </is>
      </c>
      <c r="D324" t="inlineStr">
        <is>
          <t>MID</t>
        </is>
      </c>
      <c r="E324" t="b">
        <v>1</v>
      </c>
      <c r="F324" s="2" t="n">
        <v>5.5</v>
      </c>
      <c r="G324" t="inlineStr">
        <is>
          <t>a</t>
        </is>
      </c>
      <c r="I324" s="2" t="n">
        <v>349</v>
      </c>
      <c r="J324" t="n">
        <v>18</v>
      </c>
      <c r="K324" s="3" t="n">
        <v>274</v>
      </c>
      <c r="L324" t="inlineStr">
        <is>
          <t>flat</t>
        </is>
      </c>
      <c r="M324" s="4" t="n">
        <v>274</v>
      </c>
      <c r="N324" t="inlineStr">
        <is>
          <t>Solio</t>
        </is>
      </c>
      <c r="O324" s="5" t="n">
        <v>66.8</v>
      </c>
      <c r="P324" t="b">
        <v>1</v>
      </c>
      <c r="Q324" s="5">
        <f>IF(N(O324)&lt;=0,0,MIN(Assumptions!$B$15,N(M324)/N(O324)))</f>
        <v/>
      </c>
      <c r="R324" s="4" t="n">
        <v>0.231</v>
      </c>
      <c r="S324" s="3" t="n">
        <v>0.05</v>
      </c>
      <c r="T324" t="inlineStr">
        <is>
          <t>adjusted xGOT</t>
        </is>
      </c>
      <c r="U324" s="3" t="n">
        <v>1</v>
      </c>
      <c r="V324" s="3" t="n">
        <v>0.972</v>
      </c>
      <c r="W324" s="3" t="n">
        <v>2.8</v>
      </c>
      <c r="X324" s="3" t="n">
        <v>0.0455</v>
      </c>
      <c r="Y324" s="3" t="n">
        <v>9.144</v>
      </c>
      <c r="Z324" s="3" t="n">
        <v>0.04430099149908628</v>
      </c>
      <c r="AA324" s="3" t="n">
        <v>0</v>
      </c>
      <c r="AB324" s="3" t="n">
        <v>16</v>
      </c>
      <c r="AC324" s="3" t="n">
        <v>3.0311</v>
      </c>
      <c r="AD324" s="3" t="n">
        <v>1.5252</v>
      </c>
      <c r="AE324" s="3" t="n">
        <v>-0.2888063596275141</v>
      </c>
      <c r="AF324" s="4" t="n">
        <v>0</v>
      </c>
      <c r="AG324" s="3" t="n">
        <v>0</v>
      </c>
      <c r="AH324" s="3" t="n">
        <v>0.25</v>
      </c>
      <c r="AI324" s="3" t="n">
        <v>0.18018</v>
      </c>
      <c r="AJ324" s="3">
        <f>N(R324)*N(BC324)</f>
        <v/>
      </c>
      <c r="AK324" s="3" t="n">
        <v>0</v>
      </c>
      <c r="AL324" s="3" t="n">
        <v>0</v>
      </c>
      <c r="AM324" s="3" t="n">
        <v>-0</v>
      </c>
      <c r="AN324" s="3" t="n">
        <v>-0.2888063596275141</v>
      </c>
      <c r="AO324" s="3">
        <f>SUM(AH324:AN324)</f>
        <v/>
      </c>
      <c r="AP324" s="5">
        <f>IF(OR(N(Q324)&lt;=0,N(BA324)=0),0,N(Q324)*IF(N(M324)/N(Q324)&gt;=60,N(BA324),1))</f>
        <v/>
      </c>
      <c r="AQ324" s="5">
        <f>N(Q324)*N(Z324)*N(BB324)</f>
        <v/>
      </c>
      <c r="AR324" s="5">
        <f>N(AF324)*(Assumptions!$B$13*N(BD324)-(1-Assumptions!$B$13)*Assumptions!$B$14)+N(AG324)</f>
        <v/>
      </c>
      <c r="AS324" s="5">
        <f>N(AO324)*N(M324)/90+N(AP324)+N(AQ324)+N(AR324)</f>
        <v/>
      </c>
      <c r="AT324" s="3">
        <f>IF(N(M324)&lt;=0,0,(N(AS324)-N(AR324))*90/N(M324))</f>
        <v/>
      </c>
      <c r="AU324" s="5">
        <f>IFERROR(AS324-VLOOKUP($C324,Assumptions!$A$36:$C$39,3,FALSE),"")</f>
        <v/>
      </c>
      <c r="AV324" s="3">
        <f>IFERROR(AU324/F324,"")</f>
        <v/>
      </c>
      <c r="AW324">
        <f>IF(AND($E324=TRUE,$C324="GKP"),AS324,"")</f>
        <v/>
      </c>
      <c r="AX324">
        <f>IF(AND($E324=TRUE,$C324="DEF"),AS324,"")</f>
        <v/>
      </c>
      <c r="AY324">
        <f>IF(AND($E324=TRUE,$C324="MID"),AS324,"")</f>
        <v/>
      </c>
      <c r="AZ324">
        <f>IF(AND($E324=TRUE,$C324="FWD"),AS324,"")</f>
        <v/>
      </c>
      <c r="BA324" t="n">
        <v>2</v>
      </c>
      <c r="BB324" t="n">
        <v>2</v>
      </c>
      <c r="BC324" t="n">
        <v>1</v>
      </c>
      <c r="BD324" t="n">
        <v>5</v>
      </c>
    </row>
    <row r="325">
      <c r="A325" t="inlineStr">
        <is>
          <t>Christantus Uche</t>
        </is>
      </c>
      <c r="B325" t="inlineStr">
        <is>
          <t>CRY</t>
        </is>
      </c>
      <c r="C325" t="inlineStr">
        <is>
          <t>FWD</t>
        </is>
      </c>
      <c r="D325" t="inlineStr">
        <is>
          <t>FWD</t>
        </is>
      </c>
      <c r="E325" t="b">
        <v>1</v>
      </c>
      <c r="F325" s="2" t="n">
        <v>5</v>
      </c>
      <c r="G325" t="inlineStr">
        <is>
          <t>u</t>
        </is>
      </c>
      <c r="H325" t="inlineStr">
        <is>
          <t>has returned to Getafe CF</t>
        </is>
      </c>
      <c r="I325" s="2" t="n">
        <v>159</v>
      </c>
      <c r="J325" t="n">
        <v>17</v>
      </c>
      <c r="K325" s="3" t="n"/>
      <c r="M325" s="4" t="n">
        <v>159</v>
      </c>
      <c r="N325" t="inlineStr">
        <is>
          <t>25/26 actual</t>
        </is>
      </c>
      <c r="O325" s="5" t="n">
        <v>85</v>
      </c>
      <c r="P325" t="b">
        <v>1</v>
      </c>
      <c r="Q325" s="5">
        <f>IF(N(O325)&lt;=0,0,MIN(Assumptions!$B$15,N(M325)/N(O325)))</f>
        <v/>
      </c>
      <c r="R325" s="4" t="n">
        <v>0.216</v>
      </c>
      <c r="S325" s="3" t="n">
        <v>0.2745</v>
      </c>
      <c r="T325" t="inlineStr">
        <is>
          <t>adjusted xGOT</t>
        </is>
      </c>
      <c r="U325" s="3" t="n">
        <v>1</v>
      </c>
      <c r="V325" s="3" t="n">
        <v>0.989</v>
      </c>
      <c r="W325" s="3" t="n">
        <v>0.5</v>
      </c>
      <c r="X325" s="3" t="n">
        <v>0.0028</v>
      </c>
      <c r="Y325" s="3" t="n">
        <v>5.257</v>
      </c>
      <c r="Z325" s="3" t="n">
        <v>0.005170176066496279</v>
      </c>
      <c r="AA325" s="3" t="n">
        <v>0</v>
      </c>
      <c r="AB325" s="3" t="n">
        <v>14</v>
      </c>
      <c r="AC325" s="3" t="n">
        <v>3.2035</v>
      </c>
      <c r="AD325" s="3" t="n">
        <v>1.5923</v>
      </c>
      <c r="AE325" s="3" t="n">
        <v>-0.1584765660383624</v>
      </c>
      <c r="AF325" s="4" t="n">
        <v>0</v>
      </c>
      <c r="AG325" s="3" t="n">
        <v>0</v>
      </c>
      <c r="AH325" s="3" t="n">
        <v>1.098</v>
      </c>
      <c r="AI325" s="3" t="n">
        <v>0.011088</v>
      </c>
      <c r="AJ325" s="3">
        <f>N(R325)*N(BC325)</f>
        <v/>
      </c>
      <c r="AK325" s="3" t="n">
        <v>0</v>
      </c>
      <c r="AL325" s="3" t="n">
        <v>0</v>
      </c>
      <c r="AM325" s="3" t="n">
        <v>-0</v>
      </c>
      <c r="AN325" s="3" t="n">
        <v>-0.1584765660383624</v>
      </c>
      <c r="AO325" s="3">
        <f>SUM(AH325:AN325)</f>
        <v/>
      </c>
      <c r="AP325" s="5">
        <f>IF(OR(N(Q325)&lt;=0,N(BA325)=0),0,N(Q325)*IF(N(M325)/N(Q325)&gt;=60,N(BA325),1))</f>
        <v/>
      </c>
      <c r="AQ325" s="5">
        <f>N(Q325)*N(Z325)*N(BB325)</f>
        <v/>
      </c>
      <c r="AR325" s="5">
        <f>N(AF325)*(Assumptions!$B$13*N(BD325)-(1-Assumptions!$B$13)*Assumptions!$B$14)+N(AG325)</f>
        <v/>
      </c>
      <c r="AS325" s="5">
        <f>N(AO325)*N(M325)/90+N(AP325)+N(AQ325)+N(AR325)</f>
        <v/>
      </c>
      <c r="AT325" s="3">
        <f>IF(N(M325)&lt;=0,0,(N(AS325)-N(AR325))*90/N(M325))</f>
        <v/>
      </c>
      <c r="AU325" s="5">
        <f>IFERROR(AS325-VLOOKUP($C325,Assumptions!$A$36:$C$39,3,FALSE),"")</f>
        <v/>
      </c>
      <c r="AV325" s="3">
        <f>IFERROR(AU325/F325,"")</f>
        <v/>
      </c>
      <c r="AW325">
        <f>IF(AND($E325=TRUE,$C325="GKP"),AS325,"")</f>
        <v/>
      </c>
      <c r="AX325">
        <f>IF(AND($E325=TRUE,$C325="DEF"),AS325,"")</f>
        <v/>
      </c>
      <c r="AY325">
        <f>IF(AND($E325=TRUE,$C325="MID"),AS325,"")</f>
        <v/>
      </c>
      <c r="AZ325">
        <f>IF(AND($E325=TRUE,$C325="FWD"),AS325,"")</f>
        <v/>
      </c>
      <c r="BA325" t="n">
        <v>2</v>
      </c>
      <c r="BB325" t="n">
        <v>2</v>
      </c>
      <c r="BC325" t="n">
        <v>0</v>
      </c>
      <c r="BD325" t="n">
        <v>4</v>
      </c>
    </row>
    <row r="326">
      <c r="A326" t="inlineStr">
        <is>
          <t>Joël Piroe</t>
        </is>
      </c>
      <c r="B326" t="inlineStr">
        <is>
          <t>LEE</t>
        </is>
      </c>
      <c r="C326" t="inlineStr">
        <is>
          <t>FWD</t>
        </is>
      </c>
      <c r="D326" t="inlineStr">
        <is>
          <t>FWD</t>
        </is>
      </c>
      <c r="E326" t="b">
        <v>1</v>
      </c>
      <c r="F326" s="2" t="n">
        <v>5</v>
      </c>
      <c r="G326" t="inlineStr">
        <is>
          <t>a</t>
        </is>
      </c>
      <c r="I326" s="2" t="n">
        <v>244</v>
      </c>
      <c r="J326" t="n">
        <v>17</v>
      </c>
      <c r="K326" s="3" t="n">
        <v>15</v>
      </c>
      <c r="L326" t="inlineStr">
        <is>
          <t>flat</t>
        </is>
      </c>
      <c r="M326" s="4" t="n">
        <v>15</v>
      </c>
      <c r="N326" t="inlineStr">
        <is>
          <t>Solio</t>
        </is>
      </c>
      <c r="O326" s="5" t="n">
        <v>67</v>
      </c>
      <c r="P326" t="b">
        <v>1</v>
      </c>
      <c r="Q326" s="5">
        <f>IF(N(O326)&lt;=0,0,MIN(Assumptions!$B$15,N(M326)/N(O326)))</f>
        <v/>
      </c>
      <c r="R326" s="4" t="n">
        <v>0.218</v>
      </c>
      <c r="S326" s="3" t="n">
        <v>0.3172</v>
      </c>
      <c r="T326" t="inlineStr">
        <is>
          <t>adjusted xGOT</t>
        </is>
      </c>
      <c r="U326" s="3" t="n">
        <v>1</v>
      </c>
      <c r="V326" s="3" t="n">
        <v>0.955</v>
      </c>
      <c r="W326" s="3" t="n">
        <v>0.9</v>
      </c>
      <c r="X326" s="3" t="n">
        <v>0.0398</v>
      </c>
      <c r="Y326" s="3" t="n">
        <v>4.887</v>
      </c>
      <c r="Z326" s="3" t="n">
        <v>0.0004060215569513526</v>
      </c>
      <c r="AA326" s="3" t="n">
        <v>0</v>
      </c>
      <c r="AB326" s="3" t="n">
        <v>17</v>
      </c>
      <c r="AC326" s="3" t="n">
        <v>3.0611</v>
      </c>
      <c r="AD326" s="3" t="n">
        <v>1.5875</v>
      </c>
      <c r="AE326" s="3" t="n">
        <v>-0.1510642857133865</v>
      </c>
      <c r="AF326" s="4" t="n">
        <v>0.0016985847943565</v>
      </c>
      <c r="AG326" s="3" t="n">
        <v>0</v>
      </c>
      <c r="AH326" s="3" t="n">
        <v>1.2688</v>
      </c>
      <c r="AI326" s="3" t="n">
        <v>0.157608</v>
      </c>
      <c r="AJ326" s="3">
        <f>N(R326)*N(BC326)</f>
        <v/>
      </c>
      <c r="AK326" s="3" t="n">
        <v>0</v>
      </c>
      <c r="AL326" s="3" t="n">
        <v>0</v>
      </c>
      <c r="AM326" s="3" t="n">
        <v>-0</v>
      </c>
      <c r="AN326" s="3" t="n">
        <v>-0.1510642857133865</v>
      </c>
      <c r="AO326" s="3">
        <f>SUM(AH326:AN326)</f>
        <v/>
      </c>
      <c r="AP326" s="5">
        <f>IF(OR(N(Q326)&lt;=0,N(BA326)=0),0,N(Q326)*IF(N(M326)/N(Q326)&gt;=60,N(BA326),1))</f>
        <v/>
      </c>
      <c r="AQ326" s="5">
        <f>N(Q326)*N(Z326)*N(BB326)</f>
        <v/>
      </c>
      <c r="AR326" s="5">
        <f>N(AF326)*(Assumptions!$B$13*N(BD326)-(1-Assumptions!$B$13)*Assumptions!$B$14)+N(AG326)</f>
        <v/>
      </c>
      <c r="AS326" s="5">
        <f>N(AO326)*N(M326)/90+N(AP326)+N(AQ326)+N(AR326)</f>
        <v/>
      </c>
      <c r="AT326" s="3">
        <f>IF(N(M326)&lt;=0,0,(N(AS326)-N(AR326))*90/N(M326))</f>
        <v/>
      </c>
      <c r="AU326" s="5">
        <f>IFERROR(AS326-VLOOKUP($C326,Assumptions!$A$36:$C$39,3,FALSE),"")</f>
        <v/>
      </c>
      <c r="AV326" s="3">
        <f>IFERROR(AU326/F326,"")</f>
        <v/>
      </c>
      <c r="AW326">
        <f>IF(AND($E326=TRUE,$C326="GKP"),AS326,"")</f>
        <v/>
      </c>
      <c r="AX326">
        <f>IF(AND($E326=TRUE,$C326="DEF"),AS326,"")</f>
        <v/>
      </c>
      <c r="AY326">
        <f>IF(AND($E326=TRUE,$C326="MID"),AS326,"")</f>
        <v/>
      </c>
      <c r="AZ326">
        <f>IF(AND($E326=TRUE,$C326="FWD"),AS326,"")</f>
        <v/>
      </c>
      <c r="BA326" t="n">
        <v>2</v>
      </c>
      <c r="BB326" t="n">
        <v>2</v>
      </c>
      <c r="BC326" t="n">
        <v>0</v>
      </c>
      <c r="BD326" t="n">
        <v>4</v>
      </c>
    </row>
    <row r="327">
      <c r="A327" t="inlineStr">
        <is>
          <t>James McAtee</t>
        </is>
      </c>
      <c r="B327" t="inlineStr">
        <is>
          <t>NFO</t>
        </is>
      </c>
      <c r="C327" t="inlineStr">
        <is>
          <t>MID</t>
        </is>
      </c>
      <c r="D327" t="inlineStr">
        <is>
          <t>MID</t>
        </is>
      </c>
      <c r="E327" t="b">
        <v>1</v>
      </c>
      <c r="F327" s="2" t="n">
        <v>5.5</v>
      </c>
      <c r="G327" t="inlineStr">
        <is>
          <t>a</t>
        </is>
      </c>
      <c r="I327" s="2" t="n">
        <v>288</v>
      </c>
      <c r="J327" t="n">
        <v>17</v>
      </c>
      <c r="K327" s="3" t="n">
        <v>633</v>
      </c>
      <c r="L327" t="inlineStr">
        <is>
          <t>flat</t>
        </is>
      </c>
      <c r="M327" s="4" t="n">
        <v>633</v>
      </c>
      <c r="N327" t="inlineStr">
        <is>
          <t>Solio</t>
        </is>
      </c>
      <c r="O327" s="5" t="n">
        <v>74.5</v>
      </c>
      <c r="P327" t="b">
        <v>1</v>
      </c>
      <c r="Q327" s="5">
        <f>IF(N(O327)&lt;=0,0,MIN(Assumptions!$B$15,N(M327)/N(O327)))</f>
        <v/>
      </c>
      <c r="R327" s="4" t="n">
        <v>0.224</v>
      </c>
      <c r="S327" s="3" t="n">
        <v>0.0572</v>
      </c>
      <c r="T327" t="inlineStr">
        <is>
          <t>adjusted xGOT</t>
        </is>
      </c>
      <c r="U327" s="3" t="n">
        <v>1</v>
      </c>
      <c r="V327" s="3" t="n">
        <v>1.017</v>
      </c>
      <c r="W327" s="3" t="n">
        <v>6</v>
      </c>
      <c r="X327" s="3" t="n">
        <v>0.1925</v>
      </c>
      <c r="Y327" s="3" t="n">
        <v>8.984</v>
      </c>
      <c r="Z327" s="3" t="n">
        <v>0.07559475777554359</v>
      </c>
      <c r="AA327" s="3" t="n">
        <v>0</v>
      </c>
      <c r="AB327" s="3" t="n">
        <v>15</v>
      </c>
      <c r="AC327" s="3" t="n">
        <v>3.1134</v>
      </c>
      <c r="AD327" s="3" t="n">
        <v>1.5588</v>
      </c>
      <c r="AE327" s="3" t="n">
        <v>-0.2059306275428898</v>
      </c>
      <c r="AF327" s="4" t="n">
        <v>0</v>
      </c>
      <c r="AG327" s="3" t="n">
        <v>0</v>
      </c>
      <c r="AH327" s="3" t="n">
        <v>0.286</v>
      </c>
      <c r="AI327" s="3" t="n">
        <v>0.7623000000000001</v>
      </c>
      <c r="AJ327" s="3">
        <f>N(R327)*N(BC327)</f>
        <v/>
      </c>
      <c r="AK327" s="3" t="n">
        <v>0</v>
      </c>
      <c r="AL327" s="3" t="n">
        <v>0</v>
      </c>
      <c r="AM327" s="3" t="n">
        <v>-0</v>
      </c>
      <c r="AN327" s="3" t="n">
        <v>-0.2059306275428898</v>
      </c>
      <c r="AO327" s="3">
        <f>SUM(AH327:AN327)</f>
        <v/>
      </c>
      <c r="AP327" s="5">
        <f>IF(OR(N(Q327)&lt;=0,N(BA327)=0),0,N(Q327)*IF(N(M327)/N(Q327)&gt;=60,N(BA327),1))</f>
        <v/>
      </c>
      <c r="AQ327" s="5">
        <f>N(Q327)*N(Z327)*N(BB327)</f>
        <v/>
      </c>
      <c r="AR327" s="5">
        <f>N(AF327)*(Assumptions!$B$13*N(BD327)-(1-Assumptions!$B$13)*Assumptions!$B$14)+N(AG327)</f>
        <v/>
      </c>
      <c r="AS327" s="5">
        <f>N(AO327)*N(M327)/90+N(AP327)+N(AQ327)+N(AR327)</f>
        <v/>
      </c>
      <c r="AT327" s="3">
        <f>IF(N(M327)&lt;=0,0,(N(AS327)-N(AR327))*90/N(M327))</f>
        <v/>
      </c>
      <c r="AU327" s="5">
        <f>IFERROR(AS327-VLOOKUP($C327,Assumptions!$A$36:$C$39,3,FALSE),"")</f>
        <v/>
      </c>
      <c r="AV327" s="3">
        <f>IFERROR(AU327/F327,"")</f>
        <v/>
      </c>
      <c r="AW327">
        <f>IF(AND($E327=TRUE,$C327="GKP"),AS327,"")</f>
        <v/>
      </c>
      <c r="AX327">
        <f>IF(AND($E327=TRUE,$C327="DEF"),AS327,"")</f>
        <v/>
      </c>
      <c r="AY327">
        <f>IF(AND($E327=TRUE,$C327="MID"),AS327,"")</f>
        <v/>
      </c>
      <c r="AZ327">
        <f>IF(AND($E327=TRUE,$C327="FWD"),AS327,"")</f>
        <v/>
      </c>
      <c r="BA327" t="n">
        <v>2</v>
      </c>
      <c r="BB327" t="n">
        <v>2</v>
      </c>
      <c r="BC327" t="n">
        <v>1</v>
      </c>
      <c r="BD327" t="n">
        <v>5</v>
      </c>
    </row>
    <row r="328">
      <c r="A328" t="inlineStr">
        <is>
          <t>Stefanos Tzimas</t>
        </is>
      </c>
      <c r="B328" t="inlineStr">
        <is>
          <t>BHA</t>
        </is>
      </c>
      <c r="C328" t="inlineStr">
        <is>
          <t>FWD</t>
        </is>
      </c>
      <c r="D328" t="inlineStr">
        <is>
          <t>FWD</t>
        </is>
      </c>
      <c r="E328" t="b">
        <v>1</v>
      </c>
      <c r="F328" s="2" t="n">
        <v>5.5</v>
      </c>
      <c r="G328" t="inlineStr">
        <is>
          <t>d</t>
        </is>
      </c>
      <c r="H328" t="inlineStr">
        <is>
          <t>Knee injury - 75% chance of playing</t>
        </is>
      </c>
      <c r="I328" s="2" t="n">
        <v>132</v>
      </c>
      <c r="J328" t="n">
        <v>16</v>
      </c>
      <c r="K328" s="3" t="n">
        <v>268</v>
      </c>
      <c r="L328" t="inlineStr">
        <is>
          <t>flat</t>
        </is>
      </c>
      <c r="M328" s="4" t="n">
        <v>268</v>
      </c>
      <c r="N328" t="inlineStr">
        <is>
          <t>Solio</t>
        </is>
      </c>
      <c r="O328" s="5" t="n">
        <v>23</v>
      </c>
      <c r="P328" t="b">
        <v>1</v>
      </c>
      <c r="Q328" s="5">
        <f>IF(N(O328)&lt;=0,0,MIN(Assumptions!$B$15,N(M328)/N(O328)))</f>
        <v/>
      </c>
      <c r="R328" s="4" t="n">
        <v>0.252</v>
      </c>
      <c r="S328" s="3" t="n">
        <v>0.3055</v>
      </c>
      <c r="T328" t="inlineStr">
        <is>
          <t>adjusted xGOT</t>
        </is>
      </c>
      <c r="U328" s="3" t="n">
        <v>1</v>
      </c>
      <c r="V328" s="3" t="n">
        <v>1.019</v>
      </c>
      <c r="W328" s="3" t="n">
        <v>0.4</v>
      </c>
      <c r="X328" s="3" t="n">
        <v>0.1685</v>
      </c>
      <c r="Y328" s="3" t="n">
        <v>5.635</v>
      </c>
      <c r="Z328" s="3" t="n">
        <v>4.419044041803488e-08</v>
      </c>
      <c r="AA328" s="3" t="n">
        <v>0</v>
      </c>
      <c r="AB328" s="3" t="n">
        <v>9</v>
      </c>
      <c r="AC328" s="3" t="n">
        <v>2.8404</v>
      </c>
      <c r="AD328" s="3" t="n">
        <v>1.439</v>
      </c>
      <c r="AE328" s="3" t="n">
        <v>-0.1609988049383475</v>
      </c>
      <c r="AF328" s="4" t="n">
        <v>0</v>
      </c>
      <c r="AG328" s="3" t="n">
        <v>0</v>
      </c>
      <c r="AH328" s="3" t="n">
        <v>1.222</v>
      </c>
      <c r="AI328" s="3" t="n">
        <v>0.6672600000000001</v>
      </c>
      <c r="AJ328" s="3">
        <f>N(R328)*N(BC328)</f>
        <v/>
      </c>
      <c r="AK328" s="3" t="n">
        <v>0</v>
      </c>
      <c r="AL328" s="3" t="n">
        <v>0</v>
      </c>
      <c r="AM328" s="3" t="n">
        <v>-0</v>
      </c>
      <c r="AN328" s="3" t="n">
        <v>-0.1609988049383475</v>
      </c>
      <c r="AO328" s="3">
        <f>SUM(AH328:AN328)</f>
        <v/>
      </c>
      <c r="AP328" s="5">
        <f>IF(OR(N(Q328)&lt;=0,N(BA328)=0),0,N(Q328)*IF(N(M328)/N(Q328)&gt;=60,N(BA328),1))</f>
        <v/>
      </c>
      <c r="AQ328" s="5">
        <f>N(Q328)*N(Z328)*N(BB328)</f>
        <v/>
      </c>
      <c r="AR328" s="5">
        <f>N(AF328)*(Assumptions!$B$13*N(BD328)-(1-Assumptions!$B$13)*Assumptions!$B$14)+N(AG328)</f>
        <v/>
      </c>
      <c r="AS328" s="5">
        <f>N(AO328)*N(M328)/90+N(AP328)+N(AQ328)+N(AR328)</f>
        <v/>
      </c>
      <c r="AT328" s="3">
        <f>IF(N(M328)&lt;=0,0,(N(AS328)-N(AR328))*90/N(M328))</f>
        <v/>
      </c>
      <c r="AU328" s="5">
        <f>IFERROR(AS328-VLOOKUP($C328,Assumptions!$A$36:$C$39,3,FALSE),"")</f>
        <v/>
      </c>
      <c r="AV328" s="3">
        <f>IFERROR(AU328/F328,"")</f>
        <v/>
      </c>
      <c r="AW328">
        <f>IF(AND($E328=TRUE,$C328="GKP"),AS328,"")</f>
        <v/>
      </c>
      <c r="AX328">
        <f>IF(AND($E328=TRUE,$C328="DEF"),AS328,"")</f>
        <v/>
      </c>
      <c r="AY328">
        <f>IF(AND($E328=TRUE,$C328="MID"),AS328,"")</f>
        <v/>
      </c>
      <c r="AZ328">
        <f>IF(AND($E328=TRUE,$C328="FWD"),AS328,"")</f>
        <v/>
      </c>
      <c r="BA328" t="n">
        <v>2</v>
      </c>
      <c r="BB328" t="n">
        <v>2</v>
      </c>
      <c r="BC328" t="n">
        <v>0</v>
      </c>
      <c r="BD328" t="n">
        <v>4</v>
      </c>
    </row>
    <row r="329">
      <c r="A329" t="inlineStr">
        <is>
          <t>Melker Ellborg</t>
        </is>
      </c>
      <c r="B329" t="inlineStr">
        <is>
          <t>SUN</t>
        </is>
      </c>
      <c r="C329" t="inlineStr">
        <is>
          <t>GKP</t>
        </is>
      </c>
      <c r="D329" t="inlineStr">
        <is>
          <t>GKP</t>
        </is>
      </c>
      <c r="E329" t="b">
        <v>1</v>
      </c>
      <c r="F329" s="2" t="n">
        <v>4.5</v>
      </c>
      <c r="G329" t="inlineStr">
        <is>
          <t>a</t>
        </is>
      </c>
      <c r="I329" s="2" t="n">
        <v>270</v>
      </c>
      <c r="J329" t="n">
        <v>16</v>
      </c>
      <c r="K329" s="3" t="n">
        <v>0</v>
      </c>
      <c r="L329" t="inlineStr">
        <is>
          <t>flat</t>
        </is>
      </c>
      <c r="M329" s="4" t="n">
        <v>0</v>
      </c>
      <c r="N329" t="inlineStr">
        <is>
          <t>Solio</t>
        </is>
      </c>
      <c r="O329" s="5" t="n">
        <v>90</v>
      </c>
      <c r="P329" t="b">
        <v>1</v>
      </c>
      <c r="Q329" s="5">
        <f>IF(N(O329)&lt;=0,0,MIN(Assumptions!$B$15,N(M329)/N(O329)))</f>
        <v/>
      </c>
      <c r="R329" s="4" t="n">
        <v>0.204</v>
      </c>
      <c r="S329" s="3" t="n">
        <v>0</v>
      </c>
      <c r="T329" t="inlineStr">
        <is>
          <t>blended xG</t>
        </is>
      </c>
      <c r="U329" s="3" t="n">
        <v>1</v>
      </c>
      <c r="V329" s="3" t="n">
        <v>1</v>
      </c>
      <c r="W329" s="3" t="n">
        <v>0</v>
      </c>
      <c r="X329" s="3" t="n">
        <v>0.0033</v>
      </c>
      <c r="Y329" s="3" t="n">
        <v>0</v>
      </c>
      <c r="Z329" s="3" t="n">
        <v>0</v>
      </c>
      <c r="AA329" s="3" t="n">
        <v>1</v>
      </c>
      <c r="AB329" s="3" t="n">
        <v>6</v>
      </c>
      <c r="AC329" s="3" t="n">
        <v>3.3348</v>
      </c>
      <c r="AD329" s="3" t="n">
        <v>1.6498</v>
      </c>
      <c r="AE329" s="3" t="n">
        <v>-0.06473834845356891</v>
      </c>
      <c r="AF329" s="4" t="n">
        <v>0</v>
      </c>
      <c r="AG329" s="3" t="n">
        <v>0</v>
      </c>
      <c r="AH329" s="3" t="n">
        <v>0</v>
      </c>
      <c r="AI329" s="3" t="n">
        <v>0.013068</v>
      </c>
      <c r="AJ329" s="3">
        <f>N(R329)*N(BC329)</f>
        <v/>
      </c>
      <c r="AK329" s="3" t="n">
        <v>1</v>
      </c>
      <c r="AL329" s="3" t="n">
        <v>0.7764218657798218</v>
      </c>
      <c r="AM329" s="3" t="n">
        <v>-0.5841244809045405</v>
      </c>
      <c r="AN329" s="3" t="n">
        <v>-0.06473834845356891</v>
      </c>
      <c r="AO329" s="3">
        <f>SUM(AH329:AN329)</f>
        <v/>
      </c>
      <c r="AP329" s="5">
        <f>IF(OR(N(Q329)&lt;=0,N(BA329)=0),0,N(Q329)*IF(N(M329)/N(Q329)&gt;=60,N(BA329),1))</f>
        <v/>
      </c>
      <c r="AQ329" s="5">
        <f>N(Q329)*N(Z329)*N(BB329)</f>
        <v/>
      </c>
      <c r="AR329" s="5">
        <f>N(AF329)*(Assumptions!$B$13*N(BD329)-(1-Assumptions!$B$13)*Assumptions!$B$14)+N(AG329)</f>
        <v/>
      </c>
      <c r="AS329" s="5">
        <f>N(AO329)*N(M329)/90+N(AP329)+N(AQ329)+N(AR329)</f>
        <v/>
      </c>
      <c r="AT329" s="3">
        <f>IF(N(M329)&lt;=0,0,(N(AS329)-N(AR329))*90/N(M329))</f>
        <v/>
      </c>
      <c r="AU329" s="5">
        <f>IFERROR(AS329-VLOOKUP($C329,Assumptions!$A$36:$C$39,3,FALSE),"")</f>
        <v/>
      </c>
      <c r="AV329" s="3">
        <f>IFERROR(AU329/F329,"")</f>
        <v/>
      </c>
      <c r="AW329">
        <f>IF(AND($E329=TRUE,$C329="GKP"),AS329,"")</f>
        <v/>
      </c>
      <c r="AX329">
        <f>IF(AND($E329=TRUE,$C329="DEF"),AS329,"")</f>
        <v/>
      </c>
      <c r="AY329">
        <f>IF(AND($E329=TRUE,$C329="MID"),AS329,"")</f>
        <v/>
      </c>
      <c r="AZ329">
        <f>IF(AND($E329=TRUE,$C329="FWD"),AS329,"")</f>
        <v/>
      </c>
      <c r="BA329" t="n">
        <v>2</v>
      </c>
      <c r="BB329" t="n">
        <v>0</v>
      </c>
      <c r="BC329" t="n">
        <v>4</v>
      </c>
      <c r="BD329" t="n">
        <v>10</v>
      </c>
    </row>
    <row r="330">
      <c r="A330" t="inlineStr">
        <is>
          <t>Matt O'Riley</t>
        </is>
      </c>
      <c r="B330" t="inlineStr">
        <is>
          <t>BHA</t>
        </is>
      </c>
      <c r="C330" t="inlineStr">
        <is>
          <t>MID</t>
        </is>
      </c>
      <c r="D330" t="inlineStr">
        <is>
          <t>MID</t>
        </is>
      </c>
      <c r="E330" t="b">
        <v>1</v>
      </c>
      <c r="F330" s="2" t="n">
        <v>5.5</v>
      </c>
      <c r="G330" t="inlineStr">
        <is>
          <t>a</t>
        </is>
      </c>
      <c r="I330" s="2" t="n">
        <v>202</v>
      </c>
      <c r="J330" t="n">
        <v>16</v>
      </c>
      <c r="K330" s="3" t="n">
        <v>0</v>
      </c>
      <c r="L330" t="inlineStr">
        <is>
          <t>flat</t>
        </is>
      </c>
      <c r="M330" s="4" t="n">
        <v>0</v>
      </c>
      <c r="N330" t="inlineStr">
        <is>
          <t>Solio</t>
        </is>
      </c>
      <c r="O330" s="5" t="n">
        <v>88.5</v>
      </c>
      <c r="P330" t="b">
        <v>1</v>
      </c>
      <c r="Q330" s="5">
        <f>IF(N(O330)&lt;=0,0,MIN(Assumptions!$B$15,N(M330)/N(O330)))</f>
        <v/>
      </c>
      <c r="R330" s="4" t="n">
        <v>0.252</v>
      </c>
      <c r="S330" s="3" t="n">
        <v>0.1705</v>
      </c>
      <c r="T330" t="inlineStr">
        <is>
          <t>adjusted xGOT</t>
        </is>
      </c>
      <c r="U330" s="3" t="n">
        <v>0.332</v>
      </c>
      <c r="V330" s="3" t="n">
        <v>0.952</v>
      </c>
      <c r="W330" s="3" t="n">
        <v>4</v>
      </c>
      <c r="X330" s="3" t="n">
        <v>0.07340000000000001</v>
      </c>
      <c r="Y330" s="3" t="n">
        <v>7.674</v>
      </c>
      <c r="Z330" s="3" t="n">
        <v>0.08196815336834284</v>
      </c>
      <c r="AA330" s="3" t="n">
        <v>0.8911</v>
      </c>
      <c r="AB330" s="3" t="n">
        <v>8</v>
      </c>
      <c r="AC330" s="3" t="n">
        <v>2.8404</v>
      </c>
      <c r="AD330" s="3" t="n">
        <v>1.439</v>
      </c>
      <c r="AE330" s="3" t="n">
        <v>-0.1717445329400345</v>
      </c>
      <c r="AF330" s="4" t="n">
        <v>0</v>
      </c>
      <c r="AG330" s="3" t="n">
        <v>0</v>
      </c>
      <c r="AH330" s="3" t="n">
        <v>0.8525</v>
      </c>
      <c r="AI330" s="3" t="n">
        <v>0.290664</v>
      </c>
      <c r="AJ330" s="3">
        <f>N(R330)*N(BC330)</f>
        <v/>
      </c>
      <c r="AK330" s="3" t="n">
        <v>0.8911</v>
      </c>
      <c r="AL330" s="3" t="n">
        <v>0</v>
      </c>
      <c r="AM330" s="3" t="n">
        <v>-0</v>
      </c>
      <c r="AN330" s="3" t="n">
        <v>-0.1717445329400345</v>
      </c>
      <c r="AO330" s="3">
        <f>SUM(AH330:AN330)</f>
        <v/>
      </c>
      <c r="AP330" s="5">
        <f>IF(OR(N(Q330)&lt;=0,N(BA330)=0),0,N(Q330)*IF(N(M330)/N(Q330)&gt;=60,N(BA330),1))</f>
        <v/>
      </c>
      <c r="AQ330" s="5">
        <f>N(Q330)*N(Z330)*N(BB330)</f>
        <v/>
      </c>
      <c r="AR330" s="5">
        <f>N(AF330)*(Assumptions!$B$13*N(BD330)-(1-Assumptions!$B$13)*Assumptions!$B$14)+N(AG330)</f>
        <v/>
      </c>
      <c r="AS330" s="5">
        <f>N(AO330)*N(M330)/90+N(AP330)+N(AQ330)+N(AR330)</f>
        <v/>
      </c>
      <c r="AT330" s="3">
        <f>IF(N(M330)&lt;=0,0,(N(AS330)-N(AR330))*90/N(M330))</f>
        <v/>
      </c>
      <c r="AU330" s="5">
        <f>IFERROR(AS330-VLOOKUP($C330,Assumptions!$A$36:$C$39,3,FALSE),"")</f>
        <v/>
      </c>
      <c r="AV330" s="3">
        <f>IFERROR(AU330/F330,"")</f>
        <v/>
      </c>
      <c r="AW330">
        <f>IF(AND($E330=TRUE,$C330="GKP"),AS330,"")</f>
        <v/>
      </c>
      <c r="AX330">
        <f>IF(AND($E330=TRUE,$C330="DEF"),AS330,"")</f>
        <v/>
      </c>
      <c r="AY330">
        <f>IF(AND($E330=TRUE,$C330="MID"),AS330,"")</f>
        <v/>
      </c>
      <c r="AZ330">
        <f>IF(AND($E330=TRUE,$C330="FWD"),AS330,"")</f>
        <v/>
      </c>
      <c r="BA330" t="n">
        <v>2</v>
      </c>
      <c r="BB330" t="n">
        <v>2</v>
      </c>
      <c r="BC330" t="n">
        <v>1</v>
      </c>
      <c r="BD330" t="n">
        <v>5</v>
      </c>
    </row>
    <row r="331">
      <c r="A331" t="inlineStr">
        <is>
          <t>Tyrique George</t>
        </is>
      </c>
      <c r="B331" t="inlineStr">
        <is>
          <t>EVE</t>
        </is>
      </c>
      <c r="C331" t="inlineStr">
        <is>
          <t>MID</t>
        </is>
      </c>
      <c r="D331" t="inlineStr">
        <is>
          <t>MID</t>
        </is>
      </c>
      <c r="E331" t="b">
        <v>1</v>
      </c>
      <c r="F331" s="2" t="n">
        <v>5.5</v>
      </c>
      <c r="G331" t="inlineStr">
        <is>
          <t>a</t>
        </is>
      </c>
      <c r="I331" s="2" t="n">
        <v>351</v>
      </c>
      <c r="J331" t="n">
        <v>16</v>
      </c>
      <c r="K331" s="3" t="n">
        <v>885</v>
      </c>
      <c r="L331" t="inlineStr">
        <is>
          <t>flat</t>
        </is>
      </c>
      <c r="M331" s="4" t="n">
        <v>885</v>
      </c>
      <c r="N331" t="inlineStr">
        <is>
          <t>Solio</t>
        </is>
      </c>
      <c r="O331" s="5" t="n">
        <v>61</v>
      </c>
      <c r="P331" t="b">
        <v>1</v>
      </c>
      <c r="Q331" s="5">
        <f>IF(N(O331)&lt;=0,0,MIN(Assumptions!$B$15,N(M331)/N(O331)))</f>
        <v/>
      </c>
      <c r="R331" s="4" t="n">
        <v>0.231</v>
      </c>
      <c r="S331" s="3" t="n">
        <v>0.1821</v>
      </c>
      <c r="T331" t="inlineStr">
        <is>
          <t>adjusted xGOT</t>
        </is>
      </c>
      <c r="U331" s="3" t="n">
        <v>1</v>
      </c>
      <c r="V331" s="3" t="n">
        <v>1.109</v>
      </c>
      <c r="W331" s="3" t="n">
        <v>0.8</v>
      </c>
      <c r="X331" s="3" t="n">
        <v>0.3246</v>
      </c>
      <c r="Y331" s="3" t="n">
        <v>7.699</v>
      </c>
      <c r="Z331" s="3" t="n">
        <v>0.007501610569462747</v>
      </c>
      <c r="AA331" s="3" t="n">
        <v>0</v>
      </c>
      <c r="AB331" s="3" t="n">
        <v>17</v>
      </c>
      <c r="AC331" s="3" t="n">
        <v>3.0311</v>
      </c>
      <c r="AD331" s="3" t="n">
        <v>1.5252</v>
      </c>
      <c r="AE331" s="3" t="n">
        <v>-0.291328227694831</v>
      </c>
      <c r="AF331" s="4" t="n">
        <v>0</v>
      </c>
      <c r="AG331" s="3" t="n">
        <v>0</v>
      </c>
      <c r="AH331" s="3" t="n">
        <v>0.9105000000000001</v>
      </c>
      <c r="AI331" s="3" t="n">
        <v>1.285416</v>
      </c>
      <c r="AJ331" s="3">
        <f>N(R331)*N(BC331)</f>
        <v/>
      </c>
      <c r="AK331" s="3" t="n">
        <v>0</v>
      </c>
      <c r="AL331" s="3" t="n">
        <v>0</v>
      </c>
      <c r="AM331" s="3" t="n">
        <v>-0</v>
      </c>
      <c r="AN331" s="3" t="n">
        <v>-0.291328227694831</v>
      </c>
      <c r="AO331" s="3">
        <f>SUM(AH331:AN331)</f>
        <v/>
      </c>
      <c r="AP331" s="5">
        <f>IF(OR(N(Q331)&lt;=0,N(BA331)=0),0,N(Q331)*IF(N(M331)/N(Q331)&gt;=60,N(BA331),1))</f>
        <v/>
      </c>
      <c r="AQ331" s="5">
        <f>N(Q331)*N(Z331)*N(BB331)</f>
        <v/>
      </c>
      <c r="AR331" s="5">
        <f>N(AF331)*(Assumptions!$B$13*N(BD331)-(1-Assumptions!$B$13)*Assumptions!$B$14)+N(AG331)</f>
        <v/>
      </c>
      <c r="AS331" s="5">
        <f>N(AO331)*N(M331)/90+N(AP331)+N(AQ331)+N(AR331)</f>
        <v/>
      </c>
      <c r="AT331" s="3">
        <f>IF(N(M331)&lt;=0,0,(N(AS331)-N(AR331))*90/N(M331))</f>
        <v/>
      </c>
      <c r="AU331" s="5">
        <f>IFERROR(AS331-VLOOKUP($C331,Assumptions!$A$36:$C$39,3,FALSE),"")</f>
        <v/>
      </c>
      <c r="AV331" s="3">
        <f>IFERROR(AU331/F331,"")</f>
        <v/>
      </c>
      <c r="AW331">
        <f>IF(AND($E331=TRUE,$C331="GKP"),AS331,"")</f>
        <v/>
      </c>
      <c r="AX331">
        <f>IF(AND($E331=TRUE,$C331="DEF"),AS331,"")</f>
        <v/>
      </c>
      <c r="AY331">
        <f>IF(AND($E331=TRUE,$C331="MID"),AS331,"")</f>
        <v/>
      </c>
      <c r="AZ331">
        <f>IF(AND($E331=TRUE,$C331="FWD"),AS331,"")</f>
        <v/>
      </c>
      <c r="BA331" t="n">
        <v>2</v>
      </c>
      <c r="BB331" t="n">
        <v>2</v>
      </c>
      <c r="BC331" t="n">
        <v>1</v>
      </c>
      <c r="BD331" t="n">
        <v>5</v>
      </c>
    </row>
    <row r="332">
      <c r="A332" t="inlineStr">
        <is>
          <t>Marco Bizot</t>
        </is>
      </c>
      <c r="B332" t="inlineStr">
        <is>
          <t>AVL</t>
        </is>
      </c>
      <c r="C332" t="inlineStr">
        <is>
          <t>GKP</t>
        </is>
      </c>
      <c r="D332" t="inlineStr">
        <is>
          <t>GKP</t>
        </is>
      </c>
      <c r="E332" t="b">
        <v>1</v>
      </c>
      <c r="F332" s="2" t="n">
        <v>4.5</v>
      </c>
      <c r="G332" t="inlineStr">
        <is>
          <t>a</t>
        </is>
      </c>
      <c r="I332" s="2" t="n">
        <v>585</v>
      </c>
      <c r="J332" t="n">
        <v>16</v>
      </c>
      <c r="K332" s="3" t="n">
        <v>35</v>
      </c>
      <c r="L332" t="inlineStr">
        <is>
          <t>flat</t>
        </is>
      </c>
      <c r="M332" s="4" t="n">
        <v>35</v>
      </c>
      <c r="N332" t="inlineStr">
        <is>
          <t>Solio</t>
        </is>
      </c>
      <c r="O332" s="5" t="n">
        <v>90</v>
      </c>
      <c r="P332" t="b">
        <v>1</v>
      </c>
      <c r="Q332" s="5">
        <f>IF(N(O332)&lt;=0,0,MIN(Assumptions!$B$15,N(M332)/N(O332)))</f>
        <v/>
      </c>
      <c r="R332" s="4" t="n">
        <v>0.273</v>
      </c>
      <c r="S332" s="3" t="n">
        <v>0</v>
      </c>
      <c r="T332" t="inlineStr">
        <is>
          <t>blended xG</t>
        </is>
      </c>
      <c r="U332" s="3" t="n">
        <v>1</v>
      </c>
      <c r="V332" s="3" t="n">
        <v>1</v>
      </c>
      <c r="W332" s="3" t="n">
        <v>0</v>
      </c>
      <c r="X332" s="3" t="n">
        <v>0</v>
      </c>
      <c r="Y332" s="3" t="n">
        <v>0</v>
      </c>
      <c r="Z332" s="3" t="n">
        <v>0</v>
      </c>
      <c r="AA332" s="3" t="n">
        <v>0.1538</v>
      </c>
      <c r="AB332" s="3" t="n">
        <v>13</v>
      </c>
      <c r="AC332" s="3" t="n">
        <v>2.7451</v>
      </c>
      <c r="AD332" s="3" t="n">
        <v>1.3575</v>
      </c>
      <c r="AE332" s="3" t="n">
        <v>-0.1440173892489311</v>
      </c>
      <c r="AF332" s="4" t="n">
        <v>0</v>
      </c>
      <c r="AG332" s="3" t="n">
        <v>0.0296591933078106</v>
      </c>
      <c r="AH332" s="3" t="n">
        <v>0</v>
      </c>
      <c r="AI332" s="3" t="n">
        <v>0</v>
      </c>
      <c r="AJ332" s="3">
        <f>N(R332)*N(BC332)</f>
        <v/>
      </c>
      <c r="AK332" s="3" t="n">
        <v>0.1538</v>
      </c>
      <c r="AL332" s="3" t="n">
        <v>0.5799503685565225</v>
      </c>
      <c r="AM332" s="3" t="n">
        <v>-0.4453012382517575</v>
      </c>
      <c r="AN332" s="3" t="n">
        <v>-0.1440173892489311</v>
      </c>
      <c r="AO332" s="3">
        <f>SUM(AH332:AN332)</f>
        <v/>
      </c>
      <c r="AP332" s="5">
        <f>IF(OR(N(Q332)&lt;=0,N(BA332)=0),0,N(Q332)*IF(N(M332)/N(Q332)&gt;=60,N(BA332),1))</f>
        <v/>
      </c>
      <c r="AQ332" s="5">
        <f>N(Q332)*N(Z332)*N(BB332)</f>
        <v/>
      </c>
      <c r="AR332" s="5">
        <f>N(AF332)*(Assumptions!$B$13*N(BD332)-(1-Assumptions!$B$13)*Assumptions!$B$14)+N(AG332)</f>
        <v/>
      </c>
      <c r="AS332" s="5">
        <f>N(AO332)*N(M332)/90+N(AP332)+N(AQ332)+N(AR332)</f>
        <v/>
      </c>
      <c r="AT332" s="3">
        <f>IF(N(M332)&lt;=0,0,(N(AS332)-N(AR332))*90/N(M332))</f>
        <v/>
      </c>
      <c r="AU332" s="5">
        <f>IFERROR(AS332-VLOOKUP($C332,Assumptions!$A$36:$C$39,3,FALSE),"")</f>
        <v/>
      </c>
      <c r="AV332" s="3">
        <f>IFERROR(AU332/F332,"")</f>
        <v/>
      </c>
      <c r="AW332">
        <f>IF(AND($E332=TRUE,$C332="GKP"),AS332,"")</f>
        <v/>
      </c>
      <c r="AX332">
        <f>IF(AND($E332=TRUE,$C332="DEF"),AS332,"")</f>
        <v/>
      </c>
      <c r="AY332">
        <f>IF(AND($E332=TRUE,$C332="MID"),AS332,"")</f>
        <v/>
      </c>
      <c r="AZ332">
        <f>IF(AND($E332=TRUE,$C332="FWD"),AS332,"")</f>
        <v/>
      </c>
      <c r="BA332" t="n">
        <v>2</v>
      </c>
      <c r="BB332" t="n">
        <v>0</v>
      </c>
      <c r="BC332" t="n">
        <v>4</v>
      </c>
      <c r="BD332" t="n">
        <v>10</v>
      </c>
    </row>
    <row r="333">
      <c r="A333" t="inlineStr">
        <is>
          <t>Max Dowman</t>
        </is>
      </c>
      <c r="B333" t="inlineStr">
        <is>
          <t>ARS</t>
        </is>
      </c>
      <c r="C333" t="inlineStr">
        <is>
          <t>MID</t>
        </is>
      </c>
      <c r="D333" t="inlineStr">
        <is>
          <t>MID</t>
        </is>
      </c>
      <c r="E333" t="b">
        <v>1</v>
      </c>
      <c r="F333" s="2" t="n">
        <v>5.5</v>
      </c>
      <c r="G333" t="inlineStr">
        <is>
          <t>a</t>
        </is>
      </c>
      <c r="I333" s="2" t="n">
        <v>152</v>
      </c>
      <c r="J333" t="n">
        <v>16</v>
      </c>
      <c r="K333" s="3" t="n">
        <v>85</v>
      </c>
      <c r="L333" t="inlineStr">
        <is>
          <t>flat</t>
        </is>
      </c>
      <c r="M333" s="4" t="n">
        <v>85</v>
      </c>
      <c r="N333" t="inlineStr">
        <is>
          <t>Solio</t>
        </is>
      </c>
      <c r="O333" s="5" t="n">
        <v>61</v>
      </c>
      <c r="P333" t="b">
        <v>1</v>
      </c>
      <c r="Q333" s="5">
        <f>IF(N(O333)&lt;=0,0,MIN(Assumptions!$B$15,N(M333)/N(O333)))</f>
        <v/>
      </c>
      <c r="R333" s="4" t="n">
        <v>0.391</v>
      </c>
      <c r="S333" s="3" t="n">
        <v>0.6898</v>
      </c>
      <c r="T333" t="inlineStr">
        <is>
          <t>adjusted xGOT</t>
        </is>
      </c>
      <c r="U333" s="3" t="n">
        <v>1</v>
      </c>
      <c r="V333" s="3" t="n">
        <v>0.979</v>
      </c>
      <c r="W333" s="3" t="n">
        <v>1.2</v>
      </c>
      <c r="X333" s="3" t="n">
        <v>0.2764</v>
      </c>
      <c r="Y333" s="3" t="n">
        <v>8.733000000000001</v>
      </c>
      <c r="Z333" s="3" t="n">
        <v>0.01832862833156657</v>
      </c>
      <c r="AA333" s="3" t="n">
        <v>0</v>
      </c>
      <c r="AB333" s="3" t="n">
        <v>7</v>
      </c>
      <c r="AC333" s="3" t="n">
        <v>2.067</v>
      </c>
      <c r="AD333" s="3" t="n">
        <v>0.9838</v>
      </c>
      <c r="AE333" s="3" t="n">
        <v>-0.1970043952632675</v>
      </c>
      <c r="AF333" s="4" t="n">
        <v>0</v>
      </c>
      <c r="AG333" s="3" t="n">
        <v>0</v>
      </c>
      <c r="AH333" s="3" t="n">
        <v>3.449</v>
      </c>
      <c r="AI333" s="3" t="n">
        <v>1.094544</v>
      </c>
      <c r="AJ333" s="3">
        <f>N(R333)*N(BC333)</f>
        <v/>
      </c>
      <c r="AK333" s="3" t="n">
        <v>0</v>
      </c>
      <c r="AL333" s="3" t="n">
        <v>0</v>
      </c>
      <c r="AM333" s="3" t="n">
        <v>-0</v>
      </c>
      <c r="AN333" s="3" t="n">
        <v>-0.1970043952632675</v>
      </c>
      <c r="AO333" s="3">
        <f>SUM(AH333:AN333)</f>
        <v/>
      </c>
      <c r="AP333" s="5">
        <f>IF(OR(N(Q333)&lt;=0,N(BA333)=0),0,N(Q333)*IF(N(M333)/N(Q333)&gt;=60,N(BA333),1))</f>
        <v/>
      </c>
      <c r="AQ333" s="5">
        <f>N(Q333)*N(Z333)*N(BB333)</f>
        <v/>
      </c>
      <c r="AR333" s="5">
        <f>N(AF333)*(Assumptions!$B$13*N(BD333)-(1-Assumptions!$B$13)*Assumptions!$B$14)+N(AG333)</f>
        <v/>
      </c>
      <c r="AS333" s="5">
        <f>N(AO333)*N(M333)/90+N(AP333)+N(AQ333)+N(AR333)</f>
        <v/>
      </c>
      <c r="AT333" s="3">
        <f>IF(N(M333)&lt;=0,0,(N(AS333)-N(AR333))*90/N(M333))</f>
        <v/>
      </c>
      <c r="AU333" s="5">
        <f>IFERROR(AS333-VLOOKUP($C333,Assumptions!$A$36:$C$39,3,FALSE),"")</f>
        <v/>
      </c>
      <c r="AV333" s="3">
        <f>IFERROR(AU333/F333,"")</f>
        <v/>
      </c>
      <c r="AW333">
        <f>IF(AND($E333=TRUE,$C333="GKP"),AS333,"")</f>
        <v/>
      </c>
      <c r="AX333">
        <f>IF(AND($E333=TRUE,$C333="DEF"),AS333,"")</f>
        <v/>
      </c>
      <c r="AY333">
        <f>IF(AND($E333=TRUE,$C333="MID"),AS333,"")</f>
        <v/>
      </c>
      <c r="AZ333">
        <f>IF(AND($E333=TRUE,$C333="FWD"),AS333,"")</f>
        <v/>
      </c>
      <c r="BA333" t="n">
        <v>2</v>
      </c>
      <c r="BB333" t="n">
        <v>2</v>
      </c>
      <c r="BC333" t="n">
        <v>1</v>
      </c>
      <c r="BD333" t="n">
        <v>5</v>
      </c>
    </row>
    <row r="334">
      <c r="A334" t="inlineStr">
        <is>
          <t>Harrison Reed</t>
        </is>
      </c>
      <c r="B334" t="inlineStr">
        <is>
          <t>FUL</t>
        </is>
      </c>
      <c r="C334" t="inlineStr">
        <is>
          <t>MID</t>
        </is>
      </c>
      <c r="D334" t="inlineStr">
        <is>
          <t>MID</t>
        </is>
      </c>
      <c r="E334" t="b">
        <v>1</v>
      </c>
      <c r="F334" s="2" t="n">
        <v>4.5</v>
      </c>
      <c r="G334" t="inlineStr">
        <is>
          <t>a</t>
        </is>
      </c>
      <c r="I334" s="2" t="n">
        <v>89</v>
      </c>
      <c r="J334" t="n">
        <v>15</v>
      </c>
      <c r="K334" s="3" t="n">
        <v>46</v>
      </c>
      <c r="L334" t="inlineStr">
        <is>
          <t>flat</t>
        </is>
      </c>
      <c r="M334" s="4" t="n">
        <v>46</v>
      </c>
      <c r="N334" t="inlineStr">
        <is>
          <t>Solio</t>
        </is>
      </c>
      <c r="O334" s="5" t="n">
        <v>63</v>
      </c>
      <c r="P334" t="b">
        <v>1</v>
      </c>
      <c r="Q334" s="5">
        <f>IF(N(O334)&lt;=0,0,MIN(Assumptions!$B$15,N(M334)/N(O334)))</f>
        <v/>
      </c>
      <c r="R334" s="4" t="n">
        <v>0.214</v>
      </c>
      <c r="S334" s="3" t="n">
        <v>0.1547</v>
      </c>
      <c r="T334" t="inlineStr">
        <is>
          <t>adjusted xGOT</t>
        </is>
      </c>
      <c r="U334" s="3" t="n">
        <v>1</v>
      </c>
      <c r="V334" s="3" t="n">
        <v>1.179</v>
      </c>
      <c r="W334" s="3" t="n">
        <v>2.6</v>
      </c>
      <c r="X334" s="3" t="n">
        <v>0.4313</v>
      </c>
      <c r="Y334" s="3" t="n">
        <v>8.301</v>
      </c>
      <c r="Z334" s="3" t="n">
        <v>0.01615361656938941</v>
      </c>
      <c r="AA334" s="3" t="n">
        <v>2.0225</v>
      </c>
      <c r="AB334" s="3" t="n">
        <v>8</v>
      </c>
      <c r="AC334" s="3" t="n">
        <v>3.22</v>
      </c>
      <c r="AD334" s="3" t="n">
        <v>1.6019</v>
      </c>
      <c r="AE334" s="3" t="n">
        <v>-0.3054845747314056</v>
      </c>
      <c r="AF334" s="4" t="n">
        <v>0</v>
      </c>
      <c r="AG334" s="3" t="n">
        <v>0</v>
      </c>
      <c r="AH334" s="3" t="n">
        <v>0.7735000000000001</v>
      </c>
      <c r="AI334" s="3" t="n">
        <v>1.707948</v>
      </c>
      <c r="AJ334" s="3">
        <f>N(R334)*N(BC334)</f>
        <v/>
      </c>
      <c r="AK334" s="3" t="n">
        <v>2.0225</v>
      </c>
      <c r="AL334" s="3" t="n">
        <v>0</v>
      </c>
      <c r="AM334" s="3" t="n">
        <v>-0</v>
      </c>
      <c r="AN334" s="3" t="n">
        <v>-0.3054845747314056</v>
      </c>
      <c r="AO334" s="3">
        <f>SUM(AH334:AN334)</f>
        <v/>
      </c>
      <c r="AP334" s="5">
        <f>IF(OR(N(Q334)&lt;=0,N(BA334)=0),0,N(Q334)*IF(N(M334)/N(Q334)&gt;=60,N(BA334),1))</f>
        <v/>
      </c>
      <c r="AQ334" s="5">
        <f>N(Q334)*N(Z334)*N(BB334)</f>
        <v/>
      </c>
      <c r="AR334" s="5">
        <f>N(AF334)*(Assumptions!$B$13*N(BD334)-(1-Assumptions!$B$13)*Assumptions!$B$14)+N(AG334)</f>
        <v/>
      </c>
      <c r="AS334" s="5">
        <f>N(AO334)*N(M334)/90+N(AP334)+N(AQ334)+N(AR334)</f>
        <v/>
      </c>
      <c r="AT334" s="3">
        <f>IF(N(M334)&lt;=0,0,(N(AS334)-N(AR334))*90/N(M334))</f>
        <v/>
      </c>
      <c r="AU334" s="5">
        <f>IFERROR(AS334-VLOOKUP($C334,Assumptions!$A$36:$C$39,3,FALSE),"")</f>
        <v/>
      </c>
      <c r="AV334" s="3">
        <f>IFERROR(AU334/F334,"")</f>
        <v/>
      </c>
      <c r="AW334">
        <f>IF(AND($E334=TRUE,$C334="GKP"),AS334,"")</f>
        <v/>
      </c>
      <c r="AX334">
        <f>IF(AND($E334=TRUE,$C334="DEF"),AS334,"")</f>
        <v/>
      </c>
      <c r="AY334">
        <f>IF(AND($E334=TRUE,$C334="MID"),AS334,"")</f>
        <v/>
      </c>
      <c r="AZ334">
        <f>IF(AND($E334=TRUE,$C334="FWD"),AS334,"")</f>
        <v/>
      </c>
      <c r="BA334" t="n">
        <v>2</v>
      </c>
      <c r="BB334" t="n">
        <v>2</v>
      </c>
      <c r="BC334" t="n">
        <v>1</v>
      </c>
      <c r="BD334" t="n">
        <v>5</v>
      </c>
    </row>
    <row r="335">
      <c r="A335" t="inlineStr">
        <is>
          <t>Romaine Mundle</t>
        </is>
      </c>
      <c r="B335" t="inlineStr">
        <is>
          <t>SUN</t>
        </is>
      </c>
      <c r="C335" t="inlineStr">
        <is>
          <t>MID</t>
        </is>
      </c>
      <c r="D335" t="inlineStr">
        <is>
          <t>MID</t>
        </is>
      </c>
      <c r="E335" t="b">
        <v>1</v>
      </c>
      <c r="F335" s="2" t="n">
        <v>5</v>
      </c>
      <c r="G335" t="inlineStr">
        <is>
          <t>a</t>
        </is>
      </c>
      <c r="I335" s="2" t="n">
        <v>399</v>
      </c>
      <c r="J335" t="n">
        <v>14</v>
      </c>
      <c r="K335" s="3" t="n">
        <v>52</v>
      </c>
      <c r="L335" t="inlineStr">
        <is>
          <t>flat</t>
        </is>
      </c>
      <c r="M335" s="4" t="n">
        <v>52</v>
      </c>
      <c r="N335" t="inlineStr">
        <is>
          <t>Solio</t>
        </is>
      </c>
      <c r="O335" s="5" t="n">
        <v>66</v>
      </c>
      <c r="P335" t="b">
        <v>1</v>
      </c>
      <c r="Q335" s="5">
        <f>IF(N(O335)&lt;=0,0,MIN(Assumptions!$B$15,N(M335)/N(O335)))</f>
        <v/>
      </c>
      <c r="R335" s="4" t="n">
        <v>0.204</v>
      </c>
      <c r="S335" s="3" t="n">
        <v>0.1791</v>
      </c>
      <c r="T335" t="inlineStr">
        <is>
          <t>adjusted xGOT</t>
        </is>
      </c>
      <c r="U335" s="3" t="n">
        <v>1</v>
      </c>
      <c r="V335" s="3" t="n">
        <v>0.913</v>
      </c>
      <c r="W335" s="3" t="n">
        <v>0.9</v>
      </c>
      <c r="X335" s="3" t="n">
        <v>0.0561</v>
      </c>
      <c r="Y335" s="3" t="n">
        <v>8.173</v>
      </c>
      <c r="Z335" s="3" t="n">
        <v>0.01994666841575932</v>
      </c>
      <c r="AA335" s="3" t="n">
        <v>0</v>
      </c>
      <c r="AB335" s="3" t="n">
        <v>15</v>
      </c>
      <c r="AC335" s="3" t="n">
        <v>3.3348</v>
      </c>
      <c r="AD335" s="3" t="n">
        <v>1.6498</v>
      </c>
      <c r="AE335" s="3" t="n">
        <v>-0.2217182016969436</v>
      </c>
      <c r="AF335" s="4" t="n">
        <v>0</v>
      </c>
      <c r="AG335" s="3" t="n">
        <v>0</v>
      </c>
      <c r="AH335" s="3" t="n">
        <v>0.8955000000000001</v>
      </c>
      <c r="AI335" s="3" t="n">
        <v>0.222156</v>
      </c>
      <c r="AJ335" s="3">
        <f>N(R335)*N(BC335)</f>
        <v/>
      </c>
      <c r="AK335" s="3" t="n">
        <v>0</v>
      </c>
      <c r="AL335" s="3" t="n">
        <v>0</v>
      </c>
      <c r="AM335" s="3" t="n">
        <v>-0</v>
      </c>
      <c r="AN335" s="3" t="n">
        <v>-0.2217182016969436</v>
      </c>
      <c r="AO335" s="3">
        <f>SUM(AH335:AN335)</f>
        <v/>
      </c>
      <c r="AP335" s="5">
        <f>IF(OR(N(Q335)&lt;=0,N(BA335)=0),0,N(Q335)*IF(N(M335)/N(Q335)&gt;=60,N(BA335),1))</f>
        <v/>
      </c>
      <c r="AQ335" s="5">
        <f>N(Q335)*N(Z335)*N(BB335)</f>
        <v/>
      </c>
      <c r="AR335" s="5">
        <f>N(AF335)*(Assumptions!$B$13*N(BD335)-(1-Assumptions!$B$13)*Assumptions!$B$14)+N(AG335)</f>
        <v/>
      </c>
      <c r="AS335" s="5">
        <f>N(AO335)*N(M335)/90+N(AP335)+N(AQ335)+N(AR335)</f>
        <v/>
      </c>
      <c r="AT335" s="3">
        <f>IF(N(M335)&lt;=0,0,(N(AS335)-N(AR335))*90/N(M335))</f>
        <v/>
      </c>
      <c r="AU335" s="5">
        <f>IFERROR(AS335-VLOOKUP($C335,Assumptions!$A$36:$C$39,3,FALSE),"")</f>
        <v/>
      </c>
      <c r="AV335" s="3">
        <f>IFERROR(AU335/F335,"")</f>
        <v/>
      </c>
      <c r="AW335">
        <f>IF(AND($E335=TRUE,$C335="GKP"),AS335,"")</f>
        <v/>
      </c>
      <c r="AX335">
        <f>IF(AND($E335=TRUE,$C335="DEF"),AS335,"")</f>
        <v/>
      </c>
      <c r="AY335">
        <f>IF(AND($E335=TRUE,$C335="MID"),AS335,"")</f>
        <v/>
      </c>
      <c r="AZ335">
        <f>IF(AND($E335=TRUE,$C335="FWD"),AS335,"")</f>
        <v/>
      </c>
      <c r="BA335" t="n">
        <v>2</v>
      </c>
      <c r="BB335" t="n">
        <v>2</v>
      </c>
      <c r="BC335" t="n">
        <v>1</v>
      </c>
      <c r="BD335" t="n">
        <v>5</v>
      </c>
    </row>
    <row r="336">
      <c r="A336" t="inlineStr">
        <is>
          <t>Ethan Pinnock</t>
        </is>
      </c>
      <c r="B336" t="inlineStr">
        <is>
          <t>BRE</t>
        </is>
      </c>
      <c r="C336" t="inlineStr">
        <is>
          <t>DEF</t>
        </is>
      </c>
      <c r="D336" t="inlineStr">
        <is>
          <t>DEF</t>
        </is>
      </c>
      <c r="E336" t="b">
        <v>1</v>
      </c>
      <c r="F336" s="2" t="n">
        <v>4.5</v>
      </c>
      <c r="G336" t="inlineStr">
        <is>
          <t>a</t>
        </is>
      </c>
      <c r="I336" s="2" t="n">
        <v>318</v>
      </c>
      <c r="J336" t="n">
        <v>14</v>
      </c>
      <c r="K336" s="3" t="n">
        <v>0</v>
      </c>
      <c r="L336" t="inlineStr">
        <is>
          <t>flat</t>
        </is>
      </c>
      <c r="M336" s="4" t="n">
        <v>0</v>
      </c>
      <c r="N336" t="inlineStr">
        <is>
          <t>Solio</t>
        </is>
      </c>
      <c r="O336" s="5" t="n">
        <v>79.5</v>
      </c>
      <c r="P336" t="b">
        <v>1</v>
      </c>
      <c r="Q336" s="5">
        <f>IF(N(O336)&lt;=0,0,MIN(Assumptions!$B$15,N(M336)/N(O336)))</f>
        <v/>
      </c>
      <c r="R336" s="4" t="n">
        <v>0.228</v>
      </c>
      <c r="S336" s="3" t="n">
        <v>0.0028</v>
      </c>
      <c r="T336" t="inlineStr">
        <is>
          <t>adjusted xGOT</t>
        </is>
      </c>
      <c r="U336" s="3" t="n">
        <v>1</v>
      </c>
      <c r="V336" s="3" t="n">
        <v>1.034</v>
      </c>
      <c r="W336" s="3" t="n">
        <v>5.8</v>
      </c>
      <c r="X336" s="3" t="n">
        <v>0.008500000000000001</v>
      </c>
      <c r="Y336" s="3" t="n">
        <v>8.972</v>
      </c>
      <c r="Z336" s="3" t="n">
        <v>0.2741474470910223</v>
      </c>
      <c r="AA336" s="3" t="n">
        <v>0.5659999999999999</v>
      </c>
      <c r="AB336" s="3" t="n">
        <v>8</v>
      </c>
      <c r="AC336" s="3" t="n">
        <v>3.2371</v>
      </c>
      <c r="AD336" s="3" t="n">
        <v>1.5396</v>
      </c>
      <c r="AE336" s="3" t="n">
        <v>-0.1484440341714589</v>
      </c>
      <c r="AF336" s="4" t="n">
        <v>0</v>
      </c>
      <c r="AG336" s="3" t="n">
        <v>0</v>
      </c>
      <c r="AH336" s="3" t="n">
        <v>0.0168</v>
      </c>
      <c r="AI336" s="3" t="n">
        <v>0.03366</v>
      </c>
      <c r="AJ336" s="3">
        <f>N(R336)*N(BC336)</f>
        <v/>
      </c>
      <c r="AK336" s="3" t="n">
        <v>0.5659999999999999</v>
      </c>
      <c r="AL336" s="3" t="n">
        <v>0</v>
      </c>
      <c r="AM336" s="3" t="n">
        <v>-0.5312990096912251</v>
      </c>
      <c r="AN336" s="3" t="n">
        <v>-0.1484440341714589</v>
      </c>
      <c r="AO336" s="3">
        <f>SUM(AH336:AN336)</f>
        <v/>
      </c>
      <c r="AP336" s="5">
        <f>IF(OR(N(Q336)&lt;=0,N(BA336)=0),0,N(Q336)*IF(N(M336)/N(Q336)&gt;=60,N(BA336),1))</f>
        <v/>
      </c>
      <c r="AQ336" s="5">
        <f>N(Q336)*N(Z336)*N(BB336)</f>
        <v/>
      </c>
      <c r="AR336" s="5">
        <f>N(AF336)*(Assumptions!$B$13*N(BD336)-(1-Assumptions!$B$13)*Assumptions!$B$14)+N(AG336)</f>
        <v/>
      </c>
      <c r="AS336" s="5">
        <f>N(AO336)*N(M336)/90+N(AP336)+N(AQ336)+N(AR336)</f>
        <v/>
      </c>
      <c r="AT336" s="3">
        <f>IF(N(M336)&lt;=0,0,(N(AS336)-N(AR336))*90/N(M336))</f>
        <v/>
      </c>
      <c r="AU336" s="5">
        <f>IFERROR(AS336-VLOOKUP($C336,Assumptions!$A$36:$C$39,3,FALSE),"")</f>
        <v/>
      </c>
      <c r="AV336" s="3">
        <f>IFERROR(AU336/F336,"")</f>
        <v/>
      </c>
      <c r="AW336">
        <f>IF(AND($E336=TRUE,$C336="GKP"),AS336,"")</f>
        <v/>
      </c>
      <c r="AX336">
        <f>IF(AND($E336=TRUE,$C336="DEF"),AS336,"")</f>
        <v/>
      </c>
      <c r="AY336">
        <f>IF(AND($E336=TRUE,$C336="MID"),AS336,"")</f>
        <v/>
      </c>
      <c r="AZ336">
        <f>IF(AND($E336=TRUE,$C336="FWD"),AS336,"")</f>
        <v/>
      </c>
      <c r="BA336" t="n">
        <v>2</v>
      </c>
      <c r="BB336" t="n">
        <v>2</v>
      </c>
      <c r="BC336" t="n">
        <v>4</v>
      </c>
      <c r="BD336" t="n">
        <v>6</v>
      </c>
    </row>
    <row r="337">
      <c r="A337" t="inlineStr">
        <is>
          <t>Marc Guiu</t>
        </is>
      </c>
      <c r="B337" t="inlineStr">
        <is>
          <t>CHE</t>
        </is>
      </c>
      <c r="C337" t="inlineStr">
        <is>
          <t>FWD</t>
        </is>
      </c>
      <c r="D337" t="inlineStr">
        <is>
          <t>FWD</t>
        </is>
      </c>
      <c r="E337" t="b">
        <v>1</v>
      </c>
      <c r="F337" s="2" t="n">
        <v>5</v>
      </c>
      <c r="G337" t="inlineStr">
        <is>
          <t>a</t>
        </is>
      </c>
      <c r="I337" s="2" t="n">
        <v>265</v>
      </c>
      <c r="J337" t="n">
        <v>13</v>
      </c>
      <c r="K337" s="3" t="n">
        <v>0</v>
      </c>
      <c r="L337" t="inlineStr">
        <is>
          <t>flat</t>
        </is>
      </c>
      <c r="M337" s="4" t="n">
        <v>0</v>
      </c>
      <c r="N337" t="inlineStr">
        <is>
          <t>Solio</t>
        </is>
      </c>
      <c r="O337" s="5" t="n">
        <v>75</v>
      </c>
      <c r="P337" t="b">
        <v>1</v>
      </c>
      <c r="Q337" s="5">
        <f>IF(N(O337)&lt;=0,0,MIN(Assumptions!$B$15,N(M337)/N(O337)))</f>
        <v/>
      </c>
      <c r="R337" s="4" t="n">
        <v>0.322</v>
      </c>
      <c r="S337" s="3" t="n">
        <v>0.4442</v>
      </c>
      <c r="T337" t="inlineStr">
        <is>
          <t>adjusted xGOT</t>
        </is>
      </c>
      <c r="U337" s="3" t="n">
        <v>1</v>
      </c>
      <c r="V337" s="3" t="n">
        <v>0.849</v>
      </c>
      <c r="W337" s="3" t="n">
        <v>1.5</v>
      </c>
      <c r="X337" s="3" t="n">
        <v>0.1781</v>
      </c>
      <c r="Y337" s="3" t="n">
        <v>4.234</v>
      </c>
      <c r="Z337" s="3" t="n">
        <v>0.0003103255003198413</v>
      </c>
      <c r="AA337" s="3" t="n">
        <v>0</v>
      </c>
      <c r="AB337" s="3" t="n">
        <v>11</v>
      </c>
      <c r="AC337" s="3" t="n">
        <v>2.4232</v>
      </c>
      <c r="AD337" s="3" t="n">
        <v>1.1851</v>
      </c>
      <c r="AE337" s="3" t="n">
        <v>-0.197488947267108</v>
      </c>
      <c r="AF337" s="4" t="n">
        <v>0</v>
      </c>
      <c r="AG337" s="3" t="n">
        <v>0</v>
      </c>
      <c r="AH337" s="3" t="n">
        <v>1.7768</v>
      </c>
      <c r="AI337" s="3" t="n">
        <v>0.705276</v>
      </c>
      <c r="AJ337" s="3">
        <f>N(R337)*N(BC337)</f>
        <v/>
      </c>
      <c r="AK337" s="3" t="n">
        <v>0</v>
      </c>
      <c r="AL337" s="3" t="n">
        <v>0</v>
      </c>
      <c r="AM337" s="3" t="n">
        <v>-0</v>
      </c>
      <c r="AN337" s="3" t="n">
        <v>-0.197488947267108</v>
      </c>
      <c r="AO337" s="3">
        <f>SUM(AH337:AN337)</f>
        <v/>
      </c>
      <c r="AP337" s="5">
        <f>IF(OR(N(Q337)&lt;=0,N(BA337)=0),0,N(Q337)*IF(N(M337)/N(Q337)&gt;=60,N(BA337),1))</f>
        <v/>
      </c>
      <c r="AQ337" s="5">
        <f>N(Q337)*N(Z337)*N(BB337)</f>
        <v/>
      </c>
      <c r="AR337" s="5">
        <f>N(AF337)*(Assumptions!$B$13*N(BD337)-(1-Assumptions!$B$13)*Assumptions!$B$14)+N(AG337)</f>
        <v/>
      </c>
      <c r="AS337" s="5">
        <f>N(AO337)*N(M337)/90+N(AP337)+N(AQ337)+N(AR337)</f>
        <v/>
      </c>
      <c r="AT337" s="3">
        <f>IF(N(M337)&lt;=0,0,(N(AS337)-N(AR337))*90/N(M337))</f>
        <v/>
      </c>
      <c r="AU337" s="5">
        <f>IFERROR(AS337-VLOOKUP($C337,Assumptions!$A$36:$C$39,3,FALSE),"")</f>
        <v/>
      </c>
      <c r="AV337" s="3">
        <f>IFERROR(AU337/F337,"")</f>
        <v/>
      </c>
      <c r="AW337">
        <f>IF(AND($E337=TRUE,$C337="GKP"),AS337,"")</f>
        <v/>
      </c>
      <c r="AX337">
        <f>IF(AND($E337=TRUE,$C337="DEF"),AS337,"")</f>
        <v/>
      </c>
      <c r="AY337">
        <f>IF(AND($E337=TRUE,$C337="MID"),AS337,"")</f>
        <v/>
      </c>
      <c r="AZ337">
        <f>IF(AND($E337=TRUE,$C337="FWD"),AS337,"")</f>
        <v/>
      </c>
      <c r="BA337" t="n">
        <v>2</v>
      </c>
      <c r="BB337" t="n">
        <v>2</v>
      </c>
      <c r="BC337" t="n">
        <v>0</v>
      </c>
      <c r="BD337" t="n">
        <v>4</v>
      </c>
    </row>
    <row r="338">
      <c r="A338" t="inlineStr">
        <is>
          <t>Jair Cunha</t>
        </is>
      </c>
      <c r="B338" t="inlineStr">
        <is>
          <t>NFO</t>
        </is>
      </c>
      <c r="C338" t="inlineStr">
        <is>
          <t>DEF</t>
        </is>
      </c>
      <c r="D338" t="inlineStr">
        <is>
          <t>DEF</t>
        </is>
      </c>
      <c r="E338" t="b">
        <v>1</v>
      </c>
      <c r="F338" s="2" t="n">
        <v>4.5</v>
      </c>
      <c r="G338" t="inlineStr">
        <is>
          <t>a</t>
        </is>
      </c>
      <c r="I338" s="2" t="n">
        <v>514</v>
      </c>
      <c r="J338" t="n">
        <v>13</v>
      </c>
      <c r="K338" s="3" t="n">
        <v>249</v>
      </c>
      <c r="L338" t="inlineStr">
        <is>
          <t>flat</t>
        </is>
      </c>
      <c r="M338" s="4" t="n">
        <v>249</v>
      </c>
      <c r="N338" t="inlineStr">
        <is>
          <t>Solio</t>
        </is>
      </c>
      <c r="O338" s="5" t="n">
        <v>71</v>
      </c>
      <c r="P338" t="b">
        <v>1</v>
      </c>
      <c r="Q338" s="5">
        <f>IF(N(O338)&lt;=0,0,MIN(Assumptions!$B$15,N(M338)/N(O338)))</f>
        <v/>
      </c>
      <c r="R338" s="4" t="n">
        <v>0.224</v>
      </c>
      <c r="S338" s="3" t="n">
        <v>0.0462</v>
      </c>
      <c r="T338" t="inlineStr">
        <is>
          <t>adjusted xGOT</t>
        </is>
      </c>
      <c r="U338" s="3" t="n">
        <v>1</v>
      </c>
      <c r="V338" s="3" t="n">
        <v>0.979</v>
      </c>
      <c r="W338" s="3" t="n">
        <v>0.3</v>
      </c>
      <c r="X338" s="3" t="n">
        <v>0.0122</v>
      </c>
      <c r="Y338" s="3" t="n">
        <v>7.912</v>
      </c>
      <c r="Z338" s="3" t="n">
        <v>0.1015651604507578</v>
      </c>
      <c r="AA338" s="3" t="n">
        <v>0</v>
      </c>
      <c r="AB338" s="3" t="n">
        <v>13</v>
      </c>
      <c r="AC338" s="3" t="n">
        <v>3.1134</v>
      </c>
      <c r="AD338" s="3" t="n">
        <v>1.5588</v>
      </c>
      <c r="AE338" s="3" t="n">
        <v>-0.1562993428419221</v>
      </c>
      <c r="AF338" s="4" t="n">
        <v>0</v>
      </c>
      <c r="AG338" s="3" t="n">
        <v>0</v>
      </c>
      <c r="AH338" s="3" t="n">
        <v>0.2772</v>
      </c>
      <c r="AI338" s="3" t="n">
        <v>0.048312</v>
      </c>
      <c r="AJ338" s="3">
        <f>N(R338)*N(BC338)</f>
        <v/>
      </c>
      <c r="AK338" s="3" t="n">
        <v>0</v>
      </c>
      <c r="AL338" s="3" t="n">
        <v>0</v>
      </c>
      <c r="AM338" s="3" t="n">
        <v>-0.5404658182244797</v>
      </c>
      <c r="AN338" s="3" t="n">
        <v>-0.1562993428419221</v>
      </c>
      <c r="AO338" s="3">
        <f>SUM(AH338:AN338)</f>
        <v/>
      </c>
      <c r="AP338" s="5">
        <f>IF(OR(N(Q338)&lt;=0,N(BA338)=0),0,N(Q338)*IF(N(M338)/N(Q338)&gt;=60,N(BA338),1))</f>
        <v/>
      </c>
      <c r="AQ338" s="5">
        <f>N(Q338)*N(Z338)*N(BB338)</f>
        <v/>
      </c>
      <c r="AR338" s="5">
        <f>N(AF338)*(Assumptions!$B$13*N(BD338)-(1-Assumptions!$B$13)*Assumptions!$B$14)+N(AG338)</f>
        <v/>
      </c>
      <c r="AS338" s="5">
        <f>N(AO338)*N(M338)/90+N(AP338)+N(AQ338)+N(AR338)</f>
        <v/>
      </c>
      <c r="AT338" s="3">
        <f>IF(N(M338)&lt;=0,0,(N(AS338)-N(AR338))*90/N(M338))</f>
        <v/>
      </c>
      <c r="AU338" s="5">
        <f>IFERROR(AS338-VLOOKUP($C338,Assumptions!$A$36:$C$39,3,FALSE),"")</f>
        <v/>
      </c>
      <c r="AV338" s="3">
        <f>IFERROR(AU338/F338,"")</f>
        <v/>
      </c>
      <c r="AW338">
        <f>IF(AND($E338=TRUE,$C338="GKP"),AS338,"")</f>
        <v/>
      </c>
      <c r="AX338">
        <f>IF(AND($E338=TRUE,$C338="DEF"),AS338,"")</f>
        <v/>
      </c>
      <c r="AY338">
        <f>IF(AND($E338=TRUE,$C338="MID"),AS338,"")</f>
        <v/>
      </c>
      <c r="AZ338">
        <f>IF(AND($E338=TRUE,$C338="FWD"),AS338,"")</f>
        <v/>
      </c>
      <c r="BA338" t="n">
        <v>2</v>
      </c>
      <c r="BB338" t="n">
        <v>2</v>
      </c>
      <c r="BC338" t="n">
        <v>4</v>
      </c>
      <c r="BD338" t="n">
        <v>6</v>
      </c>
    </row>
    <row r="339">
      <c r="A339" t="inlineStr">
        <is>
          <t>Roméo Lavia</t>
        </is>
      </c>
      <c r="B339" t="inlineStr">
        <is>
          <t>CHE</t>
        </is>
      </c>
      <c r="C339" t="inlineStr">
        <is>
          <t>MID</t>
        </is>
      </c>
      <c r="D339" t="inlineStr">
        <is>
          <t>MID</t>
        </is>
      </c>
      <c r="E339" t="b">
        <v>1</v>
      </c>
      <c r="F339" s="2" t="n">
        <v>5</v>
      </c>
      <c r="G339" t="inlineStr">
        <is>
          <t>a</t>
        </is>
      </c>
      <c r="I339" s="2" t="n">
        <v>374</v>
      </c>
      <c r="J339" t="n">
        <v>13</v>
      </c>
      <c r="K339" s="3" t="n">
        <v>128</v>
      </c>
      <c r="L339" t="inlineStr">
        <is>
          <t>flat</t>
        </is>
      </c>
      <c r="M339" s="4" t="n">
        <v>128</v>
      </c>
      <c r="N339" t="inlineStr">
        <is>
          <t>Solio</t>
        </is>
      </c>
      <c r="O339" s="5" t="n">
        <v>57.5</v>
      </c>
      <c r="P339" t="b">
        <v>1</v>
      </c>
      <c r="Q339" s="5">
        <f>IF(N(O339)&lt;=0,0,MIN(Assumptions!$B$15,N(M339)/N(O339)))</f>
        <v/>
      </c>
      <c r="R339" s="4" t="n">
        <v>0.322</v>
      </c>
      <c r="S339" s="3" t="n">
        <v>0.0484</v>
      </c>
      <c r="T339" t="inlineStr">
        <is>
          <t>adjusted xGOT</t>
        </is>
      </c>
      <c r="U339" s="3" t="n">
        <v>1</v>
      </c>
      <c r="V339" s="3" t="n">
        <v>0.957</v>
      </c>
      <c r="W339" s="3" t="n">
        <v>0.9</v>
      </c>
      <c r="X339" s="3" t="n">
        <v>0.1161</v>
      </c>
      <c r="Y339" s="3" t="n">
        <v>8.689</v>
      </c>
      <c r="Z339" s="3" t="n">
        <v>0.01173889437427111</v>
      </c>
      <c r="AA339" s="3" t="n">
        <v>0</v>
      </c>
      <c r="AB339" s="3" t="n">
        <v>13</v>
      </c>
      <c r="AC339" s="3" t="n">
        <v>2.4232</v>
      </c>
      <c r="AD339" s="3" t="n">
        <v>1.1851</v>
      </c>
      <c r="AE339" s="3" t="n">
        <v>-0.2352048861625498</v>
      </c>
      <c r="AF339" s="4" t="n">
        <v>0</v>
      </c>
      <c r="AG339" s="3" t="n">
        <v>0</v>
      </c>
      <c r="AH339" s="3" t="n">
        <v>0.242</v>
      </c>
      <c r="AI339" s="3" t="n">
        <v>0.459756</v>
      </c>
      <c r="AJ339" s="3">
        <f>N(R339)*N(BC339)</f>
        <v/>
      </c>
      <c r="AK339" s="3" t="n">
        <v>0</v>
      </c>
      <c r="AL339" s="3" t="n">
        <v>0</v>
      </c>
      <c r="AM339" s="3" t="n">
        <v>-0</v>
      </c>
      <c r="AN339" s="3" t="n">
        <v>-0.2352048861625498</v>
      </c>
      <c r="AO339" s="3">
        <f>SUM(AH339:AN339)</f>
        <v/>
      </c>
      <c r="AP339" s="5">
        <f>IF(OR(N(Q339)&lt;=0,N(BA339)=0),0,N(Q339)*IF(N(M339)/N(Q339)&gt;=60,N(BA339),1))</f>
        <v/>
      </c>
      <c r="AQ339" s="5">
        <f>N(Q339)*N(Z339)*N(BB339)</f>
        <v/>
      </c>
      <c r="AR339" s="5">
        <f>N(AF339)*(Assumptions!$B$13*N(BD339)-(1-Assumptions!$B$13)*Assumptions!$B$14)+N(AG339)</f>
        <v/>
      </c>
      <c r="AS339" s="5">
        <f>N(AO339)*N(M339)/90+N(AP339)+N(AQ339)+N(AR339)</f>
        <v/>
      </c>
      <c r="AT339" s="3">
        <f>IF(N(M339)&lt;=0,0,(N(AS339)-N(AR339))*90/N(M339))</f>
        <v/>
      </c>
      <c r="AU339" s="5">
        <f>IFERROR(AS339-VLOOKUP($C339,Assumptions!$A$36:$C$39,3,FALSE),"")</f>
        <v/>
      </c>
      <c r="AV339" s="3">
        <f>IFERROR(AU339/F339,"")</f>
        <v/>
      </c>
      <c r="AW339">
        <f>IF(AND($E339=TRUE,$C339="GKP"),AS339,"")</f>
        <v/>
      </c>
      <c r="AX339">
        <f>IF(AND($E339=TRUE,$C339="DEF"),AS339,"")</f>
        <v/>
      </c>
      <c r="AY339">
        <f>IF(AND($E339=TRUE,$C339="MID"),AS339,"")</f>
        <v/>
      </c>
      <c r="AZ339">
        <f>IF(AND($E339=TRUE,$C339="FWD"),AS339,"")</f>
        <v/>
      </c>
      <c r="BA339" t="n">
        <v>2</v>
      </c>
      <c r="BB339" t="n">
        <v>2</v>
      </c>
      <c r="BC339" t="n">
        <v>1</v>
      </c>
      <c r="BD339" t="n">
        <v>5</v>
      </c>
    </row>
    <row r="340">
      <c r="A340" t="inlineStr">
        <is>
          <t>Nilson Angulo</t>
        </is>
      </c>
      <c r="B340" t="inlineStr">
        <is>
          <t>SUN</t>
        </is>
      </c>
      <c r="C340" t="inlineStr">
        <is>
          <t>MID</t>
        </is>
      </c>
      <c r="D340" t="inlineStr">
        <is>
          <t>MID</t>
        </is>
      </c>
      <c r="E340" t="b">
        <v>1</v>
      </c>
      <c r="F340" s="2" t="n">
        <v>5</v>
      </c>
      <c r="G340" t="inlineStr">
        <is>
          <t>a</t>
        </is>
      </c>
      <c r="I340" s="2" t="n">
        <v>401</v>
      </c>
      <c r="J340" t="n">
        <v>13</v>
      </c>
      <c r="K340" s="3" t="n">
        <v>648</v>
      </c>
      <c r="L340" t="inlineStr">
        <is>
          <t>flat</t>
        </is>
      </c>
      <c r="M340" s="4" t="n">
        <v>648</v>
      </c>
      <c r="N340" t="inlineStr">
        <is>
          <t>Solio</t>
        </is>
      </c>
      <c r="O340" s="5" t="n">
        <v>74.2</v>
      </c>
      <c r="P340" t="b">
        <v>1</v>
      </c>
      <c r="Q340" s="5">
        <f>IF(N(O340)&lt;=0,0,MIN(Assumptions!$B$15,N(M340)/N(O340)))</f>
        <v/>
      </c>
      <c r="R340" s="4" t="n">
        <v>0.204</v>
      </c>
      <c r="S340" s="3" t="n">
        <v>0.1674</v>
      </c>
      <c r="T340" t="inlineStr">
        <is>
          <t>adjusted xGOT</t>
        </is>
      </c>
      <c r="U340" s="3" t="n">
        <v>1</v>
      </c>
      <c r="V340" s="3" t="n">
        <v>0.969</v>
      </c>
      <c r="W340" s="3" t="n">
        <v>0.8</v>
      </c>
      <c r="X340" s="3" t="n">
        <v>0.0194</v>
      </c>
      <c r="Y340" s="3" t="n">
        <v>8.319000000000001</v>
      </c>
      <c r="Z340" s="3" t="n">
        <v>0.04721625129518847</v>
      </c>
      <c r="AA340" s="3" t="n">
        <v>0</v>
      </c>
      <c r="AB340" s="3" t="n">
        <v>13</v>
      </c>
      <c r="AC340" s="3" t="n">
        <v>3.3348</v>
      </c>
      <c r="AD340" s="3" t="n">
        <v>1.6498</v>
      </c>
      <c r="AE340" s="3" t="n">
        <v>-0.2214954059528704</v>
      </c>
      <c r="AF340" s="4" t="n">
        <v>0</v>
      </c>
      <c r="AG340" s="3" t="n">
        <v>0</v>
      </c>
      <c r="AH340" s="3" t="n">
        <v>0.837</v>
      </c>
      <c r="AI340" s="3" t="n">
        <v>0.076824</v>
      </c>
      <c r="AJ340" s="3">
        <f>N(R340)*N(BC340)</f>
        <v/>
      </c>
      <c r="AK340" s="3" t="n">
        <v>0</v>
      </c>
      <c r="AL340" s="3" t="n">
        <v>0</v>
      </c>
      <c r="AM340" s="3" t="n">
        <v>-0</v>
      </c>
      <c r="AN340" s="3" t="n">
        <v>-0.2214954059528704</v>
      </c>
      <c r="AO340" s="3">
        <f>SUM(AH340:AN340)</f>
        <v/>
      </c>
      <c r="AP340" s="5">
        <f>IF(OR(N(Q340)&lt;=0,N(BA340)=0),0,N(Q340)*IF(N(M340)/N(Q340)&gt;=60,N(BA340),1))</f>
        <v/>
      </c>
      <c r="AQ340" s="5">
        <f>N(Q340)*N(Z340)*N(BB340)</f>
        <v/>
      </c>
      <c r="AR340" s="5">
        <f>N(AF340)*(Assumptions!$B$13*N(BD340)-(1-Assumptions!$B$13)*Assumptions!$B$14)+N(AG340)</f>
        <v/>
      </c>
      <c r="AS340" s="5">
        <f>N(AO340)*N(M340)/90+N(AP340)+N(AQ340)+N(AR340)</f>
        <v/>
      </c>
      <c r="AT340" s="3">
        <f>IF(N(M340)&lt;=0,0,(N(AS340)-N(AR340))*90/N(M340))</f>
        <v/>
      </c>
      <c r="AU340" s="5">
        <f>IFERROR(AS340-VLOOKUP($C340,Assumptions!$A$36:$C$39,3,FALSE),"")</f>
        <v/>
      </c>
      <c r="AV340" s="3">
        <f>IFERROR(AU340/F340,"")</f>
        <v/>
      </c>
      <c r="AW340">
        <f>IF(AND($E340=TRUE,$C340="GKP"),AS340,"")</f>
        <v/>
      </c>
      <c r="AX340">
        <f>IF(AND($E340=TRUE,$C340="DEF"),AS340,"")</f>
        <v/>
      </c>
      <c r="AY340">
        <f>IF(AND($E340=TRUE,$C340="MID"),AS340,"")</f>
        <v/>
      </c>
      <c r="AZ340">
        <f>IF(AND($E340=TRUE,$C340="FWD"),AS340,"")</f>
        <v/>
      </c>
      <c r="BA340" t="n">
        <v>2</v>
      </c>
      <c r="BB340" t="n">
        <v>2</v>
      </c>
      <c r="BC340" t="n">
        <v>1</v>
      </c>
      <c r="BD340" t="n">
        <v>5</v>
      </c>
    </row>
    <row r="341">
      <c r="A341" t="inlineStr">
        <is>
          <t>Fábio Carvalho</t>
        </is>
      </c>
      <c r="B341" t="inlineStr">
        <is>
          <t>BRE</t>
        </is>
      </c>
      <c r="C341" t="inlineStr">
        <is>
          <t>MID</t>
        </is>
      </c>
      <c r="D341" t="inlineStr">
        <is>
          <t>MID</t>
        </is>
      </c>
      <c r="E341" t="b">
        <v>1</v>
      </c>
      <c r="F341" s="2" t="n">
        <v>5</v>
      </c>
      <c r="G341" t="inlineStr">
        <is>
          <t>a</t>
        </is>
      </c>
      <c r="I341" s="2" t="n">
        <v>100</v>
      </c>
      <c r="J341" t="n">
        <v>13</v>
      </c>
      <c r="K341" s="3" t="n">
        <v>10</v>
      </c>
      <c r="L341" t="inlineStr">
        <is>
          <t>flat</t>
        </is>
      </c>
      <c r="M341" s="4" t="n">
        <v>10</v>
      </c>
      <c r="N341" t="inlineStr">
        <is>
          <t>Solio</t>
        </is>
      </c>
      <c r="O341" s="5" t="n">
        <v>90</v>
      </c>
      <c r="P341" t="b">
        <v>1</v>
      </c>
      <c r="Q341" s="5">
        <f>IF(N(O341)&lt;=0,0,MIN(Assumptions!$B$15,N(M341)/N(O341)))</f>
        <v/>
      </c>
      <c r="R341" s="4" t="n">
        <v>0.228</v>
      </c>
      <c r="S341" s="3" t="n">
        <v>0.63</v>
      </c>
      <c r="T341" t="inlineStr">
        <is>
          <t>adjusted xGOT</t>
        </is>
      </c>
      <c r="U341" s="3" t="n">
        <v>1</v>
      </c>
      <c r="V341" s="3" t="n">
        <v>1</v>
      </c>
      <c r="W341" s="3" t="n">
        <v>4.3</v>
      </c>
      <c r="X341" s="3" t="n">
        <v>0.0135</v>
      </c>
      <c r="Y341" s="3" t="n">
        <v>8.409000000000001</v>
      </c>
      <c r="Z341" s="3" t="n">
        <v>0.1436802128725813</v>
      </c>
      <c r="AA341" s="3" t="n">
        <v>0.9</v>
      </c>
      <c r="AB341" s="3" t="n">
        <v>7</v>
      </c>
      <c r="AC341" s="3" t="n">
        <v>3.2371</v>
      </c>
      <c r="AD341" s="3" t="n">
        <v>1.5396</v>
      </c>
      <c r="AE341" s="3" t="n">
        <v>-0.205552940658248</v>
      </c>
      <c r="AF341" s="4" t="n">
        <v>0</v>
      </c>
      <c r="AG341" s="3" t="n">
        <v>0</v>
      </c>
      <c r="AH341" s="3" t="n">
        <v>3.15</v>
      </c>
      <c r="AI341" s="3" t="n">
        <v>0.05346000000000001</v>
      </c>
      <c r="AJ341" s="3">
        <f>N(R341)*N(BC341)</f>
        <v/>
      </c>
      <c r="AK341" s="3" t="n">
        <v>0.9</v>
      </c>
      <c r="AL341" s="3" t="n">
        <v>0</v>
      </c>
      <c r="AM341" s="3" t="n">
        <v>-0</v>
      </c>
      <c r="AN341" s="3" t="n">
        <v>-0.205552940658248</v>
      </c>
      <c r="AO341" s="3">
        <f>SUM(AH341:AN341)</f>
        <v/>
      </c>
      <c r="AP341" s="5">
        <f>IF(OR(N(Q341)&lt;=0,N(BA341)=0),0,N(Q341)*IF(N(M341)/N(Q341)&gt;=60,N(BA341),1))</f>
        <v/>
      </c>
      <c r="AQ341" s="5">
        <f>N(Q341)*N(Z341)*N(BB341)</f>
        <v/>
      </c>
      <c r="AR341" s="5">
        <f>N(AF341)*(Assumptions!$B$13*N(BD341)-(1-Assumptions!$B$13)*Assumptions!$B$14)+N(AG341)</f>
        <v/>
      </c>
      <c r="AS341" s="5">
        <f>N(AO341)*N(M341)/90+N(AP341)+N(AQ341)+N(AR341)</f>
        <v/>
      </c>
      <c r="AT341" s="3">
        <f>IF(N(M341)&lt;=0,0,(N(AS341)-N(AR341))*90/N(M341))</f>
        <v/>
      </c>
      <c r="AU341" s="5">
        <f>IFERROR(AS341-VLOOKUP($C341,Assumptions!$A$36:$C$39,3,FALSE),"")</f>
        <v/>
      </c>
      <c r="AV341" s="3">
        <f>IFERROR(AU341/F341,"")</f>
        <v/>
      </c>
      <c r="AW341">
        <f>IF(AND($E341=TRUE,$C341="GKP"),AS341,"")</f>
        <v/>
      </c>
      <c r="AX341">
        <f>IF(AND($E341=TRUE,$C341="DEF"),AS341,"")</f>
        <v/>
      </c>
      <c r="AY341">
        <f>IF(AND($E341=TRUE,$C341="MID"),AS341,"")</f>
        <v/>
      </c>
      <c r="AZ341">
        <f>IF(AND($E341=TRUE,$C341="FWD"),AS341,"")</f>
        <v/>
      </c>
      <c r="BA341" t="n">
        <v>2</v>
      </c>
      <c r="BB341" t="n">
        <v>2</v>
      </c>
      <c r="BC341" t="n">
        <v>1</v>
      </c>
      <c r="BD341" t="n">
        <v>5</v>
      </c>
    </row>
    <row r="342">
      <c r="A342" t="inlineStr">
        <is>
          <t>Reiss Nelson</t>
        </is>
      </c>
      <c r="B342" t="inlineStr">
        <is>
          <t>ARS</t>
        </is>
      </c>
      <c r="C342" t="inlineStr">
        <is>
          <t>MID</t>
        </is>
      </c>
      <c r="D342" t="inlineStr">
        <is>
          <t>MID</t>
        </is>
      </c>
      <c r="E342" t="b">
        <v>1</v>
      </c>
      <c r="F342" s="2" t="n">
        <v>5.5</v>
      </c>
      <c r="G342" t="inlineStr">
        <is>
          <t>a</t>
        </is>
      </c>
      <c r="I342" s="2" t="n">
        <v>118</v>
      </c>
      <c r="J342" t="n">
        <v>13</v>
      </c>
      <c r="K342" s="3" t="n">
        <v>0</v>
      </c>
      <c r="L342" t="inlineStr">
        <is>
          <t>flat</t>
        </is>
      </c>
      <c r="M342" s="4" t="n">
        <v>0</v>
      </c>
      <c r="N342" t="inlineStr">
        <is>
          <t>Solio</t>
        </is>
      </c>
      <c r="O342" s="5" t="n">
        <v>85</v>
      </c>
      <c r="P342" t="b">
        <v>1</v>
      </c>
      <c r="Q342" s="5">
        <f>IF(N(O342)&lt;=0,0,MIN(Assumptions!$B$15,N(M342)/N(O342)))</f>
        <v/>
      </c>
      <c r="R342" s="4" t="n">
        <v>0.391</v>
      </c>
      <c r="S342" s="3" t="n">
        <v>0.6079</v>
      </c>
      <c r="T342" t="inlineStr">
        <is>
          <t>adjusted xGOT</t>
        </is>
      </c>
      <c r="U342" s="3" t="n">
        <v>1</v>
      </c>
      <c r="V342" s="3" t="n">
        <v>1.122</v>
      </c>
      <c r="W342" s="3" t="n">
        <v>3</v>
      </c>
      <c r="X342" s="3" t="n">
        <v>0.0645</v>
      </c>
      <c r="Y342" s="3" t="n">
        <v>9.839</v>
      </c>
      <c r="Z342" s="3" t="n">
        <v>0.226244472792085</v>
      </c>
      <c r="AA342" s="3" t="n">
        <v>0</v>
      </c>
      <c r="AB342" s="3" t="n">
        <v>10</v>
      </c>
      <c r="AC342" s="3" t="n">
        <v>2.067</v>
      </c>
      <c r="AD342" s="3" t="n">
        <v>0.9838</v>
      </c>
      <c r="AE342" s="3" t="n">
        <v>-0.2100243840141236</v>
      </c>
      <c r="AF342" s="4" t="n">
        <v>0</v>
      </c>
      <c r="AG342" s="3" t="n">
        <v>0</v>
      </c>
      <c r="AH342" s="3" t="n">
        <v>3.0395</v>
      </c>
      <c r="AI342" s="3" t="n">
        <v>0.25542</v>
      </c>
      <c r="AJ342" s="3">
        <f>N(R342)*N(BC342)</f>
        <v/>
      </c>
      <c r="AK342" s="3" t="n">
        <v>0</v>
      </c>
      <c r="AL342" s="3" t="n">
        <v>0</v>
      </c>
      <c r="AM342" s="3" t="n">
        <v>-0</v>
      </c>
      <c r="AN342" s="3" t="n">
        <v>-0.2100243840141236</v>
      </c>
      <c r="AO342" s="3">
        <f>SUM(AH342:AN342)</f>
        <v/>
      </c>
      <c r="AP342" s="5">
        <f>IF(OR(N(Q342)&lt;=0,N(BA342)=0),0,N(Q342)*IF(N(M342)/N(Q342)&gt;=60,N(BA342),1))</f>
        <v/>
      </c>
      <c r="AQ342" s="5">
        <f>N(Q342)*N(Z342)*N(BB342)</f>
        <v/>
      </c>
      <c r="AR342" s="5">
        <f>N(AF342)*(Assumptions!$B$13*N(BD342)-(1-Assumptions!$B$13)*Assumptions!$B$14)+N(AG342)</f>
        <v/>
      </c>
      <c r="AS342" s="5">
        <f>N(AO342)*N(M342)/90+N(AP342)+N(AQ342)+N(AR342)</f>
        <v/>
      </c>
      <c r="AT342" s="3">
        <f>IF(N(M342)&lt;=0,0,(N(AS342)-N(AR342))*90/N(M342))</f>
        <v/>
      </c>
      <c r="AU342" s="5">
        <f>IFERROR(AS342-VLOOKUP($C342,Assumptions!$A$36:$C$39,3,FALSE),"")</f>
        <v/>
      </c>
      <c r="AV342" s="3">
        <f>IFERROR(AU342/F342,"")</f>
        <v/>
      </c>
      <c r="AW342">
        <f>IF(AND($E342=TRUE,$C342="GKP"),AS342,"")</f>
        <v/>
      </c>
      <c r="AX342">
        <f>IF(AND($E342=TRUE,$C342="DEF"),AS342,"")</f>
        <v/>
      </c>
      <c r="AY342">
        <f>IF(AND($E342=TRUE,$C342="MID"),AS342,"")</f>
        <v/>
      </c>
      <c r="AZ342">
        <f>IF(AND($E342=TRUE,$C342="FWD"),AS342,"")</f>
        <v/>
      </c>
      <c r="BA342" t="n">
        <v>2</v>
      </c>
      <c r="BB342" t="n">
        <v>2</v>
      </c>
      <c r="BC342" t="n">
        <v>1</v>
      </c>
      <c r="BD342" t="n">
        <v>5</v>
      </c>
    </row>
    <row r="343">
      <c r="A343" t="inlineStr">
        <is>
          <t>James Trafford</t>
        </is>
      </c>
      <c r="B343" t="inlineStr">
        <is>
          <t>LEE</t>
        </is>
      </c>
      <c r="C343" t="inlineStr">
        <is>
          <t>GKP</t>
        </is>
      </c>
      <c r="D343" t="inlineStr">
        <is>
          <t>GKP</t>
        </is>
      </c>
      <c r="E343" t="b">
        <v>1</v>
      </c>
      <c r="F343" s="2" t="n">
        <v>5</v>
      </c>
      <c r="G343" t="inlineStr">
        <is>
          <t>a</t>
        </is>
      </c>
      <c r="I343" s="2" t="n">
        <v>360</v>
      </c>
      <c r="J343" t="n">
        <v>13</v>
      </c>
      <c r="K343" s="3" t="n">
        <v>3385</v>
      </c>
      <c r="L343" t="inlineStr">
        <is>
          <t>flat</t>
        </is>
      </c>
      <c r="M343" s="4" t="n">
        <v>3385</v>
      </c>
      <c r="N343" t="inlineStr">
        <is>
          <t>Solio</t>
        </is>
      </c>
      <c r="O343" s="5" t="n">
        <v>90</v>
      </c>
      <c r="P343" t="b">
        <v>1</v>
      </c>
      <c r="Q343" s="5">
        <f>IF(N(O343)&lt;=0,0,MIN(Assumptions!$B$15,N(M343)/N(O343)))</f>
        <v/>
      </c>
      <c r="R343" s="4" t="n">
        <v>0.218</v>
      </c>
      <c r="S343" s="3" t="n">
        <v>0</v>
      </c>
      <c r="T343" t="inlineStr">
        <is>
          <t>blended xG</t>
        </is>
      </c>
      <c r="U343" s="3" t="n">
        <v>1</v>
      </c>
      <c r="V343" s="3" t="n">
        <v>1</v>
      </c>
      <c r="W343" s="3" t="n">
        <v>0</v>
      </c>
      <c r="X343" s="3" t="n">
        <v>0</v>
      </c>
      <c r="Y343" s="3" t="n">
        <v>0</v>
      </c>
      <c r="Z343" s="3" t="n">
        <v>0</v>
      </c>
      <c r="AA343" s="3" t="n">
        <v>0</v>
      </c>
      <c r="AB343" s="3" t="n">
        <v>8</v>
      </c>
      <c r="AC343" s="3" t="n">
        <v>3.0611</v>
      </c>
      <c r="AD343" s="3" t="n">
        <v>1.5875</v>
      </c>
      <c r="AE343" s="3" t="n">
        <v>-0.0662227504528997</v>
      </c>
      <c r="AF343" s="4" t="n">
        <v>0</v>
      </c>
      <c r="AG343" s="3" t="n">
        <v>3.354460167611065</v>
      </c>
      <c r="AH343" s="3" t="n">
        <v>0</v>
      </c>
      <c r="AI343" s="3" t="n">
        <v>0</v>
      </c>
      <c r="AJ343" s="3">
        <f>N(R343)*N(BC343)</f>
        <v/>
      </c>
      <c r="AK343" s="3" t="n">
        <v>0</v>
      </c>
      <c r="AL343" s="3" t="n">
        <v>0.684972232751521</v>
      </c>
      <c r="AM343" s="3" t="n">
        <v>-0.5541985260210861</v>
      </c>
      <c r="AN343" s="3" t="n">
        <v>-0.0662227504528997</v>
      </c>
      <c r="AO343" s="3">
        <f>SUM(AH343:AN343)</f>
        <v/>
      </c>
      <c r="AP343" s="5">
        <f>IF(OR(N(Q343)&lt;=0,N(BA343)=0),0,N(Q343)*IF(N(M343)/N(Q343)&gt;=60,N(BA343),1))</f>
        <v/>
      </c>
      <c r="AQ343" s="5">
        <f>N(Q343)*N(Z343)*N(BB343)</f>
        <v/>
      </c>
      <c r="AR343" s="5">
        <f>N(AF343)*(Assumptions!$B$13*N(BD343)-(1-Assumptions!$B$13)*Assumptions!$B$14)+N(AG343)</f>
        <v/>
      </c>
      <c r="AS343" s="5">
        <f>N(AO343)*N(M343)/90+N(AP343)+N(AQ343)+N(AR343)</f>
        <v/>
      </c>
      <c r="AT343" s="3">
        <f>IF(N(M343)&lt;=0,0,(N(AS343)-N(AR343))*90/N(M343))</f>
        <v/>
      </c>
      <c r="AU343" s="5">
        <f>IFERROR(AS343-VLOOKUP($C343,Assumptions!$A$36:$C$39,3,FALSE),"")</f>
        <v/>
      </c>
      <c r="AV343" s="3">
        <f>IFERROR(AU343/F343,"")</f>
        <v/>
      </c>
      <c r="AW343">
        <f>IF(AND($E343=TRUE,$C343="GKP"),AS343,"")</f>
        <v/>
      </c>
      <c r="AX343">
        <f>IF(AND($E343=TRUE,$C343="DEF"),AS343,"")</f>
        <v/>
      </c>
      <c r="AY343">
        <f>IF(AND($E343=TRUE,$C343="MID"),AS343,"")</f>
        <v/>
      </c>
      <c r="AZ343">
        <f>IF(AND($E343=TRUE,$C343="FWD"),AS343,"")</f>
        <v/>
      </c>
      <c r="BA343" t="n">
        <v>2</v>
      </c>
      <c r="BB343" t="n">
        <v>0</v>
      </c>
      <c r="BC343" t="n">
        <v>4</v>
      </c>
      <c r="BD343" t="n">
        <v>10</v>
      </c>
    </row>
    <row r="344">
      <c r="A344" t="inlineStr">
        <is>
          <t>Jack Harrison</t>
        </is>
      </c>
      <c r="B344" t="inlineStr">
        <is>
          <t>LEE</t>
        </is>
      </c>
      <c r="C344" t="inlineStr">
        <is>
          <t>MID</t>
        </is>
      </c>
      <c r="D344" t="inlineStr">
        <is>
          <t>MID</t>
        </is>
      </c>
      <c r="E344" t="b">
        <v>1</v>
      </c>
      <c r="F344" s="2" t="n">
        <v>5</v>
      </c>
      <c r="G344" t="inlineStr">
        <is>
          <t>u</t>
        </is>
      </c>
      <c r="H344" t="inlineStr">
        <is>
          <t>Has joined New England Revolution permanently</t>
        </is>
      </c>
      <c r="I344" s="2" t="n">
        <v>262</v>
      </c>
      <c r="J344" t="n">
        <v>12</v>
      </c>
      <c r="K344" s="3" t="n"/>
      <c r="M344" s="4" t="n">
        <v>262</v>
      </c>
      <c r="N344" t="inlineStr">
        <is>
          <t>25/26 actual</t>
        </is>
      </c>
      <c r="O344" s="5" t="n">
        <v>65</v>
      </c>
      <c r="P344" t="b">
        <v>1</v>
      </c>
      <c r="Q344" s="5">
        <f>IF(N(O344)&lt;=0,0,MIN(Assumptions!$B$15,N(M344)/N(O344)))</f>
        <v/>
      </c>
      <c r="R344" s="4" t="n">
        <v>0.218</v>
      </c>
      <c r="S344" s="3" t="n">
        <v>0.0814</v>
      </c>
      <c r="T344" t="inlineStr">
        <is>
          <t>adjusted xGOT</t>
        </is>
      </c>
      <c r="U344" s="3" t="n">
        <v>1</v>
      </c>
      <c r="V344" s="3" t="n">
        <v>0.845</v>
      </c>
      <c r="W344" s="3" t="n">
        <v>12.9</v>
      </c>
      <c r="X344" s="3" t="n">
        <v>0.09760000000000001</v>
      </c>
      <c r="Y344" s="3" t="n">
        <v>8.488</v>
      </c>
      <c r="Z344" s="3" t="n">
        <v>0.02318811954288547</v>
      </c>
      <c r="AA344" s="3" t="n">
        <v>0</v>
      </c>
      <c r="AB344" s="3" t="n">
        <v>12</v>
      </c>
      <c r="AC344" s="3" t="n">
        <v>3.0611</v>
      </c>
      <c r="AD344" s="3" t="n">
        <v>1.5875</v>
      </c>
      <c r="AE344" s="3" t="n">
        <v>-0.1010606060393028</v>
      </c>
      <c r="AF344" s="4" t="n">
        <v>0</v>
      </c>
      <c r="AG344" s="3" t="n">
        <v>0</v>
      </c>
      <c r="AH344" s="3" t="n">
        <v>0.407</v>
      </c>
      <c r="AI344" s="3" t="n">
        <v>0.386496</v>
      </c>
      <c r="AJ344" s="3">
        <f>N(R344)*N(BC344)</f>
        <v/>
      </c>
      <c r="AK344" s="3" t="n">
        <v>0</v>
      </c>
      <c r="AL344" s="3" t="n">
        <v>0</v>
      </c>
      <c r="AM344" s="3" t="n">
        <v>-0</v>
      </c>
      <c r="AN344" s="3" t="n">
        <v>-0.1010606060393028</v>
      </c>
      <c r="AO344" s="3">
        <f>SUM(AH344:AN344)</f>
        <v/>
      </c>
      <c r="AP344" s="5">
        <f>IF(OR(N(Q344)&lt;=0,N(BA344)=0),0,N(Q344)*IF(N(M344)/N(Q344)&gt;=60,N(BA344),1))</f>
        <v/>
      </c>
      <c r="AQ344" s="5">
        <f>N(Q344)*N(Z344)*N(BB344)</f>
        <v/>
      </c>
      <c r="AR344" s="5">
        <f>N(AF344)*(Assumptions!$B$13*N(BD344)-(1-Assumptions!$B$13)*Assumptions!$B$14)+N(AG344)</f>
        <v/>
      </c>
      <c r="AS344" s="5">
        <f>N(AO344)*N(M344)/90+N(AP344)+N(AQ344)+N(AR344)</f>
        <v/>
      </c>
      <c r="AT344" s="3">
        <f>IF(N(M344)&lt;=0,0,(N(AS344)-N(AR344))*90/N(M344))</f>
        <v/>
      </c>
      <c r="AU344" s="5">
        <f>IFERROR(AS344-VLOOKUP($C344,Assumptions!$A$36:$C$39,3,FALSE),"")</f>
        <v/>
      </c>
      <c r="AV344" s="3">
        <f>IFERROR(AU344/F344,"")</f>
        <v/>
      </c>
      <c r="AW344">
        <f>IF(AND($E344=TRUE,$C344="GKP"),AS344,"")</f>
        <v/>
      </c>
      <c r="AX344">
        <f>IF(AND($E344=TRUE,$C344="DEF"),AS344,"")</f>
        <v/>
      </c>
      <c r="AY344">
        <f>IF(AND($E344=TRUE,$C344="MID"),AS344,"")</f>
        <v/>
      </c>
      <c r="AZ344">
        <f>IF(AND($E344=TRUE,$C344="FWD"),AS344,"")</f>
        <v/>
      </c>
      <c r="BA344" t="n">
        <v>2</v>
      </c>
      <c r="BB344" t="n">
        <v>2</v>
      </c>
      <c r="BC344" t="n">
        <v>1</v>
      </c>
      <c r="BD344" t="n">
        <v>5</v>
      </c>
    </row>
    <row r="345">
      <c r="A345" t="inlineStr">
        <is>
          <t>Wataru Endo</t>
        </is>
      </c>
      <c r="B345" t="inlineStr">
        <is>
          <t>LIV</t>
        </is>
      </c>
      <c r="C345" t="inlineStr">
        <is>
          <t>MID</t>
        </is>
      </c>
      <c r="D345" t="inlineStr">
        <is>
          <t>MID</t>
        </is>
      </c>
      <c r="E345" t="b">
        <v>1</v>
      </c>
      <c r="F345" s="2" t="n">
        <v>5</v>
      </c>
      <c r="G345" t="inlineStr">
        <is>
          <t>a</t>
        </is>
      </c>
      <c r="I345" s="2" t="n">
        <v>170</v>
      </c>
      <c r="J345" t="n">
        <v>12</v>
      </c>
      <c r="K345" s="3" t="n">
        <v>76</v>
      </c>
      <c r="L345" t="inlineStr">
        <is>
          <t>flat</t>
        </is>
      </c>
      <c r="M345" s="4" t="n">
        <v>76</v>
      </c>
      <c r="N345" t="inlineStr">
        <is>
          <t>Solio</t>
        </is>
      </c>
      <c r="O345" s="5" t="n">
        <v>68</v>
      </c>
      <c r="P345" t="b">
        <v>1</v>
      </c>
      <c r="Q345" s="5">
        <f>IF(N(O345)&lt;=0,0,MIN(Assumptions!$B$15,N(M345)/N(O345)))</f>
        <v/>
      </c>
      <c r="R345" s="4" t="n">
        <v>0.342</v>
      </c>
      <c r="S345" s="3" t="n">
        <v>0.0222</v>
      </c>
      <c r="T345" t="inlineStr">
        <is>
          <t>adjusted xGOT</t>
        </is>
      </c>
      <c r="U345" s="3" t="n">
        <v>1</v>
      </c>
      <c r="V345" s="3" t="n">
        <v>1.041</v>
      </c>
      <c r="W345" s="3" t="n">
        <v>0.6</v>
      </c>
      <c r="X345" s="3" t="n">
        <v>0.05</v>
      </c>
      <c r="Y345" s="3" t="n">
        <v>9.265000000000001</v>
      </c>
      <c r="Z345" s="3" t="n">
        <v>0.05335966182689378</v>
      </c>
      <c r="AA345" s="3" t="n">
        <v>0</v>
      </c>
      <c r="AB345" s="3" t="n">
        <v>9</v>
      </c>
      <c r="AC345" s="3" t="n">
        <v>2.409</v>
      </c>
      <c r="AD345" s="3" t="n">
        <v>1.1228</v>
      </c>
      <c r="AE345" s="3" t="n">
        <v>-0.3173889111050779</v>
      </c>
      <c r="AF345" s="4" t="n">
        <v>0</v>
      </c>
      <c r="AG345" s="3" t="n">
        <v>0</v>
      </c>
      <c r="AH345" s="3" t="n">
        <v>0.111</v>
      </c>
      <c r="AI345" s="3" t="n">
        <v>0.198</v>
      </c>
      <c r="AJ345" s="3">
        <f>N(R345)*N(BC345)</f>
        <v/>
      </c>
      <c r="AK345" s="3" t="n">
        <v>0</v>
      </c>
      <c r="AL345" s="3" t="n">
        <v>0</v>
      </c>
      <c r="AM345" s="3" t="n">
        <v>-0</v>
      </c>
      <c r="AN345" s="3" t="n">
        <v>-0.3173889111050779</v>
      </c>
      <c r="AO345" s="3">
        <f>SUM(AH345:AN345)</f>
        <v/>
      </c>
      <c r="AP345" s="5">
        <f>IF(OR(N(Q345)&lt;=0,N(BA345)=0),0,N(Q345)*IF(N(M345)/N(Q345)&gt;=60,N(BA345),1))</f>
        <v/>
      </c>
      <c r="AQ345" s="5">
        <f>N(Q345)*N(Z345)*N(BB345)</f>
        <v/>
      </c>
      <c r="AR345" s="5">
        <f>N(AF345)*(Assumptions!$B$13*N(BD345)-(1-Assumptions!$B$13)*Assumptions!$B$14)+N(AG345)</f>
        <v/>
      </c>
      <c r="AS345" s="5">
        <f>N(AO345)*N(M345)/90+N(AP345)+N(AQ345)+N(AR345)</f>
        <v/>
      </c>
      <c r="AT345" s="3">
        <f>IF(N(M345)&lt;=0,0,(N(AS345)-N(AR345))*90/N(M345))</f>
        <v/>
      </c>
      <c r="AU345" s="5">
        <f>IFERROR(AS345-VLOOKUP($C345,Assumptions!$A$36:$C$39,3,FALSE),"")</f>
        <v/>
      </c>
      <c r="AV345" s="3">
        <f>IFERROR(AU345/F345,"")</f>
        <v/>
      </c>
      <c r="AW345">
        <f>IF(AND($E345=TRUE,$C345="GKP"),AS345,"")</f>
        <v/>
      </c>
      <c r="AX345">
        <f>IF(AND($E345=TRUE,$C345="DEF"),AS345,"")</f>
        <v/>
      </c>
      <c r="AY345">
        <f>IF(AND($E345=TRUE,$C345="MID"),AS345,"")</f>
        <v/>
      </c>
      <c r="AZ345">
        <f>IF(AND($E345=TRUE,$C345="FWD"),AS345,"")</f>
        <v/>
      </c>
      <c r="BA345" t="n">
        <v>2</v>
      </c>
      <c r="BB345" t="n">
        <v>2</v>
      </c>
      <c r="BC345" t="n">
        <v>1</v>
      </c>
      <c r="BD345" t="n">
        <v>5</v>
      </c>
    </row>
    <row r="346">
      <c r="A346" t="inlineStr">
        <is>
          <t>Frank Onyeka</t>
        </is>
      </c>
      <c r="B346" t="inlineStr">
        <is>
          <t>COV</t>
        </is>
      </c>
      <c r="C346" t="inlineStr">
        <is>
          <t>MID</t>
        </is>
      </c>
      <c r="D346" t="inlineStr">
        <is>
          <t>MID</t>
        </is>
      </c>
      <c r="E346" t="b">
        <v>1</v>
      </c>
      <c r="F346" s="2" t="n">
        <v>5</v>
      </c>
      <c r="G346" t="inlineStr">
        <is>
          <t>a</t>
        </is>
      </c>
      <c r="I346" s="2" t="n">
        <v>88</v>
      </c>
      <c r="J346" t="n">
        <v>12</v>
      </c>
      <c r="K346" s="3" t="n">
        <v>480</v>
      </c>
      <c r="L346" t="inlineStr">
        <is>
          <t>flat</t>
        </is>
      </c>
      <c r="M346" s="4" t="n">
        <v>480</v>
      </c>
      <c r="N346" t="inlineStr">
        <is>
          <t>Solio</t>
        </is>
      </c>
      <c r="O346" s="5" t="n">
        <v>85</v>
      </c>
      <c r="P346" t="b">
        <v>1</v>
      </c>
      <c r="Q346" s="5">
        <f>IF(N(O346)&lt;=0,0,MIN(Assumptions!$B$15,N(M346)/N(O346)))</f>
        <v/>
      </c>
      <c r="R346" s="4" t="n">
        <v>0.17</v>
      </c>
      <c r="S346" s="3" t="n">
        <v>0</v>
      </c>
      <c r="T346" t="inlineStr">
        <is>
          <t>adjusted xGOT</t>
        </is>
      </c>
      <c r="U346" s="3" t="n">
        <v>1</v>
      </c>
      <c r="V346" s="3" t="n">
        <v>0.908</v>
      </c>
      <c r="W346" s="3" t="n">
        <v>3.1</v>
      </c>
      <c r="X346" s="3" t="n">
        <v>0.3736</v>
      </c>
      <c r="Y346" s="3" t="n">
        <v>8.757</v>
      </c>
      <c r="Z346" s="3" t="n">
        <v>0.1324328573129798</v>
      </c>
      <c r="AA346" s="3" t="n">
        <v>0</v>
      </c>
      <c r="AB346" s="3" t="n">
        <v>6</v>
      </c>
      <c r="AC346" s="3" t="n">
        <v>3.6194</v>
      </c>
      <c r="AD346" s="3" t="n">
        <v>1.8271</v>
      </c>
      <c r="AE346" s="3" t="n">
        <v>-0.3041227349574793</v>
      </c>
      <c r="AF346" s="4" t="n">
        <v>0</v>
      </c>
      <c r="AG346" s="3" t="n">
        <v>0</v>
      </c>
      <c r="AH346" s="3" t="n">
        <v>0</v>
      </c>
      <c r="AI346" s="3" t="n">
        <v>1.479456</v>
      </c>
      <c r="AJ346" s="3">
        <f>N(R346)*N(BC346)</f>
        <v/>
      </c>
      <c r="AK346" s="3" t="n">
        <v>0</v>
      </c>
      <c r="AL346" s="3" t="n">
        <v>0</v>
      </c>
      <c r="AM346" s="3" t="n">
        <v>-0</v>
      </c>
      <c r="AN346" s="3" t="n">
        <v>-0.3041227349574793</v>
      </c>
      <c r="AO346" s="3">
        <f>SUM(AH346:AN346)</f>
        <v/>
      </c>
      <c r="AP346" s="5">
        <f>IF(OR(N(Q346)&lt;=0,N(BA346)=0),0,N(Q346)*IF(N(M346)/N(Q346)&gt;=60,N(BA346),1))</f>
        <v/>
      </c>
      <c r="AQ346" s="5">
        <f>N(Q346)*N(Z346)*N(BB346)</f>
        <v/>
      </c>
      <c r="AR346" s="5">
        <f>N(AF346)*(Assumptions!$B$13*N(BD346)-(1-Assumptions!$B$13)*Assumptions!$B$14)+N(AG346)</f>
        <v/>
      </c>
      <c r="AS346" s="5">
        <f>N(AO346)*N(M346)/90+N(AP346)+N(AQ346)+N(AR346)</f>
        <v/>
      </c>
      <c r="AT346" s="3">
        <f>IF(N(M346)&lt;=0,0,(N(AS346)-N(AR346))*90/N(M346))</f>
        <v/>
      </c>
      <c r="AU346" s="5">
        <f>IFERROR(AS346-VLOOKUP($C346,Assumptions!$A$36:$C$39,3,FALSE),"")</f>
        <v/>
      </c>
      <c r="AV346" s="3">
        <f>IFERROR(AU346/F346,"")</f>
        <v/>
      </c>
      <c r="AW346">
        <f>IF(AND($E346=TRUE,$C346="GKP"),AS346,"")</f>
        <v/>
      </c>
      <c r="AX346">
        <f>IF(AND($E346=TRUE,$C346="DEF"),AS346,"")</f>
        <v/>
      </c>
      <c r="AY346">
        <f>IF(AND($E346=TRUE,$C346="MID"),AS346,"")</f>
        <v/>
      </c>
      <c r="AZ346">
        <f>IF(AND($E346=TRUE,$C346="FWD"),AS346,"")</f>
        <v/>
      </c>
      <c r="BA346" t="n">
        <v>2</v>
      </c>
      <c r="BB346" t="n">
        <v>2</v>
      </c>
      <c r="BC346" t="n">
        <v>1</v>
      </c>
      <c r="BD346" t="n">
        <v>5</v>
      </c>
    </row>
    <row r="347">
      <c r="A347" t="inlineStr">
        <is>
          <t>Altay Bayindir</t>
        </is>
      </c>
      <c r="B347" t="inlineStr">
        <is>
          <t>MUN</t>
        </is>
      </c>
      <c r="C347" t="inlineStr">
        <is>
          <t>GKP</t>
        </is>
      </c>
      <c r="D347" t="inlineStr">
        <is>
          <t>GKP</t>
        </is>
      </c>
      <c r="E347" t="b">
        <v>1</v>
      </c>
      <c r="F347" s="2" t="n">
        <v>4.5</v>
      </c>
      <c r="G347" t="inlineStr">
        <is>
          <t>u</t>
        </is>
      </c>
      <c r="H347" t="inlineStr">
        <is>
          <t>Has joined Celta Vigo on loan for the rest of the season</t>
        </is>
      </c>
      <c r="I347" s="2" t="n">
        <v>540</v>
      </c>
      <c r="J347" t="n">
        <v>11</v>
      </c>
      <c r="K347" s="3" t="n"/>
      <c r="M347" s="4" t="n">
        <v>540</v>
      </c>
      <c r="N347" t="inlineStr">
        <is>
          <t>25/26 actual</t>
        </is>
      </c>
      <c r="O347" s="5" t="n">
        <v>90</v>
      </c>
      <c r="P347" t="b">
        <v>1</v>
      </c>
      <c r="Q347" s="5">
        <f>IF(N(O347)&lt;=0,0,MIN(Assumptions!$B$15,N(M347)/N(O347)))</f>
        <v/>
      </c>
      <c r="R347" s="4" t="n">
        <v>0.334</v>
      </c>
      <c r="S347" s="3" t="n">
        <v>0</v>
      </c>
      <c r="T347" t="inlineStr">
        <is>
          <t>blended xG</t>
        </is>
      </c>
      <c r="U347" s="3" t="n">
        <v>1</v>
      </c>
      <c r="V347" s="3" t="n">
        <v>1</v>
      </c>
      <c r="W347" s="3" t="n">
        <v>0</v>
      </c>
      <c r="X347" s="3" t="n">
        <v>0.0287</v>
      </c>
      <c r="Y347" s="3" t="n">
        <v>0</v>
      </c>
      <c r="Z347" s="3" t="n">
        <v>0</v>
      </c>
      <c r="AA347" s="3" t="n">
        <v>0</v>
      </c>
      <c r="AB347" s="3" t="n">
        <v>12</v>
      </c>
      <c r="AC347" s="3" t="n">
        <v>2.2165</v>
      </c>
      <c r="AD347" s="3" t="n">
        <v>1.1467</v>
      </c>
      <c r="AE347" s="3" t="n">
        <v>-0.0510662577818652</v>
      </c>
      <c r="AF347" s="4" t="n">
        <v>0</v>
      </c>
      <c r="AG347" s="3" t="n">
        <v>0.3865365731175343</v>
      </c>
      <c r="AH347" s="3" t="n">
        <v>0</v>
      </c>
      <c r="AI347" s="3" t="n">
        <v>0.113652</v>
      </c>
      <c r="AJ347" s="3">
        <f>N(R347)*N(BC347)</f>
        <v/>
      </c>
      <c r="AK347" s="3" t="n">
        <v>0</v>
      </c>
      <c r="AL347" s="3" t="n">
        <v>0.407909225741714</v>
      </c>
      <c r="AM347" s="3" t="n">
        <v>-0.348580685135232</v>
      </c>
      <c r="AN347" s="3" t="n">
        <v>-0.0510662577818652</v>
      </c>
      <c r="AO347" s="3">
        <f>SUM(AH347:AN347)</f>
        <v/>
      </c>
      <c r="AP347" s="5">
        <f>IF(OR(N(Q347)&lt;=0,N(BA347)=0),0,N(Q347)*IF(N(M347)/N(Q347)&gt;=60,N(BA347),1))</f>
        <v/>
      </c>
      <c r="AQ347" s="5">
        <f>N(Q347)*N(Z347)*N(BB347)</f>
        <v/>
      </c>
      <c r="AR347" s="5">
        <f>N(AF347)*(Assumptions!$B$13*N(BD347)-(1-Assumptions!$B$13)*Assumptions!$B$14)+N(AG347)</f>
        <v/>
      </c>
      <c r="AS347" s="5">
        <f>N(AO347)*N(M347)/90+N(AP347)+N(AQ347)+N(AR347)</f>
        <v/>
      </c>
      <c r="AT347" s="3">
        <f>IF(N(M347)&lt;=0,0,(N(AS347)-N(AR347))*90/N(M347))</f>
        <v/>
      </c>
      <c r="AU347" s="5">
        <f>IFERROR(AS347-VLOOKUP($C347,Assumptions!$A$36:$C$39,3,FALSE),"")</f>
        <v/>
      </c>
      <c r="AV347" s="3">
        <f>IFERROR(AU347/F347,"")</f>
        <v/>
      </c>
      <c r="AW347">
        <f>IF(AND($E347=TRUE,$C347="GKP"),AS347,"")</f>
        <v/>
      </c>
      <c r="AX347">
        <f>IF(AND($E347=TRUE,$C347="DEF"),AS347,"")</f>
        <v/>
      </c>
      <c r="AY347">
        <f>IF(AND($E347=TRUE,$C347="MID"),AS347,"")</f>
        <v/>
      </c>
      <c r="AZ347">
        <f>IF(AND($E347=TRUE,$C347="FWD"),AS347,"")</f>
        <v/>
      </c>
      <c r="BA347" t="n">
        <v>2</v>
      </c>
      <c r="BB347" t="n">
        <v>0</v>
      </c>
      <c r="BC347" t="n">
        <v>4</v>
      </c>
      <c r="BD347" t="n">
        <v>10</v>
      </c>
    </row>
    <row r="348">
      <c r="A348" t="inlineStr">
        <is>
          <t>Ben Gannon-Doak</t>
        </is>
      </c>
      <c r="B348" t="inlineStr">
        <is>
          <t>BOU</t>
        </is>
      </c>
      <c r="C348" t="inlineStr">
        <is>
          <t>MID</t>
        </is>
      </c>
      <c r="D348" t="inlineStr">
        <is>
          <t>MID</t>
        </is>
      </c>
      <c r="E348" t="b">
        <v>1</v>
      </c>
      <c r="F348" s="2" t="n">
        <v>5</v>
      </c>
      <c r="G348" t="inlineStr">
        <is>
          <t>a</t>
        </is>
      </c>
      <c r="I348" s="2" t="n">
        <v>105</v>
      </c>
      <c r="J348" t="n">
        <v>11</v>
      </c>
      <c r="K348" s="3" t="n">
        <v>160</v>
      </c>
      <c r="L348" t="inlineStr">
        <is>
          <t>flat</t>
        </is>
      </c>
      <c r="M348" s="4" t="n">
        <v>160</v>
      </c>
      <c r="N348" t="inlineStr">
        <is>
          <t>Solio</t>
        </is>
      </c>
      <c r="O348" s="5" t="n">
        <v>85</v>
      </c>
      <c r="P348" t="b">
        <v>1</v>
      </c>
      <c r="Q348" s="5">
        <f>IF(N(O348)&lt;=0,0,MIN(Assumptions!$B$15,N(M348)/N(O348)))</f>
        <v/>
      </c>
      <c r="R348" s="4" t="n">
        <v>0.23</v>
      </c>
      <c r="S348" s="3" t="n">
        <v>0.2186</v>
      </c>
      <c r="T348" t="inlineStr">
        <is>
          <t>adjusted xGOT</t>
        </is>
      </c>
      <c r="U348" s="3" t="n">
        <v>1</v>
      </c>
      <c r="V348" s="3" t="n">
        <v>0.981</v>
      </c>
      <c r="W348" s="3" t="n">
        <v>0.3</v>
      </c>
      <c r="X348" s="3" t="n">
        <v>0.2516</v>
      </c>
      <c r="Y348" s="3" t="n">
        <v>8.904</v>
      </c>
      <c r="Z348" s="3" t="n">
        <v>0.1437078791614881</v>
      </c>
      <c r="AA348" s="3" t="n">
        <v>0</v>
      </c>
      <c r="AB348" s="3" t="n">
        <v>8</v>
      </c>
      <c r="AC348" s="3" t="n">
        <v>3.0957</v>
      </c>
      <c r="AD348" s="3" t="n">
        <v>1.53</v>
      </c>
      <c r="AE348" s="3" t="n">
        <v>-0.2018679305852921</v>
      </c>
      <c r="AF348" s="4" t="n">
        <v>0</v>
      </c>
      <c r="AG348" s="3" t="n">
        <v>0</v>
      </c>
      <c r="AH348" s="3" t="n">
        <v>1.093</v>
      </c>
      <c r="AI348" s="3" t="n">
        <v>0.9963359999999999</v>
      </c>
      <c r="AJ348" s="3">
        <f>N(R348)*N(BC348)</f>
        <v/>
      </c>
      <c r="AK348" s="3" t="n">
        <v>0</v>
      </c>
      <c r="AL348" s="3" t="n">
        <v>0</v>
      </c>
      <c r="AM348" s="3" t="n">
        <v>-0</v>
      </c>
      <c r="AN348" s="3" t="n">
        <v>-0.2018679305852921</v>
      </c>
      <c r="AO348" s="3">
        <f>SUM(AH348:AN348)</f>
        <v/>
      </c>
      <c r="AP348" s="5">
        <f>IF(OR(N(Q348)&lt;=0,N(BA348)=0),0,N(Q348)*IF(N(M348)/N(Q348)&gt;=60,N(BA348),1))</f>
        <v/>
      </c>
      <c r="AQ348" s="5">
        <f>N(Q348)*N(Z348)*N(BB348)</f>
        <v/>
      </c>
      <c r="AR348" s="5">
        <f>N(AF348)*(Assumptions!$B$13*N(BD348)-(1-Assumptions!$B$13)*Assumptions!$B$14)+N(AG348)</f>
        <v/>
      </c>
      <c r="AS348" s="5">
        <f>N(AO348)*N(M348)/90+N(AP348)+N(AQ348)+N(AR348)</f>
        <v/>
      </c>
      <c r="AT348" s="3">
        <f>IF(N(M348)&lt;=0,0,(N(AS348)-N(AR348))*90/N(M348))</f>
        <v/>
      </c>
      <c r="AU348" s="5">
        <f>IFERROR(AS348-VLOOKUP($C348,Assumptions!$A$36:$C$39,3,FALSE),"")</f>
        <v/>
      </c>
      <c r="AV348" s="3">
        <f>IFERROR(AU348/F348,"")</f>
        <v/>
      </c>
      <c r="AW348">
        <f>IF(AND($E348=TRUE,$C348="GKP"),AS348,"")</f>
        <v/>
      </c>
      <c r="AX348">
        <f>IF(AND($E348=TRUE,$C348="DEF"),AS348,"")</f>
        <v/>
      </c>
      <c r="AY348">
        <f>IF(AND($E348=TRUE,$C348="MID"),AS348,"")</f>
        <v/>
      </c>
      <c r="AZ348">
        <f>IF(AND($E348=TRUE,$C348="FWD"),AS348,"")</f>
        <v/>
      </c>
      <c r="BA348" t="n">
        <v>2</v>
      </c>
      <c r="BB348" t="n">
        <v>2</v>
      </c>
      <c r="BC348" t="n">
        <v>1</v>
      </c>
      <c r="BD348" t="n">
        <v>5</v>
      </c>
    </row>
    <row r="349">
      <c r="A349" t="inlineStr">
        <is>
          <t>John Victor</t>
        </is>
      </c>
      <c r="B349" t="inlineStr">
        <is>
          <t>NFO</t>
        </is>
      </c>
      <c r="C349" t="inlineStr">
        <is>
          <t>GKP</t>
        </is>
      </c>
      <c r="D349" t="inlineStr">
        <is>
          <t>GKP</t>
        </is>
      </c>
      <c r="E349" t="b">
        <v>1</v>
      </c>
      <c r="F349" s="2" t="n">
        <v>4.5</v>
      </c>
      <c r="G349" t="inlineStr">
        <is>
          <t>a</t>
        </is>
      </c>
      <c r="I349" s="2" t="n">
        <v>437</v>
      </c>
      <c r="J349" t="n">
        <v>11</v>
      </c>
      <c r="K349" s="3" t="n">
        <v>35</v>
      </c>
      <c r="L349" t="inlineStr">
        <is>
          <t>flat</t>
        </is>
      </c>
      <c r="M349" s="4" t="n">
        <v>35</v>
      </c>
      <c r="N349" t="inlineStr">
        <is>
          <t>Solio</t>
        </is>
      </c>
      <c r="O349" s="5" t="n">
        <v>87.40000000000001</v>
      </c>
      <c r="P349" t="b">
        <v>1</v>
      </c>
      <c r="Q349" s="5">
        <f>IF(N(O349)&lt;=0,0,MIN(Assumptions!$B$15,N(M349)/N(O349)))</f>
        <v/>
      </c>
      <c r="R349" s="4" t="n">
        <v>0.224</v>
      </c>
      <c r="S349" s="3" t="n">
        <v>0</v>
      </c>
      <c r="T349" t="inlineStr">
        <is>
          <t>blended xG</t>
        </is>
      </c>
      <c r="U349" s="3" t="n">
        <v>1</v>
      </c>
      <c r="V349" s="3" t="n">
        <v>1</v>
      </c>
      <c r="W349" s="3" t="n">
        <v>0</v>
      </c>
      <c r="X349" s="3" t="n">
        <v>0</v>
      </c>
      <c r="Y349" s="3" t="n">
        <v>0</v>
      </c>
      <c r="Z349" s="3" t="n">
        <v>0</v>
      </c>
      <c r="AA349" s="3" t="n">
        <v>0</v>
      </c>
      <c r="AB349" s="3" t="n">
        <v>10</v>
      </c>
      <c r="AC349" s="3" t="n">
        <v>3.1134</v>
      </c>
      <c r="AD349" s="3" t="n">
        <v>1.5588</v>
      </c>
      <c r="AE349" s="3" t="n">
        <v>-0.1071907414497747</v>
      </c>
      <c r="AF349" s="4" t="n">
        <v>0</v>
      </c>
      <c r="AG349" s="3" t="n">
        <v>0.0340558096615661</v>
      </c>
      <c r="AH349" s="3" t="n">
        <v>0</v>
      </c>
      <c r="AI349" s="3" t="n">
        <v>0</v>
      </c>
      <c r="AJ349" s="3">
        <f>N(R349)*N(BC349)</f>
        <v/>
      </c>
      <c r="AK349" s="3" t="n">
        <v>0</v>
      </c>
      <c r="AL349" s="3" t="n">
        <v>0.7024243676191486</v>
      </c>
      <c r="AM349" s="3" t="n">
        <v>-0.5404658182244797</v>
      </c>
      <c r="AN349" s="3" t="n">
        <v>-0.1071907414497747</v>
      </c>
      <c r="AO349" s="3">
        <f>SUM(AH349:AN349)</f>
        <v/>
      </c>
      <c r="AP349" s="5">
        <f>IF(OR(N(Q349)&lt;=0,N(BA349)=0),0,N(Q349)*IF(N(M349)/N(Q349)&gt;=60,N(BA349),1))</f>
        <v/>
      </c>
      <c r="AQ349" s="5">
        <f>N(Q349)*N(Z349)*N(BB349)</f>
        <v/>
      </c>
      <c r="AR349" s="5">
        <f>N(AF349)*(Assumptions!$B$13*N(BD349)-(1-Assumptions!$B$13)*Assumptions!$B$14)+N(AG349)</f>
        <v/>
      </c>
      <c r="AS349" s="5">
        <f>N(AO349)*N(M349)/90+N(AP349)+N(AQ349)+N(AR349)</f>
        <v/>
      </c>
      <c r="AT349" s="3">
        <f>IF(N(M349)&lt;=0,0,(N(AS349)-N(AR349))*90/N(M349))</f>
        <v/>
      </c>
      <c r="AU349" s="5">
        <f>IFERROR(AS349-VLOOKUP($C349,Assumptions!$A$36:$C$39,3,FALSE),"")</f>
        <v/>
      </c>
      <c r="AV349" s="3">
        <f>IFERROR(AU349/F349,"")</f>
        <v/>
      </c>
      <c r="AW349">
        <f>IF(AND($E349=TRUE,$C349="GKP"),AS349,"")</f>
        <v/>
      </c>
      <c r="AX349">
        <f>IF(AND($E349=TRUE,$C349="DEF"),AS349,"")</f>
        <v/>
      </c>
      <c r="AY349">
        <f>IF(AND($E349=TRUE,$C349="MID"),AS349,"")</f>
        <v/>
      </c>
      <c r="AZ349">
        <f>IF(AND($E349=TRUE,$C349="FWD"),AS349,"")</f>
        <v/>
      </c>
      <c r="BA349" t="n">
        <v>2</v>
      </c>
      <c r="BB349" t="n">
        <v>0</v>
      </c>
      <c r="BC349" t="n">
        <v>4</v>
      </c>
      <c r="BD349" t="n">
        <v>10</v>
      </c>
    </row>
    <row r="350">
      <c r="A350" t="inlineStr">
        <is>
          <t>Luca Netz</t>
        </is>
      </c>
      <c r="B350" t="inlineStr">
        <is>
          <t>NFO</t>
        </is>
      </c>
      <c r="C350" t="inlineStr">
        <is>
          <t>DEF</t>
        </is>
      </c>
      <c r="D350" t="inlineStr">
        <is>
          <t>DEF</t>
        </is>
      </c>
      <c r="E350" t="b">
        <v>1</v>
      </c>
      <c r="F350" s="2" t="n">
        <v>4.5</v>
      </c>
      <c r="G350" t="inlineStr">
        <is>
          <t>a</t>
        </is>
      </c>
      <c r="I350" s="2" t="n">
        <v>353</v>
      </c>
      <c r="J350" t="n">
        <v>11</v>
      </c>
      <c r="K350" s="3" t="n">
        <v>115</v>
      </c>
      <c r="L350" t="inlineStr">
        <is>
          <t>flat</t>
        </is>
      </c>
      <c r="M350" s="4" t="n">
        <v>115</v>
      </c>
      <c r="N350" t="inlineStr">
        <is>
          <t>Solio</t>
        </is>
      </c>
      <c r="O350" s="5" t="n">
        <v>85</v>
      </c>
      <c r="P350" t="b">
        <v>1</v>
      </c>
      <c r="Q350" s="5">
        <f>IF(N(O350)&lt;=0,0,MIN(Assumptions!$B$15,N(M350)/N(O350)))</f>
        <v/>
      </c>
      <c r="R350" s="4" t="n">
        <v>0.224</v>
      </c>
      <c r="S350" s="3" t="n">
        <v>0</v>
      </c>
      <c r="T350" t="inlineStr">
        <is>
          <t>blended xG</t>
        </is>
      </c>
      <c r="U350" s="3" t="n">
        <v>1</v>
      </c>
      <c r="V350" s="3" t="n">
        <v>1</v>
      </c>
      <c r="W350" s="3" t="n">
        <v>0</v>
      </c>
      <c r="X350" s="3" t="n">
        <v>0.0648</v>
      </c>
      <c r="Y350" s="3" t="n">
        <v>7.421</v>
      </c>
      <c r="Z350" s="3" t="n">
        <v>0.1703896377594889</v>
      </c>
      <c r="AA350" s="3" t="n">
        <v>0</v>
      </c>
      <c r="AB350" s="3" t="n">
        <v>10</v>
      </c>
      <c r="AC350" s="3" t="n">
        <v>3.1134</v>
      </c>
      <c r="AD350" s="3" t="n">
        <v>1.5588</v>
      </c>
      <c r="AE350" s="3" t="n">
        <v>-0.1684304902624404</v>
      </c>
      <c r="AF350" s="4" t="n">
        <v>0</v>
      </c>
      <c r="AG350" s="3" t="n">
        <v>0</v>
      </c>
      <c r="AH350" s="3" t="n">
        <v>0</v>
      </c>
      <c r="AI350" s="3" t="n">
        <v>0.256608</v>
      </c>
      <c r="AJ350" s="3">
        <f>N(R350)*N(BC350)</f>
        <v/>
      </c>
      <c r="AK350" s="3" t="n">
        <v>0</v>
      </c>
      <c r="AL350" s="3" t="n">
        <v>0</v>
      </c>
      <c r="AM350" s="3" t="n">
        <v>-0.5404658182244797</v>
      </c>
      <c r="AN350" s="3" t="n">
        <v>-0.1684304902624404</v>
      </c>
      <c r="AO350" s="3">
        <f>SUM(AH350:AN350)</f>
        <v/>
      </c>
      <c r="AP350" s="5">
        <f>IF(OR(N(Q350)&lt;=0,N(BA350)=0),0,N(Q350)*IF(N(M350)/N(Q350)&gt;=60,N(BA350),1))</f>
        <v/>
      </c>
      <c r="AQ350" s="5">
        <f>N(Q350)*N(Z350)*N(BB350)</f>
        <v/>
      </c>
      <c r="AR350" s="5">
        <f>N(AF350)*(Assumptions!$B$13*N(BD350)-(1-Assumptions!$B$13)*Assumptions!$B$14)+N(AG350)</f>
        <v/>
      </c>
      <c r="AS350" s="5">
        <f>N(AO350)*N(M350)/90+N(AP350)+N(AQ350)+N(AR350)</f>
        <v/>
      </c>
      <c r="AT350" s="3">
        <f>IF(N(M350)&lt;=0,0,(N(AS350)-N(AR350))*90/N(M350))</f>
        <v/>
      </c>
      <c r="AU350" s="5">
        <f>IFERROR(AS350-VLOOKUP($C350,Assumptions!$A$36:$C$39,3,FALSE),"")</f>
        <v/>
      </c>
      <c r="AV350" s="3">
        <f>IFERROR(AU350/F350,"")</f>
        <v/>
      </c>
      <c r="AW350">
        <f>IF(AND($E350=TRUE,$C350="GKP"),AS350,"")</f>
        <v/>
      </c>
      <c r="AX350">
        <f>IF(AND($E350=TRUE,$C350="DEF"),AS350,"")</f>
        <v/>
      </c>
      <c r="AY350">
        <f>IF(AND($E350=TRUE,$C350="MID"),AS350,"")</f>
        <v/>
      </c>
      <c r="AZ350">
        <f>IF(AND($E350=TRUE,$C350="FWD"),AS350,"")</f>
        <v/>
      </c>
      <c r="BA350" t="n">
        <v>2</v>
      </c>
      <c r="BB350" t="n">
        <v>2</v>
      </c>
      <c r="BC350" t="n">
        <v>4</v>
      </c>
      <c r="BD350" t="n">
        <v>6</v>
      </c>
    </row>
    <row r="351">
      <c r="A351" t="inlineStr">
        <is>
          <t>Ben Davies</t>
        </is>
      </c>
      <c r="B351" t="inlineStr">
        <is>
          <t>TOT</t>
        </is>
      </c>
      <c r="C351" t="inlineStr">
        <is>
          <t>DEF</t>
        </is>
      </c>
      <c r="D351" t="inlineStr">
        <is>
          <t>DEF</t>
        </is>
      </c>
      <c r="E351" t="b">
        <v>1</v>
      </c>
      <c r="F351" s="2" t="n">
        <v>4</v>
      </c>
      <c r="G351" t="inlineStr">
        <is>
          <t>a</t>
        </is>
      </c>
      <c r="I351" s="2" t="n">
        <v>136</v>
      </c>
      <c r="J351" t="n">
        <v>10</v>
      </c>
      <c r="K351" s="3" t="n">
        <v>108</v>
      </c>
      <c r="L351" t="inlineStr">
        <is>
          <t>flat</t>
        </is>
      </c>
      <c r="M351" s="4" t="n">
        <v>108</v>
      </c>
      <c r="N351" t="inlineStr">
        <is>
          <t>Solio</t>
        </is>
      </c>
      <c r="O351" s="5" t="n">
        <v>52.5</v>
      </c>
      <c r="P351" t="b">
        <v>1</v>
      </c>
      <c r="Q351" s="5">
        <f>IF(N(O351)&lt;=0,0,MIN(Assumptions!$B$15,N(M351)/N(O351)))</f>
        <v/>
      </c>
      <c r="R351" s="4" t="n">
        <v>0.286</v>
      </c>
      <c r="S351" s="3" t="n">
        <v>0.3051</v>
      </c>
      <c r="T351" t="inlineStr">
        <is>
          <t>adjusted xGOT</t>
        </is>
      </c>
      <c r="U351" s="3" t="n">
        <v>1</v>
      </c>
      <c r="V351" s="3" t="n">
        <v>0.9409999999999999</v>
      </c>
      <c r="W351" s="3" t="n">
        <v>4.1</v>
      </c>
      <c r="X351" s="3" t="n">
        <v>0.0313</v>
      </c>
      <c r="Y351" s="3" t="n">
        <v>7.936</v>
      </c>
      <c r="Z351" s="3" t="n">
        <v>0.02028702402563898</v>
      </c>
      <c r="AA351" s="3" t="n">
        <v>0.6618000000000001</v>
      </c>
      <c r="AB351" s="3" t="n">
        <v>4</v>
      </c>
      <c r="AC351" s="3" t="n">
        <v>2.5739</v>
      </c>
      <c r="AD351" s="3" t="n">
        <v>1.3096</v>
      </c>
      <c r="AE351" s="3" t="n">
        <v>-0.2691102743615358</v>
      </c>
      <c r="AF351" s="4" t="n">
        <v>0</v>
      </c>
      <c r="AG351" s="3" t="n">
        <v>0</v>
      </c>
      <c r="AH351" s="3" t="n">
        <v>1.8306</v>
      </c>
      <c r="AI351" s="3" t="n">
        <v>0.123948</v>
      </c>
      <c r="AJ351" s="3">
        <f>N(R351)*N(BC351)</f>
        <v/>
      </c>
      <c r="AK351" s="3" t="n">
        <v>0.6618000000000001</v>
      </c>
      <c r="AL351" s="3" t="n">
        <v>0</v>
      </c>
      <c r="AM351" s="3" t="n">
        <v>-0.4230152821052008</v>
      </c>
      <c r="AN351" s="3" t="n">
        <v>-0.2691102743615358</v>
      </c>
      <c r="AO351" s="3">
        <f>SUM(AH351:AN351)</f>
        <v/>
      </c>
      <c r="AP351" s="5">
        <f>IF(OR(N(Q351)&lt;=0,N(BA351)=0),0,N(Q351)*IF(N(M351)/N(Q351)&gt;=60,N(BA351),1))</f>
        <v/>
      </c>
      <c r="AQ351" s="5">
        <f>N(Q351)*N(Z351)*N(BB351)</f>
        <v/>
      </c>
      <c r="AR351" s="5">
        <f>N(AF351)*(Assumptions!$B$13*N(BD351)-(1-Assumptions!$B$13)*Assumptions!$B$14)+N(AG351)</f>
        <v/>
      </c>
      <c r="AS351" s="5">
        <f>N(AO351)*N(M351)/90+N(AP351)+N(AQ351)+N(AR351)</f>
        <v/>
      </c>
      <c r="AT351" s="3">
        <f>IF(N(M351)&lt;=0,0,(N(AS351)-N(AR351))*90/N(M351))</f>
        <v/>
      </c>
      <c r="AU351" s="5">
        <f>IFERROR(AS351-VLOOKUP($C351,Assumptions!$A$36:$C$39,3,FALSE),"")</f>
        <v/>
      </c>
      <c r="AV351" s="3">
        <f>IFERROR(AU351/F351,"")</f>
        <v/>
      </c>
      <c r="AW351">
        <f>IF(AND($E351=TRUE,$C351="GKP"),AS351,"")</f>
        <v/>
      </c>
      <c r="AX351">
        <f>IF(AND($E351=TRUE,$C351="DEF"),AS351,"")</f>
        <v/>
      </c>
      <c r="AY351">
        <f>IF(AND($E351=TRUE,$C351="MID"),AS351,"")</f>
        <v/>
      </c>
      <c r="AZ351">
        <f>IF(AND($E351=TRUE,$C351="FWD"),AS351,"")</f>
        <v/>
      </c>
      <c r="BA351" t="n">
        <v>2</v>
      </c>
      <c r="BB351" t="n">
        <v>2</v>
      </c>
      <c r="BC351" t="n">
        <v>4</v>
      </c>
      <c r="BD351" t="n">
        <v>6</v>
      </c>
    </row>
    <row r="352">
      <c r="A352" t="inlineStr">
        <is>
          <t>Diego Coppola</t>
        </is>
      </c>
      <c r="B352" t="inlineStr">
        <is>
          <t>BHA</t>
        </is>
      </c>
      <c r="C352" t="inlineStr">
        <is>
          <t>DEF</t>
        </is>
      </c>
      <c r="D352" t="inlineStr">
        <is>
          <t>DEF</t>
        </is>
      </c>
      <c r="E352" t="b">
        <v>1</v>
      </c>
      <c r="F352" s="2" t="n">
        <v>4.5</v>
      </c>
      <c r="G352" t="inlineStr">
        <is>
          <t>a</t>
        </is>
      </c>
      <c r="I352" s="2" t="n">
        <v>193</v>
      </c>
      <c r="J352" t="n">
        <v>10</v>
      </c>
      <c r="K352" s="3" t="n">
        <v>3</v>
      </c>
      <c r="L352" t="inlineStr">
        <is>
          <t>flat</t>
        </is>
      </c>
      <c r="M352" s="4" t="n">
        <v>3</v>
      </c>
      <c r="N352" t="inlineStr">
        <is>
          <t>Solio</t>
        </is>
      </c>
      <c r="O352" s="5" t="n">
        <v>88</v>
      </c>
      <c r="P352" t="b">
        <v>1</v>
      </c>
      <c r="Q352" s="5">
        <f>IF(N(O352)&lt;=0,0,MIN(Assumptions!$B$15,N(M352)/N(O352)))</f>
        <v/>
      </c>
      <c r="R352" s="4" t="n">
        <v>0.252</v>
      </c>
      <c r="S352" s="3" t="n">
        <v>0</v>
      </c>
      <c r="T352" t="inlineStr">
        <is>
          <t>blended xG</t>
        </is>
      </c>
      <c r="U352" s="3" t="n">
        <v>1</v>
      </c>
      <c r="V352" s="3" t="n">
        <v>1</v>
      </c>
      <c r="W352" s="3" t="n">
        <v>0</v>
      </c>
      <c r="X352" s="3" t="n">
        <v>0.0023</v>
      </c>
      <c r="Y352" s="3" t="n">
        <v>7.835</v>
      </c>
      <c r="Z352" s="3" t="n">
        <v>0.2422911517407218</v>
      </c>
      <c r="AA352" s="3" t="n">
        <v>0</v>
      </c>
      <c r="AB352" s="3" t="n">
        <v>7</v>
      </c>
      <c r="AC352" s="3" t="n">
        <v>2.8404</v>
      </c>
      <c r="AD352" s="3" t="n">
        <v>1.439</v>
      </c>
      <c r="AE352" s="3" t="n">
        <v>-0.2930826829252255</v>
      </c>
      <c r="AF352" s="4" t="n">
        <v>0</v>
      </c>
      <c r="AG352" s="3" t="n">
        <v>0</v>
      </c>
      <c r="AH352" s="3" t="n">
        <v>0</v>
      </c>
      <c r="AI352" s="3" t="n">
        <v>0.009108</v>
      </c>
      <c r="AJ352" s="3">
        <f>N(R352)*N(BC352)</f>
        <v/>
      </c>
      <c r="AK352" s="3" t="n">
        <v>0</v>
      </c>
      <c r="AL352" s="3" t="n">
        <v>0</v>
      </c>
      <c r="AM352" s="3" t="n">
        <v>-0.4835617861760246</v>
      </c>
      <c r="AN352" s="3" t="n">
        <v>-0.2930826829252255</v>
      </c>
      <c r="AO352" s="3">
        <f>SUM(AH352:AN352)</f>
        <v/>
      </c>
      <c r="AP352" s="5">
        <f>IF(OR(N(Q352)&lt;=0,N(BA352)=0),0,N(Q352)*IF(N(M352)/N(Q352)&gt;=60,N(BA352),1))</f>
        <v/>
      </c>
      <c r="AQ352" s="5">
        <f>N(Q352)*N(Z352)*N(BB352)</f>
        <v/>
      </c>
      <c r="AR352" s="5">
        <f>N(AF352)*(Assumptions!$B$13*N(BD352)-(1-Assumptions!$B$13)*Assumptions!$B$14)+N(AG352)</f>
        <v/>
      </c>
      <c r="AS352" s="5">
        <f>N(AO352)*N(M352)/90+N(AP352)+N(AQ352)+N(AR352)</f>
        <v/>
      </c>
      <c r="AT352" s="3">
        <f>IF(N(M352)&lt;=0,0,(N(AS352)-N(AR352))*90/N(M352))</f>
        <v/>
      </c>
      <c r="AU352" s="5">
        <f>IFERROR(AS352-VLOOKUP($C352,Assumptions!$A$36:$C$39,3,FALSE),"")</f>
        <v/>
      </c>
      <c r="AV352" s="3">
        <f>IFERROR(AU352/F352,"")</f>
        <v/>
      </c>
      <c r="AW352">
        <f>IF(AND($E352=TRUE,$C352="GKP"),AS352,"")</f>
        <v/>
      </c>
      <c r="AX352">
        <f>IF(AND($E352=TRUE,$C352="DEF"),AS352,"")</f>
        <v/>
      </c>
      <c r="AY352">
        <f>IF(AND($E352=TRUE,$C352="MID"),AS352,"")</f>
        <v/>
      </c>
      <c r="AZ352">
        <f>IF(AND($E352=TRUE,$C352="FWD"),AS352,"")</f>
        <v/>
      </c>
      <c r="BA352" t="n">
        <v>2</v>
      </c>
      <c r="BB352" t="n">
        <v>2</v>
      </c>
      <c r="BC352" t="n">
        <v>4</v>
      </c>
      <c r="BD352" t="n">
        <v>6</v>
      </c>
    </row>
    <row r="353">
      <c r="A353" t="inlineStr">
        <is>
          <t>Mateo Kovacic</t>
        </is>
      </c>
      <c r="B353" t="inlineStr">
        <is>
          <t>MCI</t>
        </is>
      </c>
      <c r="C353" t="inlineStr">
        <is>
          <t>MID</t>
        </is>
      </c>
      <c r="D353" t="inlineStr">
        <is>
          <t>MID</t>
        </is>
      </c>
      <c r="E353" t="b">
        <v>1</v>
      </c>
      <c r="F353" s="2" t="n">
        <v>5.5</v>
      </c>
      <c r="G353" t="inlineStr">
        <is>
          <t>a</t>
        </is>
      </c>
      <c r="I353" s="2" t="n">
        <v>125</v>
      </c>
      <c r="J353" t="n">
        <v>9</v>
      </c>
      <c r="K353" s="3" t="n">
        <v>206</v>
      </c>
      <c r="L353" t="inlineStr">
        <is>
          <t>flat</t>
        </is>
      </c>
      <c r="M353" s="4" t="n">
        <v>206</v>
      </c>
      <c r="N353" t="inlineStr">
        <is>
          <t>Solio</t>
        </is>
      </c>
      <c r="O353" s="5" t="n">
        <v>55</v>
      </c>
      <c r="P353" t="b">
        <v>1</v>
      </c>
      <c r="Q353" s="5">
        <f>IF(N(O353)&lt;=0,0,MIN(Assumptions!$B$15,N(M353)/N(O353)))</f>
        <v/>
      </c>
      <c r="R353" s="4" t="n">
        <v>0.371</v>
      </c>
      <c r="S353" s="3" t="n">
        <v>0.08210000000000001</v>
      </c>
      <c r="T353" t="inlineStr">
        <is>
          <t>adjusted xGOT</t>
        </is>
      </c>
      <c r="U353" s="3" t="n">
        <v>1</v>
      </c>
      <c r="V353" s="3" t="n">
        <v>0.88</v>
      </c>
      <c r="W353" s="3" t="n">
        <v>5.1</v>
      </c>
      <c r="X353" s="3" t="n">
        <v>0.3051</v>
      </c>
      <c r="Y353" s="3" t="n">
        <v>9.225</v>
      </c>
      <c r="Z353" s="3" t="n">
        <v>0.01308808898417546</v>
      </c>
      <c r="AA353" s="3" t="n">
        <v>0</v>
      </c>
      <c r="AB353" s="3" t="n">
        <v>6</v>
      </c>
      <c r="AC353" s="3" t="n">
        <v>1.9737</v>
      </c>
      <c r="AD353" s="3" t="n">
        <v>1.0365</v>
      </c>
      <c r="AE353" s="3" t="n">
        <v>-0.2171347261889832</v>
      </c>
      <c r="AF353" s="4" t="n">
        <v>0</v>
      </c>
      <c r="AG353" s="3" t="n">
        <v>0</v>
      </c>
      <c r="AH353" s="3" t="n">
        <v>0.4105</v>
      </c>
      <c r="AI353" s="3" t="n">
        <v>1.208196</v>
      </c>
      <c r="AJ353" s="3">
        <f>N(R353)*N(BC353)</f>
        <v/>
      </c>
      <c r="AK353" s="3" t="n">
        <v>0</v>
      </c>
      <c r="AL353" s="3" t="n">
        <v>0</v>
      </c>
      <c r="AM353" s="3" t="n">
        <v>-0</v>
      </c>
      <c r="AN353" s="3" t="n">
        <v>-0.2171347261889832</v>
      </c>
      <c r="AO353" s="3">
        <f>SUM(AH353:AN353)</f>
        <v/>
      </c>
      <c r="AP353" s="5">
        <f>IF(OR(N(Q353)&lt;=0,N(BA353)=0),0,N(Q353)*IF(N(M353)/N(Q353)&gt;=60,N(BA353),1))</f>
        <v/>
      </c>
      <c r="AQ353" s="5">
        <f>N(Q353)*N(Z353)*N(BB353)</f>
        <v/>
      </c>
      <c r="AR353" s="5">
        <f>N(AF353)*(Assumptions!$B$13*N(BD353)-(1-Assumptions!$B$13)*Assumptions!$B$14)+N(AG353)</f>
        <v/>
      </c>
      <c r="AS353" s="5">
        <f>N(AO353)*N(M353)/90+N(AP353)+N(AQ353)+N(AR353)</f>
        <v/>
      </c>
      <c r="AT353" s="3">
        <f>IF(N(M353)&lt;=0,0,(N(AS353)-N(AR353))*90/N(M353))</f>
        <v/>
      </c>
      <c r="AU353" s="5">
        <f>IFERROR(AS353-VLOOKUP($C353,Assumptions!$A$36:$C$39,3,FALSE),"")</f>
        <v/>
      </c>
      <c r="AV353" s="3">
        <f>IFERROR(AU353/F353,"")</f>
        <v/>
      </c>
      <c r="AW353">
        <f>IF(AND($E353=TRUE,$C353="GKP"),AS353,"")</f>
        <v/>
      </c>
      <c r="AX353">
        <f>IF(AND($E353=TRUE,$C353="DEF"),AS353,"")</f>
        <v/>
      </c>
      <c r="AY353">
        <f>IF(AND($E353=TRUE,$C353="MID"),AS353,"")</f>
        <v/>
      </c>
      <c r="AZ353">
        <f>IF(AND($E353=TRUE,$C353="FWD"),AS353,"")</f>
        <v/>
      </c>
      <c r="BA353" t="n">
        <v>2</v>
      </c>
      <c r="BB353" t="n">
        <v>2</v>
      </c>
      <c r="BC353" t="n">
        <v>1</v>
      </c>
      <c r="BD353" t="n">
        <v>5</v>
      </c>
    </row>
    <row r="354">
      <c r="A354" t="inlineStr">
        <is>
          <t>Arnaud Kalimuendo</t>
        </is>
      </c>
      <c r="B354" t="inlineStr">
        <is>
          <t>NFO</t>
        </is>
      </c>
      <c r="C354" t="inlineStr">
        <is>
          <t>FWD</t>
        </is>
      </c>
      <c r="D354" t="inlineStr">
        <is>
          <t>FWD</t>
        </is>
      </c>
      <c r="E354" t="b">
        <v>1</v>
      </c>
      <c r="F354" s="2" t="n">
        <v>5.5</v>
      </c>
      <c r="G354" t="inlineStr">
        <is>
          <t>a</t>
        </is>
      </c>
      <c r="I354" s="2" t="n">
        <v>89</v>
      </c>
      <c r="J354" t="n">
        <v>9</v>
      </c>
      <c r="K354" s="3" t="n">
        <v>38</v>
      </c>
      <c r="L354" t="inlineStr">
        <is>
          <t>flat</t>
        </is>
      </c>
      <c r="M354" s="4" t="n">
        <v>38</v>
      </c>
      <c r="N354" t="inlineStr">
        <is>
          <t>Solio</t>
        </is>
      </c>
      <c r="O354" s="5" t="n">
        <v>85</v>
      </c>
      <c r="P354" t="b">
        <v>1</v>
      </c>
      <c r="Q354" s="5">
        <f>IF(N(O354)&lt;=0,0,MIN(Assumptions!$B$15,N(M354)/N(O354)))</f>
        <v/>
      </c>
      <c r="R354" s="4" t="n">
        <v>0.224</v>
      </c>
      <c r="S354" s="3" t="n">
        <v>0.4267</v>
      </c>
      <c r="T354" t="inlineStr">
        <is>
          <t>adjusted xGOT</t>
        </is>
      </c>
      <c r="U354" s="3" t="n">
        <v>1</v>
      </c>
      <c r="V354" s="3" t="n">
        <v>0.96</v>
      </c>
      <c r="W354" s="3" t="n">
        <v>0.4</v>
      </c>
      <c r="X354" s="3" t="n">
        <v>0.0159</v>
      </c>
      <c r="Y354" s="3" t="n">
        <v>4.933</v>
      </c>
      <c r="Z354" s="3" t="n">
        <v>0.003164396496021515</v>
      </c>
      <c r="AA354" s="3" t="n">
        <v>0</v>
      </c>
      <c r="AB354" s="3" t="n">
        <v>9</v>
      </c>
      <c r="AC354" s="3" t="n">
        <v>3.1134</v>
      </c>
      <c r="AD354" s="3" t="n">
        <v>1.5588</v>
      </c>
      <c r="AE354" s="3" t="n">
        <v>-0.165199603815519</v>
      </c>
      <c r="AF354" s="4" t="n">
        <v>0</v>
      </c>
      <c r="AG354" s="3" t="n">
        <v>0</v>
      </c>
      <c r="AH354" s="3" t="n">
        <v>1.7068</v>
      </c>
      <c r="AI354" s="3" t="n">
        <v>0.06296400000000001</v>
      </c>
      <c r="AJ354" s="3">
        <f>N(R354)*N(BC354)</f>
        <v/>
      </c>
      <c r="AK354" s="3" t="n">
        <v>0</v>
      </c>
      <c r="AL354" s="3" t="n">
        <v>0</v>
      </c>
      <c r="AM354" s="3" t="n">
        <v>-0</v>
      </c>
      <c r="AN354" s="3" t="n">
        <v>-0.165199603815519</v>
      </c>
      <c r="AO354" s="3">
        <f>SUM(AH354:AN354)</f>
        <v/>
      </c>
      <c r="AP354" s="5">
        <f>IF(OR(N(Q354)&lt;=0,N(BA354)=0),0,N(Q354)*IF(N(M354)/N(Q354)&gt;=60,N(BA354),1))</f>
        <v/>
      </c>
      <c r="AQ354" s="5">
        <f>N(Q354)*N(Z354)*N(BB354)</f>
        <v/>
      </c>
      <c r="AR354" s="5">
        <f>N(AF354)*(Assumptions!$B$13*N(BD354)-(1-Assumptions!$B$13)*Assumptions!$B$14)+N(AG354)</f>
        <v/>
      </c>
      <c r="AS354" s="5">
        <f>N(AO354)*N(M354)/90+N(AP354)+N(AQ354)+N(AR354)</f>
        <v/>
      </c>
      <c r="AT354" s="3">
        <f>IF(N(M354)&lt;=0,0,(N(AS354)-N(AR354))*90/N(M354))</f>
        <v/>
      </c>
      <c r="AU354" s="5">
        <f>IFERROR(AS354-VLOOKUP($C354,Assumptions!$A$36:$C$39,3,FALSE),"")</f>
        <v/>
      </c>
      <c r="AV354" s="3">
        <f>IFERROR(AU354/F354,"")</f>
        <v/>
      </c>
      <c r="AW354">
        <f>IF(AND($E354=TRUE,$C354="GKP"),AS354,"")</f>
        <v/>
      </c>
      <c r="AX354">
        <f>IF(AND($E354=TRUE,$C354="DEF"),AS354,"")</f>
        <v/>
      </c>
      <c r="AY354">
        <f>IF(AND($E354=TRUE,$C354="MID"),AS354,"")</f>
        <v/>
      </c>
      <c r="AZ354">
        <f>IF(AND($E354=TRUE,$C354="FWD"),AS354,"")</f>
        <v/>
      </c>
      <c r="BA354" t="n">
        <v>2</v>
      </c>
      <c r="BB354" t="n">
        <v>2</v>
      </c>
      <c r="BC354" t="n">
        <v>0</v>
      </c>
      <c r="BD354" t="n">
        <v>4</v>
      </c>
    </row>
    <row r="355">
      <c r="A355" t="inlineStr">
        <is>
          <t>Filip Jörgensen</t>
        </is>
      </c>
      <c r="B355" t="inlineStr">
        <is>
          <t>CHE</t>
        </is>
      </c>
      <c r="C355" t="inlineStr">
        <is>
          <t>GKP</t>
        </is>
      </c>
      <c r="D355" t="inlineStr">
        <is>
          <t>GKP</t>
        </is>
      </c>
      <c r="E355" t="b">
        <v>1</v>
      </c>
      <c r="F355" s="2" t="n">
        <v>5</v>
      </c>
      <c r="G355" t="inlineStr">
        <is>
          <t>u</t>
        </is>
      </c>
      <c r="H355" t="inlineStr">
        <is>
          <t>Has joined RC Strasbourg on loan for the rest of the season</t>
        </is>
      </c>
      <c r="I355" s="2" t="n">
        <v>378</v>
      </c>
      <c r="J355" t="n">
        <v>9</v>
      </c>
      <c r="K355" s="3" t="n"/>
      <c r="M355" s="4" t="n">
        <v>378</v>
      </c>
      <c r="N355" t="inlineStr">
        <is>
          <t>25/26 actual</t>
        </is>
      </c>
      <c r="O355" s="5" t="n">
        <v>90</v>
      </c>
      <c r="P355" t="b">
        <v>1</v>
      </c>
      <c r="Q355" s="5">
        <f>IF(N(O355)&lt;=0,0,MIN(Assumptions!$B$15,N(M355)/N(O355)))</f>
        <v/>
      </c>
      <c r="R355" s="4" t="n">
        <v>0.322</v>
      </c>
      <c r="S355" s="3" t="n">
        <v>0</v>
      </c>
      <c r="T355" t="inlineStr">
        <is>
          <t>blended xG</t>
        </is>
      </c>
      <c r="U355" s="3" t="n">
        <v>1</v>
      </c>
      <c r="V355" s="3" t="n">
        <v>1</v>
      </c>
      <c r="W355" s="3" t="n">
        <v>0</v>
      </c>
      <c r="X355" s="3" t="n">
        <v>0</v>
      </c>
      <c r="Y355" s="3" t="n">
        <v>0</v>
      </c>
      <c r="Z355" s="3" t="n">
        <v>0</v>
      </c>
      <c r="AA355" s="3" t="n">
        <v>0</v>
      </c>
      <c r="AB355" s="3" t="n">
        <v>9</v>
      </c>
      <c r="AC355" s="3" t="n">
        <v>2.4232</v>
      </c>
      <c r="AD355" s="3" t="n">
        <v>1.1851</v>
      </c>
      <c r="AE355" s="3" t="n">
        <v>-0.0522790015856111</v>
      </c>
      <c r="AF355" s="4" t="n">
        <v>0</v>
      </c>
      <c r="AG355" s="3" t="n">
        <v>0.2796227302912258</v>
      </c>
      <c r="AH355" s="3" t="n">
        <v>0</v>
      </c>
      <c r="AI355" s="3" t="n">
        <v>0</v>
      </c>
      <c r="AJ355" s="3">
        <f>N(R355)*N(BC355)</f>
        <v/>
      </c>
      <c r="AK355" s="3" t="n">
        <v>0</v>
      </c>
      <c r="AL355" s="3" t="n">
        <v>0.474357769926339</v>
      </c>
      <c r="AM355" s="3" t="n">
        <v>-0.365915508000572</v>
      </c>
      <c r="AN355" s="3" t="n">
        <v>-0.0522790015856111</v>
      </c>
      <c r="AO355" s="3">
        <f>SUM(AH355:AN355)</f>
        <v/>
      </c>
      <c r="AP355" s="5">
        <f>IF(OR(N(Q355)&lt;=0,N(BA355)=0),0,N(Q355)*IF(N(M355)/N(Q355)&gt;=60,N(BA355),1))</f>
        <v/>
      </c>
      <c r="AQ355" s="5">
        <f>N(Q355)*N(Z355)*N(BB355)</f>
        <v/>
      </c>
      <c r="AR355" s="5">
        <f>N(AF355)*(Assumptions!$B$13*N(BD355)-(1-Assumptions!$B$13)*Assumptions!$B$14)+N(AG355)</f>
        <v/>
      </c>
      <c r="AS355" s="5">
        <f>N(AO355)*N(M355)/90+N(AP355)+N(AQ355)+N(AR355)</f>
        <v/>
      </c>
      <c r="AT355" s="3">
        <f>IF(N(M355)&lt;=0,0,(N(AS355)-N(AR355))*90/N(M355))</f>
        <v/>
      </c>
      <c r="AU355" s="5">
        <f>IFERROR(AS355-VLOOKUP($C355,Assumptions!$A$36:$C$39,3,FALSE),"")</f>
        <v/>
      </c>
      <c r="AV355" s="3">
        <f>IFERROR(AU355/F355,"")</f>
        <v/>
      </c>
      <c r="AW355">
        <f>IF(AND($E355=TRUE,$C355="GKP"),AS355,"")</f>
        <v/>
      </c>
      <c r="AX355">
        <f>IF(AND($E355=TRUE,$C355="DEF"),AS355,"")</f>
        <v/>
      </c>
      <c r="AY355">
        <f>IF(AND($E355=TRUE,$C355="MID"),AS355,"")</f>
        <v/>
      </c>
      <c r="AZ355">
        <f>IF(AND($E355=TRUE,$C355="FWD"),AS355,"")</f>
        <v/>
      </c>
      <c r="BA355" t="n">
        <v>2</v>
      </c>
      <c r="BB355" t="n">
        <v>0</v>
      </c>
      <c r="BC355" t="n">
        <v>4</v>
      </c>
      <c r="BD355" t="n">
        <v>10</v>
      </c>
    </row>
    <row r="356">
      <c r="A356" t="inlineStr">
        <is>
          <t>Levi Colwill</t>
        </is>
      </c>
      <c r="B356" t="inlineStr">
        <is>
          <t>CHE</t>
        </is>
      </c>
      <c r="C356" t="inlineStr">
        <is>
          <t>DEF</t>
        </is>
      </c>
      <c r="D356" t="inlineStr">
        <is>
          <t>DEF</t>
        </is>
      </c>
      <c r="E356" t="b">
        <v>1</v>
      </c>
      <c r="F356" s="2" t="n">
        <v>5</v>
      </c>
      <c r="G356" t="inlineStr">
        <is>
          <t>a</t>
        </is>
      </c>
      <c r="I356" s="2" t="n">
        <v>225</v>
      </c>
      <c r="J356" t="n">
        <v>8</v>
      </c>
      <c r="K356" s="3" t="n">
        <v>2576</v>
      </c>
      <c r="L356" t="inlineStr">
        <is>
          <t>flat</t>
        </is>
      </c>
      <c r="M356" s="4" t="n">
        <v>2576</v>
      </c>
      <c r="N356" t="inlineStr">
        <is>
          <t>Solio</t>
        </is>
      </c>
      <c r="O356" s="5" t="n">
        <v>90</v>
      </c>
      <c r="P356" t="b">
        <v>1</v>
      </c>
      <c r="Q356" s="5">
        <f>IF(N(O356)&lt;=0,0,MIN(Assumptions!$B$15,N(M356)/N(O356)))</f>
        <v/>
      </c>
      <c r="R356" s="4" t="n">
        <v>0.322</v>
      </c>
      <c r="S356" s="3" t="n">
        <v>0</v>
      </c>
      <c r="T356" t="inlineStr">
        <is>
          <t>adjusted xGOT</t>
        </is>
      </c>
      <c r="U356" s="3" t="n">
        <v>1</v>
      </c>
      <c r="V356" s="3" t="n">
        <v>0.951</v>
      </c>
      <c r="W356" s="3" t="n">
        <v>4.6</v>
      </c>
      <c r="X356" s="3" t="n">
        <v>0.024</v>
      </c>
      <c r="Y356" s="3" t="n">
        <v>8.236000000000001</v>
      </c>
      <c r="Z356" s="3" t="n">
        <v>0.3130556159432196</v>
      </c>
      <c r="AA356" s="3" t="n">
        <v>0</v>
      </c>
      <c r="AB356" s="3" t="n">
        <v>5</v>
      </c>
      <c r="AC356" s="3" t="n">
        <v>2.4232</v>
      </c>
      <c r="AD356" s="3" t="n">
        <v>1.1851</v>
      </c>
      <c r="AE356" s="3" t="n">
        <v>-0.2135844756559857</v>
      </c>
      <c r="AF356" s="4" t="n">
        <v>0</v>
      </c>
      <c r="AG356" s="3" t="n">
        <v>0</v>
      </c>
      <c r="AH356" s="3" t="n">
        <v>0</v>
      </c>
      <c r="AI356" s="3" t="n">
        <v>0.09504000000000001</v>
      </c>
      <c r="AJ356" s="3">
        <f>N(R356)*N(BC356)</f>
        <v/>
      </c>
      <c r="AK356" s="3" t="n">
        <v>0</v>
      </c>
      <c r="AL356" s="3" t="n">
        <v>0</v>
      </c>
      <c r="AM356" s="3" t="n">
        <v>-0.365915508000572</v>
      </c>
      <c r="AN356" s="3" t="n">
        <v>-0.2135844756559857</v>
      </c>
      <c r="AO356" s="3">
        <f>SUM(AH356:AN356)</f>
        <v/>
      </c>
      <c r="AP356" s="5">
        <f>IF(OR(N(Q356)&lt;=0,N(BA356)=0),0,N(Q356)*IF(N(M356)/N(Q356)&gt;=60,N(BA356),1))</f>
        <v/>
      </c>
      <c r="AQ356" s="5">
        <f>N(Q356)*N(Z356)*N(BB356)</f>
        <v/>
      </c>
      <c r="AR356" s="5">
        <f>N(AF356)*(Assumptions!$B$13*N(BD356)-(1-Assumptions!$B$13)*Assumptions!$B$14)+N(AG356)</f>
        <v/>
      </c>
      <c r="AS356" s="5">
        <f>N(AO356)*N(M356)/90+N(AP356)+N(AQ356)+N(AR356)</f>
        <v/>
      </c>
      <c r="AT356" s="3">
        <f>IF(N(M356)&lt;=0,0,(N(AS356)-N(AR356))*90/N(M356))</f>
        <v/>
      </c>
      <c r="AU356" s="5">
        <f>IFERROR(AS356-VLOOKUP($C356,Assumptions!$A$36:$C$39,3,FALSE),"")</f>
        <v/>
      </c>
      <c r="AV356" s="3">
        <f>IFERROR(AU356/F356,"")</f>
        <v/>
      </c>
      <c r="AW356">
        <f>IF(AND($E356=TRUE,$C356="GKP"),AS356,"")</f>
        <v/>
      </c>
      <c r="AX356">
        <f>IF(AND($E356=TRUE,$C356="DEF"),AS356,"")</f>
        <v/>
      </c>
      <c r="AY356">
        <f>IF(AND($E356=TRUE,$C356="MID"),AS356,"")</f>
        <v/>
      </c>
      <c r="AZ356">
        <f>IF(AND($E356=TRUE,$C356="FWD"),AS356,"")</f>
        <v/>
      </c>
      <c r="BA356" t="n">
        <v>2</v>
      </c>
      <c r="BB356" t="n">
        <v>2</v>
      </c>
      <c r="BC356" t="n">
        <v>4</v>
      </c>
      <c r="BD356" t="n">
        <v>6</v>
      </c>
    </row>
    <row r="357">
      <c r="A357" t="inlineStr">
        <is>
          <t>Alex Tóth</t>
        </is>
      </c>
      <c r="B357" t="inlineStr">
        <is>
          <t>BOU</t>
        </is>
      </c>
      <c r="C357" t="inlineStr">
        <is>
          <t>MID</t>
        </is>
      </c>
      <c r="D357" t="inlineStr">
        <is>
          <t>MID</t>
        </is>
      </c>
      <c r="E357" t="b">
        <v>1</v>
      </c>
      <c r="F357" s="2" t="n">
        <v>5</v>
      </c>
      <c r="G357" t="inlineStr">
        <is>
          <t>a</t>
        </is>
      </c>
      <c r="I357" s="2" t="n">
        <v>135</v>
      </c>
      <c r="J357" t="n">
        <v>8</v>
      </c>
      <c r="K357" s="3" t="n">
        <v>126</v>
      </c>
      <c r="L357" t="inlineStr">
        <is>
          <t>flat</t>
        </is>
      </c>
      <c r="M357" s="4" t="n">
        <v>126</v>
      </c>
      <c r="N357" t="inlineStr">
        <is>
          <t>Solio</t>
        </is>
      </c>
      <c r="O357" s="5" t="n">
        <v>56.5</v>
      </c>
      <c r="P357" t="b">
        <v>1</v>
      </c>
      <c r="Q357" s="5">
        <f>IF(N(O357)&lt;=0,0,MIN(Assumptions!$B$15,N(M357)/N(O357)))</f>
        <v/>
      </c>
      <c r="R357" s="4" t="n">
        <v>0.23</v>
      </c>
      <c r="S357" s="3" t="n">
        <v>0.0727</v>
      </c>
      <c r="T357" t="inlineStr">
        <is>
          <t>adjusted xGOT</t>
        </is>
      </c>
      <c r="U357" s="3" t="n">
        <v>1</v>
      </c>
      <c r="V357" s="3" t="n">
        <v>0.986</v>
      </c>
      <c r="W357" s="3" t="n">
        <v>0.1</v>
      </c>
      <c r="X357" s="3" t="n">
        <v>0.2291</v>
      </c>
      <c r="Y357" s="3" t="n">
        <v>9.012</v>
      </c>
      <c r="Z357" s="3" t="n">
        <v>0.01341796362246617</v>
      </c>
      <c r="AA357" s="3" t="n">
        <v>0</v>
      </c>
      <c r="AB357" s="3" t="n">
        <v>9</v>
      </c>
      <c r="AC357" s="3" t="n">
        <v>3.0957</v>
      </c>
      <c r="AD357" s="3" t="n">
        <v>1.53</v>
      </c>
      <c r="AE357" s="3" t="n">
        <v>-0.2560940997024783</v>
      </c>
      <c r="AF357" s="4" t="n">
        <v>0</v>
      </c>
      <c r="AG357" s="3" t="n">
        <v>0</v>
      </c>
      <c r="AH357" s="3" t="n">
        <v>0.3635</v>
      </c>
      <c r="AI357" s="3" t="n">
        <v>0.907236</v>
      </c>
      <c r="AJ357" s="3">
        <f>N(R357)*N(BC357)</f>
        <v/>
      </c>
      <c r="AK357" s="3" t="n">
        <v>0</v>
      </c>
      <c r="AL357" s="3" t="n">
        <v>0</v>
      </c>
      <c r="AM357" s="3" t="n">
        <v>-0</v>
      </c>
      <c r="AN357" s="3" t="n">
        <v>-0.2560940997024783</v>
      </c>
      <c r="AO357" s="3">
        <f>SUM(AH357:AN357)</f>
        <v/>
      </c>
      <c r="AP357" s="5">
        <f>IF(OR(N(Q357)&lt;=0,N(BA357)=0),0,N(Q357)*IF(N(M357)/N(Q357)&gt;=60,N(BA357),1))</f>
        <v/>
      </c>
      <c r="AQ357" s="5">
        <f>N(Q357)*N(Z357)*N(BB357)</f>
        <v/>
      </c>
      <c r="AR357" s="5">
        <f>N(AF357)*(Assumptions!$B$13*N(BD357)-(1-Assumptions!$B$13)*Assumptions!$B$14)+N(AG357)</f>
        <v/>
      </c>
      <c r="AS357" s="5">
        <f>N(AO357)*N(M357)/90+N(AP357)+N(AQ357)+N(AR357)</f>
        <v/>
      </c>
      <c r="AT357" s="3">
        <f>IF(N(M357)&lt;=0,0,(N(AS357)-N(AR357))*90/N(M357))</f>
        <v/>
      </c>
      <c r="AU357" s="5">
        <f>IFERROR(AS357-VLOOKUP($C357,Assumptions!$A$36:$C$39,3,FALSE),"")</f>
        <v/>
      </c>
      <c r="AV357" s="3">
        <f>IFERROR(AU357/F357,"")</f>
        <v/>
      </c>
      <c r="AW357">
        <f>IF(AND($E357=TRUE,$C357="GKP"),AS357,"")</f>
        <v/>
      </c>
      <c r="AX357">
        <f>IF(AND($E357=TRUE,$C357="DEF"),AS357,"")</f>
        <v/>
      </c>
      <c r="AY357">
        <f>IF(AND($E357=TRUE,$C357="MID"),AS357,"")</f>
        <v/>
      </c>
      <c r="AZ357">
        <f>IF(AND($E357=TRUE,$C357="FWD"),AS357,"")</f>
        <v/>
      </c>
      <c r="BA357" t="n">
        <v>2</v>
      </c>
      <c r="BB357" t="n">
        <v>2</v>
      </c>
      <c r="BC357" t="n">
        <v>1</v>
      </c>
      <c r="BD357" t="n">
        <v>5</v>
      </c>
    </row>
    <row r="358">
      <c r="A358" t="inlineStr">
        <is>
          <t>Ethan Nwaneri</t>
        </is>
      </c>
      <c r="B358" t="inlineStr">
        <is>
          <t>ARS</t>
        </is>
      </c>
      <c r="C358" t="inlineStr">
        <is>
          <t>MID</t>
        </is>
      </c>
      <c r="D358" t="inlineStr">
        <is>
          <t>MID</t>
        </is>
      </c>
      <c r="E358" t="b">
        <v>1</v>
      </c>
      <c r="F358" s="2" t="n">
        <v>5.5</v>
      </c>
      <c r="G358" t="inlineStr">
        <is>
          <t>a</t>
        </is>
      </c>
      <c r="I358" s="2" t="n">
        <v>165</v>
      </c>
      <c r="J358" t="n">
        <v>8</v>
      </c>
      <c r="K358" s="3" t="n">
        <v>11</v>
      </c>
      <c r="L358" t="inlineStr">
        <is>
          <t>flat</t>
        </is>
      </c>
      <c r="M358" s="4" t="n">
        <v>11</v>
      </c>
      <c r="N358" t="inlineStr">
        <is>
          <t>Solio</t>
        </is>
      </c>
      <c r="O358" s="5" t="n">
        <v>85</v>
      </c>
      <c r="P358" t="b">
        <v>1</v>
      </c>
      <c r="Q358" s="5">
        <f>IF(N(O358)&lt;=0,0,MIN(Assumptions!$B$15,N(M358)/N(O358)))</f>
        <v/>
      </c>
      <c r="R358" s="4" t="n">
        <v>0.391</v>
      </c>
      <c r="S358" s="3" t="n">
        <v>0.1293</v>
      </c>
      <c r="T358" t="inlineStr">
        <is>
          <t>adjusted xGOT</t>
        </is>
      </c>
      <c r="U358" s="3" t="n">
        <v>1</v>
      </c>
      <c r="V358" s="3" t="n">
        <v>1.03</v>
      </c>
      <c r="W358" s="3" t="n">
        <v>1.4</v>
      </c>
      <c r="X358" s="3" t="n">
        <v>0.035</v>
      </c>
      <c r="Y358" s="3" t="n">
        <v>8.300000000000001</v>
      </c>
      <c r="Z358" s="3" t="n">
        <v>0.100646072805877</v>
      </c>
      <c r="AA358" s="3" t="n">
        <v>0</v>
      </c>
      <c r="AB358" s="3" t="n">
        <v>7</v>
      </c>
      <c r="AC358" s="3" t="n">
        <v>2.067</v>
      </c>
      <c r="AD358" s="3" t="n">
        <v>0.9838</v>
      </c>
      <c r="AE358" s="3" t="n">
        <v>-0.1760946258725149</v>
      </c>
      <c r="AF358" s="4" t="n">
        <v>0</v>
      </c>
      <c r="AG358" s="3" t="n">
        <v>0</v>
      </c>
      <c r="AH358" s="3" t="n">
        <v>0.6465</v>
      </c>
      <c r="AI358" s="3" t="n">
        <v>0.1386</v>
      </c>
      <c r="AJ358" s="3">
        <f>N(R358)*N(BC358)</f>
        <v/>
      </c>
      <c r="AK358" s="3" t="n">
        <v>0</v>
      </c>
      <c r="AL358" s="3" t="n">
        <v>0</v>
      </c>
      <c r="AM358" s="3" t="n">
        <v>-0</v>
      </c>
      <c r="AN358" s="3" t="n">
        <v>-0.1760946258725149</v>
      </c>
      <c r="AO358" s="3">
        <f>SUM(AH358:AN358)</f>
        <v/>
      </c>
      <c r="AP358" s="5">
        <f>IF(OR(N(Q358)&lt;=0,N(BA358)=0),0,N(Q358)*IF(N(M358)/N(Q358)&gt;=60,N(BA358),1))</f>
        <v/>
      </c>
      <c r="AQ358" s="5">
        <f>N(Q358)*N(Z358)*N(BB358)</f>
        <v/>
      </c>
      <c r="AR358" s="5">
        <f>N(AF358)*(Assumptions!$B$13*N(BD358)-(1-Assumptions!$B$13)*Assumptions!$B$14)+N(AG358)</f>
        <v/>
      </c>
      <c r="AS358" s="5">
        <f>N(AO358)*N(M358)/90+N(AP358)+N(AQ358)+N(AR358)</f>
        <v/>
      </c>
      <c r="AT358" s="3">
        <f>IF(N(M358)&lt;=0,0,(N(AS358)-N(AR358))*90/N(M358))</f>
        <v/>
      </c>
      <c r="AU358" s="5">
        <f>IFERROR(AS358-VLOOKUP($C358,Assumptions!$A$36:$C$39,3,FALSE),"")</f>
        <v/>
      </c>
      <c r="AV358" s="3">
        <f>IFERROR(AU358/F358,"")</f>
        <v/>
      </c>
      <c r="AW358">
        <f>IF(AND($E358=TRUE,$C358="GKP"),AS358,"")</f>
        <v/>
      </c>
      <c r="AX358">
        <f>IF(AND($E358=TRUE,$C358="DEF"),AS358,"")</f>
        <v/>
      </c>
      <c r="AY358">
        <f>IF(AND($E358=TRUE,$C358="MID"),AS358,"")</f>
        <v/>
      </c>
      <c r="AZ358">
        <f>IF(AND($E358=TRUE,$C358="FWD"),AS358,"")</f>
        <v/>
      </c>
      <c r="BA358" t="n">
        <v>2</v>
      </c>
      <c r="BB358" t="n">
        <v>2</v>
      </c>
      <c r="BC358" t="n">
        <v>1</v>
      </c>
      <c r="BD358" t="n">
        <v>5</v>
      </c>
    </row>
    <row r="359">
      <c r="A359" t="inlineStr">
        <is>
          <t>Walter Benítez</t>
        </is>
      </c>
      <c r="B359" t="inlineStr">
        <is>
          <t>CRY</t>
        </is>
      </c>
      <c r="C359" t="inlineStr">
        <is>
          <t>GKP</t>
        </is>
      </c>
      <c r="D359" t="inlineStr">
        <is>
          <t>GKP</t>
        </is>
      </c>
      <c r="E359" t="b">
        <v>1</v>
      </c>
      <c r="F359" s="2" t="n">
        <v>4.5</v>
      </c>
      <c r="G359" t="inlineStr">
        <is>
          <t>a</t>
        </is>
      </c>
      <c r="I359" s="2" t="n">
        <v>90</v>
      </c>
      <c r="J359" t="n">
        <v>7</v>
      </c>
      <c r="K359" s="3" t="n">
        <v>35</v>
      </c>
      <c r="L359" t="inlineStr">
        <is>
          <t>flat</t>
        </is>
      </c>
      <c r="M359" s="4" t="n">
        <v>35</v>
      </c>
      <c r="N359" t="inlineStr">
        <is>
          <t>Solio</t>
        </is>
      </c>
      <c r="O359" s="5" t="n">
        <v>90</v>
      </c>
      <c r="P359" t="b">
        <v>1</v>
      </c>
      <c r="Q359" s="5">
        <f>IF(N(O359)&lt;=0,0,MIN(Assumptions!$B$15,N(M359)/N(O359)))</f>
        <v/>
      </c>
      <c r="R359" s="4" t="n">
        <v>0.216</v>
      </c>
      <c r="S359" s="3" t="n">
        <v>0</v>
      </c>
      <c r="T359" t="inlineStr">
        <is>
          <t>blended xG</t>
        </is>
      </c>
      <c r="U359" s="3" t="n">
        <v>1</v>
      </c>
      <c r="V359" s="3" t="n">
        <v>1</v>
      </c>
      <c r="W359" s="3" t="n">
        <v>0</v>
      </c>
      <c r="X359" s="3" t="n">
        <v>0</v>
      </c>
      <c r="Y359" s="3" t="n">
        <v>0</v>
      </c>
      <c r="Z359" s="3" t="n">
        <v>0</v>
      </c>
      <c r="AA359" s="3" t="n">
        <v>1</v>
      </c>
      <c r="AB359" s="3" t="n">
        <v>2</v>
      </c>
      <c r="AC359" s="3" t="n">
        <v>3.2035</v>
      </c>
      <c r="AD359" s="3" t="n">
        <v>1.5923</v>
      </c>
      <c r="AE359" s="3" t="n">
        <v>-0.07200630079321101</v>
      </c>
      <c r="AF359" s="4" t="n">
        <v>0</v>
      </c>
      <c r="AG359" s="3" t="n">
        <v>0.0347888665271393</v>
      </c>
      <c r="AH359" s="3" t="n">
        <v>0</v>
      </c>
      <c r="AI359" s="3" t="n">
        <v>0</v>
      </c>
      <c r="AJ359" s="3">
        <f>N(R359)*N(BC359)</f>
        <v/>
      </c>
      <c r="AK359" s="3" t="n">
        <v>1</v>
      </c>
      <c r="AL359" s="3" t="n">
        <v>0.7325188478059661</v>
      </c>
      <c r="AM359" s="3" t="n">
        <v>-0.5564987001023466</v>
      </c>
      <c r="AN359" s="3" t="n">
        <v>-0.07200630079321101</v>
      </c>
      <c r="AO359" s="3">
        <f>SUM(AH359:AN359)</f>
        <v/>
      </c>
      <c r="AP359" s="5">
        <f>IF(OR(N(Q359)&lt;=0,N(BA359)=0),0,N(Q359)*IF(N(M359)/N(Q359)&gt;=60,N(BA359),1))</f>
        <v/>
      </c>
      <c r="AQ359" s="5">
        <f>N(Q359)*N(Z359)*N(BB359)</f>
        <v/>
      </c>
      <c r="AR359" s="5">
        <f>N(AF359)*(Assumptions!$B$13*N(BD359)-(1-Assumptions!$B$13)*Assumptions!$B$14)+N(AG359)</f>
        <v/>
      </c>
      <c r="AS359" s="5">
        <f>N(AO359)*N(M359)/90+N(AP359)+N(AQ359)+N(AR359)</f>
        <v/>
      </c>
      <c r="AT359" s="3">
        <f>IF(N(M359)&lt;=0,0,(N(AS359)-N(AR359))*90/N(M359))</f>
        <v/>
      </c>
      <c r="AU359" s="5">
        <f>IFERROR(AS359-VLOOKUP($C359,Assumptions!$A$36:$C$39,3,FALSE),"")</f>
        <v/>
      </c>
      <c r="AV359" s="3">
        <f>IFERROR(AU359/F359,"")</f>
        <v/>
      </c>
      <c r="AW359">
        <f>IF(AND($E359=TRUE,$C359="GKP"),AS359,"")</f>
        <v/>
      </c>
      <c r="AX359">
        <f>IF(AND($E359=TRUE,$C359="DEF"),AS359,"")</f>
        <v/>
      </c>
      <c r="AY359">
        <f>IF(AND($E359=TRUE,$C359="MID"),AS359,"")</f>
        <v/>
      </c>
      <c r="AZ359">
        <f>IF(AND($E359=TRUE,$C359="FWD"),AS359,"")</f>
        <v/>
      </c>
      <c r="BA359" t="n">
        <v>2</v>
      </c>
      <c r="BB359" t="n">
        <v>0</v>
      </c>
      <c r="BC359" t="n">
        <v>4</v>
      </c>
      <c r="BD359" t="n">
        <v>10</v>
      </c>
    </row>
    <row r="360">
      <c r="A360" t="inlineStr">
        <is>
          <t>Christian Nørgaard</t>
        </is>
      </c>
      <c r="B360" t="inlineStr">
        <is>
          <t>EVE</t>
        </is>
      </c>
      <c r="C360" t="inlineStr">
        <is>
          <t>MID</t>
        </is>
      </c>
      <c r="D360" t="inlineStr">
        <is>
          <t>MID</t>
        </is>
      </c>
      <c r="E360" t="b">
        <v>1</v>
      </c>
      <c r="F360" s="2" t="n">
        <v>5</v>
      </c>
      <c r="G360" t="inlineStr">
        <is>
          <t>a</t>
        </is>
      </c>
      <c r="I360" s="2" t="n">
        <v>101</v>
      </c>
      <c r="J360" t="n">
        <v>7</v>
      </c>
      <c r="K360" s="3" t="n">
        <v>2804</v>
      </c>
      <c r="L360" t="inlineStr">
        <is>
          <t>flat</t>
        </is>
      </c>
      <c r="M360" s="4" t="n">
        <v>2804</v>
      </c>
      <c r="N360" t="inlineStr">
        <is>
          <t>Solio</t>
        </is>
      </c>
      <c r="O360" s="5" t="n">
        <v>45</v>
      </c>
      <c r="P360" t="b">
        <v>1</v>
      </c>
      <c r="Q360" s="5">
        <f>IF(N(O360)&lt;=0,0,MIN(Assumptions!$B$15,N(M360)/N(O360)))</f>
        <v/>
      </c>
      <c r="R360" s="4" t="n">
        <v>0.231</v>
      </c>
      <c r="S360" s="3" t="n">
        <v>0.0659</v>
      </c>
      <c r="T360" t="inlineStr">
        <is>
          <t>adjusted xGOT</t>
        </is>
      </c>
      <c r="U360" s="3" t="n">
        <v>1</v>
      </c>
      <c r="V360" s="3" t="n">
        <v>0.928</v>
      </c>
      <c r="W360" s="3" t="n">
        <v>9.6</v>
      </c>
      <c r="X360" s="3" t="n">
        <v>0.0178</v>
      </c>
      <c r="Y360" s="3" t="n">
        <v>9.276</v>
      </c>
      <c r="Z360" s="3" t="n">
        <v>0.003054361530524075</v>
      </c>
      <c r="AA360" s="3" t="n">
        <v>0</v>
      </c>
      <c r="AB360" s="3" t="n">
        <v>7</v>
      </c>
      <c r="AC360" s="3" t="n">
        <v>3.0311</v>
      </c>
      <c r="AD360" s="3" t="n">
        <v>1.5252</v>
      </c>
      <c r="AE360" s="3" t="n">
        <v>-0.2544726553681582</v>
      </c>
      <c r="AF360" s="4" t="n">
        <v>0</v>
      </c>
      <c r="AG360" s="3" t="n">
        <v>0</v>
      </c>
      <c r="AH360" s="3" t="n">
        <v>0.3295</v>
      </c>
      <c r="AI360" s="3" t="n">
        <v>0.07048800000000001</v>
      </c>
      <c r="AJ360" s="3">
        <f>N(R360)*N(BC360)</f>
        <v/>
      </c>
      <c r="AK360" s="3" t="n">
        <v>0</v>
      </c>
      <c r="AL360" s="3" t="n">
        <v>0</v>
      </c>
      <c r="AM360" s="3" t="n">
        <v>-0</v>
      </c>
      <c r="AN360" s="3" t="n">
        <v>-0.2544726553681582</v>
      </c>
      <c r="AO360" s="3">
        <f>SUM(AH360:AN360)</f>
        <v/>
      </c>
      <c r="AP360" s="5">
        <f>IF(OR(N(Q360)&lt;=0,N(BA360)=0),0,N(Q360)*IF(N(M360)/N(Q360)&gt;=60,N(BA360),1))</f>
        <v/>
      </c>
      <c r="AQ360" s="5">
        <f>N(Q360)*N(Z360)*N(BB360)</f>
        <v/>
      </c>
      <c r="AR360" s="5">
        <f>N(AF360)*(Assumptions!$B$13*N(BD360)-(1-Assumptions!$B$13)*Assumptions!$B$14)+N(AG360)</f>
        <v/>
      </c>
      <c r="AS360" s="5">
        <f>N(AO360)*N(M360)/90+N(AP360)+N(AQ360)+N(AR360)</f>
        <v/>
      </c>
      <c r="AT360" s="3">
        <f>IF(N(M360)&lt;=0,0,(N(AS360)-N(AR360))*90/N(M360))</f>
        <v/>
      </c>
      <c r="AU360" s="5">
        <f>IFERROR(AS360-VLOOKUP($C360,Assumptions!$A$36:$C$39,3,FALSE),"")</f>
        <v/>
      </c>
      <c r="AV360" s="3">
        <f>IFERROR(AU360/F360,"")</f>
        <v/>
      </c>
      <c r="AW360">
        <f>IF(AND($E360=TRUE,$C360="GKP"),AS360,"")</f>
        <v/>
      </c>
      <c r="AX360">
        <f>IF(AND($E360=TRUE,$C360="DEF"),AS360,"")</f>
        <v/>
      </c>
      <c r="AY360">
        <f>IF(AND($E360=TRUE,$C360="MID"),AS360,"")</f>
        <v/>
      </c>
      <c r="AZ360">
        <f>IF(AND($E360=TRUE,$C360="FWD"),AS360,"")</f>
        <v/>
      </c>
      <c r="BA360" t="n">
        <v>2</v>
      </c>
      <c r="BB360" t="n">
        <v>2</v>
      </c>
      <c r="BC360" t="n">
        <v>1</v>
      </c>
      <c r="BD360" t="n">
        <v>5</v>
      </c>
    </row>
    <row r="361">
      <c r="A361" t="inlineStr">
        <is>
          <t>Benoît Badiashile</t>
        </is>
      </c>
      <c r="B361" t="inlineStr">
        <is>
          <t>CHE</t>
        </is>
      </c>
      <c r="C361" t="inlineStr">
        <is>
          <t>DEF</t>
        </is>
      </c>
      <c r="D361" t="inlineStr">
        <is>
          <t>DEF</t>
        </is>
      </c>
      <c r="E361" t="b">
        <v>1</v>
      </c>
      <c r="F361" s="2" t="n">
        <v>4.5</v>
      </c>
      <c r="G361" t="inlineStr">
        <is>
          <t>a</t>
        </is>
      </c>
      <c r="I361" s="2" t="n">
        <v>470</v>
      </c>
      <c r="J361" t="n">
        <v>7</v>
      </c>
      <c r="K361" s="3" t="n">
        <v>14</v>
      </c>
      <c r="L361" t="inlineStr">
        <is>
          <t>flat</t>
        </is>
      </c>
      <c r="M361" s="4" t="n">
        <v>14</v>
      </c>
      <c r="N361" t="inlineStr">
        <is>
          <t>Solio</t>
        </is>
      </c>
      <c r="O361" s="5" t="n">
        <v>69</v>
      </c>
      <c r="P361" t="b">
        <v>1</v>
      </c>
      <c r="Q361" s="5">
        <f>IF(N(O361)&lt;=0,0,MIN(Assumptions!$B$15,N(M361)/N(O361)))</f>
        <v/>
      </c>
      <c r="R361" s="4" t="n">
        <v>0.322</v>
      </c>
      <c r="S361" s="3" t="n">
        <v>0</v>
      </c>
      <c r="T361" t="inlineStr">
        <is>
          <t>adjusted xGOT</t>
        </is>
      </c>
      <c r="U361" s="3" t="n">
        <v>1</v>
      </c>
      <c r="V361" s="3" t="n">
        <v>0.913</v>
      </c>
      <c r="W361" s="3" t="n">
        <v>1.5</v>
      </c>
      <c r="X361" s="3" t="n">
        <v>0.0057</v>
      </c>
      <c r="Y361" s="3" t="n">
        <v>8.279999999999999</v>
      </c>
      <c r="Z361" s="3" t="n">
        <v>0.1099569726963323</v>
      </c>
      <c r="AA361" s="3" t="n">
        <v>0</v>
      </c>
      <c r="AB361" s="3" t="n">
        <v>11</v>
      </c>
      <c r="AC361" s="3" t="n">
        <v>2.4232</v>
      </c>
      <c r="AD361" s="3" t="n">
        <v>1.1851</v>
      </c>
      <c r="AE361" s="3" t="n">
        <v>-0.2299683281590999</v>
      </c>
      <c r="AF361" s="4" t="n">
        <v>0</v>
      </c>
      <c r="AG361" s="3" t="n">
        <v>0</v>
      </c>
      <c r="AH361" s="3" t="n">
        <v>0</v>
      </c>
      <c r="AI361" s="3" t="n">
        <v>0.022572</v>
      </c>
      <c r="AJ361" s="3">
        <f>N(R361)*N(BC361)</f>
        <v/>
      </c>
      <c r="AK361" s="3" t="n">
        <v>0</v>
      </c>
      <c r="AL361" s="3" t="n">
        <v>0</v>
      </c>
      <c r="AM361" s="3" t="n">
        <v>-0.365915508000572</v>
      </c>
      <c r="AN361" s="3" t="n">
        <v>-0.2299683281590999</v>
      </c>
      <c r="AO361" s="3">
        <f>SUM(AH361:AN361)</f>
        <v/>
      </c>
      <c r="AP361" s="5">
        <f>IF(OR(N(Q361)&lt;=0,N(BA361)=0),0,N(Q361)*IF(N(M361)/N(Q361)&gt;=60,N(BA361),1))</f>
        <v/>
      </c>
      <c r="AQ361" s="5">
        <f>N(Q361)*N(Z361)*N(BB361)</f>
        <v/>
      </c>
      <c r="AR361" s="5">
        <f>N(AF361)*(Assumptions!$B$13*N(BD361)-(1-Assumptions!$B$13)*Assumptions!$B$14)+N(AG361)</f>
        <v/>
      </c>
      <c r="AS361" s="5">
        <f>N(AO361)*N(M361)/90+N(AP361)+N(AQ361)+N(AR361)</f>
        <v/>
      </c>
      <c r="AT361" s="3">
        <f>IF(N(M361)&lt;=0,0,(N(AS361)-N(AR361))*90/N(M361))</f>
        <v/>
      </c>
      <c r="AU361" s="5">
        <f>IFERROR(AS361-VLOOKUP($C361,Assumptions!$A$36:$C$39,3,FALSE),"")</f>
        <v/>
      </c>
      <c r="AV361" s="3">
        <f>IFERROR(AU361/F361,"")</f>
        <v/>
      </c>
      <c r="AW361">
        <f>IF(AND($E361=TRUE,$C361="GKP"),AS361,"")</f>
        <v/>
      </c>
      <c r="AX361">
        <f>IF(AND($E361=TRUE,$C361="DEF"),AS361,"")</f>
        <v/>
      </c>
      <c r="AY361">
        <f>IF(AND($E361=TRUE,$C361="MID"),AS361,"")</f>
        <v/>
      </c>
      <c r="AZ361">
        <f>IF(AND($E361=TRUE,$C361="FWD"),AS361,"")</f>
        <v/>
      </c>
      <c r="BA361" t="n">
        <v>2</v>
      </c>
      <c r="BB361" t="n">
        <v>2</v>
      </c>
      <c r="BC361" t="n">
        <v>4</v>
      </c>
      <c r="BD361" t="n">
        <v>6</v>
      </c>
    </row>
    <row r="362">
      <c r="A362" t="inlineStr">
        <is>
          <t>Igor Julio</t>
        </is>
      </c>
      <c r="B362" t="inlineStr">
        <is>
          <t>BHA</t>
        </is>
      </c>
      <c r="C362" t="inlineStr">
        <is>
          <t>DEF</t>
        </is>
      </c>
      <c r="D362" t="inlineStr">
        <is>
          <t>DEF</t>
        </is>
      </c>
      <c r="E362" t="b">
        <v>1</v>
      </c>
      <c r="F362" s="2" t="n">
        <v>4.5</v>
      </c>
      <c r="G362" t="inlineStr">
        <is>
          <t>a</t>
        </is>
      </c>
      <c r="I362" s="2" t="n">
        <v>103</v>
      </c>
      <c r="J362" t="n">
        <v>6</v>
      </c>
      <c r="K362" s="3" t="n">
        <v>0</v>
      </c>
      <c r="L362" t="inlineStr">
        <is>
          <t>flat</t>
        </is>
      </c>
      <c r="M362" s="4" t="n">
        <v>0</v>
      </c>
      <c r="N362" t="inlineStr">
        <is>
          <t>Solio</t>
        </is>
      </c>
      <c r="O362" s="5" t="n">
        <v>90</v>
      </c>
      <c r="P362" t="b">
        <v>1</v>
      </c>
      <c r="Q362" s="5">
        <f>IF(N(O362)&lt;=0,0,MIN(Assumptions!$B$15,N(M362)/N(O362)))</f>
        <v/>
      </c>
      <c r="R362" s="4" t="n">
        <v>0.252</v>
      </c>
      <c r="S362" s="3" t="n">
        <v>0</v>
      </c>
      <c r="T362" t="inlineStr">
        <is>
          <t>adjusted xGOT</t>
        </is>
      </c>
      <c r="U362" s="3" t="n">
        <v>1</v>
      </c>
      <c r="V362" s="3" t="n">
        <v>0.964</v>
      </c>
      <c r="W362" s="3" t="n">
        <v>0.3</v>
      </c>
      <c r="X362" s="3" t="n">
        <v>0.007900000000000001</v>
      </c>
      <c r="Y362" s="3" t="n">
        <v>8.145</v>
      </c>
      <c r="Z362" s="3" t="n">
        <v>0.3015220262424214</v>
      </c>
      <c r="AA362" s="3" t="n">
        <v>0</v>
      </c>
      <c r="AB362" s="3" t="n">
        <v>5</v>
      </c>
      <c r="AC362" s="3" t="n">
        <v>2.8404</v>
      </c>
      <c r="AD362" s="3" t="n">
        <v>1.439</v>
      </c>
      <c r="AE362" s="3" t="n">
        <v>-0.2463997037147801</v>
      </c>
      <c r="AF362" s="4" t="n">
        <v>0</v>
      </c>
      <c r="AG362" s="3" t="n">
        <v>0</v>
      </c>
      <c r="AH362" s="3" t="n">
        <v>0</v>
      </c>
      <c r="AI362" s="3" t="n">
        <v>0.03128400000000001</v>
      </c>
      <c r="AJ362" s="3">
        <f>N(R362)*N(BC362)</f>
        <v/>
      </c>
      <c r="AK362" s="3" t="n">
        <v>0</v>
      </c>
      <c r="AL362" s="3" t="n">
        <v>0</v>
      </c>
      <c r="AM362" s="3" t="n">
        <v>-0.4835617861760246</v>
      </c>
      <c r="AN362" s="3" t="n">
        <v>-0.2463997037147801</v>
      </c>
      <c r="AO362" s="3">
        <f>SUM(AH362:AN362)</f>
        <v/>
      </c>
      <c r="AP362" s="5">
        <f>IF(OR(N(Q362)&lt;=0,N(BA362)=0),0,N(Q362)*IF(N(M362)/N(Q362)&gt;=60,N(BA362),1))</f>
        <v/>
      </c>
      <c r="AQ362" s="5">
        <f>N(Q362)*N(Z362)*N(BB362)</f>
        <v/>
      </c>
      <c r="AR362" s="5">
        <f>N(AF362)*(Assumptions!$B$13*N(BD362)-(1-Assumptions!$B$13)*Assumptions!$B$14)+N(AG362)</f>
        <v/>
      </c>
      <c r="AS362" s="5">
        <f>N(AO362)*N(M362)/90+N(AP362)+N(AQ362)+N(AR362)</f>
        <v/>
      </c>
      <c r="AT362" s="3">
        <f>IF(N(M362)&lt;=0,0,(N(AS362)-N(AR362))*90/N(M362))</f>
        <v/>
      </c>
      <c r="AU362" s="5">
        <f>IFERROR(AS362-VLOOKUP($C362,Assumptions!$A$36:$C$39,3,FALSE),"")</f>
        <v/>
      </c>
      <c r="AV362" s="3">
        <f>IFERROR(AU362/F362,"")</f>
        <v/>
      </c>
      <c r="AW362">
        <f>IF(AND($E362=TRUE,$C362="GKP"),AS362,"")</f>
        <v/>
      </c>
      <c r="AX362">
        <f>IF(AND($E362=TRUE,$C362="DEF"),AS362,"")</f>
        <v/>
      </c>
      <c r="AY362">
        <f>IF(AND($E362=TRUE,$C362="MID"),AS362,"")</f>
        <v/>
      </c>
      <c r="AZ362">
        <f>IF(AND($E362=TRUE,$C362="FWD"),AS362,"")</f>
        <v/>
      </c>
      <c r="BA362" t="n">
        <v>2</v>
      </c>
      <c r="BB362" t="n">
        <v>2</v>
      </c>
      <c r="BC362" t="n">
        <v>4</v>
      </c>
      <c r="BD362" t="n">
        <v>6</v>
      </c>
    </row>
    <row r="363">
      <c r="A363" t="inlineStr">
        <is>
          <t>Freddie Woodman</t>
        </is>
      </c>
      <c r="B363" t="inlineStr">
        <is>
          <t>LIV</t>
        </is>
      </c>
      <c r="C363" t="inlineStr">
        <is>
          <t>GKP</t>
        </is>
      </c>
      <c r="D363" t="inlineStr">
        <is>
          <t>GKP</t>
        </is>
      </c>
      <c r="E363" t="b">
        <v>1</v>
      </c>
      <c r="F363" s="2" t="n">
        <v>4</v>
      </c>
      <c r="G363" t="inlineStr">
        <is>
          <t>a</t>
        </is>
      </c>
      <c r="I363" s="2" t="n">
        <v>212</v>
      </c>
      <c r="J363" t="n">
        <v>6</v>
      </c>
      <c r="K363" s="3" t="n">
        <v>0</v>
      </c>
      <c r="L363" t="inlineStr">
        <is>
          <t>flat</t>
        </is>
      </c>
      <c r="M363" s="4" t="n">
        <v>0</v>
      </c>
      <c r="N363" t="inlineStr">
        <is>
          <t>Solio</t>
        </is>
      </c>
      <c r="O363" s="5" t="n">
        <v>90</v>
      </c>
      <c r="P363" t="b">
        <v>1</v>
      </c>
      <c r="Q363" s="5">
        <f>IF(N(O363)&lt;=0,0,MIN(Assumptions!$B$15,N(M363)/N(O363)))</f>
        <v/>
      </c>
      <c r="R363" s="4" t="n">
        <v>0.342</v>
      </c>
      <c r="S363" s="3" t="n">
        <v>0</v>
      </c>
      <c r="T363" t="inlineStr">
        <is>
          <t>blended xG</t>
        </is>
      </c>
      <c r="U363" s="3" t="n">
        <v>1</v>
      </c>
      <c r="V363" s="3" t="n">
        <v>1</v>
      </c>
      <c r="W363" s="3" t="n">
        <v>0</v>
      </c>
      <c r="X363" s="3" t="n">
        <v>0</v>
      </c>
      <c r="Y363" s="3" t="n">
        <v>0</v>
      </c>
      <c r="Z363" s="3" t="n">
        <v>0</v>
      </c>
      <c r="AA363" s="3" t="n">
        <v>0</v>
      </c>
      <c r="AB363" s="3" t="n">
        <v>5</v>
      </c>
      <c r="AC363" s="3" t="n">
        <v>2.409</v>
      </c>
      <c r="AD363" s="3" t="n">
        <v>1.1228</v>
      </c>
      <c r="AE363" s="3" t="n">
        <v>-0.0669072954895517</v>
      </c>
      <c r="AF363" s="4" t="n">
        <v>0</v>
      </c>
      <c r="AG363" s="3" t="n">
        <v>0</v>
      </c>
      <c r="AH363" s="3" t="n">
        <v>0</v>
      </c>
      <c r="AI363" s="3" t="n">
        <v>0</v>
      </c>
      <c r="AJ363" s="3">
        <f>N(R363)*N(BC363)</f>
        <v/>
      </c>
      <c r="AK363" s="3" t="n">
        <v>0</v>
      </c>
      <c r="AL363" s="3" t="n">
        <v>0.4697511244203511</v>
      </c>
      <c r="AM363" s="3" t="n">
        <v>-0.3378660007281162</v>
      </c>
      <c r="AN363" s="3" t="n">
        <v>-0.0669072954895517</v>
      </c>
      <c r="AO363" s="3">
        <f>SUM(AH363:AN363)</f>
        <v/>
      </c>
      <c r="AP363" s="5">
        <f>IF(OR(N(Q363)&lt;=0,N(BA363)=0),0,N(Q363)*IF(N(M363)/N(Q363)&gt;=60,N(BA363),1))</f>
        <v/>
      </c>
      <c r="AQ363" s="5">
        <f>N(Q363)*N(Z363)*N(BB363)</f>
        <v/>
      </c>
      <c r="AR363" s="5">
        <f>N(AF363)*(Assumptions!$B$13*N(BD363)-(1-Assumptions!$B$13)*Assumptions!$B$14)+N(AG363)</f>
        <v/>
      </c>
      <c r="AS363" s="5">
        <f>N(AO363)*N(M363)/90+N(AP363)+N(AQ363)+N(AR363)</f>
        <v/>
      </c>
      <c r="AT363" s="3">
        <f>IF(N(M363)&lt;=0,0,(N(AS363)-N(AR363))*90/N(M363))</f>
        <v/>
      </c>
      <c r="AU363" s="5">
        <f>IFERROR(AS363-VLOOKUP($C363,Assumptions!$A$36:$C$39,3,FALSE),"")</f>
        <v/>
      </c>
      <c r="AV363" s="3">
        <f>IFERROR(AU363/F363,"")</f>
        <v/>
      </c>
      <c r="AW363">
        <f>IF(AND($E363=TRUE,$C363="GKP"),AS363,"")</f>
        <v/>
      </c>
      <c r="AX363">
        <f>IF(AND($E363=TRUE,$C363="DEF"),AS363,"")</f>
        <v/>
      </c>
      <c r="AY363">
        <f>IF(AND($E363=TRUE,$C363="MID"),AS363,"")</f>
        <v/>
      </c>
      <c r="AZ363">
        <f>IF(AND($E363=TRUE,$C363="FWD"),AS363,"")</f>
        <v/>
      </c>
      <c r="BA363" t="n">
        <v>2</v>
      </c>
      <c r="BB363" t="n">
        <v>0</v>
      </c>
      <c r="BC363" t="n">
        <v>4</v>
      </c>
      <c r="BD363" t="n">
        <v>10</v>
      </c>
    </row>
    <row r="364">
      <c r="A364" t="inlineStr">
        <is>
          <t>Trey Nyoni</t>
        </is>
      </c>
      <c r="B364" t="inlineStr">
        <is>
          <t>LIV</t>
        </is>
      </c>
      <c r="C364" t="inlineStr">
        <is>
          <t>MID</t>
        </is>
      </c>
      <c r="D364" t="inlineStr">
        <is>
          <t>MID</t>
        </is>
      </c>
      <c r="E364" t="b">
        <v>1</v>
      </c>
      <c r="F364" s="2" t="n">
        <v>5</v>
      </c>
      <c r="G364" t="inlineStr">
        <is>
          <t>a</t>
        </is>
      </c>
      <c r="I364" s="2" t="n">
        <v>21</v>
      </c>
      <c r="J364" t="n">
        <v>6</v>
      </c>
      <c r="K364" s="3" t="n">
        <v>24</v>
      </c>
      <c r="L364" t="inlineStr">
        <is>
          <t>flat</t>
        </is>
      </c>
      <c r="M364" s="4" t="n">
        <v>24</v>
      </c>
      <c r="N364" t="inlineStr">
        <is>
          <t>Solio</t>
        </is>
      </c>
      <c r="O364" s="5" t="n">
        <v>85</v>
      </c>
      <c r="P364" t="b">
        <v>1</v>
      </c>
      <c r="Q364" s="5">
        <f>IF(N(O364)&lt;=0,0,MIN(Assumptions!$B$15,N(M364)/N(O364)))</f>
        <v/>
      </c>
      <c r="R364" s="4" t="n">
        <v>0.342</v>
      </c>
      <c r="S364" s="3" t="n">
        <v>1.5171</v>
      </c>
      <c r="T364" t="inlineStr">
        <is>
          <t>adjusted xGOT</t>
        </is>
      </c>
      <c r="U364" s="3" t="n">
        <v>1</v>
      </c>
      <c r="V364" s="3" t="n">
        <v>0.956</v>
      </c>
      <c r="W364" s="3" t="n">
        <v>0.4</v>
      </c>
      <c r="X364" s="3" t="n">
        <v>0.0857</v>
      </c>
      <c r="Y364" s="3" t="n">
        <v>8.941000000000001</v>
      </c>
      <c r="Z364" s="3" t="n">
        <v>0.1466239536192032</v>
      </c>
      <c r="AA364" s="3" t="n">
        <v>0</v>
      </c>
      <c r="AB364" s="3" t="n">
        <v>6</v>
      </c>
      <c r="AC364" s="3" t="n">
        <v>2.409</v>
      </c>
      <c r="AD364" s="3" t="n">
        <v>1.1228</v>
      </c>
      <c r="AE364" s="3" t="n">
        <v>-0.213177172507708</v>
      </c>
      <c r="AF364" s="4" t="n">
        <v>0</v>
      </c>
      <c r="AG364" s="3" t="n">
        <v>0</v>
      </c>
      <c r="AH364" s="3" t="n">
        <v>7.5855</v>
      </c>
      <c r="AI364" s="3" t="n">
        <v>0.339372</v>
      </c>
      <c r="AJ364" s="3">
        <f>N(R364)*N(BC364)</f>
        <v/>
      </c>
      <c r="AK364" s="3" t="n">
        <v>0</v>
      </c>
      <c r="AL364" s="3" t="n">
        <v>0</v>
      </c>
      <c r="AM364" s="3" t="n">
        <v>-0</v>
      </c>
      <c r="AN364" s="3" t="n">
        <v>-0.213177172507708</v>
      </c>
      <c r="AO364" s="3">
        <f>SUM(AH364:AN364)</f>
        <v/>
      </c>
      <c r="AP364" s="5">
        <f>IF(OR(N(Q364)&lt;=0,N(BA364)=0),0,N(Q364)*IF(N(M364)/N(Q364)&gt;=60,N(BA364),1))</f>
        <v/>
      </c>
      <c r="AQ364" s="5">
        <f>N(Q364)*N(Z364)*N(BB364)</f>
        <v/>
      </c>
      <c r="AR364" s="5">
        <f>N(AF364)*(Assumptions!$B$13*N(BD364)-(1-Assumptions!$B$13)*Assumptions!$B$14)+N(AG364)</f>
        <v/>
      </c>
      <c r="AS364" s="5">
        <f>N(AO364)*N(M364)/90+N(AP364)+N(AQ364)+N(AR364)</f>
        <v/>
      </c>
      <c r="AT364" s="3">
        <f>IF(N(M364)&lt;=0,0,(N(AS364)-N(AR364))*90/N(M364))</f>
        <v/>
      </c>
      <c r="AU364" s="5">
        <f>IFERROR(AS364-VLOOKUP($C364,Assumptions!$A$36:$C$39,3,FALSE),"")</f>
        <v/>
      </c>
      <c r="AV364" s="3">
        <f>IFERROR(AU364/F364,"")</f>
        <v/>
      </c>
      <c r="AW364">
        <f>IF(AND($E364=TRUE,$C364="GKP"),AS364,"")</f>
        <v/>
      </c>
      <c r="AX364">
        <f>IF(AND($E364=TRUE,$C364="DEF"),AS364,"")</f>
        <v/>
      </c>
      <c r="AY364">
        <f>IF(AND($E364=TRUE,$C364="MID"),AS364,"")</f>
        <v/>
      </c>
      <c r="AZ364">
        <f>IF(AND($E364=TRUE,$C364="FWD"),AS364,"")</f>
        <v/>
      </c>
      <c r="BA364" t="n">
        <v>2</v>
      </c>
      <c r="BB364" t="n">
        <v>2</v>
      </c>
      <c r="BC364" t="n">
        <v>1</v>
      </c>
      <c r="BD364" t="n">
        <v>5</v>
      </c>
    </row>
    <row r="365">
      <c r="A365" t="inlineStr">
        <is>
          <t>Borna Sosa</t>
        </is>
      </c>
      <c r="B365" t="inlineStr">
        <is>
          <t>CRY</t>
        </is>
      </c>
      <c r="C365" t="inlineStr">
        <is>
          <t>DEF</t>
        </is>
      </c>
      <c r="D365" t="inlineStr">
        <is>
          <t>DEF</t>
        </is>
      </c>
      <c r="E365" t="b">
        <v>1</v>
      </c>
      <c r="F365" s="2" t="n">
        <v>4.5</v>
      </c>
      <c r="G365" t="inlineStr">
        <is>
          <t>a</t>
        </is>
      </c>
      <c r="I365" s="2" t="n">
        <v>99</v>
      </c>
      <c r="J365" t="n">
        <v>6</v>
      </c>
      <c r="K365" s="3" t="n">
        <v>19</v>
      </c>
      <c r="L365" t="inlineStr">
        <is>
          <t>flat</t>
        </is>
      </c>
      <c r="M365" s="4" t="n">
        <v>19</v>
      </c>
      <c r="N365" t="inlineStr">
        <is>
          <t>Solio</t>
        </is>
      </c>
      <c r="O365" s="5" t="n">
        <v>85</v>
      </c>
      <c r="P365" t="b">
        <v>1</v>
      </c>
      <c r="Q365" s="5">
        <f>IF(N(O365)&lt;=0,0,MIN(Assumptions!$B$15,N(M365)/N(O365)))</f>
        <v/>
      </c>
      <c r="R365" s="4" t="n">
        <v>0.216</v>
      </c>
      <c r="S365" s="3" t="n">
        <v>0.0364</v>
      </c>
      <c r="T365" t="inlineStr">
        <is>
          <t>adjusted xGOT</t>
        </is>
      </c>
      <c r="U365" s="3" t="n">
        <v>1</v>
      </c>
      <c r="V365" s="3" t="n">
        <v>0.995</v>
      </c>
      <c r="W365" s="3" t="n">
        <v>0</v>
      </c>
      <c r="X365" s="3" t="n">
        <v>0.0665</v>
      </c>
      <c r="Y365" s="3" t="n">
        <v>7.745</v>
      </c>
      <c r="Z365" s="3" t="n">
        <v>0.2027962469449549</v>
      </c>
      <c r="AA365" s="3" t="n">
        <v>0</v>
      </c>
      <c r="AB365" s="3" t="n">
        <v>7</v>
      </c>
      <c r="AC365" s="3" t="n">
        <v>3.2035</v>
      </c>
      <c r="AD365" s="3" t="n">
        <v>1.5923</v>
      </c>
      <c r="AE365" s="3" t="n">
        <v>-0.2512094286033083</v>
      </c>
      <c r="AF365" s="4" t="n">
        <v>0</v>
      </c>
      <c r="AG365" s="3" t="n">
        <v>0</v>
      </c>
      <c r="AH365" s="3" t="n">
        <v>0.2184</v>
      </c>
      <c r="AI365" s="3" t="n">
        <v>0.26334</v>
      </c>
      <c r="AJ365" s="3">
        <f>N(R365)*N(BC365)</f>
        <v/>
      </c>
      <c r="AK365" s="3" t="n">
        <v>0</v>
      </c>
      <c r="AL365" s="3" t="n">
        <v>0</v>
      </c>
      <c r="AM365" s="3" t="n">
        <v>-0.5564987001023466</v>
      </c>
      <c r="AN365" s="3" t="n">
        <v>-0.2512094286033083</v>
      </c>
      <c r="AO365" s="3">
        <f>SUM(AH365:AN365)</f>
        <v/>
      </c>
      <c r="AP365" s="5">
        <f>IF(OR(N(Q365)&lt;=0,N(BA365)=0),0,N(Q365)*IF(N(M365)/N(Q365)&gt;=60,N(BA365),1))</f>
        <v/>
      </c>
      <c r="AQ365" s="5">
        <f>N(Q365)*N(Z365)*N(BB365)</f>
        <v/>
      </c>
      <c r="AR365" s="5">
        <f>N(AF365)*(Assumptions!$B$13*N(BD365)-(1-Assumptions!$B$13)*Assumptions!$B$14)+N(AG365)</f>
        <v/>
      </c>
      <c r="AS365" s="5">
        <f>N(AO365)*N(M365)/90+N(AP365)+N(AQ365)+N(AR365)</f>
        <v/>
      </c>
      <c r="AT365" s="3">
        <f>IF(N(M365)&lt;=0,0,(N(AS365)-N(AR365))*90/N(M365))</f>
        <v/>
      </c>
      <c r="AU365" s="5">
        <f>IFERROR(AS365-VLOOKUP($C365,Assumptions!$A$36:$C$39,3,FALSE),"")</f>
        <v/>
      </c>
      <c r="AV365" s="3">
        <f>IFERROR(AU365/F365,"")</f>
        <v/>
      </c>
      <c r="AW365">
        <f>IF(AND($E365=TRUE,$C365="GKP"),AS365,"")</f>
        <v/>
      </c>
      <c r="AX365">
        <f>IF(AND($E365=TRUE,$C365="DEF"),AS365,"")</f>
        <v/>
      </c>
      <c r="AY365">
        <f>IF(AND($E365=TRUE,$C365="MID"),AS365,"")</f>
        <v/>
      </c>
      <c r="AZ365">
        <f>IF(AND($E365=TRUE,$C365="FWD"),AS365,"")</f>
        <v/>
      </c>
      <c r="BA365" t="n">
        <v>2</v>
      </c>
      <c r="BB365" t="n">
        <v>2</v>
      </c>
      <c r="BC365" t="n">
        <v>4</v>
      </c>
      <c r="BD365" t="n">
        <v>6</v>
      </c>
    </row>
    <row r="366">
      <c r="A366" t="inlineStr">
        <is>
          <t>Jonah Kusi-Asare</t>
        </is>
      </c>
      <c r="B366" t="inlineStr">
        <is>
          <t>FUL</t>
        </is>
      </c>
      <c r="C366" t="inlineStr">
        <is>
          <t>FWD</t>
        </is>
      </c>
      <c r="D366" t="inlineStr">
        <is>
          <t>FWD</t>
        </is>
      </c>
      <c r="E366" t="b">
        <v>1</v>
      </c>
      <c r="F366" s="2" t="n">
        <v>4.5</v>
      </c>
      <c r="G366" t="inlineStr">
        <is>
          <t>a</t>
        </is>
      </c>
      <c r="I366" s="2" t="n">
        <v>49</v>
      </c>
      <c r="J366" t="n">
        <v>6</v>
      </c>
      <c r="K366" s="3" t="n">
        <v>42</v>
      </c>
      <c r="L366" t="inlineStr">
        <is>
          <t>flat</t>
        </is>
      </c>
      <c r="M366" s="4" t="n">
        <v>42</v>
      </c>
      <c r="N366" t="inlineStr">
        <is>
          <t>Solio</t>
        </is>
      </c>
      <c r="O366" s="5" t="n">
        <v>85</v>
      </c>
      <c r="P366" t="b">
        <v>1</v>
      </c>
      <c r="Q366" s="5">
        <f>IF(N(O366)&lt;=0,0,MIN(Assumptions!$B$15,N(M366)/N(O366)))</f>
        <v/>
      </c>
      <c r="R366" s="4" t="n">
        <v>0.214</v>
      </c>
      <c r="S366" s="3" t="n">
        <v>0</v>
      </c>
      <c r="T366" t="inlineStr">
        <is>
          <t>blended xG</t>
        </is>
      </c>
      <c r="U366" s="3" t="n">
        <v>1</v>
      </c>
      <c r="V366" s="3" t="n">
        <v>1</v>
      </c>
      <c r="W366" s="3" t="n">
        <v>0</v>
      </c>
      <c r="X366" s="3" t="n">
        <v>0.1396</v>
      </c>
      <c r="Y366" s="3" t="n">
        <v>5.073</v>
      </c>
      <c r="Z366" s="3" t="n">
        <v>0.003935231002646034</v>
      </c>
      <c r="AA366" s="3" t="n">
        <v>0</v>
      </c>
      <c r="AB366" s="3" t="n">
        <v>7</v>
      </c>
      <c r="AC366" s="3" t="n">
        <v>3.22</v>
      </c>
      <c r="AD366" s="3" t="n">
        <v>1.6019</v>
      </c>
      <c r="AE366" s="3" t="n">
        <v>-0.2297683987519763</v>
      </c>
      <c r="AF366" s="4" t="n">
        <v>0</v>
      </c>
      <c r="AG366" s="3" t="n">
        <v>0</v>
      </c>
      <c r="AH366" s="3" t="n">
        <v>0</v>
      </c>
      <c r="AI366" s="3" t="n">
        <v>0.5528160000000001</v>
      </c>
      <c r="AJ366" s="3">
        <f>N(R366)*N(BC366)</f>
        <v/>
      </c>
      <c r="AK366" s="3" t="n">
        <v>0</v>
      </c>
      <c r="AL366" s="3" t="n">
        <v>0</v>
      </c>
      <c r="AM366" s="3" t="n">
        <v>-0</v>
      </c>
      <c r="AN366" s="3" t="n">
        <v>-0.2297683987519763</v>
      </c>
      <c r="AO366" s="3">
        <f>SUM(AH366:AN366)</f>
        <v/>
      </c>
      <c r="AP366" s="5">
        <f>IF(OR(N(Q366)&lt;=0,N(BA366)=0),0,N(Q366)*IF(N(M366)/N(Q366)&gt;=60,N(BA366),1))</f>
        <v/>
      </c>
      <c r="AQ366" s="5">
        <f>N(Q366)*N(Z366)*N(BB366)</f>
        <v/>
      </c>
      <c r="AR366" s="5">
        <f>N(AF366)*(Assumptions!$B$13*N(BD366)-(1-Assumptions!$B$13)*Assumptions!$B$14)+N(AG366)</f>
        <v/>
      </c>
      <c r="AS366" s="5">
        <f>N(AO366)*N(M366)/90+N(AP366)+N(AQ366)+N(AR366)</f>
        <v/>
      </c>
      <c r="AT366" s="3">
        <f>IF(N(M366)&lt;=0,0,(N(AS366)-N(AR366))*90/N(M366))</f>
        <v/>
      </c>
      <c r="AU366" s="5">
        <f>IFERROR(AS366-VLOOKUP($C366,Assumptions!$A$36:$C$39,3,FALSE),"")</f>
        <v/>
      </c>
      <c r="AV366" s="3">
        <f>IFERROR(AU366/F366,"")</f>
        <v/>
      </c>
      <c r="AW366">
        <f>IF(AND($E366=TRUE,$C366="GKP"),AS366,"")</f>
        <v/>
      </c>
      <c r="AX366">
        <f>IF(AND($E366=TRUE,$C366="DEF"),AS366,"")</f>
        <v/>
      </c>
      <c r="AY366">
        <f>IF(AND($E366=TRUE,$C366="MID"),AS366,"")</f>
        <v/>
      </c>
      <c r="AZ366">
        <f>IF(AND($E366=TRUE,$C366="FWD"),AS366,"")</f>
        <v/>
      </c>
      <c r="BA366" t="n">
        <v>2</v>
      </c>
      <c r="BB366" t="n">
        <v>2</v>
      </c>
      <c r="BC366" t="n">
        <v>0</v>
      </c>
      <c r="BD366" t="n">
        <v>4</v>
      </c>
    </row>
    <row r="367">
      <c r="A367" t="inlineStr">
        <is>
          <t>Andrés García</t>
        </is>
      </c>
      <c r="B367" t="inlineStr">
        <is>
          <t>AVL</t>
        </is>
      </c>
      <c r="C367" t="inlineStr">
        <is>
          <t>DEF</t>
        </is>
      </c>
      <c r="D367" t="inlineStr">
        <is>
          <t>DEF</t>
        </is>
      </c>
      <c r="E367" t="b">
        <v>1</v>
      </c>
      <c r="F367" s="2" t="n">
        <v>4</v>
      </c>
      <c r="G367" t="inlineStr">
        <is>
          <t>a</t>
        </is>
      </c>
      <c r="I367" s="2" t="n">
        <v>83</v>
      </c>
      <c r="J367" t="n">
        <v>5</v>
      </c>
      <c r="K367" s="3" t="n">
        <v>0</v>
      </c>
      <c r="L367" t="inlineStr">
        <is>
          <t>flat</t>
        </is>
      </c>
      <c r="M367" s="4" t="n">
        <v>0</v>
      </c>
      <c r="N367" t="inlineStr">
        <is>
          <t>Solio</t>
        </is>
      </c>
      <c r="O367" s="5" t="n">
        <v>45</v>
      </c>
      <c r="P367" t="b">
        <v>1</v>
      </c>
      <c r="Q367" s="5">
        <f>IF(N(O367)&lt;=0,0,MIN(Assumptions!$B$15,N(M367)/N(O367)))</f>
        <v/>
      </c>
      <c r="R367" s="4" t="n">
        <v>0.273</v>
      </c>
      <c r="S367" s="3" t="n">
        <v>0</v>
      </c>
      <c r="T367" t="inlineStr">
        <is>
          <t>adjusted xGOT</t>
        </is>
      </c>
      <c r="U367" s="3" t="n">
        <v>1</v>
      </c>
      <c r="V367" s="3" t="n">
        <v>0.995</v>
      </c>
      <c r="W367" s="3" t="n">
        <v>0</v>
      </c>
      <c r="X367" s="3" t="n">
        <v>0.0054</v>
      </c>
      <c r="Y367" s="3" t="n">
        <v>8.010999999999999</v>
      </c>
      <c r="Z367" s="3" t="n">
        <v>0.008205264870405182</v>
      </c>
      <c r="AA367" s="3" t="n">
        <v>0</v>
      </c>
      <c r="AB367" s="3" t="n">
        <v>6</v>
      </c>
      <c r="AC367" s="3" t="n">
        <v>2.7451</v>
      </c>
      <c r="AD367" s="3" t="n">
        <v>1.3575</v>
      </c>
      <c r="AE367" s="3" t="n">
        <v>-0.1753424416146007</v>
      </c>
      <c r="AF367" s="4" t="n">
        <v>0</v>
      </c>
      <c r="AG367" s="3" t="n">
        <v>0</v>
      </c>
      <c r="AH367" s="3" t="n">
        <v>0</v>
      </c>
      <c r="AI367" s="3" t="n">
        <v>0.021384</v>
      </c>
      <c r="AJ367" s="3">
        <f>N(R367)*N(BC367)</f>
        <v/>
      </c>
      <c r="AK367" s="3" t="n">
        <v>0</v>
      </c>
      <c r="AL367" s="3" t="n">
        <v>0</v>
      </c>
      <c r="AM367" s="3" t="n">
        <v>-0.4453012382517575</v>
      </c>
      <c r="AN367" s="3" t="n">
        <v>-0.1753424416146007</v>
      </c>
      <c r="AO367" s="3">
        <f>SUM(AH367:AN367)</f>
        <v/>
      </c>
      <c r="AP367" s="5">
        <f>IF(OR(N(Q367)&lt;=0,N(BA367)=0),0,N(Q367)*IF(N(M367)/N(Q367)&gt;=60,N(BA367),1))</f>
        <v/>
      </c>
      <c r="AQ367" s="5">
        <f>N(Q367)*N(Z367)*N(BB367)</f>
        <v/>
      </c>
      <c r="AR367" s="5">
        <f>N(AF367)*(Assumptions!$B$13*N(BD367)-(1-Assumptions!$B$13)*Assumptions!$B$14)+N(AG367)</f>
        <v/>
      </c>
      <c r="AS367" s="5">
        <f>N(AO367)*N(M367)/90+N(AP367)+N(AQ367)+N(AR367)</f>
        <v/>
      </c>
      <c r="AT367" s="3">
        <f>IF(N(M367)&lt;=0,0,(N(AS367)-N(AR367))*90/N(M367))</f>
        <v/>
      </c>
      <c r="AU367" s="5">
        <f>IFERROR(AS367-VLOOKUP($C367,Assumptions!$A$36:$C$39,3,FALSE),"")</f>
        <v/>
      </c>
      <c r="AV367" s="3">
        <f>IFERROR(AU367/F367,"")</f>
        <v/>
      </c>
      <c r="AW367">
        <f>IF(AND($E367=TRUE,$C367="GKP"),AS367,"")</f>
        <v/>
      </c>
      <c r="AX367">
        <f>IF(AND($E367=TRUE,$C367="DEF"),AS367,"")</f>
        <v/>
      </c>
      <c r="AY367">
        <f>IF(AND($E367=TRUE,$C367="MID"),AS367,"")</f>
        <v/>
      </c>
      <c r="AZ367">
        <f>IF(AND($E367=TRUE,$C367="FWD"),AS367,"")</f>
        <v/>
      </c>
      <c r="BA367" t="n">
        <v>2</v>
      </c>
      <c r="BB367" t="n">
        <v>2</v>
      </c>
      <c r="BC367" t="n">
        <v>4</v>
      </c>
      <c r="BD367" t="n">
        <v>6</v>
      </c>
    </row>
    <row r="368">
      <c r="A368" t="inlineStr">
        <is>
          <t>Max Alleyne</t>
        </is>
      </c>
      <c r="B368" t="inlineStr">
        <is>
          <t>MCI</t>
        </is>
      </c>
      <c r="C368" t="inlineStr">
        <is>
          <t>DEF</t>
        </is>
      </c>
      <c r="D368" t="inlineStr">
        <is>
          <t>DEF</t>
        </is>
      </c>
      <c r="E368" t="b">
        <v>1</v>
      </c>
      <c r="F368" s="2" t="n">
        <v>5</v>
      </c>
      <c r="G368" t="inlineStr">
        <is>
          <t>a</t>
        </is>
      </c>
      <c r="I368" s="2" t="n">
        <v>135</v>
      </c>
      <c r="J368" t="n">
        <v>5</v>
      </c>
      <c r="K368" s="3" t="n">
        <v>0</v>
      </c>
      <c r="L368" t="inlineStr">
        <is>
          <t>flat</t>
        </is>
      </c>
      <c r="M368" s="4" t="n">
        <v>0</v>
      </c>
      <c r="N368" t="inlineStr">
        <is>
          <t>Solio</t>
        </is>
      </c>
      <c r="O368" s="5" t="n">
        <v>67.5</v>
      </c>
      <c r="P368" t="b">
        <v>1</v>
      </c>
      <c r="Q368" s="5">
        <f>IF(N(O368)&lt;=0,0,MIN(Assumptions!$B$15,N(M368)/N(O368)))</f>
        <v/>
      </c>
      <c r="R368" s="4" t="n">
        <v>0.371</v>
      </c>
      <c r="S368" s="3" t="n">
        <v>0.174</v>
      </c>
      <c r="T368" t="inlineStr">
        <is>
          <t>adjusted xGOT</t>
        </is>
      </c>
      <c r="U368" s="3" t="n">
        <v>1</v>
      </c>
      <c r="V368" s="3" t="n">
        <v>1.005</v>
      </c>
      <c r="W368" s="3" t="n">
        <v>0.3</v>
      </c>
      <c r="X368" s="3" t="n">
        <v>0.0307</v>
      </c>
      <c r="Y368" s="3" t="n">
        <v>7.629</v>
      </c>
      <c r="Z368" s="3" t="n">
        <v>0.06609926851389547</v>
      </c>
      <c r="AA368" s="3" t="n">
        <v>0</v>
      </c>
      <c r="AB368" s="3" t="n">
        <v>3</v>
      </c>
      <c r="AC368" s="3" t="n">
        <v>1.9737</v>
      </c>
      <c r="AD368" s="3" t="n">
        <v>1.0365</v>
      </c>
      <c r="AE368" s="3" t="n">
        <v>-0.1888091913528987</v>
      </c>
      <c r="AF368" s="4" t="n">
        <v>0</v>
      </c>
      <c r="AG368" s="3" t="n">
        <v>0</v>
      </c>
      <c r="AH368" s="3" t="n">
        <v>1.044</v>
      </c>
      <c r="AI368" s="3" t="n">
        <v>0.121572</v>
      </c>
      <c r="AJ368" s="3">
        <f>N(R368)*N(BC368)</f>
        <v/>
      </c>
      <c r="AK368" s="3" t="n">
        <v>0</v>
      </c>
      <c r="AL368" s="3" t="n">
        <v>0</v>
      </c>
      <c r="AM368" s="3" t="n">
        <v>-0.2997019479071323</v>
      </c>
      <c r="AN368" s="3" t="n">
        <v>-0.1888091913528987</v>
      </c>
      <c r="AO368" s="3">
        <f>SUM(AH368:AN368)</f>
        <v/>
      </c>
      <c r="AP368" s="5">
        <f>IF(OR(N(Q368)&lt;=0,N(BA368)=0),0,N(Q368)*IF(N(M368)/N(Q368)&gt;=60,N(BA368),1))</f>
        <v/>
      </c>
      <c r="AQ368" s="5">
        <f>N(Q368)*N(Z368)*N(BB368)</f>
        <v/>
      </c>
      <c r="AR368" s="5">
        <f>N(AF368)*(Assumptions!$B$13*N(BD368)-(1-Assumptions!$B$13)*Assumptions!$B$14)+N(AG368)</f>
        <v/>
      </c>
      <c r="AS368" s="5">
        <f>N(AO368)*N(M368)/90+N(AP368)+N(AQ368)+N(AR368)</f>
        <v/>
      </c>
      <c r="AT368" s="3">
        <f>IF(N(M368)&lt;=0,0,(N(AS368)-N(AR368))*90/N(M368))</f>
        <v/>
      </c>
      <c r="AU368" s="5">
        <f>IFERROR(AS368-VLOOKUP($C368,Assumptions!$A$36:$C$39,3,FALSE),"")</f>
        <v/>
      </c>
      <c r="AV368" s="3">
        <f>IFERROR(AU368/F368,"")</f>
        <v/>
      </c>
      <c r="AW368">
        <f>IF(AND($E368=TRUE,$C368="GKP"),AS368,"")</f>
        <v/>
      </c>
      <c r="AX368">
        <f>IF(AND($E368=TRUE,$C368="DEF"),AS368,"")</f>
        <v/>
      </c>
      <c r="AY368">
        <f>IF(AND($E368=TRUE,$C368="MID"),AS368,"")</f>
        <v/>
      </c>
      <c r="AZ368">
        <f>IF(AND($E368=TRUE,$C368="FWD"),AS368,"")</f>
        <v/>
      </c>
      <c r="BA368" t="n">
        <v>2</v>
      </c>
      <c r="BB368" t="n">
        <v>2</v>
      </c>
      <c r="BC368" t="n">
        <v>4</v>
      </c>
      <c r="BD368" t="n">
        <v>6</v>
      </c>
    </row>
    <row r="369">
      <c r="A369" t="inlineStr">
        <is>
          <t>Harvey Elliott</t>
        </is>
      </c>
      <c r="B369" t="inlineStr">
        <is>
          <t>LIV</t>
        </is>
      </c>
      <c r="C369" t="inlineStr">
        <is>
          <t>MID</t>
        </is>
      </c>
      <c r="D369" t="inlineStr">
        <is>
          <t>MID</t>
        </is>
      </c>
      <c r="E369" t="b">
        <v>1</v>
      </c>
      <c r="F369" s="2" t="n">
        <v>5.5</v>
      </c>
      <c r="G369" t="inlineStr">
        <is>
          <t>a</t>
        </is>
      </c>
      <c r="I369" s="2" t="n">
        <v>110</v>
      </c>
      <c r="J369" t="n">
        <v>5</v>
      </c>
      <c r="K369" s="3" t="n">
        <v>103</v>
      </c>
      <c r="L369" t="inlineStr">
        <is>
          <t>flat</t>
        </is>
      </c>
      <c r="M369" s="4" t="n">
        <v>103</v>
      </c>
      <c r="N369" t="inlineStr">
        <is>
          <t>Solio</t>
        </is>
      </c>
      <c r="O369" s="5" t="n">
        <v>45</v>
      </c>
      <c r="P369" t="b">
        <v>1</v>
      </c>
      <c r="Q369" s="5">
        <f>IF(N(O369)&lt;=0,0,MIN(Assumptions!$B$15,N(M369)/N(O369)))</f>
        <v/>
      </c>
      <c r="R369" s="4" t="n">
        <v>0.342</v>
      </c>
      <c r="S369" s="3" t="n">
        <v>0.2324</v>
      </c>
      <c r="T369" t="inlineStr">
        <is>
          <t>adjusted xGOT</t>
        </is>
      </c>
      <c r="U369" s="3" t="n">
        <v>1</v>
      </c>
      <c r="V369" s="3" t="n">
        <v>0.979</v>
      </c>
      <c r="W369" s="3" t="n">
        <v>6.9</v>
      </c>
      <c r="X369" s="3" t="n">
        <v>0.0711</v>
      </c>
      <c r="Y369" s="3" t="n">
        <v>8.090999999999999</v>
      </c>
      <c r="Z369" s="3" t="n">
        <v>0.001006354297072298</v>
      </c>
      <c r="AA369" s="3" t="n">
        <v>0</v>
      </c>
      <c r="AB369" s="3" t="n">
        <v>5</v>
      </c>
      <c r="AC369" s="3" t="n">
        <v>2.409</v>
      </c>
      <c r="AD369" s="3" t="n">
        <v>1.1228</v>
      </c>
      <c r="AE369" s="3" t="n">
        <v>-0.1964678019663589</v>
      </c>
      <c r="AF369" s="4" t="n">
        <v>0</v>
      </c>
      <c r="AG369" s="3" t="n">
        <v>0</v>
      </c>
      <c r="AH369" s="3" t="n">
        <v>1.162</v>
      </c>
      <c r="AI369" s="3" t="n">
        <v>0.281556</v>
      </c>
      <c r="AJ369" s="3">
        <f>N(R369)*N(BC369)</f>
        <v/>
      </c>
      <c r="AK369" s="3" t="n">
        <v>0</v>
      </c>
      <c r="AL369" s="3" t="n">
        <v>0</v>
      </c>
      <c r="AM369" s="3" t="n">
        <v>-0</v>
      </c>
      <c r="AN369" s="3" t="n">
        <v>-0.1964678019663589</v>
      </c>
      <c r="AO369" s="3">
        <f>SUM(AH369:AN369)</f>
        <v/>
      </c>
      <c r="AP369" s="5">
        <f>IF(OR(N(Q369)&lt;=0,N(BA369)=0),0,N(Q369)*IF(N(M369)/N(Q369)&gt;=60,N(BA369),1))</f>
        <v/>
      </c>
      <c r="AQ369" s="5">
        <f>N(Q369)*N(Z369)*N(BB369)</f>
        <v/>
      </c>
      <c r="AR369" s="5">
        <f>N(AF369)*(Assumptions!$B$13*N(BD369)-(1-Assumptions!$B$13)*Assumptions!$B$14)+N(AG369)</f>
        <v/>
      </c>
      <c r="AS369" s="5">
        <f>N(AO369)*N(M369)/90+N(AP369)+N(AQ369)+N(AR369)</f>
        <v/>
      </c>
      <c r="AT369" s="3">
        <f>IF(N(M369)&lt;=0,0,(N(AS369)-N(AR369))*90/N(M369))</f>
        <v/>
      </c>
      <c r="AU369" s="5">
        <f>IFERROR(AS369-VLOOKUP($C369,Assumptions!$A$36:$C$39,3,FALSE),"")</f>
        <v/>
      </c>
      <c r="AV369" s="3">
        <f>IFERROR(AU369/F369,"")</f>
        <v/>
      </c>
      <c r="AW369">
        <f>IF(AND($E369=TRUE,$C369="GKP"),AS369,"")</f>
        <v/>
      </c>
      <c r="AX369">
        <f>IF(AND($E369=TRUE,$C369="DEF"),AS369,"")</f>
        <v/>
      </c>
      <c r="AY369">
        <f>IF(AND($E369=TRUE,$C369="MID"),AS369,"")</f>
        <v/>
      </c>
      <c r="AZ369">
        <f>IF(AND($E369=TRUE,$C369="FWD"),AS369,"")</f>
        <v/>
      </c>
      <c r="BA369" t="n">
        <v>2</v>
      </c>
      <c r="BB369" t="n">
        <v>2</v>
      </c>
      <c r="BC369" t="n">
        <v>1</v>
      </c>
      <c r="BD369" t="n">
        <v>5</v>
      </c>
    </row>
    <row r="370">
      <c r="A370" t="inlineStr">
        <is>
          <t>Tom Watson</t>
        </is>
      </c>
      <c r="B370" t="inlineStr">
        <is>
          <t>BHA</t>
        </is>
      </c>
      <c r="C370" t="inlineStr">
        <is>
          <t>MID</t>
        </is>
      </c>
      <c r="D370" t="inlineStr">
        <is>
          <t>MID</t>
        </is>
      </c>
      <c r="E370" t="b">
        <v>1</v>
      </c>
      <c r="F370" s="2" t="n">
        <v>5</v>
      </c>
      <c r="G370" t="inlineStr">
        <is>
          <t>u</t>
        </is>
      </c>
      <c r="H370" t="inlineStr">
        <is>
          <t>Has joined Leicester City on loan for the rest of the season</t>
        </is>
      </c>
      <c r="I370" s="2" t="n">
        <v>57</v>
      </c>
      <c r="J370" t="n">
        <v>5</v>
      </c>
      <c r="K370" s="3" t="n"/>
      <c r="M370" s="4" t="n">
        <v>57</v>
      </c>
      <c r="N370" t="inlineStr">
        <is>
          <t>25/26 actual</t>
        </is>
      </c>
      <c r="O370" s="5" t="n">
        <v>85</v>
      </c>
      <c r="P370" t="b">
        <v>1</v>
      </c>
      <c r="Q370" s="5">
        <f>IF(N(O370)&lt;=0,0,MIN(Assumptions!$B$15,N(M370)/N(O370)))</f>
        <v/>
      </c>
      <c r="R370" s="4" t="n">
        <v>0.252</v>
      </c>
      <c r="S370" s="3" t="n">
        <v>0.06469999999999999</v>
      </c>
      <c r="T370" t="inlineStr">
        <is>
          <t>adjusted xGOT</t>
        </is>
      </c>
      <c r="U370" s="3" t="n">
        <v>1</v>
      </c>
      <c r="V370" s="3" t="n">
        <v>1.02</v>
      </c>
      <c r="W370" s="3" t="n">
        <v>0</v>
      </c>
      <c r="X370" s="3" t="n">
        <v>0.0237</v>
      </c>
      <c r="Y370" s="3" t="n">
        <v>8.526999999999999</v>
      </c>
      <c r="Z370" s="3" t="n">
        <v>0.1158084968431892</v>
      </c>
      <c r="AA370" s="3" t="n">
        <v>0</v>
      </c>
      <c r="AB370" s="3" t="n">
        <v>6</v>
      </c>
      <c r="AC370" s="3" t="n">
        <v>2.8404</v>
      </c>
      <c r="AD370" s="3" t="n">
        <v>1.439</v>
      </c>
      <c r="AE370" s="3" t="n">
        <v>-0.2685709411675041</v>
      </c>
      <c r="AF370" s="4" t="n">
        <v>0</v>
      </c>
      <c r="AG370" s="3" t="n">
        <v>0</v>
      </c>
      <c r="AH370" s="3" t="n">
        <v>0.3235</v>
      </c>
      <c r="AI370" s="3" t="n">
        <v>0.093852</v>
      </c>
      <c r="AJ370" s="3">
        <f>N(R370)*N(BC370)</f>
        <v/>
      </c>
      <c r="AK370" s="3" t="n">
        <v>0</v>
      </c>
      <c r="AL370" s="3" t="n">
        <v>0</v>
      </c>
      <c r="AM370" s="3" t="n">
        <v>-0</v>
      </c>
      <c r="AN370" s="3" t="n">
        <v>-0.2685709411675041</v>
      </c>
      <c r="AO370" s="3">
        <f>SUM(AH370:AN370)</f>
        <v/>
      </c>
      <c r="AP370" s="5">
        <f>IF(OR(N(Q370)&lt;=0,N(BA370)=0),0,N(Q370)*IF(N(M370)/N(Q370)&gt;=60,N(BA370),1))</f>
        <v/>
      </c>
      <c r="AQ370" s="5">
        <f>N(Q370)*N(Z370)*N(BB370)</f>
        <v/>
      </c>
      <c r="AR370" s="5">
        <f>N(AF370)*(Assumptions!$B$13*N(BD370)-(1-Assumptions!$B$13)*Assumptions!$B$14)+N(AG370)</f>
        <v/>
      </c>
      <c r="AS370" s="5">
        <f>N(AO370)*N(M370)/90+N(AP370)+N(AQ370)+N(AR370)</f>
        <v/>
      </c>
      <c r="AT370" s="3">
        <f>IF(N(M370)&lt;=0,0,(N(AS370)-N(AR370))*90/N(M370))</f>
        <v/>
      </c>
      <c r="AU370" s="5">
        <f>IFERROR(AS370-VLOOKUP($C370,Assumptions!$A$36:$C$39,3,FALSE),"")</f>
        <v/>
      </c>
      <c r="AV370" s="3">
        <f>IFERROR(AU370/F370,"")</f>
        <v/>
      </c>
      <c r="AW370">
        <f>IF(AND($E370=TRUE,$C370="GKP"),AS370,"")</f>
        <v/>
      </c>
      <c r="AX370">
        <f>IF(AND($E370=TRUE,$C370="DEF"),AS370,"")</f>
        <v/>
      </c>
      <c r="AY370">
        <f>IF(AND($E370=TRUE,$C370="MID"),AS370,"")</f>
        <v/>
      </c>
      <c r="AZ370">
        <f>IF(AND($E370=TRUE,$C370="FWD"),AS370,"")</f>
        <v/>
      </c>
      <c r="BA370" t="n">
        <v>2</v>
      </c>
      <c r="BB370" t="n">
        <v>2</v>
      </c>
      <c r="BC370" t="n">
        <v>1</v>
      </c>
      <c r="BD370" t="n">
        <v>5</v>
      </c>
    </row>
    <row r="371">
      <c r="A371" t="inlineStr">
        <is>
          <t>Harry Howell</t>
        </is>
      </c>
      <c r="B371" t="inlineStr">
        <is>
          <t>BHA</t>
        </is>
      </c>
      <c r="C371" t="inlineStr">
        <is>
          <t>MID</t>
        </is>
      </c>
      <c r="D371" t="inlineStr">
        <is>
          <t>MID</t>
        </is>
      </c>
      <c r="E371" t="b">
        <v>1</v>
      </c>
      <c r="F371" s="2" t="n">
        <v>4.5</v>
      </c>
      <c r="G371" t="inlineStr">
        <is>
          <t>a</t>
        </is>
      </c>
      <c r="I371" s="2" t="n">
        <v>92</v>
      </c>
      <c r="J371" t="n">
        <v>4</v>
      </c>
      <c r="K371" s="3" t="n">
        <v>0</v>
      </c>
      <c r="L371" t="inlineStr">
        <is>
          <t>flat</t>
        </is>
      </c>
      <c r="M371" s="4" t="n">
        <v>0</v>
      </c>
      <c r="N371" t="inlineStr">
        <is>
          <t>Solio</t>
        </is>
      </c>
      <c r="O371" s="5" t="n">
        <v>70</v>
      </c>
      <c r="P371" t="b">
        <v>1</v>
      </c>
      <c r="Q371" s="5">
        <f>IF(N(O371)&lt;=0,0,MIN(Assumptions!$B$15,N(M371)/N(O371)))</f>
        <v/>
      </c>
      <c r="R371" s="4" t="n">
        <v>0.252</v>
      </c>
      <c r="S371" s="3" t="n">
        <v>0</v>
      </c>
      <c r="T371" t="inlineStr">
        <is>
          <t>blended xG</t>
        </is>
      </c>
      <c r="U371" s="3" t="n">
        <v>1</v>
      </c>
      <c r="V371" s="3" t="n">
        <v>1</v>
      </c>
      <c r="W371" s="3" t="n">
        <v>0</v>
      </c>
      <c r="X371" s="3" t="n">
        <v>0.0147</v>
      </c>
      <c r="Y371" s="3" t="n">
        <v>8.381</v>
      </c>
      <c r="Z371" s="3" t="n">
        <v>0.03449507177523803</v>
      </c>
      <c r="AA371" s="3" t="n">
        <v>0</v>
      </c>
      <c r="AB371" s="3" t="n">
        <v>4</v>
      </c>
      <c r="AC371" s="3" t="n">
        <v>2.8404</v>
      </c>
      <c r="AD371" s="3" t="n">
        <v>1.439</v>
      </c>
      <c r="AE371" s="3" t="n">
        <v>-0.2036290694789447</v>
      </c>
      <c r="AF371" s="4" t="n">
        <v>0</v>
      </c>
      <c r="AG371" s="3" t="n">
        <v>0</v>
      </c>
      <c r="AH371" s="3" t="n">
        <v>0</v>
      </c>
      <c r="AI371" s="3" t="n">
        <v>0.058212</v>
      </c>
      <c r="AJ371" s="3">
        <f>N(R371)*N(BC371)</f>
        <v/>
      </c>
      <c r="AK371" s="3" t="n">
        <v>0</v>
      </c>
      <c r="AL371" s="3" t="n">
        <v>0</v>
      </c>
      <c r="AM371" s="3" t="n">
        <v>-0</v>
      </c>
      <c r="AN371" s="3" t="n">
        <v>-0.2036290694789447</v>
      </c>
      <c r="AO371" s="3">
        <f>SUM(AH371:AN371)</f>
        <v/>
      </c>
      <c r="AP371" s="5">
        <f>IF(OR(N(Q371)&lt;=0,N(BA371)=0),0,N(Q371)*IF(N(M371)/N(Q371)&gt;=60,N(BA371),1))</f>
        <v/>
      </c>
      <c r="AQ371" s="5">
        <f>N(Q371)*N(Z371)*N(BB371)</f>
        <v/>
      </c>
      <c r="AR371" s="5">
        <f>N(AF371)*(Assumptions!$B$13*N(BD371)-(1-Assumptions!$B$13)*Assumptions!$B$14)+N(AG371)</f>
        <v/>
      </c>
      <c r="AS371" s="5">
        <f>N(AO371)*N(M371)/90+N(AP371)+N(AQ371)+N(AR371)</f>
        <v/>
      </c>
      <c r="AT371" s="3">
        <f>IF(N(M371)&lt;=0,0,(N(AS371)-N(AR371))*90/N(M371))</f>
        <v/>
      </c>
      <c r="AU371" s="5">
        <f>IFERROR(AS371-VLOOKUP($C371,Assumptions!$A$36:$C$39,3,FALSE),"")</f>
        <v/>
      </c>
      <c r="AV371" s="3">
        <f>IFERROR(AU371/F371,"")</f>
        <v/>
      </c>
      <c r="AW371">
        <f>IF(AND($E371=TRUE,$C371="GKP"),AS371,"")</f>
        <v/>
      </c>
      <c r="AX371">
        <f>IF(AND($E371=TRUE,$C371="DEF"),AS371,"")</f>
        <v/>
      </c>
      <c r="AY371">
        <f>IF(AND($E371=TRUE,$C371="MID"),AS371,"")</f>
        <v/>
      </c>
      <c r="AZ371">
        <f>IF(AND($E371=TRUE,$C371="FWD"),AS371,"")</f>
        <v/>
      </c>
      <c r="BA371" t="n">
        <v>2</v>
      </c>
      <c r="BB371" t="n">
        <v>2</v>
      </c>
      <c r="BC371" t="n">
        <v>1</v>
      </c>
      <c r="BD371" t="n">
        <v>5</v>
      </c>
    </row>
    <row r="372">
      <c r="A372" t="inlineStr">
        <is>
          <t>Romain Esse</t>
        </is>
      </c>
      <c r="B372" t="inlineStr">
        <is>
          <t>CRY</t>
        </is>
      </c>
      <c r="C372" t="inlineStr">
        <is>
          <t>MID</t>
        </is>
      </c>
      <c r="D372" t="inlineStr">
        <is>
          <t>MID</t>
        </is>
      </c>
      <c r="E372" t="b">
        <v>1</v>
      </c>
      <c r="F372" s="2" t="n">
        <v>5</v>
      </c>
      <c r="G372" t="inlineStr">
        <is>
          <t>a</t>
        </is>
      </c>
      <c r="I372" s="2" t="n">
        <v>40</v>
      </c>
      <c r="J372" t="n">
        <v>4</v>
      </c>
      <c r="K372" s="3" t="n">
        <v>0</v>
      </c>
      <c r="L372" t="inlineStr">
        <is>
          <t>flat</t>
        </is>
      </c>
      <c r="M372" s="4" t="n">
        <v>0</v>
      </c>
      <c r="N372" t="inlineStr">
        <is>
          <t>Solio</t>
        </is>
      </c>
      <c r="O372" s="5" t="n">
        <v>85</v>
      </c>
      <c r="P372" t="b">
        <v>1</v>
      </c>
      <c r="Q372" s="5">
        <f>IF(N(O372)&lt;=0,0,MIN(Assumptions!$B$15,N(M372)/N(O372)))</f>
        <v/>
      </c>
      <c r="R372" s="4" t="n">
        <v>0.216</v>
      </c>
      <c r="S372" s="3" t="n">
        <v>0</v>
      </c>
      <c r="T372" t="inlineStr">
        <is>
          <t>adjusted xGOT</t>
        </is>
      </c>
      <c r="U372" s="3" t="n">
        <v>1</v>
      </c>
      <c r="V372" s="3" t="n">
        <v>1.082</v>
      </c>
      <c r="W372" s="3" t="n">
        <v>0.3</v>
      </c>
      <c r="X372" s="3" t="n">
        <v>0.045</v>
      </c>
      <c r="Y372" s="3" t="n">
        <v>8.718</v>
      </c>
      <c r="Z372" s="3" t="n">
        <v>0.1295258276632367</v>
      </c>
      <c r="AA372" s="3" t="n">
        <v>0</v>
      </c>
      <c r="AB372" s="3" t="n">
        <v>4</v>
      </c>
      <c r="AC372" s="3" t="n">
        <v>3.2035</v>
      </c>
      <c r="AD372" s="3" t="n">
        <v>1.5923</v>
      </c>
      <c r="AE372" s="3" t="n">
        <v>-0.2003744967086109</v>
      </c>
      <c r="AF372" s="4" t="n">
        <v>0</v>
      </c>
      <c r="AG372" s="3" t="n">
        <v>0</v>
      </c>
      <c r="AH372" s="3" t="n">
        <v>0</v>
      </c>
      <c r="AI372" s="3" t="n">
        <v>0.1782</v>
      </c>
      <c r="AJ372" s="3">
        <f>N(R372)*N(BC372)</f>
        <v/>
      </c>
      <c r="AK372" s="3" t="n">
        <v>0</v>
      </c>
      <c r="AL372" s="3" t="n">
        <v>0</v>
      </c>
      <c r="AM372" s="3" t="n">
        <v>-0</v>
      </c>
      <c r="AN372" s="3" t="n">
        <v>-0.2003744967086109</v>
      </c>
      <c r="AO372" s="3">
        <f>SUM(AH372:AN372)</f>
        <v/>
      </c>
      <c r="AP372" s="5">
        <f>IF(OR(N(Q372)&lt;=0,N(BA372)=0),0,N(Q372)*IF(N(M372)/N(Q372)&gt;=60,N(BA372),1))</f>
        <v/>
      </c>
      <c r="AQ372" s="5">
        <f>N(Q372)*N(Z372)*N(BB372)</f>
        <v/>
      </c>
      <c r="AR372" s="5">
        <f>N(AF372)*(Assumptions!$B$13*N(BD372)-(1-Assumptions!$B$13)*Assumptions!$B$14)+N(AG372)</f>
        <v/>
      </c>
      <c r="AS372" s="5">
        <f>N(AO372)*N(M372)/90+N(AP372)+N(AQ372)+N(AR372)</f>
        <v/>
      </c>
      <c r="AT372" s="3">
        <f>IF(N(M372)&lt;=0,0,(N(AS372)-N(AR372))*90/N(M372))</f>
        <v/>
      </c>
      <c r="AU372" s="5">
        <f>IFERROR(AS372-VLOOKUP($C372,Assumptions!$A$36:$C$39,3,FALSE),"")</f>
        <v/>
      </c>
      <c r="AV372" s="3">
        <f>IFERROR(AU372/F372,"")</f>
        <v/>
      </c>
      <c r="AW372">
        <f>IF(AND($E372=TRUE,$C372="GKP"),AS372,"")</f>
        <v/>
      </c>
      <c r="AX372">
        <f>IF(AND($E372=TRUE,$C372="DEF"),AS372,"")</f>
        <v/>
      </c>
      <c r="AY372">
        <f>IF(AND($E372=TRUE,$C372="MID"),AS372,"")</f>
        <v/>
      </c>
      <c r="AZ372">
        <f>IF(AND($E372=TRUE,$C372="FWD"),AS372,"")</f>
        <v/>
      </c>
      <c r="BA372" t="n">
        <v>2</v>
      </c>
      <c r="BB372" t="n">
        <v>2</v>
      </c>
      <c r="BC372" t="n">
        <v>1</v>
      </c>
      <c r="BD372" t="n">
        <v>5</v>
      </c>
    </row>
    <row r="373">
      <c r="A373" t="inlineStr">
        <is>
          <t>Alysson Edward</t>
        </is>
      </c>
      <c r="B373" t="inlineStr">
        <is>
          <t>AVL</t>
        </is>
      </c>
      <c r="C373" t="inlineStr">
        <is>
          <t>MID</t>
        </is>
      </c>
      <c r="D373" t="inlineStr">
        <is>
          <t>MID</t>
        </is>
      </c>
      <c r="E373" t="b">
        <v>1</v>
      </c>
      <c r="F373" s="2" t="n">
        <v>5</v>
      </c>
      <c r="G373" t="inlineStr">
        <is>
          <t>a</t>
        </is>
      </c>
      <c r="I373" s="2" t="n">
        <v>47</v>
      </c>
      <c r="J373" t="n">
        <v>3</v>
      </c>
      <c r="K373" s="3" t="n">
        <v>116</v>
      </c>
      <c r="L373" t="inlineStr">
        <is>
          <t>flat</t>
        </is>
      </c>
      <c r="M373" s="4" t="n">
        <v>116</v>
      </c>
      <c r="N373" t="inlineStr">
        <is>
          <t>Solio</t>
        </is>
      </c>
      <c r="O373" s="5" t="n">
        <v>85</v>
      </c>
      <c r="P373" t="b">
        <v>1</v>
      </c>
      <c r="Q373" s="5">
        <f>IF(N(O373)&lt;=0,0,MIN(Assumptions!$B$15,N(M373)/N(O373)))</f>
        <v/>
      </c>
      <c r="R373" s="4" t="n">
        <v>0.273</v>
      </c>
      <c r="S373" s="3" t="n">
        <v>0.09569999999999999</v>
      </c>
      <c r="T373" t="inlineStr">
        <is>
          <t>adjusted xGOT</t>
        </is>
      </c>
      <c r="U373" s="3" t="n">
        <v>1</v>
      </c>
      <c r="V373" s="3" t="n">
        <v>0.994</v>
      </c>
      <c r="W373" s="3" t="n">
        <v>0</v>
      </c>
      <c r="X373" s="3" t="n">
        <v>0.0479</v>
      </c>
      <c r="Y373" s="3" t="n">
        <v>8.521000000000001</v>
      </c>
      <c r="Z373" s="3" t="n">
        <v>0.1153916977557765</v>
      </c>
      <c r="AA373" s="3" t="n">
        <v>0</v>
      </c>
      <c r="AB373" s="3" t="n">
        <v>3</v>
      </c>
      <c r="AC373" s="3" t="n">
        <v>2.7451</v>
      </c>
      <c r="AD373" s="3" t="n">
        <v>1.3575</v>
      </c>
      <c r="AE373" s="3" t="n">
        <v>-0.2097406534868716</v>
      </c>
      <c r="AF373" s="4" t="n">
        <v>0</v>
      </c>
      <c r="AG373" s="3" t="n">
        <v>0</v>
      </c>
      <c r="AH373" s="3" t="n">
        <v>0.4785</v>
      </c>
      <c r="AI373" s="3" t="n">
        <v>0.189684</v>
      </c>
      <c r="AJ373" s="3">
        <f>N(R373)*N(BC373)</f>
        <v/>
      </c>
      <c r="AK373" s="3" t="n">
        <v>0</v>
      </c>
      <c r="AL373" s="3" t="n">
        <v>0</v>
      </c>
      <c r="AM373" s="3" t="n">
        <v>-0</v>
      </c>
      <c r="AN373" s="3" t="n">
        <v>-0.2097406534868716</v>
      </c>
      <c r="AO373" s="3">
        <f>SUM(AH373:AN373)</f>
        <v/>
      </c>
      <c r="AP373" s="5">
        <f>IF(OR(N(Q373)&lt;=0,N(BA373)=0),0,N(Q373)*IF(N(M373)/N(Q373)&gt;=60,N(BA373),1))</f>
        <v/>
      </c>
      <c r="AQ373" s="5">
        <f>N(Q373)*N(Z373)*N(BB373)</f>
        <v/>
      </c>
      <c r="AR373" s="5">
        <f>N(AF373)*(Assumptions!$B$13*N(BD373)-(1-Assumptions!$B$13)*Assumptions!$B$14)+N(AG373)</f>
        <v/>
      </c>
      <c r="AS373" s="5">
        <f>N(AO373)*N(M373)/90+N(AP373)+N(AQ373)+N(AR373)</f>
        <v/>
      </c>
      <c r="AT373" s="3">
        <f>IF(N(M373)&lt;=0,0,(N(AS373)-N(AR373))*90/N(M373))</f>
        <v/>
      </c>
      <c r="AU373" s="5">
        <f>IFERROR(AS373-VLOOKUP($C373,Assumptions!$A$36:$C$39,3,FALSE),"")</f>
        <v/>
      </c>
      <c r="AV373" s="3">
        <f>IFERROR(AU373/F373,"")</f>
        <v/>
      </c>
      <c r="AW373">
        <f>IF(AND($E373=TRUE,$C373="GKP"),AS373,"")</f>
        <v/>
      </c>
      <c r="AX373">
        <f>IF(AND($E373=TRUE,$C373="DEF"),AS373,"")</f>
        <v/>
      </c>
      <c r="AY373">
        <f>IF(AND($E373=TRUE,$C373="MID"),AS373,"")</f>
        <v/>
      </c>
      <c r="AZ373">
        <f>IF(AND($E373=TRUE,$C373="FWD"),AS373,"")</f>
        <v/>
      </c>
      <c r="BA373" t="n">
        <v>2</v>
      </c>
      <c r="BB373" t="n">
        <v>2</v>
      </c>
      <c r="BC373" t="n">
        <v>1</v>
      </c>
      <c r="BD373" t="n">
        <v>5</v>
      </c>
    </row>
    <row r="374">
      <c r="A374" t="inlineStr">
        <is>
          <t>Souza</t>
        </is>
      </c>
      <c r="B374" t="inlineStr">
        <is>
          <t>TOT</t>
        </is>
      </c>
      <c r="C374" t="inlineStr">
        <is>
          <t>DEF</t>
        </is>
      </c>
      <c r="D374" t="inlineStr">
        <is>
          <t>DEF</t>
        </is>
      </c>
      <c r="E374" t="b">
        <v>1</v>
      </c>
      <c r="F374" s="2" t="n">
        <v>4</v>
      </c>
      <c r="G374" t="inlineStr">
        <is>
          <t>a</t>
        </is>
      </c>
      <c r="I374" s="2" t="n">
        <v>142</v>
      </c>
      <c r="J374" t="n">
        <v>3</v>
      </c>
      <c r="K374" s="3" t="n">
        <v>112</v>
      </c>
      <c r="L374" t="inlineStr">
        <is>
          <t>flat</t>
        </is>
      </c>
      <c r="M374" s="4" t="n">
        <v>112</v>
      </c>
      <c r="N374" t="inlineStr">
        <is>
          <t>Solio</t>
        </is>
      </c>
      <c r="O374" s="5" t="n">
        <v>48.5</v>
      </c>
      <c r="P374" t="b">
        <v>1</v>
      </c>
      <c r="Q374" s="5">
        <f>IF(N(O374)&lt;=0,0,MIN(Assumptions!$B$15,N(M374)/N(O374)))</f>
        <v/>
      </c>
      <c r="R374" s="4" t="n">
        <v>0.286</v>
      </c>
      <c r="S374" s="3" t="n">
        <v>0.0127</v>
      </c>
      <c r="T374" t="inlineStr">
        <is>
          <t>adjusted xGOT</t>
        </is>
      </c>
      <c r="U374" s="3" t="n">
        <v>1</v>
      </c>
      <c r="V374" s="3" t="n">
        <v>1.022</v>
      </c>
      <c r="W374" s="3" t="n">
        <v>0</v>
      </c>
      <c r="X374" s="3" t="n">
        <v>0.0736</v>
      </c>
      <c r="Y374" s="3" t="n">
        <v>7.045</v>
      </c>
      <c r="Z374" s="3" t="n">
        <v>0.005763432253146683</v>
      </c>
      <c r="AA374" s="3" t="n">
        <v>0</v>
      </c>
      <c r="AB374" s="3" t="n">
        <v>4</v>
      </c>
      <c r="AC374" s="3" t="n">
        <v>2.5739</v>
      </c>
      <c r="AD374" s="3" t="n">
        <v>1.3096</v>
      </c>
      <c r="AE374" s="3" t="n">
        <v>-0.2449575661966502</v>
      </c>
      <c r="AF374" s="4" t="n">
        <v>0</v>
      </c>
      <c r="AG374" s="3" t="n">
        <v>0</v>
      </c>
      <c r="AH374" s="3" t="n">
        <v>0.07619999999999999</v>
      </c>
      <c r="AI374" s="3" t="n">
        <v>0.291456</v>
      </c>
      <c r="AJ374" s="3">
        <f>N(R374)*N(BC374)</f>
        <v/>
      </c>
      <c r="AK374" s="3" t="n">
        <v>0</v>
      </c>
      <c r="AL374" s="3" t="n">
        <v>0</v>
      </c>
      <c r="AM374" s="3" t="n">
        <v>-0.4230152821052008</v>
      </c>
      <c r="AN374" s="3" t="n">
        <v>-0.2449575661966502</v>
      </c>
      <c r="AO374" s="3">
        <f>SUM(AH374:AN374)</f>
        <v/>
      </c>
      <c r="AP374" s="5">
        <f>IF(OR(N(Q374)&lt;=0,N(BA374)=0),0,N(Q374)*IF(N(M374)/N(Q374)&gt;=60,N(BA374),1))</f>
        <v/>
      </c>
      <c r="AQ374" s="5">
        <f>N(Q374)*N(Z374)*N(BB374)</f>
        <v/>
      </c>
      <c r="AR374" s="5">
        <f>N(AF374)*(Assumptions!$B$13*N(BD374)-(1-Assumptions!$B$13)*Assumptions!$B$14)+N(AG374)</f>
        <v/>
      </c>
      <c r="AS374" s="5">
        <f>N(AO374)*N(M374)/90+N(AP374)+N(AQ374)+N(AR374)</f>
        <v/>
      </c>
      <c r="AT374" s="3">
        <f>IF(N(M374)&lt;=0,0,(N(AS374)-N(AR374))*90/N(M374))</f>
        <v/>
      </c>
      <c r="AU374" s="5">
        <f>IFERROR(AS374-VLOOKUP($C374,Assumptions!$A$36:$C$39,3,FALSE),"")</f>
        <v/>
      </c>
      <c r="AV374" s="3">
        <f>IFERROR(AU374/F374,"")</f>
        <v/>
      </c>
      <c r="AW374">
        <f>IF(AND($E374=TRUE,$C374="GKP"),AS374,"")</f>
        <v/>
      </c>
      <c r="AX374">
        <f>IF(AND($E374=TRUE,$C374="DEF"),AS374,"")</f>
        <v/>
      </c>
      <c r="AY374">
        <f>IF(AND($E374=TRUE,$C374="MID"),AS374,"")</f>
        <v/>
      </c>
      <c r="AZ374">
        <f>IF(AND($E374=TRUE,$C374="FWD"),AS374,"")</f>
        <v/>
      </c>
      <c r="BA374" t="n">
        <v>2</v>
      </c>
      <c r="BB374" t="n">
        <v>2</v>
      </c>
      <c r="BC374" t="n">
        <v>4</v>
      </c>
      <c r="BD374" t="n">
        <v>6</v>
      </c>
    </row>
    <row r="375">
      <c r="A375" t="inlineStr">
        <is>
          <t>Facundo Buonanotte</t>
        </is>
      </c>
      <c r="B375" t="inlineStr">
        <is>
          <t>BHA</t>
        </is>
      </c>
      <c r="C375" t="inlineStr">
        <is>
          <t>MID</t>
        </is>
      </c>
      <c r="D375" t="inlineStr">
        <is>
          <t>MID</t>
        </is>
      </c>
      <c r="E375" t="b">
        <v>1</v>
      </c>
      <c r="F375" s="2" t="n">
        <v>5</v>
      </c>
      <c r="G375" t="inlineStr">
        <is>
          <t>u</t>
        </is>
      </c>
      <c r="H375" t="inlineStr">
        <is>
          <t>Has joined Elche on loan for the rest of the season</t>
        </is>
      </c>
      <c r="I375" s="2" t="n">
        <v>81</v>
      </c>
      <c r="J375" t="n">
        <v>3</v>
      </c>
      <c r="K375" s="3" t="n"/>
      <c r="M375" s="4" t="n">
        <v>81</v>
      </c>
      <c r="N375" t="inlineStr">
        <is>
          <t>25/26 actual</t>
        </is>
      </c>
      <c r="O375" s="5" t="n">
        <v>45</v>
      </c>
      <c r="P375" t="b">
        <v>1</v>
      </c>
      <c r="Q375" s="5">
        <f>IF(N(O375)&lt;=0,0,MIN(Assumptions!$B$15,N(M375)/N(O375)))</f>
        <v/>
      </c>
      <c r="R375" s="4" t="n">
        <v>0.252</v>
      </c>
      <c r="S375" s="3" t="n">
        <v>0.0678</v>
      </c>
      <c r="T375" t="inlineStr">
        <is>
          <t>adjusted xGOT</t>
        </is>
      </c>
      <c r="U375" s="3" t="n">
        <v>1</v>
      </c>
      <c r="V375" s="3" t="n">
        <v>1.012</v>
      </c>
      <c r="W375" s="3" t="n">
        <v>7.7</v>
      </c>
      <c r="X375" s="3" t="n">
        <v>0.3226</v>
      </c>
      <c r="Y375" s="3" t="n">
        <v>8.384</v>
      </c>
      <c r="Z375" s="3" t="n">
        <v>0.00135243923352224</v>
      </c>
      <c r="AA375" s="3" t="n">
        <v>0</v>
      </c>
      <c r="AB375" s="3" t="n">
        <v>4</v>
      </c>
      <c r="AC375" s="3" t="n">
        <v>2.8404</v>
      </c>
      <c r="AD375" s="3" t="n">
        <v>1.439</v>
      </c>
      <c r="AE375" s="3" t="n">
        <v>-0.3741404547971498</v>
      </c>
      <c r="AF375" s="4" t="n">
        <v>0</v>
      </c>
      <c r="AG375" s="3" t="n">
        <v>0</v>
      </c>
      <c r="AH375" s="3" t="n">
        <v>0.339</v>
      </c>
      <c r="AI375" s="3" t="n">
        <v>1.277496</v>
      </c>
      <c r="AJ375" s="3">
        <f>N(R375)*N(BC375)</f>
        <v/>
      </c>
      <c r="AK375" s="3" t="n">
        <v>0</v>
      </c>
      <c r="AL375" s="3" t="n">
        <v>0</v>
      </c>
      <c r="AM375" s="3" t="n">
        <v>-0</v>
      </c>
      <c r="AN375" s="3" t="n">
        <v>-0.3741404547971498</v>
      </c>
      <c r="AO375" s="3">
        <f>SUM(AH375:AN375)</f>
        <v/>
      </c>
      <c r="AP375" s="5">
        <f>IF(OR(N(Q375)&lt;=0,N(BA375)=0),0,N(Q375)*IF(N(M375)/N(Q375)&gt;=60,N(BA375),1))</f>
        <v/>
      </c>
      <c r="AQ375" s="5">
        <f>N(Q375)*N(Z375)*N(BB375)</f>
        <v/>
      </c>
      <c r="AR375" s="5">
        <f>N(AF375)*(Assumptions!$B$13*N(BD375)-(1-Assumptions!$B$13)*Assumptions!$B$14)+N(AG375)</f>
        <v/>
      </c>
      <c r="AS375" s="5">
        <f>N(AO375)*N(M375)/90+N(AP375)+N(AQ375)+N(AR375)</f>
        <v/>
      </c>
      <c r="AT375" s="3">
        <f>IF(N(M375)&lt;=0,0,(N(AS375)-N(AR375))*90/N(M375))</f>
        <v/>
      </c>
      <c r="AU375" s="5">
        <f>IFERROR(AS375-VLOOKUP($C375,Assumptions!$A$36:$C$39,3,FALSE),"")</f>
        <v/>
      </c>
      <c r="AV375" s="3">
        <f>IFERROR(AU375/F375,"")</f>
        <v/>
      </c>
      <c r="AW375">
        <f>IF(AND($E375=TRUE,$C375="GKP"),AS375,"")</f>
        <v/>
      </c>
      <c r="AX375">
        <f>IF(AND($E375=TRUE,$C375="DEF"),AS375,"")</f>
        <v/>
      </c>
      <c r="AY375">
        <f>IF(AND($E375=TRUE,$C375="MID"),AS375,"")</f>
        <v/>
      </c>
      <c r="AZ375">
        <f>IF(AND($E375=TRUE,$C375="FWD"),AS375,"")</f>
        <v/>
      </c>
      <c r="BA375" t="n">
        <v>2</v>
      </c>
      <c r="BB375" t="n">
        <v>2</v>
      </c>
      <c r="BC375" t="n">
        <v>1</v>
      </c>
      <c r="BD375" t="n">
        <v>5</v>
      </c>
    </row>
    <row r="376">
      <c r="A376" t="inlineStr">
        <is>
          <t>James Maddison</t>
        </is>
      </c>
      <c r="B376" t="inlineStr">
        <is>
          <t>TOT</t>
        </is>
      </c>
      <c r="C376" t="inlineStr">
        <is>
          <t>MID</t>
        </is>
      </c>
      <c r="D376" t="inlineStr">
        <is>
          <t>MID</t>
        </is>
      </c>
      <c r="E376" t="b">
        <v>1</v>
      </c>
      <c r="F376" s="2" t="n">
        <v>6.5</v>
      </c>
      <c r="G376" t="inlineStr">
        <is>
          <t>a</t>
        </is>
      </c>
      <c r="I376" s="2" t="n">
        <v>34</v>
      </c>
      <c r="J376" t="n">
        <v>3</v>
      </c>
      <c r="K376" s="3" t="n">
        <v>1060</v>
      </c>
      <c r="L376" t="inlineStr">
        <is>
          <t>flat</t>
        </is>
      </c>
      <c r="M376" s="4" t="n">
        <v>1060</v>
      </c>
      <c r="N376" t="inlineStr">
        <is>
          <t>Solio</t>
        </is>
      </c>
      <c r="O376" s="5" t="n">
        <v>85</v>
      </c>
      <c r="P376" t="b">
        <v>1</v>
      </c>
      <c r="Q376" s="5">
        <f>IF(N(O376)&lt;=0,0,MIN(Assumptions!$B$15,N(M376)/N(O376)))</f>
        <v/>
      </c>
      <c r="R376" s="4" t="n">
        <v>0.286</v>
      </c>
      <c r="S376" s="3" t="n">
        <v>0.5903</v>
      </c>
      <c r="T376" t="inlineStr">
        <is>
          <t>adjusted xGOT</t>
        </is>
      </c>
      <c r="U376" s="3" t="n">
        <v>1</v>
      </c>
      <c r="V376" s="3" t="n">
        <v>1.06</v>
      </c>
      <c r="W376" s="3" t="n">
        <v>20.8</v>
      </c>
      <c r="X376" s="3" t="n">
        <v>0.0794</v>
      </c>
      <c r="Y376" s="3" t="n">
        <v>8.787000000000001</v>
      </c>
      <c r="Z376" s="3" t="n">
        <v>0.1346932380608135</v>
      </c>
      <c r="AA376" s="3" t="n">
        <v>0</v>
      </c>
      <c r="AB376" s="3" t="n">
        <v>3</v>
      </c>
      <c r="AC376" s="3" t="n">
        <v>2.5739</v>
      </c>
      <c r="AD376" s="3" t="n">
        <v>1.3096</v>
      </c>
      <c r="AE376" s="3" t="n">
        <v>-0.2487656165750328</v>
      </c>
      <c r="AF376" s="4" t="n">
        <v>0</v>
      </c>
      <c r="AG376" s="3" t="n">
        <v>0</v>
      </c>
      <c r="AH376" s="3" t="n">
        <v>2.9515</v>
      </c>
      <c r="AI376" s="3" t="n">
        <v>0.314424</v>
      </c>
      <c r="AJ376" s="3">
        <f>N(R376)*N(BC376)</f>
        <v/>
      </c>
      <c r="AK376" s="3" t="n">
        <v>0</v>
      </c>
      <c r="AL376" s="3" t="n">
        <v>0</v>
      </c>
      <c r="AM376" s="3" t="n">
        <v>-0</v>
      </c>
      <c r="AN376" s="3" t="n">
        <v>-0.2487656165750328</v>
      </c>
      <c r="AO376" s="3">
        <f>SUM(AH376:AN376)</f>
        <v/>
      </c>
      <c r="AP376" s="5">
        <f>IF(OR(N(Q376)&lt;=0,N(BA376)=0),0,N(Q376)*IF(N(M376)/N(Q376)&gt;=60,N(BA376),1))</f>
        <v/>
      </c>
      <c r="AQ376" s="5">
        <f>N(Q376)*N(Z376)*N(BB376)</f>
        <v/>
      </c>
      <c r="AR376" s="5">
        <f>N(AF376)*(Assumptions!$B$13*N(BD376)-(1-Assumptions!$B$13)*Assumptions!$B$14)+N(AG376)</f>
        <v/>
      </c>
      <c r="AS376" s="5">
        <f>N(AO376)*N(M376)/90+N(AP376)+N(AQ376)+N(AR376)</f>
        <v/>
      </c>
      <c r="AT376" s="3">
        <f>IF(N(M376)&lt;=0,0,(N(AS376)-N(AR376))*90/N(M376))</f>
        <v/>
      </c>
      <c r="AU376" s="5">
        <f>IFERROR(AS376-VLOOKUP($C376,Assumptions!$A$36:$C$39,3,FALSE),"")</f>
        <v/>
      </c>
      <c r="AV376" s="3">
        <f>IFERROR(AU376/F376,"")</f>
        <v/>
      </c>
      <c r="AW376">
        <f>IF(AND($E376=TRUE,$C376="GKP"),AS376,"")</f>
        <v/>
      </c>
      <c r="AX376">
        <f>IF(AND($E376=TRUE,$C376="DEF"),AS376,"")</f>
        <v/>
      </c>
      <c r="AY376">
        <f>IF(AND($E376=TRUE,$C376="MID"),AS376,"")</f>
        <v/>
      </c>
      <c r="AZ376">
        <f>IF(AND($E376=TRUE,$C376="FWD"),AS376,"")</f>
        <v/>
      </c>
      <c r="BA376" t="n">
        <v>2</v>
      </c>
      <c r="BB376" t="n">
        <v>2</v>
      </c>
      <c r="BC376" t="n">
        <v>1</v>
      </c>
      <c r="BD376" t="n">
        <v>5</v>
      </c>
    </row>
    <row r="377">
      <c r="A377" t="inlineStr">
        <is>
          <t>Shea Lacey</t>
        </is>
      </c>
      <c r="B377" t="inlineStr">
        <is>
          <t>MUN</t>
        </is>
      </c>
      <c r="C377" t="inlineStr">
        <is>
          <t>MID</t>
        </is>
      </c>
      <c r="D377" t="inlineStr">
        <is>
          <t>MID</t>
        </is>
      </c>
      <c r="E377" t="b">
        <v>1</v>
      </c>
      <c r="F377" s="2" t="n">
        <v>5</v>
      </c>
      <c r="G377" t="inlineStr">
        <is>
          <t>a</t>
        </is>
      </c>
      <c r="I377" s="2" t="n">
        <v>40</v>
      </c>
      <c r="J377" t="n">
        <v>3</v>
      </c>
      <c r="K377" s="3" t="n">
        <v>14</v>
      </c>
      <c r="L377" t="inlineStr">
        <is>
          <t>flat</t>
        </is>
      </c>
      <c r="M377" s="4" t="n">
        <v>14</v>
      </c>
      <c r="N377" t="inlineStr">
        <is>
          <t>Solio</t>
        </is>
      </c>
      <c r="O377" s="5" t="n">
        <v>85</v>
      </c>
      <c r="P377" t="b">
        <v>1</v>
      </c>
      <c r="Q377" s="5">
        <f>IF(N(O377)&lt;=0,0,MIN(Assumptions!$B$15,N(M377)/N(O377)))</f>
        <v/>
      </c>
      <c r="R377" s="4" t="n">
        <v>0.334</v>
      </c>
      <c r="S377" s="3" t="n">
        <v>0.2228</v>
      </c>
      <c r="T377" t="inlineStr">
        <is>
          <t>adjusted xGOT</t>
        </is>
      </c>
      <c r="U377" s="3" t="n">
        <v>1</v>
      </c>
      <c r="V377" s="3" t="n">
        <v>0.988</v>
      </c>
      <c r="W377" s="3" t="n">
        <v>0.1</v>
      </c>
      <c r="X377" s="3" t="n">
        <v>0.0112</v>
      </c>
      <c r="Y377" s="3" t="n">
        <v>8.481</v>
      </c>
      <c r="Z377" s="3" t="n">
        <v>0.1126351798449109</v>
      </c>
      <c r="AA377" s="3" t="n">
        <v>0</v>
      </c>
      <c r="AB377" s="3" t="n">
        <v>3</v>
      </c>
      <c r="AC377" s="3" t="n">
        <v>2.2165</v>
      </c>
      <c r="AD377" s="3" t="n">
        <v>1.1467</v>
      </c>
      <c r="AE377" s="3" t="n">
        <v>-0.2106539923648886</v>
      </c>
      <c r="AF377" s="4" t="n">
        <v>0</v>
      </c>
      <c r="AG377" s="3" t="n">
        <v>0</v>
      </c>
      <c r="AH377" s="3" t="n">
        <v>1.114</v>
      </c>
      <c r="AI377" s="3" t="n">
        <v>0.044352</v>
      </c>
      <c r="AJ377" s="3">
        <f>N(R377)*N(BC377)</f>
        <v/>
      </c>
      <c r="AK377" s="3" t="n">
        <v>0</v>
      </c>
      <c r="AL377" s="3" t="n">
        <v>0</v>
      </c>
      <c r="AM377" s="3" t="n">
        <v>-0</v>
      </c>
      <c r="AN377" s="3" t="n">
        <v>-0.2106539923648886</v>
      </c>
      <c r="AO377" s="3">
        <f>SUM(AH377:AN377)</f>
        <v/>
      </c>
      <c r="AP377" s="5">
        <f>IF(OR(N(Q377)&lt;=0,N(BA377)=0),0,N(Q377)*IF(N(M377)/N(Q377)&gt;=60,N(BA377),1))</f>
        <v/>
      </c>
      <c r="AQ377" s="5">
        <f>N(Q377)*N(Z377)*N(BB377)</f>
        <v/>
      </c>
      <c r="AR377" s="5">
        <f>N(AF377)*(Assumptions!$B$13*N(BD377)-(1-Assumptions!$B$13)*Assumptions!$B$14)+N(AG377)</f>
        <v/>
      </c>
      <c r="AS377" s="5">
        <f>N(AO377)*N(M377)/90+N(AP377)+N(AQ377)+N(AR377)</f>
        <v/>
      </c>
      <c r="AT377" s="3">
        <f>IF(N(M377)&lt;=0,0,(N(AS377)-N(AR377))*90/N(M377))</f>
        <v/>
      </c>
      <c r="AU377" s="5">
        <f>IFERROR(AS377-VLOOKUP($C377,Assumptions!$A$36:$C$39,3,FALSE),"")</f>
        <v/>
      </c>
      <c r="AV377" s="3">
        <f>IFERROR(AU377/F377,"")</f>
        <v/>
      </c>
      <c r="AW377">
        <f>IF(AND($E377=TRUE,$C377="GKP"),AS377,"")</f>
        <v/>
      </c>
      <c r="AX377">
        <f>IF(AND($E377=TRUE,$C377="DEF"),AS377,"")</f>
        <v/>
      </c>
      <c r="AY377">
        <f>IF(AND($E377=TRUE,$C377="MID"),AS377,"")</f>
        <v/>
      </c>
      <c r="AZ377">
        <f>IF(AND($E377=TRUE,$C377="FWD"),AS377,"")</f>
        <v/>
      </c>
      <c r="BA377" t="n">
        <v>2</v>
      </c>
      <c r="BB377" t="n">
        <v>2</v>
      </c>
      <c r="BC377" t="n">
        <v>1</v>
      </c>
      <c r="BD377" t="n">
        <v>5</v>
      </c>
    </row>
    <row r="378">
      <c r="A378" t="inlineStr">
        <is>
          <t>Jack Fletcher</t>
        </is>
      </c>
      <c r="B378" t="inlineStr">
        <is>
          <t>MUN</t>
        </is>
      </c>
      <c r="C378" t="inlineStr">
        <is>
          <t>MID</t>
        </is>
      </c>
      <c r="D378" t="inlineStr">
        <is>
          <t>MID</t>
        </is>
      </c>
      <c r="E378" t="b">
        <v>1</v>
      </c>
      <c r="F378" s="2" t="n">
        <v>5</v>
      </c>
      <c r="G378" t="inlineStr">
        <is>
          <t>a</t>
        </is>
      </c>
      <c r="I378" s="2" t="n">
        <v>107</v>
      </c>
      <c r="J378" t="n">
        <v>3</v>
      </c>
      <c r="K378" s="3" t="n">
        <v>0</v>
      </c>
      <c r="L378" t="inlineStr">
        <is>
          <t>flat</t>
        </is>
      </c>
      <c r="M378" s="4" t="n">
        <v>0</v>
      </c>
      <c r="N378" t="inlineStr">
        <is>
          <t>Solio</t>
        </is>
      </c>
      <c r="O378" s="5" t="n">
        <v>85</v>
      </c>
      <c r="P378" t="b">
        <v>1</v>
      </c>
      <c r="Q378" s="5">
        <f>IF(N(O378)&lt;=0,0,MIN(Assumptions!$B$15,N(M378)/N(O378)))</f>
        <v/>
      </c>
      <c r="R378" s="4" t="n">
        <v>0.334</v>
      </c>
      <c r="S378" s="3" t="n">
        <v>0.0252</v>
      </c>
      <c r="T378" t="inlineStr">
        <is>
          <t>adjusted xGOT</t>
        </is>
      </c>
      <c r="U378" s="3" t="n">
        <v>1</v>
      </c>
      <c r="V378" s="3" t="n">
        <v>0.996</v>
      </c>
      <c r="W378" s="3" t="n">
        <v>0</v>
      </c>
      <c r="X378" s="3" t="n">
        <v>0.0567</v>
      </c>
      <c r="Y378" s="3" t="n">
        <v>8.664</v>
      </c>
      <c r="Z378" s="3" t="n">
        <v>0.1255597742669944</v>
      </c>
      <c r="AA378" s="3" t="n">
        <v>0</v>
      </c>
      <c r="AB378" s="3" t="n">
        <v>3</v>
      </c>
      <c r="AC378" s="3" t="n">
        <v>2.2165</v>
      </c>
      <c r="AD378" s="3" t="n">
        <v>1.1467</v>
      </c>
      <c r="AE378" s="3" t="n">
        <v>-0.2022510891348621</v>
      </c>
      <c r="AF378" s="4" t="n">
        <v>0</v>
      </c>
      <c r="AG378" s="3" t="n">
        <v>0</v>
      </c>
      <c r="AH378" s="3" t="n">
        <v>0.126</v>
      </c>
      <c r="AI378" s="3" t="n">
        <v>0.224532</v>
      </c>
      <c r="AJ378" s="3">
        <f>N(R378)*N(BC378)</f>
        <v/>
      </c>
      <c r="AK378" s="3" t="n">
        <v>0</v>
      </c>
      <c r="AL378" s="3" t="n">
        <v>0</v>
      </c>
      <c r="AM378" s="3" t="n">
        <v>-0</v>
      </c>
      <c r="AN378" s="3" t="n">
        <v>-0.2022510891348621</v>
      </c>
      <c r="AO378" s="3">
        <f>SUM(AH378:AN378)</f>
        <v/>
      </c>
      <c r="AP378" s="5">
        <f>IF(OR(N(Q378)&lt;=0,N(BA378)=0),0,N(Q378)*IF(N(M378)/N(Q378)&gt;=60,N(BA378),1))</f>
        <v/>
      </c>
      <c r="AQ378" s="5">
        <f>N(Q378)*N(Z378)*N(BB378)</f>
        <v/>
      </c>
      <c r="AR378" s="5">
        <f>N(AF378)*(Assumptions!$B$13*N(BD378)-(1-Assumptions!$B$13)*Assumptions!$B$14)+N(AG378)</f>
        <v/>
      </c>
      <c r="AS378" s="5">
        <f>N(AO378)*N(M378)/90+N(AP378)+N(AQ378)+N(AR378)</f>
        <v/>
      </c>
      <c r="AT378" s="3">
        <f>IF(N(M378)&lt;=0,0,(N(AS378)-N(AR378))*90/N(M378))</f>
        <v/>
      </c>
      <c r="AU378" s="5">
        <f>IFERROR(AS378-VLOOKUP($C378,Assumptions!$A$36:$C$39,3,FALSE),"")</f>
        <v/>
      </c>
      <c r="AV378" s="3">
        <f>IFERROR(AU378/F378,"")</f>
        <v/>
      </c>
      <c r="AW378">
        <f>IF(AND($E378=TRUE,$C378="GKP"),AS378,"")</f>
        <v/>
      </c>
      <c r="AX378">
        <f>IF(AND($E378=TRUE,$C378="DEF"),AS378,"")</f>
        <v/>
      </c>
      <c r="AY378">
        <f>IF(AND($E378=TRUE,$C378="MID"),AS378,"")</f>
        <v/>
      </c>
      <c r="AZ378">
        <f>IF(AND($E378=TRUE,$C378="FWD"),AS378,"")</f>
        <v/>
      </c>
      <c r="BA378" t="n">
        <v>2</v>
      </c>
      <c r="BB378" t="n">
        <v>2</v>
      </c>
      <c r="BC378" t="n">
        <v>1</v>
      </c>
      <c r="BD378" t="n">
        <v>5</v>
      </c>
    </row>
    <row r="379">
      <c r="A379" t="inlineStr">
        <is>
          <t>Julio Soler</t>
        </is>
      </c>
      <c r="B379" t="inlineStr">
        <is>
          <t>BOU</t>
        </is>
      </c>
      <c r="C379" t="inlineStr">
        <is>
          <t>DEF</t>
        </is>
      </c>
      <c r="D379" t="inlineStr">
        <is>
          <t>DEF</t>
        </is>
      </c>
      <c r="E379" t="b">
        <v>1</v>
      </c>
      <c r="F379" s="2" t="n">
        <v>4</v>
      </c>
      <c r="G379" t="inlineStr">
        <is>
          <t>a</t>
        </is>
      </c>
      <c r="I379" s="2" t="n">
        <v>34</v>
      </c>
      <c r="J379" t="n">
        <v>3</v>
      </c>
      <c r="K379" s="3" t="n">
        <v>0</v>
      </c>
      <c r="L379" t="inlineStr">
        <is>
          <t>flat</t>
        </is>
      </c>
      <c r="M379" s="4" t="n">
        <v>0</v>
      </c>
      <c r="N379" t="inlineStr">
        <is>
          <t>Solio</t>
        </is>
      </c>
      <c r="O379" s="5" t="n">
        <v>85</v>
      </c>
      <c r="P379" t="b">
        <v>1</v>
      </c>
      <c r="Q379" s="5">
        <f>IF(N(O379)&lt;=0,0,MIN(Assumptions!$B$15,N(M379)/N(O379)))</f>
        <v/>
      </c>
      <c r="R379" s="4" t="n">
        <v>0.23</v>
      </c>
      <c r="S379" s="3" t="n">
        <v>0</v>
      </c>
      <c r="T379" t="inlineStr">
        <is>
          <t>blended xG</t>
        </is>
      </c>
      <c r="U379" s="3" t="n">
        <v>1</v>
      </c>
      <c r="V379" s="3" t="n">
        <v>1</v>
      </c>
      <c r="W379" s="3" t="n">
        <v>0</v>
      </c>
      <c r="X379" s="3" t="n">
        <v>0</v>
      </c>
      <c r="Y379" s="3" t="n">
        <v>7.458</v>
      </c>
      <c r="Z379" s="3" t="n">
        <v>0.1739595441341608</v>
      </c>
      <c r="AA379" s="3" t="n">
        <v>0</v>
      </c>
      <c r="AB379" s="3" t="n">
        <v>3</v>
      </c>
      <c r="AC379" s="3" t="n">
        <v>3.0957</v>
      </c>
      <c r="AD379" s="3" t="n">
        <v>1.53</v>
      </c>
      <c r="AE379" s="3" t="n">
        <v>-0.1996402915412851</v>
      </c>
      <c r="AF379" s="4" t="n">
        <v>0</v>
      </c>
      <c r="AG379" s="3" t="n">
        <v>0</v>
      </c>
      <c r="AH379" s="3" t="n">
        <v>0</v>
      </c>
      <c r="AI379" s="3" t="n">
        <v>0</v>
      </c>
      <c r="AJ379" s="3">
        <f>N(R379)*N(BC379)</f>
        <v/>
      </c>
      <c r="AK379" s="3" t="n">
        <v>0</v>
      </c>
      <c r="AL379" s="3" t="n">
        <v>0</v>
      </c>
      <c r="AM379" s="3" t="n">
        <v>-0.5267219238049191</v>
      </c>
      <c r="AN379" s="3" t="n">
        <v>-0.1996402915412851</v>
      </c>
      <c r="AO379" s="3">
        <f>SUM(AH379:AN379)</f>
        <v/>
      </c>
      <c r="AP379" s="5">
        <f>IF(OR(N(Q379)&lt;=0,N(BA379)=0),0,N(Q379)*IF(N(M379)/N(Q379)&gt;=60,N(BA379),1))</f>
        <v/>
      </c>
      <c r="AQ379" s="5">
        <f>N(Q379)*N(Z379)*N(BB379)</f>
        <v/>
      </c>
      <c r="AR379" s="5">
        <f>N(AF379)*(Assumptions!$B$13*N(BD379)-(1-Assumptions!$B$13)*Assumptions!$B$14)+N(AG379)</f>
        <v/>
      </c>
      <c r="AS379" s="5">
        <f>N(AO379)*N(M379)/90+N(AP379)+N(AQ379)+N(AR379)</f>
        <v/>
      </c>
      <c r="AT379" s="3">
        <f>IF(N(M379)&lt;=0,0,(N(AS379)-N(AR379))*90/N(M379))</f>
        <v/>
      </c>
      <c r="AU379" s="5">
        <f>IFERROR(AS379-VLOOKUP($C379,Assumptions!$A$36:$C$39,3,FALSE),"")</f>
        <v/>
      </c>
      <c r="AV379" s="3">
        <f>IFERROR(AU379/F379,"")</f>
        <v/>
      </c>
      <c r="AW379">
        <f>IF(AND($E379=TRUE,$C379="GKP"),AS379,"")</f>
        <v/>
      </c>
      <c r="AX379">
        <f>IF(AND($E379=TRUE,$C379="DEF"),AS379,"")</f>
        <v/>
      </c>
      <c r="AY379">
        <f>IF(AND($E379=TRUE,$C379="MID"),AS379,"")</f>
        <v/>
      </c>
      <c r="AZ379">
        <f>IF(AND($E379=TRUE,$C379="FWD"),AS379,"")</f>
        <v/>
      </c>
      <c r="BA379" t="n">
        <v>2</v>
      </c>
      <c r="BB379" t="n">
        <v>2</v>
      </c>
      <c r="BC379" t="n">
        <v>4</v>
      </c>
      <c r="BD379" t="n">
        <v>6</v>
      </c>
    </row>
    <row r="380">
      <c r="A380" t="inlineStr">
        <is>
          <t>Mamadou Sarr</t>
        </is>
      </c>
      <c r="B380" t="inlineStr">
        <is>
          <t>CHE</t>
        </is>
      </c>
      <c r="C380" t="inlineStr">
        <is>
          <t>DEF</t>
        </is>
      </c>
      <c r="D380" t="inlineStr">
        <is>
          <t>DEF</t>
        </is>
      </c>
      <c r="E380" t="b">
        <v>1</v>
      </c>
      <c r="F380" s="2" t="n">
        <v>4.5</v>
      </c>
      <c r="G380" t="inlineStr">
        <is>
          <t>a</t>
        </is>
      </c>
      <c r="I380" s="2" t="n">
        <v>100</v>
      </c>
      <c r="J380" t="n">
        <v>3</v>
      </c>
      <c r="K380" s="3" t="n">
        <v>0</v>
      </c>
      <c r="L380" t="inlineStr">
        <is>
          <t>flat</t>
        </is>
      </c>
      <c r="M380" s="4" t="n">
        <v>0</v>
      </c>
      <c r="N380" t="inlineStr">
        <is>
          <t>Solio</t>
        </is>
      </c>
      <c r="O380" s="5" t="n">
        <v>89</v>
      </c>
      <c r="P380" t="b">
        <v>1</v>
      </c>
      <c r="Q380" s="5">
        <f>IF(N(O380)&lt;=0,0,MIN(Assumptions!$B$15,N(M380)/N(O380)))</f>
        <v/>
      </c>
      <c r="R380" s="4" t="n">
        <v>0.322</v>
      </c>
      <c r="S380" s="3" t="n">
        <v>0.3015</v>
      </c>
      <c r="T380" t="inlineStr">
        <is>
          <t>adjusted xGOT</t>
        </is>
      </c>
      <c r="U380" s="3" t="n">
        <v>1</v>
      </c>
      <c r="V380" s="3" t="n">
        <v>0.958</v>
      </c>
      <c r="W380" s="3" t="n">
        <v>0.4</v>
      </c>
      <c r="X380" s="3" t="n">
        <v>0</v>
      </c>
      <c r="Y380" s="3" t="n">
        <v>7.626</v>
      </c>
      <c r="Z380" s="3" t="n">
        <v>0.2283342917328783</v>
      </c>
      <c r="AA380" s="3" t="n">
        <v>0</v>
      </c>
      <c r="AB380" s="3" t="n">
        <v>4</v>
      </c>
      <c r="AC380" s="3" t="n">
        <v>2.4232</v>
      </c>
      <c r="AD380" s="3" t="n">
        <v>1.1851</v>
      </c>
      <c r="AE380" s="3" t="n">
        <v>-0.1926185127723307</v>
      </c>
      <c r="AF380" s="4" t="n">
        <v>0</v>
      </c>
      <c r="AG380" s="3" t="n">
        <v>0</v>
      </c>
      <c r="AH380" s="3" t="n">
        <v>1.809</v>
      </c>
      <c r="AI380" s="3" t="n">
        <v>0</v>
      </c>
      <c r="AJ380" s="3">
        <f>N(R380)*N(BC380)</f>
        <v/>
      </c>
      <c r="AK380" s="3" t="n">
        <v>0</v>
      </c>
      <c r="AL380" s="3" t="n">
        <v>0</v>
      </c>
      <c r="AM380" s="3" t="n">
        <v>-0.365915508000572</v>
      </c>
      <c r="AN380" s="3" t="n">
        <v>-0.1926185127723307</v>
      </c>
      <c r="AO380" s="3">
        <f>SUM(AH380:AN380)</f>
        <v/>
      </c>
      <c r="AP380" s="5">
        <f>IF(OR(N(Q380)&lt;=0,N(BA380)=0),0,N(Q380)*IF(N(M380)/N(Q380)&gt;=60,N(BA380),1))</f>
        <v/>
      </c>
      <c r="AQ380" s="5">
        <f>N(Q380)*N(Z380)*N(BB380)</f>
        <v/>
      </c>
      <c r="AR380" s="5">
        <f>N(AF380)*(Assumptions!$B$13*N(BD380)-(1-Assumptions!$B$13)*Assumptions!$B$14)+N(AG380)</f>
        <v/>
      </c>
      <c r="AS380" s="5">
        <f>N(AO380)*N(M380)/90+N(AP380)+N(AQ380)+N(AR380)</f>
        <v/>
      </c>
      <c r="AT380" s="3">
        <f>IF(N(M380)&lt;=0,0,(N(AS380)-N(AR380))*90/N(M380))</f>
        <v/>
      </c>
      <c r="AU380" s="5">
        <f>IFERROR(AS380-VLOOKUP($C380,Assumptions!$A$36:$C$39,3,FALSE),"")</f>
        <v/>
      </c>
      <c r="AV380" s="3">
        <f>IFERROR(AU380/F380,"")</f>
        <v/>
      </c>
      <c r="AW380">
        <f>IF(AND($E380=TRUE,$C380="GKP"),AS380,"")</f>
        <v/>
      </c>
      <c r="AX380">
        <f>IF(AND($E380=TRUE,$C380="DEF"),AS380,"")</f>
        <v/>
      </c>
      <c r="AY380">
        <f>IF(AND($E380=TRUE,$C380="MID"),AS380,"")</f>
        <v/>
      </c>
      <c r="AZ380">
        <f>IF(AND($E380=TRUE,$C380="FWD"),AS380,"")</f>
        <v/>
      </c>
      <c r="BA380" t="n">
        <v>2</v>
      </c>
      <c r="BB380" t="n">
        <v>2</v>
      </c>
      <c r="BC380" t="n">
        <v>4</v>
      </c>
      <c r="BD380" t="n">
        <v>6</v>
      </c>
    </row>
    <row r="381">
      <c r="A381" t="inlineStr">
        <is>
          <t>Zach Abbott</t>
        </is>
      </c>
      <c r="B381" t="inlineStr">
        <is>
          <t>NFO</t>
        </is>
      </c>
      <c r="C381" t="inlineStr">
        <is>
          <t>DEF</t>
        </is>
      </c>
      <c r="D381" t="inlineStr">
        <is>
          <t>DEF</t>
        </is>
      </c>
      <c r="E381" t="b">
        <v>1</v>
      </c>
      <c r="F381" s="2" t="n">
        <v>4</v>
      </c>
      <c r="G381" t="inlineStr">
        <is>
          <t>a</t>
        </is>
      </c>
      <c r="I381" s="2" t="n">
        <v>165</v>
      </c>
      <c r="J381" t="n">
        <v>3</v>
      </c>
      <c r="K381" s="3" t="n">
        <v>0</v>
      </c>
      <c r="L381" t="inlineStr">
        <is>
          <t>flat</t>
        </is>
      </c>
      <c r="M381" s="4" t="n">
        <v>0</v>
      </c>
      <c r="N381" t="inlineStr">
        <is>
          <t>Solio</t>
        </is>
      </c>
      <c r="O381" s="5" t="n">
        <v>60</v>
      </c>
      <c r="P381" t="b">
        <v>1</v>
      </c>
      <c r="Q381" s="5">
        <f>IF(N(O381)&lt;=0,0,MIN(Assumptions!$B$15,N(M381)/N(O381)))</f>
        <v/>
      </c>
      <c r="R381" s="4" t="n">
        <v>0.224</v>
      </c>
      <c r="S381" s="3" t="n">
        <v>0</v>
      </c>
      <c r="T381" t="inlineStr">
        <is>
          <t>blended xG</t>
        </is>
      </c>
      <c r="U381" s="3" t="n">
        <v>1</v>
      </c>
      <c r="V381" s="3" t="n">
        <v>1</v>
      </c>
      <c r="W381" s="3" t="n">
        <v>0</v>
      </c>
      <c r="X381" s="3" t="n">
        <v>0.0027</v>
      </c>
      <c r="Y381" s="3" t="n">
        <v>7.574</v>
      </c>
      <c r="Z381" s="3" t="n">
        <v>0.03365266538741662</v>
      </c>
      <c r="AA381" s="3" t="n">
        <v>0</v>
      </c>
      <c r="AB381" s="3" t="n">
        <v>4</v>
      </c>
      <c r="AC381" s="3" t="n">
        <v>3.1134</v>
      </c>
      <c r="AD381" s="3" t="n">
        <v>1.5588</v>
      </c>
      <c r="AE381" s="3" t="n">
        <v>-0.1856762914939266</v>
      </c>
      <c r="AF381" s="4" t="n">
        <v>0</v>
      </c>
      <c r="AG381" s="3" t="n">
        <v>0</v>
      </c>
      <c r="AH381" s="3" t="n">
        <v>0</v>
      </c>
      <c r="AI381" s="3" t="n">
        <v>0.010692</v>
      </c>
      <c r="AJ381" s="3">
        <f>N(R381)*N(BC381)</f>
        <v/>
      </c>
      <c r="AK381" s="3" t="n">
        <v>0</v>
      </c>
      <c r="AL381" s="3" t="n">
        <v>0</v>
      </c>
      <c r="AM381" s="3" t="n">
        <v>-0.5404658182244797</v>
      </c>
      <c r="AN381" s="3" t="n">
        <v>-0.1856762914939266</v>
      </c>
      <c r="AO381" s="3">
        <f>SUM(AH381:AN381)</f>
        <v/>
      </c>
      <c r="AP381" s="5">
        <f>IF(OR(N(Q381)&lt;=0,N(BA381)=0),0,N(Q381)*IF(N(M381)/N(Q381)&gt;=60,N(BA381),1))</f>
        <v/>
      </c>
      <c r="AQ381" s="5">
        <f>N(Q381)*N(Z381)*N(BB381)</f>
        <v/>
      </c>
      <c r="AR381" s="5">
        <f>N(AF381)*(Assumptions!$B$13*N(BD381)-(1-Assumptions!$B$13)*Assumptions!$B$14)+N(AG381)</f>
        <v/>
      </c>
      <c r="AS381" s="5">
        <f>N(AO381)*N(M381)/90+N(AP381)+N(AQ381)+N(AR381)</f>
        <v/>
      </c>
      <c r="AT381" s="3">
        <f>IF(N(M381)&lt;=0,0,(N(AS381)-N(AR381))*90/N(M381))</f>
        <v/>
      </c>
      <c r="AU381" s="5">
        <f>IFERROR(AS381-VLOOKUP($C381,Assumptions!$A$36:$C$39,3,FALSE),"")</f>
        <v/>
      </c>
      <c r="AV381" s="3">
        <f>IFERROR(AU381/F381,"")</f>
        <v/>
      </c>
      <c r="AW381">
        <f>IF(AND($E381=TRUE,$C381="GKP"),AS381,"")</f>
        <v/>
      </c>
      <c r="AX381">
        <f>IF(AND($E381=TRUE,$C381="DEF"),AS381,"")</f>
        <v/>
      </c>
      <c r="AY381">
        <f>IF(AND($E381=TRUE,$C381="MID"),AS381,"")</f>
        <v/>
      </c>
      <c r="AZ381">
        <f>IF(AND($E381=TRUE,$C381="FWD"),AS381,"")</f>
        <v/>
      </c>
      <c r="BA381" t="n">
        <v>2</v>
      </c>
      <c r="BB381" t="n">
        <v>2</v>
      </c>
      <c r="BC381" t="n">
        <v>4</v>
      </c>
      <c r="BD381" t="n">
        <v>6</v>
      </c>
    </row>
    <row r="382">
      <c r="A382" t="inlineStr">
        <is>
          <t>Alex Murphy</t>
        </is>
      </c>
      <c r="B382" t="inlineStr">
        <is>
          <t>NEW</t>
        </is>
      </c>
      <c r="C382" t="inlineStr">
        <is>
          <t>DEF</t>
        </is>
      </c>
      <c r="D382" t="inlineStr">
        <is>
          <t>DEF</t>
        </is>
      </c>
      <c r="E382" t="b">
        <v>1</v>
      </c>
      <c r="F382" s="2" t="n">
        <v>4</v>
      </c>
      <c r="G382" t="inlineStr">
        <is>
          <t>u</t>
        </is>
      </c>
      <c r="H382" t="inlineStr">
        <is>
          <t>Has joined FC Kaiserslautern on loan for the rest of the season</t>
        </is>
      </c>
      <c r="I382" s="2" t="n">
        <v>7</v>
      </c>
      <c r="J382" t="n">
        <v>2</v>
      </c>
      <c r="K382" s="3" t="n"/>
      <c r="M382" s="4" t="n">
        <v>7</v>
      </c>
      <c r="N382" t="inlineStr">
        <is>
          <t>25/26 actual</t>
        </is>
      </c>
      <c r="O382" s="5" t="n">
        <v>85</v>
      </c>
      <c r="P382" t="b">
        <v>1</v>
      </c>
      <c r="Q382" s="5">
        <f>IF(N(O382)&lt;=0,0,MIN(Assumptions!$B$15,N(M382)/N(O382)))</f>
        <v/>
      </c>
      <c r="R382" s="4" t="n">
        <v>0.248</v>
      </c>
      <c r="S382" s="3" t="n">
        <v>0</v>
      </c>
      <c r="T382" t="inlineStr">
        <is>
          <t>blended xG</t>
        </is>
      </c>
      <c r="U382" s="3" t="n">
        <v>1</v>
      </c>
      <c r="V382" s="3" t="n">
        <v>1</v>
      </c>
      <c r="W382" s="3" t="n">
        <v>0</v>
      </c>
      <c r="X382" s="3" t="n">
        <v>0</v>
      </c>
      <c r="Y382" s="3" t="n">
        <v>8.106</v>
      </c>
      <c r="Z382" s="3" t="n">
        <v>0.2416755150304102</v>
      </c>
      <c r="AA382" s="3" t="n">
        <v>0</v>
      </c>
      <c r="AB382" s="3" t="n">
        <v>2</v>
      </c>
      <c r="AC382" s="3" t="n">
        <v>3.0912</v>
      </c>
      <c r="AD382" s="3" t="n">
        <v>1.4534</v>
      </c>
      <c r="AE382" s="3" t="n">
        <v>-0.2030827297347638</v>
      </c>
      <c r="AF382" s="4" t="n">
        <v>0</v>
      </c>
      <c r="AG382" s="3" t="n">
        <v>0</v>
      </c>
      <c r="AH382" s="3" t="n">
        <v>0</v>
      </c>
      <c r="AI382" s="3" t="n">
        <v>0</v>
      </c>
      <c r="AJ382" s="3">
        <f>N(R382)*N(BC382)</f>
        <v/>
      </c>
      <c r="AK382" s="3" t="n">
        <v>0</v>
      </c>
      <c r="AL382" s="3" t="n">
        <v>0</v>
      </c>
      <c r="AM382" s="3" t="n">
        <v>-0.4903625828545308</v>
      </c>
      <c r="AN382" s="3" t="n">
        <v>-0.2030827297347638</v>
      </c>
      <c r="AO382" s="3">
        <f>SUM(AH382:AN382)</f>
        <v/>
      </c>
      <c r="AP382" s="5">
        <f>IF(OR(N(Q382)&lt;=0,N(BA382)=0),0,N(Q382)*IF(N(M382)/N(Q382)&gt;=60,N(BA382),1))</f>
        <v/>
      </c>
      <c r="AQ382" s="5">
        <f>N(Q382)*N(Z382)*N(BB382)</f>
        <v/>
      </c>
      <c r="AR382" s="5">
        <f>N(AF382)*(Assumptions!$B$13*N(BD382)-(1-Assumptions!$B$13)*Assumptions!$B$14)+N(AG382)</f>
        <v/>
      </c>
      <c r="AS382" s="5">
        <f>N(AO382)*N(M382)/90+N(AP382)+N(AQ382)+N(AR382)</f>
        <v/>
      </c>
      <c r="AT382" s="3">
        <f>IF(N(M382)&lt;=0,0,(N(AS382)-N(AR382))*90/N(M382))</f>
        <v/>
      </c>
      <c r="AU382" s="5">
        <f>IFERROR(AS382-VLOOKUP($C382,Assumptions!$A$36:$C$39,3,FALSE),"")</f>
        <v/>
      </c>
      <c r="AV382" s="3">
        <f>IFERROR(AU382/F382,"")</f>
        <v/>
      </c>
      <c r="AW382">
        <f>IF(AND($E382=TRUE,$C382="GKP"),AS382,"")</f>
        <v/>
      </c>
      <c r="AX382">
        <f>IF(AND($E382=TRUE,$C382="DEF"),AS382,"")</f>
        <v/>
      </c>
      <c r="AY382">
        <f>IF(AND($E382=TRUE,$C382="MID"),AS382,"")</f>
        <v/>
      </c>
      <c r="AZ382">
        <f>IF(AND($E382=TRUE,$C382="FWD"),AS382,"")</f>
        <v/>
      </c>
      <c r="BA382" t="n">
        <v>2</v>
      </c>
      <c r="BB382" t="n">
        <v>2</v>
      </c>
      <c r="BC382" t="n">
        <v>4</v>
      </c>
      <c r="BD382" t="n">
        <v>6</v>
      </c>
    </row>
    <row r="383">
      <c r="A383" t="inlineStr">
        <is>
          <t>Joél Drakes-Thomas</t>
        </is>
      </c>
      <c r="B383" t="inlineStr">
        <is>
          <t>CRY</t>
        </is>
      </c>
      <c r="C383" t="inlineStr">
        <is>
          <t>MID</t>
        </is>
      </c>
      <c r="D383" t="inlineStr">
        <is>
          <t>MID</t>
        </is>
      </c>
      <c r="E383" t="b">
        <v>1</v>
      </c>
      <c r="F383" s="2" t="n">
        <v>4.5</v>
      </c>
      <c r="G383" t="inlineStr">
        <is>
          <t>a</t>
        </is>
      </c>
      <c r="I383" s="2" t="n">
        <v>7</v>
      </c>
      <c r="J383" t="n">
        <v>2</v>
      </c>
      <c r="K383" s="3" t="n">
        <v>0</v>
      </c>
      <c r="L383" t="inlineStr">
        <is>
          <t>flat</t>
        </is>
      </c>
      <c r="M383" s="4" t="n">
        <v>0</v>
      </c>
      <c r="N383" t="inlineStr">
        <is>
          <t>Solio</t>
        </is>
      </c>
      <c r="O383" s="5" t="n">
        <v>85</v>
      </c>
      <c r="P383" t="b">
        <v>1</v>
      </c>
      <c r="Q383" s="5">
        <f>IF(N(O383)&lt;=0,0,MIN(Assumptions!$B$15,N(M383)/N(O383)))</f>
        <v/>
      </c>
      <c r="R383" s="4" t="n">
        <v>0.216</v>
      </c>
      <c r="S383" s="3" t="n">
        <v>0</v>
      </c>
      <c r="T383" t="inlineStr">
        <is>
          <t>blended xG</t>
        </is>
      </c>
      <c r="U383" s="3" t="n">
        <v>1</v>
      </c>
      <c r="V383" s="3" t="n">
        <v>1</v>
      </c>
      <c r="W383" s="3" t="n">
        <v>0</v>
      </c>
      <c r="X383" s="3" t="n">
        <v>0</v>
      </c>
      <c r="Y383" s="3" t="n">
        <v>8.866</v>
      </c>
      <c r="Z383" s="3" t="n">
        <v>0.1407454951921185</v>
      </c>
      <c r="AA383" s="3" t="n">
        <v>0</v>
      </c>
      <c r="AB383" s="3" t="n">
        <v>2</v>
      </c>
      <c r="AC383" s="3" t="n">
        <v>3.2035</v>
      </c>
      <c r="AD383" s="3" t="n">
        <v>1.5923</v>
      </c>
      <c r="AE383" s="3" t="n">
        <v>-0.2150787580952838</v>
      </c>
      <c r="AF383" s="4" t="n">
        <v>0</v>
      </c>
      <c r="AG383" s="3" t="n">
        <v>0</v>
      </c>
      <c r="AH383" s="3" t="n">
        <v>0</v>
      </c>
      <c r="AI383" s="3" t="n">
        <v>0</v>
      </c>
      <c r="AJ383" s="3">
        <f>N(R383)*N(BC383)</f>
        <v/>
      </c>
      <c r="AK383" s="3" t="n">
        <v>0</v>
      </c>
      <c r="AL383" s="3" t="n">
        <v>0</v>
      </c>
      <c r="AM383" s="3" t="n">
        <v>-0</v>
      </c>
      <c r="AN383" s="3" t="n">
        <v>-0.2150787580952838</v>
      </c>
      <c r="AO383" s="3">
        <f>SUM(AH383:AN383)</f>
        <v/>
      </c>
      <c r="AP383" s="5">
        <f>IF(OR(N(Q383)&lt;=0,N(BA383)=0),0,N(Q383)*IF(N(M383)/N(Q383)&gt;=60,N(BA383),1))</f>
        <v/>
      </c>
      <c r="AQ383" s="5">
        <f>N(Q383)*N(Z383)*N(BB383)</f>
        <v/>
      </c>
      <c r="AR383" s="5">
        <f>N(AF383)*(Assumptions!$B$13*N(BD383)-(1-Assumptions!$B$13)*Assumptions!$B$14)+N(AG383)</f>
        <v/>
      </c>
      <c r="AS383" s="5">
        <f>N(AO383)*N(M383)/90+N(AP383)+N(AQ383)+N(AR383)</f>
        <v/>
      </c>
      <c r="AT383" s="3">
        <f>IF(N(M383)&lt;=0,0,(N(AS383)-N(AR383))*90/N(M383))</f>
        <v/>
      </c>
      <c r="AU383" s="5">
        <f>IFERROR(AS383-VLOOKUP($C383,Assumptions!$A$36:$C$39,3,FALSE),"")</f>
        <v/>
      </c>
      <c r="AV383" s="3">
        <f>IFERROR(AU383/F383,"")</f>
        <v/>
      </c>
      <c r="AW383">
        <f>IF(AND($E383=TRUE,$C383="GKP"),AS383,"")</f>
        <v/>
      </c>
      <c r="AX383">
        <f>IF(AND($E383=TRUE,$C383="DEF"),AS383,"")</f>
        <v/>
      </c>
      <c r="AY383">
        <f>IF(AND($E383=TRUE,$C383="MID"),AS383,"")</f>
        <v/>
      </c>
      <c r="AZ383">
        <f>IF(AND($E383=TRUE,$C383="FWD"),AS383,"")</f>
        <v/>
      </c>
      <c r="BA383" t="n">
        <v>2</v>
      </c>
      <c r="BB383" t="n">
        <v>2</v>
      </c>
      <c r="BC383" t="n">
        <v>1</v>
      </c>
      <c r="BD383" t="n">
        <v>5</v>
      </c>
    </row>
    <row r="384">
      <c r="A384" t="inlineStr">
        <is>
          <t>Kepa Arrizabalaga</t>
        </is>
      </c>
      <c r="B384" t="inlineStr">
        <is>
          <t>ARS</t>
        </is>
      </c>
      <c r="C384" t="inlineStr">
        <is>
          <t>GKP</t>
        </is>
      </c>
      <c r="D384" t="inlineStr">
        <is>
          <t>GKP</t>
        </is>
      </c>
      <c r="E384" t="b">
        <v>1</v>
      </c>
      <c r="F384" s="2" t="n">
        <v>5</v>
      </c>
      <c r="G384" t="inlineStr">
        <is>
          <t>a</t>
        </is>
      </c>
      <c r="I384" s="2" t="n">
        <v>90</v>
      </c>
      <c r="J384" t="n">
        <v>2</v>
      </c>
      <c r="K384" s="3" t="n">
        <v>35</v>
      </c>
      <c r="L384" t="inlineStr">
        <is>
          <t>flat</t>
        </is>
      </c>
      <c r="M384" s="4" t="n">
        <v>35</v>
      </c>
      <c r="N384" t="inlineStr">
        <is>
          <t>Solio</t>
        </is>
      </c>
      <c r="O384" s="5" t="n">
        <v>90</v>
      </c>
      <c r="P384" t="b">
        <v>1</v>
      </c>
      <c r="Q384" s="5">
        <f>IF(N(O384)&lt;=0,0,MIN(Assumptions!$B$15,N(M384)/N(O384)))</f>
        <v/>
      </c>
      <c r="R384" s="4" t="n">
        <v>0.391</v>
      </c>
      <c r="S384" s="3" t="n">
        <v>0</v>
      </c>
      <c r="T384" t="inlineStr">
        <is>
          <t>adjusted xGOT</t>
        </is>
      </c>
      <c r="U384" s="3" t="n">
        <v>1</v>
      </c>
      <c r="V384" s="3" t="n">
        <v>0.993</v>
      </c>
      <c r="W384" s="3" t="n">
        <v>0.1</v>
      </c>
      <c r="X384" s="3" t="n">
        <v>0</v>
      </c>
      <c r="Y384" s="3" t="n">
        <v>0</v>
      </c>
      <c r="Z384" s="3" t="n">
        <v>0</v>
      </c>
      <c r="AA384" s="3" t="n">
        <v>0</v>
      </c>
      <c r="AB384" s="3" t="n">
        <v>2</v>
      </c>
      <c r="AC384" s="3" t="n">
        <v>2.067</v>
      </c>
      <c r="AD384" s="3" t="n">
        <v>0.9838</v>
      </c>
      <c r="AE384" s="3" t="n">
        <v>-0.0864937396017854</v>
      </c>
      <c r="AF384" s="4" t="n">
        <v>0</v>
      </c>
      <c r="AG384" s="3" t="n">
        <v>0.0214943771917284</v>
      </c>
      <c r="AH384" s="3" t="n">
        <v>0</v>
      </c>
      <c r="AI384" s="3" t="n">
        <v>0</v>
      </c>
      <c r="AJ384" s="3">
        <f>N(R384)*N(BC384)</f>
        <v/>
      </c>
      <c r="AK384" s="3" t="n">
        <v>0</v>
      </c>
      <c r="AL384" s="3" t="n">
        <v>0.3608597487600056</v>
      </c>
      <c r="AM384" s="3" t="n">
        <v>-0.2768479886568037</v>
      </c>
      <c r="AN384" s="3" t="n">
        <v>-0.0864937396017854</v>
      </c>
      <c r="AO384" s="3">
        <f>SUM(AH384:AN384)</f>
        <v/>
      </c>
      <c r="AP384" s="5">
        <f>IF(OR(N(Q384)&lt;=0,N(BA384)=0),0,N(Q384)*IF(N(M384)/N(Q384)&gt;=60,N(BA384),1))</f>
        <v/>
      </c>
      <c r="AQ384" s="5">
        <f>N(Q384)*N(Z384)*N(BB384)</f>
        <v/>
      </c>
      <c r="AR384" s="5">
        <f>N(AF384)*(Assumptions!$B$13*N(BD384)-(1-Assumptions!$B$13)*Assumptions!$B$14)+N(AG384)</f>
        <v/>
      </c>
      <c r="AS384" s="5">
        <f>N(AO384)*N(M384)/90+N(AP384)+N(AQ384)+N(AR384)</f>
        <v/>
      </c>
      <c r="AT384" s="3">
        <f>IF(N(M384)&lt;=0,0,(N(AS384)-N(AR384))*90/N(M384))</f>
        <v/>
      </c>
      <c r="AU384" s="5">
        <f>IFERROR(AS384-VLOOKUP($C384,Assumptions!$A$36:$C$39,3,FALSE),"")</f>
        <v/>
      </c>
      <c r="AV384" s="3">
        <f>IFERROR(AU384/F384,"")</f>
        <v/>
      </c>
      <c r="AW384">
        <f>IF(AND($E384=TRUE,$C384="GKP"),AS384,"")</f>
        <v/>
      </c>
      <c r="AX384">
        <f>IF(AND($E384=TRUE,$C384="DEF"),AS384,"")</f>
        <v/>
      </c>
      <c r="AY384">
        <f>IF(AND($E384=TRUE,$C384="MID"),AS384,"")</f>
        <v/>
      </c>
      <c r="AZ384">
        <f>IF(AND($E384=TRUE,$C384="FWD"),AS384,"")</f>
        <v/>
      </c>
      <c r="BA384" t="n">
        <v>2</v>
      </c>
      <c r="BB384" t="n">
        <v>0</v>
      </c>
      <c r="BC384" t="n">
        <v>4</v>
      </c>
      <c r="BD384" t="n">
        <v>10</v>
      </c>
    </row>
    <row r="385">
      <c r="A385" t="inlineStr">
        <is>
          <t>Divine Mukasa</t>
        </is>
      </c>
      <c r="B385" t="inlineStr">
        <is>
          <t>MCI</t>
        </is>
      </c>
      <c r="C385" t="inlineStr">
        <is>
          <t>MID</t>
        </is>
      </c>
      <c r="D385" t="inlineStr">
        <is>
          <t>MID</t>
        </is>
      </c>
      <c r="E385" t="b">
        <v>1</v>
      </c>
      <c r="F385" s="2" t="n">
        <v>4.5</v>
      </c>
      <c r="G385" t="inlineStr">
        <is>
          <t>a</t>
        </is>
      </c>
      <c r="I385" s="2" t="n">
        <v>25</v>
      </c>
      <c r="J385" t="n">
        <v>2</v>
      </c>
      <c r="K385" s="3" t="n">
        <v>0</v>
      </c>
      <c r="L385" t="inlineStr">
        <is>
          <t>flat</t>
        </is>
      </c>
      <c r="M385" s="4" t="n">
        <v>0</v>
      </c>
      <c r="N385" t="inlineStr">
        <is>
          <t>Solio</t>
        </is>
      </c>
      <c r="O385" s="5" t="n">
        <v>85</v>
      </c>
      <c r="P385" t="b">
        <v>1</v>
      </c>
      <c r="Q385" s="5">
        <f>IF(N(O385)&lt;=0,0,MIN(Assumptions!$B$15,N(M385)/N(O385)))</f>
        <v/>
      </c>
      <c r="R385" s="4" t="n">
        <v>0.371</v>
      </c>
      <c r="S385" s="3" t="n">
        <v>0</v>
      </c>
      <c r="T385" t="inlineStr">
        <is>
          <t>blended xG</t>
        </is>
      </c>
      <c r="U385" s="3" t="n">
        <v>1</v>
      </c>
      <c r="V385" s="3" t="n">
        <v>1</v>
      </c>
      <c r="W385" s="3" t="n">
        <v>0</v>
      </c>
      <c r="X385" s="3" t="n">
        <v>0.7591</v>
      </c>
      <c r="Y385" s="3" t="n">
        <v>8.41</v>
      </c>
      <c r="Z385" s="3" t="n">
        <v>0.1078375052224695</v>
      </c>
      <c r="AA385" s="3" t="n">
        <v>0</v>
      </c>
      <c r="AB385" s="3" t="n">
        <v>2</v>
      </c>
      <c r="AC385" s="3" t="n">
        <v>1.9737</v>
      </c>
      <c r="AD385" s="3" t="n">
        <v>1.0365</v>
      </c>
      <c r="AE385" s="3" t="n">
        <v>-0.2126405378231206</v>
      </c>
      <c r="AF385" s="4" t="n">
        <v>0</v>
      </c>
      <c r="AG385" s="3" t="n">
        <v>0</v>
      </c>
      <c r="AH385" s="3" t="n">
        <v>0</v>
      </c>
      <c r="AI385" s="3" t="n">
        <v>3.006036</v>
      </c>
      <c r="AJ385" s="3">
        <f>N(R385)*N(BC385)</f>
        <v/>
      </c>
      <c r="AK385" s="3" t="n">
        <v>0</v>
      </c>
      <c r="AL385" s="3" t="n">
        <v>0</v>
      </c>
      <c r="AM385" s="3" t="n">
        <v>-0</v>
      </c>
      <c r="AN385" s="3" t="n">
        <v>-0.2126405378231206</v>
      </c>
      <c r="AO385" s="3">
        <f>SUM(AH385:AN385)</f>
        <v/>
      </c>
      <c r="AP385" s="5">
        <f>IF(OR(N(Q385)&lt;=0,N(BA385)=0),0,N(Q385)*IF(N(M385)/N(Q385)&gt;=60,N(BA385),1))</f>
        <v/>
      </c>
      <c r="AQ385" s="5">
        <f>N(Q385)*N(Z385)*N(BB385)</f>
        <v/>
      </c>
      <c r="AR385" s="5">
        <f>N(AF385)*(Assumptions!$B$13*N(BD385)-(1-Assumptions!$B$13)*Assumptions!$B$14)+N(AG385)</f>
        <v/>
      </c>
      <c r="AS385" s="5">
        <f>N(AO385)*N(M385)/90+N(AP385)+N(AQ385)+N(AR385)</f>
        <v/>
      </c>
      <c r="AT385" s="3">
        <f>IF(N(M385)&lt;=0,0,(N(AS385)-N(AR385))*90/N(M385))</f>
        <v/>
      </c>
      <c r="AU385" s="5">
        <f>IFERROR(AS385-VLOOKUP($C385,Assumptions!$A$36:$C$39,3,FALSE),"")</f>
        <v/>
      </c>
      <c r="AV385" s="3">
        <f>IFERROR(AU385/F385,"")</f>
        <v/>
      </c>
      <c r="AW385">
        <f>IF(AND($E385=TRUE,$C385="GKP"),AS385,"")</f>
        <v/>
      </c>
      <c r="AX385">
        <f>IF(AND($E385=TRUE,$C385="DEF"),AS385,"")</f>
        <v/>
      </c>
      <c r="AY385">
        <f>IF(AND($E385=TRUE,$C385="MID"),AS385,"")</f>
        <v/>
      </c>
      <c r="AZ385">
        <f>IF(AND($E385=TRUE,$C385="FWD"),AS385,"")</f>
        <v/>
      </c>
      <c r="BA385" t="n">
        <v>2</v>
      </c>
      <c r="BB385" t="n">
        <v>2</v>
      </c>
      <c r="BC385" t="n">
        <v>1</v>
      </c>
      <c r="BD385" t="n">
        <v>5</v>
      </c>
    </row>
    <row r="386">
      <c r="A386" t="inlineStr">
        <is>
          <t>Josh Dasilva</t>
        </is>
      </c>
      <c r="B386" t="inlineStr">
        <is>
          <t>BRE</t>
        </is>
      </c>
      <c r="C386" t="inlineStr">
        <is>
          <t>MID</t>
        </is>
      </c>
      <c r="D386" t="inlineStr">
        <is>
          <t>MID</t>
        </is>
      </c>
      <c r="E386" t="b">
        <v>1</v>
      </c>
      <c r="F386" s="2" t="n">
        <v>5</v>
      </c>
      <c r="G386" t="inlineStr">
        <is>
          <t>a</t>
        </is>
      </c>
      <c r="I386" s="2" t="n">
        <v>2</v>
      </c>
      <c r="J386" t="n">
        <v>2</v>
      </c>
      <c r="K386" s="3" t="n">
        <v>0</v>
      </c>
      <c r="L386" t="inlineStr">
        <is>
          <t>flat</t>
        </is>
      </c>
      <c r="M386" s="4" t="n">
        <v>0</v>
      </c>
      <c r="N386" t="inlineStr">
        <is>
          <t>Solio</t>
        </is>
      </c>
      <c r="O386" s="5" t="n">
        <v>85</v>
      </c>
      <c r="P386" t="b">
        <v>1</v>
      </c>
      <c r="Q386" s="5">
        <f>IF(N(O386)&lt;=0,0,MIN(Assumptions!$B$15,N(M386)/N(O386)))</f>
        <v/>
      </c>
      <c r="R386" s="4" t="n">
        <v>0.228</v>
      </c>
      <c r="S386" s="3" t="n">
        <v>3.87</v>
      </c>
      <c r="T386" t="inlineStr">
        <is>
          <t>adjusted xGOT</t>
        </is>
      </c>
      <c r="U386" s="3" t="n">
        <v>1</v>
      </c>
      <c r="V386" s="3" t="n">
        <v>1.077</v>
      </c>
      <c r="W386" s="3" t="n">
        <v>1.7</v>
      </c>
      <c r="X386" s="3" t="n">
        <v>0</v>
      </c>
      <c r="Y386" s="3" t="n">
        <v>8.678000000000001</v>
      </c>
      <c r="Z386" s="3" t="n">
        <v>0.1265814005692335</v>
      </c>
      <c r="AA386" s="3" t="n">
        <v>0</v>
      </c>
      <c r="AB386" s="3" t="n">
        <v>2</v>
      </c>
      <c r="AC386" s="3" t="n">
        <v>3.2371</v>
      </c>
      <c r="AD386" s="3" t="n">
        <v>1.5396</v>
      </c>
      <c r="AE386" s="3" t="n">
        <v>-0.2145589846271921</v>
      </c>
      <c r="AF386" s="4" t="n">
        <v>0</v>
      </c>
      <c r="AG386" s="3" t="n">
        <v>0</v>
      </c>
      <c r="AH386" s="3" t="n">
        <v>19.35</v>
      </c>
      <c r="AI386" s="3" t="n">
        <v>0</v>
      </c>
      <c r="AJ386" s="3">
        <f>N(R386)*N(BC386)</f>
        <v/>
      </c>
      <c r="AK386" s="3" t="n">
        <v>0</v>
      </c>
      <c r="AL386" s="3" t="n">
        <v>0</v>
      </c>
      <c r="AM386" s="3" t="n">
        <v>-0</v>
      </c>
      <c r="AN386" s="3" t="n">
        <v>-0.2145589846271921</v>
      </c>
      <c r="AO386" s="3">
        <f>SUM(AH386:AN386)</f>
        <v/>
      </c>
      <c r="AP386" s="5">
        <f>IF(OR(N(Q386)&lt;=0,N(BA386)=0),0,N(Q386)*IF(N(M386)/N(Q386)&gt;=60,N(BA386),1))</f>
        <v/>
      </c>
      <c r="AQ386" s="5">
        <f>N(Q386)*N(Z386)*N(BB386)</f>
        <v/>
      </c>
      <c r="AR386" s="5">
        <f>N(AF386)*(Assumptions!$B$13*N(BD386)-(1-Assumptions!$B$13)*Assumptions!$B$14)+N(AG386)</f>
        <v/>
      </c>
      <c r="AS386" s="5">
        <f>N(AO386)*N(M386)/90+N(AP386)+N(AQ386)+N(AR386)</f>
        <v/>
      </c>
      <c r="AT386" s="3">
        <f>IF(N(M386)&lt;=0,0,(N(AS386)-N(AR386))*90/N(M386))</f>
        <v/>
      </c>
      <c r="AU386" s="5">
        <f>IFERROR(AS386-VLOOKUP($C386,Assumptions!$A$36:$C$39,3,FALSE),"")</f>
        <v/>
      </c>
      <c r="AV386" s="3">
        <f>IFERROR(AU386/F386,"")</f>
        <v/>
      </c>
      <c r="AW386">
        <f>IF(AND($E386=TRUE,$C386="GKP"),AS386,"")</f>
        <v/>
      </c>
      <c r="AX386">
        <f>IF(AND($E386=TRUE,$C386="DEF"),AS386,"")</f>
        <v/>
      </c>
      <c r="AY386">
        <f>IF(AND($E386=TRUE,$C386="MID"),AS386,"")</f>
        <v/>
      </c>
      <c r="AZ386">
        <f>IF(AND($E386=TRUE,$C386="FWD"),AS386,"")</f>
        <v/>
      </c>
      <c r="BA386" t="n">
        <v>2</v>
      </c>
      <c r="BB386" t="n">
        <v>2</v>
      </c>
      <c r="BC386" t="n">
        <v>1</v>
      </c>
      <c r="BD386" t="n">
        <v>5</v>
      </c>
    </row>
    <row r="387">
      <c r="A387" t="inlineStr">
        <is>
          <t>Tyler Fletcher</t>
        </is>
      </c>
      <c r="B387" t="inlineStr">
        <is>
          <t>MUN</t>
        </is>
      </c>
      <c r="C387" t="inlineStr">
        <is>
          <t>MID</t>
        </is>
      </c>
      <c r="D387" t="inlineStr">
        <is>
          <t>MID</t>
        </is>
      </c>
      <c r="E387" t="b">
        <v>1</v>
      </c>
      <c r="F387" s="2" t="n">
        <v>4.5</v>
      </c>
      <c r="G387" t="inlineStr">
        <is>
          <t>a</t>
        </is>
      </c>
      <c r="I387" s="2" t="n">
        <v>17</v>
      </c>
      <c r="J387" t="n">
        <v>2</v>
      </c>
      <c r="K387" s="3" t="n">
        <v>52</v>
      </c>
      <c r="L387" t="inlineStr">
        <is>
          <t>flat</t>
        </is>
      </c>
      <c r="M387" s="4" t="n">
        <v>52</v>
      </c>
      <c r="N387" t="inlineStr">
        <is>
          <t>Solio</t>
        </is>
      </c>
      <c r="O387" s="5" t="n">
        <v>85</v>
      </c>
      <c r="P387" t="b">
        <v>1</v>
      </c>
      <c r="Q387" s="5">
        <f>IF(N(O387)&lt;=0,0,MIN(Assumptions!$B$15,N(M387)/N(O387)))</f>
        <v/>
      </c>
      <c r="R387" s="4" t="n">
        <v>0.334</v>
      </c>
      <c r="S387" s="3" t="n">
        <v>0</v>
      </c>
      <c r="T387" t="inlineStr">
        <is>
          <t>blended xG</t>
        </is>
      </c>
      <c r="U387" s="3" t="n">
        <v>1</v>
      </c>
      <c r="V387" s="3" t="n">
        <v>1</v>
      </c>
      <c r="W387" s="3" t="n">
        <v>0</v>
      </c>
      <c r="X387" s="3" t="n">
        <v>0.0265</v>
      </c>
      <c r="Y387" s="3" t="n">
        <v>8.622999999999999</v>
      </c>
      <c r="Z387" s="3" t="n">
        <v>0.122594592135323</v>
      </c>
      <c r="AA387" s="3" t="n">
        <v>0</v>
      </c>
      <c r="AB387" s="3" t="n">
        <v>2</v>
      </c>
      <c r="AC387" s="3" t="n">
        <v>2.2165</v>
      </c>
      <c r="AD387" s="3" t="n">
        <v>1.1467</v>
      </c>
      <c r="AE387" s="3" t="n">
        <v>-0.2137167537108107</v>
      </c>
      <c r="AF387" s="4" t="n">
        <v>0</v>
      </c>
      <c r="AG387" s="3" t="n">
        <v>0</v>
      </c>
      <c r="AH387" s="3" t="n">
        <v>0</v>
      </c>
      <c r="AI387" s="3" t="n">
        <v>0.10494</v>
      </c>
      <c r="AJ387" s="3">
        <f>N(R387)*N(BC387)</f>
        <v/>
      </c>
      <c r="AK387" s="3" t="n">
        <v>0</v>
      </c>
      <c r="AL387" s="3" t="n">
        <v>0</v>
      </c>
      <c r="AM387" s="3" t="n">
        <v>-0</v>
      </c>
      <c r="AN387" s="3" t="n">
        <v>-0.2137167537108107</v>
      </c>
      <c r="AO387" s="3">
        <f>SUM(AH387:AN387)</f>
        <v/>
      </c>
      <c r="AP387" s="5">
        <f>IF(OR(N(Q387)&lt;=0,N(BA387)=0),0,N(Q387)*IF(N(M387)/N(Q387)&gt;=60,N(BA387),1))</f>
        <v/>
      </c>
      <c r="AQ387" s="5">
        <f>N(Q387)*N(Z387)*N(BB387)</f>
        <v/>
      </c>
      <c r="AR387" s="5">
        <f>N(AF387)*(Assumptions!$B$13*N(BD387)-(1-Assumptions!$B$13)*Assumptions!$B$14)+N(AG387)</f>
        <v/>
      </c>
      <c r="AS387" s="5">
        <f>N(AO387)*N(M387)/90+N(AP387)+N(AQ387)+N(AR387)</f>
        <v/>
      </c>
      <c r="AT387" s="3">
        <f>IF(N(M387)&lt;=0,0,(N(AS387)-N(AR387))*90/N(M387))</f>
        <v/>
      </c>
      <c r="AU387" s="5">
        <f>IFERROR(AS387-VLOOKUP($C387,Assumptions!$A$36:$C$39,3,FALSE),"")</f>
        <v/>
      </c>
      <c r="AV387" s="3">
        <f>IFERROR(AU387/F387,"")</f>
        <v/>
      </c>
      <c r="AW387">
        <f>IF(AND($E387=TRUE,$C387="GKP"),AS387,"")</f>
        <v/>
      </c>
      <c r="AX387">
        <f>IF(AND($E387=TRUE,$C387="DEF"),AS387,"")</f>
        <v/>
      </c>
      <c r="AY387">
        <f>IF(AND($E387=TRUE,$C387="MID"),AS387,"")</f>
        <v/>
      </c>
      <c r="AZ387">
        <f>IF(AND($E387=TRUE,$C387="FWD"),AS387,"")</f>
        <v/>
      </c>
      <c r="BA387" t="n">
        <v>2</v>
      </c>
      <c r="BB387" t="n">
        <v>2</v>
      </c>
      <c r="BC387" t="n">
        <v>1</v>
      </c>
      <c r="BD387" t="n">
        <v>5</v>
      </c>
    </row>
    <row r="388">
      <c r="A388" t="inlineStr">
        <is>
          <t>Jenson Seelt</t>
        </is>
      </c>
      <c r="B388" t="inlineStr">
        <is>
          <t>SUN</t>
        </is>
      </c>
      <c r="C388" t="inlineStr">
        <is>
          <t>DEF</t>
        </is>
      </c>
      <c r="D388" t="inlineStr">
        <is>
          <t>DEF</t>
        </is>
      </c>
      <c r="E388" t="b">
        <v>1</v>
      </c>
      <c r="F388" s="2" t="n">
        <v>4.5</v>
      </c>
      <c r="G388" t="inlineStr">
        <is>
          <t>a</t>
        </is>
      </c>
      <c r="I388" s="2" t="n">
        <v>133</v>
      </c>
      <c r="J388" t="n">
        <v>2</v>
      </c>
      <c r="K388" s="3" t="n">
        <v>147</v>
      </c>
      <c r="L388" t="inlineStr">
        <is>
          <t>flat</t>
        </is>
      </c>
      <c r="M388" s="4" t="n">
        <v>147</v>
      </c>
      <c r="N388" t="inlineStr">
        <is>
          <t>Solio</t>
        </is>
      </c>
      <c r="O388" s="5" t="n">
        <v>52</v>
      </c>
      <c r="P388" t="b">
        <v>1</v>
      </c>
      <c r="Q388" s="5">
        <f>IF(N(O388)&lt;=0,0,MIN(Assumptions!$B$15,N(M388)/N(O388)))</f>
        <v/>
      </c>
      <c r="R388" s="4" t="n">
        <v>0.204</v>
      </c>
      <c r="S388" s="3" t="n">
        <v>0</v>
      </c>
      <c r="T388" t="inlineStr">
        <is>
          <t>blended xG</t>
        </is>
      </c>
      <c r="U388" s="3" t="n">
        <v>1</v>
      </c>
      <c r="V388" s="3" t="n">
        <v>1</v>
      </c>
      <c r="W388" s="3" t="n">
        <v>0</v>
      </c>
      <c r="X388" s="3" t="n">
        <v>0.0034</v>
      </c>
      <c r="Y388" s="3" t="n">
        <v>7.753</v>
      </c>
      <c r="Z388" s="3" t="n">
        <v>0.01662296011340036</v>
      </c>
      <c r="AA388" s="3" t="n">
        <v>0</v>
      </c>
      <c r="AB388" s="3" t="n">
        <v>3</v>
      </c>
      <c r="AC388" s="3" t="n">
        <v>3.3348</v>
      </c>
      <c r="AD388" s="3" t="n">
        <v>1.6498</v>
      </c>
      <c r="AE388" s="3" t="n">
        <v>-0.1890223002434963</v>
      </c>
      <c r="AF388" s="4" t="n">
        <v>0</v>
      </c>
      <c r="AG388" s="3" t="n">
        <v>0</v>
      </c>
      <c r="AH388" s="3" t="n">
        <v>0</v>
      </c>
      <c r="AI388" s="3" t="n">
        <v>0.013464</v>
      </c>
      <c r="AJ388" s="3">
        <f>N(R388)*N(BC388)</f>
        <v/>
      </c>
      <c r="AK388" s="3" t="n">
        <v>0</v>
      </c>
      <c r="AL388" s="3" t="n">
        <v>0</v>
      </c>
      <c r="AM388" s="3" t="n">
        <v>-0.5841244809045405</v>
      </c>
      <c r="AN388" s="3" t="n">
        <v>-0.1890223002434963</v>
      </c>
      <c r="AO388" s="3">
        <f>SUM(AH388:AN388)</f>
        <v/>
      </c>
      <c r="AP388" s="5">
        <f>IF(OR(N(Q388)&lt;=0,N(BA388)=0),0,N(Q388)*IF(N(M388)/N(Q388)&gt;=60,N(BA388),1))</f>
        <v/>
      </c>
      <c r="AQ388" s="5">
        <f>N(Q388)*N(Z388)*N(BB388)</f>
        <v/>
      </c>
      <c r="AR388" s="5">
        <f>N(AF388)*(Assumptions!$B$13*N(BD388)-(1-Assumptions!$B$13)*Assumptions!$B$14)+N(AG388)</f>
        <v/>
      </c>
      <c r="AS388" s="5">
        <f>N(AO388)*N(M388)/90+N(AP388)+N(AQ388)+N(AR388)</f>
        <v/>
      </c>
      <c r="AT388" s="3">
        <f>IF(N(M388)&lt;=0,0,(N(AS388)-N(AR388))*90/N(M388))</f>
        <v/>
      </c>
      <c r="AU388" s="5">
        <f>IFERROR(AS388-VLOOKUP($C388,Assumptions!$A$36:$C$39,3,FALSE),"")</f>
        <v/>
      </c>
      <c r="AV388" s="3">
        <f>IFERROR(AU388/F388,"")</f>
        <v/>
      </c>
      <c r="AW388">
        <f>IF(AND($E388=TRUE,$C388="GKP"),AS388,"")</f>
        <v/>
      </c>
      <c r="AX388">
        <f>IF(AND($E388=TRUE,$C388="DEF"),AS388,"")</f>
        <v/>
      </c>
      <c r="AY388">
        <f>IF(AND($E388=TRUE,$C388="MID"),AS388,"")</f>
        <v/>
      </c>
      <c r="AZ388">
        <f>IF(AND($E388=TRUE,$C388="FWD"),AS388,"")</f>
        <v/>
      </c>
      <c r="BA388" t="n">
        <v>2</v>
      </c>
      <c r="BB388" t="n">
        <v>2</v>
      </c>
      <c r="BC388" t="n">
        <v>4</v>
      </c>
      <c r="BD388" t="n">
        <v>6</v>
      </c>
    </row>
    <row r="389">
      <c r="A389" t="inlineStr">
        <is>
          <t>George Hemmings</t>
        </is>
      </c>
      <c r="B389" t="inlineStr">
        <is>
          <t>AVL</t>
        </is>
      </c>
      <c r="C389" t="inlineStr">
        <is>
          <t>MID</t>
        </is>
      </c>
      <c r="D389" t="inlineStr">
        <is>
          <t>MID</t>
        </is>
      </c>
      <c r="E389" t="b">
        <v>1</v>
      </c>
      <c r="F389" s="2" t="n">
        <v>4.5</v>
      </c>
      <c r="G389" t="inlineStr">
        <is>
          <t>a</t>
        </is>
      </c>
      <c r="I389" s="2" t="n">
        <v>25</v>
      </c>
      <c r="J389" t="n">
        <v>2</v>
      </c>
      <c r="K389" s="3" t="n">
        <v>19</v>
      </c>
      <c r="L389" t="inlineStr">
        <is>
          <t>flat</t>
        </is>
      </c>
      <c r="M389" s="4" t="n">
        <v>19</v>
      </c>
      <c r="N389" t="inlineStr">
        <is>
          <t>Solio</t>
        </is>
      </c>
      <c r="O389" s="5" t="n">
        <v>85</v>
      </c>
      <c r="P389" t="b">
        <v>1</v>
      </c>
      <c r="Q389" s="5">
        <f>IF(N(O389)&lt;=0,0,MIN(Assumptions!$B$15,N(M389)/N(O389)))</f>
        <v/>
      </c>
      <c r="R389" s="4" t="n">
        <v>0.273</v>
      </c>
      <c r="S389" s="3" t="n">
        <v>0.144</v>
      </c>
      <c r="T389" t="inlineStr">
        <is>
          <t>adjusted xGOT</t>
        </is>
      </c>
      <c r="U389" s="3" t="n">
        <v>1</v>
      </c>
      <c r="V389" s="3" t="n">
        <v>0.995</v>
      </c>
      <c r="W389" s="3" t="n">
        <v>0</v>
      </c>
      <c r="X389" s="3" t="n">
        <v>0.018</v>
      </c>
      <c r="Y389" s="3" t="n">
        <v>8.41</v>
      </c>
      <c r="Z389" s="3" t="n">
        <v>0.1078375052224695</v>
      </c>
      <c r="AA389" s="3" t="n">
        <v>0</v>
      </c>
      <c r="AB389" s="3" t="n">
        <v>2</v>
      </c>
      <c r="AC389" s="3" t="n">
        <v>2.7451</v>
      </c>
      <c r="AD389" s="3" t="n">
        <v>1.3575</v>
      </c>
      <c r="AE389" s="3" t="n">
        <v>-0.2126405378231206</v>
      </c>
      <c r="AF389" s="4" t="n">
        <v>0</v>
      </c>
      <c r="AG389" s="3" t="n">
        <v>0</v>
      </c>
      <c r="AH389" s="3" t="n">
        <v>0.72</v>
      </c>
      <c r="AI389" s="3" t="n">
        <v>0.07128</v>
      </c>
      <c r="AJ389" s="3">
        <f>N(R389)*N(BC389)</f>
        <v/>
      </c>
      <c r="AK389" s="3" t="n">
        <v>0</v>
      </c>
      <c r="AL389" s="3" t="n">
        <v>0</v>
      </c>
      <c r="AM389" s="3" t="n">
        <v>-0</v>
      </c>
      <c r="AN389" s="3" t="n">
        <v>-0.2126405378231206</v>
      </c>
      <c r="AO389" s="3">
        <f>SUM(AH389:AN389)</f>
        <v/>
      </c>
      <c r="AP389" s="5">
        <f>IF(OR(N(Q389)&lt;=0,N(BA389)=0),0,N(Q389)*IF(N(M389)/N(Q389)&gt;=60,N(BA389),1))</f>
        <v/>
      </c>
      <c r="AQ389" s="5">
        <f>N(Q389)*N(Z389)*N(BB389)</f>
        <v/>
      </c>
      <c r="AR389" s="5">
        <f>N(AF389)*(Assumptions!$B$13*N(BD389)-(1-Assumptions!$B$13)*Assumptions!$B$14)+N(AG389)</f>
        <v/>
      </c>
      <c r="AS389" s="5">
        <f>N(AO389)*N(M389)/90+N(AP389)+N(AQ389)+N(AR389)</f>
        <v/>
      </c>
      <c r="AT389" s="3">
        <f>IF(N(M389)&lt;=0,0,(N(AS389)-N(AR389))*90/N(M389))</f>
        <v/>
      </c>
      <c r="AU389" s="5">
        <f>IFERROR(AS389-VLOOKUP($C389,Assumptions!$A$36:$C$39,3,FALSE),"")</f>
        <v/>
      </c>
      <c r="AV389" s="3">
        <f>IFERROR(AU389/F389,"")</f>
        <v/>
      </c>
      <c r="AW389">
        <f>IF(AND($E389=TRUE,$C389="GKP"),AS389,"")</f>
        <v/>
      </c>
      <c r="AX389">
        <f>IF(AND($E389=TRUE,$C389="DEF"),AS389,"")</f>
        <v/>
      </c>
      <c r="AY389">
        <f>IF(AND($E389=TRUE,$C389="MID"),AS389,"")</f>
        <v/>
      </c>
      <c r="AZ389">
        <f>IF(AND($E389=TRUE,$C389="FWD"),AS389,"")</f>
        <v/>
      </c>
      <c r="BA389" t="n">
        <v>2</v>
      </c>
      <c r="BB389" t="n">
        <v>2</v>
      </c>
      <c r="BC389" t="n">
        <v>1</v>
      </c>
      <c r="BD389" t="n">
        <v>5</v>
      </c>
    </row>
    <row r="390">
      <c r="A390" t="inlineStr">
        <is>
          <t>Dane Scarlett</t>
        </is>
      </c>
      <c r="B390" t="inlineStr">
        <is>
          <t>TOT</t>
        </is>
      </c>
      <c r="C390" t="inlineStr">
        <is>
          <t>FWD</t>
        </is>
      </c>
      <c r="D390" t="inlineStr">
        <is>
          <t>FWD</t>
        </is>
      </c>
      <c r="E390" t="b">
        <v>1</v>
      </c>
      <c r="F390" s="2" t="n">
        <v>4.5</v>
      </c>
      <c r="G390" t="inlineStr">
        <is>
          <t>a</t>
        </is>
      </c>
      <c r="I390" s="2" t="n">
        <v>7</v>
      </c>
      <c r="J390" t="n">
        <v>2</v>
      </c>
      <c r="K390" s="3" t="n">
        <v>0</v>
      </c>
      <c r="L390" t="inlineStr">
        <is>
          <t>flat</t>
        </is>
      </c>
      <c r="M390" s="4" t="n">
        <v>0</v>
      </c>
      <c r="N390" t="inlineStr">
        <is>
          <t>Solio</t>
        </is>
      </c>
      <c r="O390" s="5" t="n">
        <v>85</v>
      </c>
      <c r="P390" t="b">
        <v>1</v>
      </c>
      <c r="Q390" s="5">
        <f>IF(N(O390)&lt;=0,0,MIN(Assumptions!$B$15,N(M390)/N(O390)))</f>
        <v/>
      </c>
      <c r="R390" s="4" t="n">
        <v>0.286</v>
      </c>
      <c r="S390" s="3" t="n">
        <v>0</v>
      </c>
      <c r="T390" t="inlineStr">
        <is>
          <t>adjusted xGOT</t>
        </is>
      </c>
      <c r="U390" s="3" t="n">
        <v>1</v>
      </c>
      <c r="V390" s="3" t="n">
        <v>0.995</v>
      </c>
      <c r="W390" s="3" t="n">
        <v>0</v>
      </c>
      <c r="X390" s="3" t="n">
        <v>0.0643</v>
      </c>
      <c r="Y390" s="3" t="n">
        <v>4.871</v>
      </c>
      <c r="Z390" s="3" t="n">
        <v>0.002864544960765936</v>
      </c>
      <c r="AA390" s="3" t="n">
        <v>0</v>
      </c>
      <c r="AB390" s="3" t="n">
        <v>2</v>
      </c>
      <c r="AC390" s="3" t="n">
        <v>2.5739</v>
      </c>
      <c r="AD390" s="3" t="n">
        <v>1.3096</v>
      </c>
      <c r="AE390" s="3" t="n">
        <v>-0.1710164618431031</v>
      </c>
      <c r="AF390" s="4" t="n">
        <v>0</v>
      </c>
      <c r="AG390" s="3" t="n">
        <v>0</v>
      </c>
      <c r="AH390" s="3" t="n">
        <v>0</v>
      </c>
      <c r="AI390" s="3" t="n">
        <v>0.254628</v>
      </c>
      <c r="AJ390" s="3">
        <f>N(R390)*N(BC390)</f>
        <v/>
      </c>
      <c r="AK390" s="3" t="n">
        <v>0</v>
      </c>
      <c r="AL390" s="3" t="n">
        <v>0</v>
      </c>
      <c r="AM390" s="3" t="n">
        <v>-0</v>
      </c>
      <c r="AN390" s="3" t="n">
        <v>-0.1710164618431031</v>
      </c>
      <c r="AO390" s="3">
        <f>SUM(AH390:AN390)</f>
        <v/>
      </c>
      <c r="AP390" s="5">
        <f>IF(OR(N(Q390)&lt;=0,N(BA390)=0),0,N(Q390)*IF(N(M390)/N(Q390)&gt;=60,N(BA390),1))</f>
        <v/>
      </c>
      <c r="AQ390" s="5">
        <f>N(Q390)*N(Z390)*N(BB390)</f>
        <v/>
      </c>
      <c r="AR390" s="5">
        <f>N(AF390)*(Assumptions!$B$13*N(BD390)-(1-Assumptions!$B$13)*Assumptions!$B$14)+N(AG390)</f>
        <v/>
      </c>
      <c r="AS390" s="5">
        <f>N(AO390)*N(M390)/90+N(AP390)+N(AQ390)+N(AR390)</f>
        <v/>
      </c>
      <c r="AT390" s="3">
        <f>IF(N(M390)&lt;=0,0,(N(AS390)-N(AR390))*90/N(M390))</f>
        <v/>
      </c>
      <c r="AU390" s="5">
        <f>IFERROR(AS390-VLOOKUP($C390,Assumptions!$A$36:$C$39,3,FALSE),"")</f>
        <v/>
      </c>
      <c r="AV390" s="3">
        <f>IFERROR(AU390/F390,"")</f>
        <v/>
      </c>
      <c r="AW390">
        <f>IF(AND($E390=TRUE,$C390="GKP"),AS390,"")</f>
        <v/>
      </c>
      <c r="AX390">
        <f>IF(AND($E390=TRUE,$C390="DEF"),AS390,"")</f>
        <v/>
      </c>
      <c r="AY390">
        <f>IF(AND($E390=TRUE,$C390="MID"),AS390,"")</f>
        <v/>
      </c>
      <c r="AZ390">
        <f>IF(AND($E390=TRUE,$C390="FWD"),AS390,"")</f>
        <v/>
      </c>
      <c r="BA390" t="n">
        <v>2</v>
      </c>
      <c r="BB390" t="n">
        <v>2</v>
      </c>
      <c r="BC390" t="n">
        <v>0</v>
      </c>
      <c r="BD390" t="n">
        <v>4</v>
      </c>
    </row>
    <row r="391">
      <c r="A391" t="inlineStr">
        <is>
          <t>Rio Cardines</t>
        </is>
      </c>
      <c r="B391" t="inlineStr">
        <is>
          <t>CRY</t>
        </is>
      </c>
      <c r="C391" t="inlineStr">
        <is>
          <t>DEF</t>
        </is>
      </c>
      <c r="D391" t="inlineStr">
        <is>
          <t>MID</t>
        </is>
      </c>
      <c r="E391" t="b">
        <v>1</v>
      </c>
      <c r="F391" s="2" t="n">
        <v>4.5</v>
      </c>
      <c r="G391" t="inlineStr">
        <is>
          <t>u</t>
        </is>
      </c>
      <c r="H391" t="inlineStr">
        <is>
          <t>Has joined Bristol City on loan for the rest of the season</t>
        </is>
      </c>
      <c r="I391" s="2" t="n">
        <v>90</v>
      </c>
      <c r="J391" t="n">
        <v>2</v>
      </c>
      <c r="K391" s="3" t="n"/>
      <c r="M391" s="4" t="n">
        <v>90</v>
      </c>
      <c r="N391" t="inlineStr">
        <is>
          <t>25/26 actual</t>
        </is>
      </c>
      <c r="O391" s="5" t="n">
        <v>90</v>
      </c>
      <c r="P391" t="b">
        <v>1</v>
      </c>
      <c r="Q391" s="5">
        <f>IF(N(O391)&lt;=0,0,MIN(Assumptions!$B$15,N(M391)/N(O391)))</f>
        <v/>
      </c>
      <c r="R391" s="4" t="n">
        <v>0.216</v>
      </c>
      <c r="S391" s="3" t="n">
        <v>0.02</v>
      </c>
      <c r="T391" t="inlineStr">
        <is>
          <t>adjusted xGOT</t>
        </is>
      </c>
      <c r="U391" s="3" t="n">
        <v>1</v>
      </c>
      <c r="V391" s="3" t="n">
        <v>0.998</v>
      </c>
      <c r="W391" s="3" t="n">
        <v>0</v>
      </c>
      <c r="X391" s="3" t="n">
        <v>0.229</v>
      </c>
      <c r="Y391" s="3" t="n">
        <v>8.401999999999999</v>
      </c>
      <c r="Z391" s="3" t="n">
        <v>0.3343383724685247</v>
      </c>
      <c r="AA391" s="3" t="n">
        <v>0</v>
      </c>
      <c r="AB391" s="3" t="n">
        <v>2</v>
      </c>
      <c r="AC391" s="3" t="n">
        <v>3.2035</v>
      </c>
      <c r="AD391" s="3" t="n">
        <v>1.5923</v>
      </c>
      <c r="AE391" s="3" t="n">
        <v>-0.1937389014251048</v>
      </c>
      <c r="AF391" s="4" t="n">
        <v>0</v>
      </c>
      <c r="AG391" s="3" t="n">
        <v>0</v>
      </c>
      <c r="AH391" s="3" t="n">
        <v>0.12</v>
      </c>
      <c r="AI391" s="3" t="n">
        <v>0.9068400000000001</v>
      </c>
      <c r="AJ391" s="3">
        <f>N(R391)*N(BC391)</f>
        <v/>
      </c>
      <c r="AK391" s="3" t="n">
        <v>0</v>
      </c>
      <c r="AL391" s="3" t="n">
        <v>0</v>
      </c>
      <c r="AM391" s="3" t="n">
        <v>-0.5564987001023466</v>
      </c>
      <c r="AN391" s="3" t="n">
        <v>-0.1937389014251048</v>
      </c>
      <c r="AO391" s="3">
        <f>SUM(AH391:AN391)</f>
        <v/>
      </c>
      <c r="AP391" s="5">
        <f>IF(OR(N(Q391)&lt;=0,N(BA391)=0),0,N(Q391)*IF(N(M391)/N(Q391)&gt;=60,N(BA391),1))</f>
        <v/>
      </c>
      <c r="AQ391" s="5">
        <f>N(Q391)*N(Z391)*N(BB391)</f>
        <v/>
      </c>
      <c r="AR391" s="5">
        <f>N(AF391)*(Assumptions!$B$13*N(BD391)-(1-Assumptions!$B$13)*Assumptions!$B$14)+N(AG391)</f>
        <v/>
      </c>
      <c r="AS391" s="5">
        <f>N(AO391)*N(M391)/90+N(AP391)+N(AQ391)+N(AR391)</f>
        <v/>
      </c>
      <c r="AT391" s="3">
        <f>IF(N(M391)&lt;=0,0,(N(AS391)-N(AR391))*90/N(M391))</f>
        <v/>
      </c>
      <c r="AU391" s="5">
        <f>IFERROR(AS391-VLOOKUP($C391,Assumptions!$A$36:$C$39,3,FALSE),"")</f>
        <v/>
      </c>
      <c r="AV391" s="3">
        <f>IFERROR(AU391/F391,"")</f>
        <v/>
      </c>
      <c r="AW391">
        <f>IF(AND($E391=TRUE,$C391="GKP"),AS391,"")</f>
        <v/>
      </c>
      <c r="AX391">
        <f>IF(AND($E391=TRUE,$C391="DEF"),AS391,"")</f>
        <v/>
      </c>
      <c r="AY391">
        <f>IF(AND($E391=TRUE,$C391="MID"),AS391,"")</f>
        <v/>
      </c>
      <c r="AZ391">
        <f>IF(AND($E391=TRUE,$C391="FWD"),AS391,"")</f>
        <v/>
      </c>
      <c r="BA391" t="n">
        <v>2</v>
      </c>
      <c r="BB391" t="n">
        <v>2</v>
      </c>
      <c r="BC391" t="n">
        <v>4</v>
      </c>
      <c r="BD391" t="n">
        <v>6</v>
      </c>
    </row>
    <row r="392">
      <c r="A392" t="inlineStr">
        <is>
          <t>Jun'ai Byfield</t>
        </is>
      </c>
      <c r="B392" t="inlineStr">
        <is>
          <t>TOT</t>
        </is>
      </c>
      <c r="C392" t="inlineStr">
        <is>
          <t>DEF</t>
        </is>
      </c>
      <c r="D392" t="inlineStr">
        <is>
          <t>DEF</t>
        </is>
      </c>
      <c r="E392" t="b">
        <v>1</v>
      </c>
      <c r="F392" s="2" t="n">
        <v>4</v>
      </c>
      <c r="G392" t="inlineStr">
        <is>
          <t>a</t>
        </is>
      </c>
      <c r="I392" s="2" t="n">
        <v>1</v>
      </c>
      <c r="J392" t="n">
        <v>1</v>
      </c>
      <c r="K392" s="3" t="n">
        <v>0</v>
      </c>
      <c r="L392" t="inlineStr">
        <is>
          <t>flat</t>
        </is>
      </c>
      <c r="M392" s="4" t="n">
        <v>0</v>
      </c>
      <c r="N392" t="inlineStr">
        <is>
          <t>Solio</t>
        </is>
      </c>
      <c r="O392" s="5" t="n">
        <v>85</v>
      </c>
      <c r="P392" t="b">
        <v>1</v>
      </c>
      <c r="Q392" s="5">
        <f>IF(N(O392)&lt;=0,0,MIN(Assumptions!$B$15,N(M392)/N(O392)))</f>
        <v/>
      </c>
      <c r="R392" s="4" t="n">
        <v>0.286</v>
      </c>
      <c r="S392" s="3" t="n">
        <v>0</v>
      </c>
      <c r="T392" t="inlineStr">
        <is>
          <t>blended xG</t>
        </is>
      </c>
      <c r="U392" s="3" t="n">
        <v>1</v>
      </c>
      <c r="V392" s="3" t="n">
        <v>1</v>
      </c>
      <c r="W392" s="3" t="n">
        <v>0</v>
      </c>
      <c r="X392" s="3" t="n">
        <v>0</v>
      </c>
      <c r="Y392" s="3" t="n">
        <v>7.674</v>
      </c>
      <c r="Z392" s="3" t="n">
        <v>0.1954797440934053</v>
      </c>
      <c r="AA392" s="3" t="n">
        <v>0</v>
      </c>
      <c r="AB392" s="3" t="n">
        <v>1</v>
      </c>
      <c r="AC392" s="3" t="n">
        <v>2.5739</v>
      </c>
      <c r="AD392" s="3" t="n">
        <v>1.3096</v>
      </c>
      <c r="AE392" s="3" t="n">
        <v>-0.2043954225041625</v>
      </c>
      <c r="AF392" s="4" t="n">
        <v>0</v>
      </c>
      <c r="AG392" s="3" t="n">
        <v>0</v>
      </c>
      <c r="AH392" s="3" t="n">
        <v>0</v>
      </c>
      <c r="AI392" s="3" t="n">
        <v>0</v>
      </c>
      <c r="AJ392" s="3">
        <f>N(R392)*N(BC392)</f>
        <v/>
      </c>
      <c r="AK392" s="3" t="n">
        <v>0</v>
      </c>
      <c r="AL392" s="3" t="n">
        <v>0</v>
      </c>
      <c r="AM392" s="3" t="n">
        <v>-0.4230152821052008</v>
      </c>
      <c r="AN392" s="3" t="n">
        <v>-0.2043954225041625</v>
      </c>
      <c r="AO392" s="3">
        <f>SUM(AH392:AN392)</f>
        <v/>
      </c>
      <c r="AP392" s="5">
        <f>IF(OR(N(Q392)&lt;=0,N(BA392)=0),0,N(Q392)*IF(N(M392)/N(Q392)&gt;=60,N(BA392),1))</f>
        <v/>
      </c>
      <c r="AQ392" s="5">
        <f>N(Q392)*N(Z392)*N(BB392)</f>
        <v/>
      </c>
      <c r="AR392" s="5">
        <f>N(AF392)*(Assumptions!$B$13*N(BD392)-(1-Assumptions!$B$13)*Assumptions!$B$14)+N(AG392)</f>
        <v/>
      </c>
      <c r="AS392" s="5">
        <f>N(AO392)*N(M392)/90+N(AP392)+N(AQ392)+N(AR392)</f>
        <v/>
      </c>
      <c r="AT392" s="3">
        <f>IF(N(M392)&lt;=0,0,(N(AS392)-N(AR392))*90/N(M392))</f>
        <v/>
      </c>
      <c r="AU392" s="5">
        <f>IFERROR(AS392-VLOOKUP($C392,Assumptions!$A$36:$C$39,3,FALSE),"")</f>
        <v/>
      </c>
      <c r="AV392" s="3">
        <f>IFERROR(AU392/F392,"")</f>
        <v/>
      </c>
      <c r="AW392">
        <f>IF(AND($E392=TRUE,$C392="GKP"),AS392,"")</f>
        <v/>
      </c>
      <c r="AX392">
        <f>IF(AND($E392=TRUE,$C392="DEF"),AS392,"")</f>
        <v/>
      </c>
      <c r="AY392">
        <f>IF(AND($E392=TRUE,$C392="MID"),AS392,"")</f>
        <v/>
      </c>
      <c r="AZ392">
        <f>IF(AND($E392=TRUE,$C392="FWD"),AS392,"")</f>
        <v/>
      </c>
      <c r="BA392" t="n">
        <v>2</v>
      </c>
      <c r="BB392" t="n">
        <v>2</v>
      </c>
      <c r="BC392" t="n">
        <v>4</v>
      </c>
      <c r="BD392" t="n">
        <v>6</v>
      </c>
    </row>
    <row r="393">
      <c r="A393" t="inlineStr">
        <is>
          <t>Nehemiah Oriola</t>
        </is>
      </c>
      <c r="B393" t="inlineStr">
        <is>
          <t>BHA</t>
        </is>
      </c>
      <c r="C393" t="inlineStr">
        <is>
          <t>MID</t>
        </is>
      </c>
      <c r="D393" t="inlineStr">
        <is>
          <t>MID</t>
        </is>
      </c>
      <c r="E393" t="b">
        <v>1</v>
      </c>
      <c r="F393" s="2" t="n">
        <v>4.5</v>
      </c>
      <c r="G393" t="inlineStr">
        <is>
          <t>a</t>
        </is>
      </c>
      <c r="I393" s="2" t="n">
        <v>1</v>
      </c>
      <c r="J393" t="n">
        <v>1</v>
      </c>
      <c r="K393" s="3" t="n">
        <v>0</v>
      </c>
      <c r="L393" t="inlineStr">
        <is>
          <t>flat</t>
        </is>
      </c>
      <c r="M393" s="4" t="n">
        <v>0</v>
      </c>
      <c r="N393" t="inlineStr">
        <is>
          <t>Solio</t>
        </is>
      </c>
      <c r="O393" s="5" t="n">
        <v>85</v>
      </c>
      <c r="P393" t="b">
        <v>1</v>
      </c>
      <c r="Q393" s="5">
        <f>IF(N(O393)&lt;=0,0,MIN(Assumptions!$B$15,N(M393)/N(O393)))</f>
        <v/>
      </c>
      <c r="R393" s="4" t="n">
        <v>0.252</v>
      </c>
      <c r="S393" s="3" t="n">
        <v>0</v>
      </c>
      <c r="T393" t="inlineStr">
        <is>
          <t>blended xG</t>
        </is>
      </c>
      <c r="U393" s="3" t="n">
        <v>1</v>
      </c>
      <c r="V393" s="3" t="n">
        <v>1</v>
      </c>
      <c r="W393" s="3" t="n">
        <v>0</v>
      </c>
      <c r="X393" s="3" t="n">
        <v>0</v>
      </c>
      <c r="Y393" s="3" t="n">
        <v>8.565</v>
      </c>
      <c r="Z393" s="3" t="n">
        <v>0.1184682939373803</v>
      </c>
      <c r="AA393" s="3" t="n">
        <v>0</v>
      </c>
      <c r="AB393" s="3" t="n">
        <v>1</v>
      </c>
      <c r="AC393" s="3" t="n">
        <v>2.8404</v>
      </c>
      <c r="AD393" s="3" t="n">
        <v>1.439</v>
      </c>
      <c r="AE393" s="3" t="n">
        <v>-0.2159050344539974</v>
      </c>
      <c r="AF393" s="4" t="n">
        <v>0</v>
      </c>
      <c r="AG393" s="3" t="n">
        <v>0</v>
      </c>
      <c r="AH393" s="3" t="n">
        <v>0</v>
      </c>
      <c r="AI393" s="3" t="n">
        <v>0</v>
      </c>
      <c r="AJ393" s="3">
        <f>N(R393)*N(BC393)</f>
        <v/>
      </c>
      <c r="AK393" s="3" t="n">
        <v>0</v>
      </c>
      <c r="AL393" s="3" t="n">
        <v>0</v>
      </c>
      <c r="AM393" s="3" t="n">
        <v>-0</v>
      </c>
      <c r="AN393" s="3" t="n">
        <v>-0.2159050344539974</v>
      </c>
      <c r="AO393" s="3">
        <f>SUM(AH393:AN393)</f>
        <v/>
      </c>
      <c r="AP393" s="5">
        <f>IF(OR(N(Q393)&lt;=0,N(BA393)=0),0,N(Q393)*IF(N(M393)/N(Q393)&gt;=60,N(BA393),1))</f>
        <v/>
      </c>
      <c r="AQ393" s="5">
        <f>N(Q393)*N(Z393)*N(BB393)</f>
        <v/>
      </c>
      <c r="AR393" s="5">
        <f>N(AF393)*(Assumptions!$B$13*N(BD393)-(1-Assumptions!$B$13)*Assumptions!$B$14)+N(AG393)</f>
        <v/>
      </c>
      <c r="AS393" s="5">
        <f>N(AO393)*N(M393)/90+N(AP393)+N(AQ393)+N(AR393)</f>
        <v/>
      </c>
      <c r="AT393" s="3">
        <f>IF(N(M393)&lt;=0,0,(N(AS393)-N(AR393))*90/N(M393))</f>
        <v/>
      </c>
      <c r="AU393" s="5">
        <f>IFERROR(AS393-VLOOKUP($C393,Assumptions!$A$36:$C$39,3,FALSE),"")</f>
        <v/>
      </c>
      <c r="AV393" s="3">
        <f>IFERROR(AU393/F393,"")</f>
        <v/>
      </c>
      <c r="AW393">
        <f>IF(AND($E393=TRUE,$C393="GKP"),AS393,"")</f>
        <v/>
      </c>
      <c r="AX393">
        <f>IF(AND($E393=TRUE,$C393="DEF"),AS393,"")</f>
        <v/>
      </c>
      <c r="AY393">
        <f>IF(AND($E393=TRUE,$C393="MID"),AS393,"")</f>
        <v/>
      </c>
      <c r="AZ393">
        <f>IF(AND($E393=TRUE,$C393="FWD"),AS393,"")</f>
        <v/>
      </c>
      <c r="BA393" t="n">
        <v>2</v>
      </c>
      <c r="BB393" t="n">
        <v>2</v>
      </c>
      <c r="BC393" t="n">
        <v>1</v>
      </c>
      <c r="BD393" t="n">
        <v>5</v>
      </c>
    </row>
    <row r="394">
      <c r="A394" t="inlineStr">
        <is>
          <t>Bradley Burrowes</t>
        </is>
      </c>
      <c r="B394" t="inlineStr">
        <is>
          <t>AVL</t>
        </is>
      </c>
      <c r="C394" t="inlineStr">
        <is>
          <t>MID</t>
        </is>
      </c>
      <c r="D394" t="inlineStr">
        <is>
          <t>MID</t>
        </is>
      </c>
      <c r="E394" t="b">
        <v>1</v>
      </c>
      <c r="F394" s="2" t="n">
        <v>4.5</v>
      </c>
      <c r="G394" t="inlineStr">
        <is>
          <t>a</t>
        </is>
      </c>
      <c r="I394" s="2" t="n">
        <v>16</v>
      </c>
      <c r="J394" t="n">
        <v>1</v>
      </c>
      <c r="K394" s="3" t="n">
        <v>0</v>
      </c>
      <c r="L394" t="inlineStr">
        <is>
          <t>flat</t>
        </is>
      </c>
      <c r="M394" s="4" t="n">
        <v>0</v>
      </c>
      <c r="N394" t="inlineStr">
        <is>
          <t>Solio</t>
        </is>
      </c>
      <c r="O394" s="5" t="n">
        <v>85</v>
      </c>
      <c r="P394" t="b">
        <v>1</v>
      </c>
      <c r="Q394" s="5">
        <f>IF(N(O394)&lt;=0,0,MIN(Assumptions!$B$15,N(M394)/N(O394)))</f>
        <v/>
      </c>
      <c r="R394" s="4" t="n">
        <v>0.273</v>
      </c>
      <c r="S394" s="3" t="n">
        <v>0</v>
      </c>
      <c r="T394" t="inlineStr">
        <is>
          <t>blended xG</t>
        </is>
      </c>
      <c r="U394" s="3" t="n">
        <v>1</v>
      </c>
      <c r="V394" s="3" t="n">
        <v>1</v>
      </c>
      <c r="W394" s="3" t="n">
        <v>0</v>
      </c>
      <c r="X394" s="3" t="n">
        <v>0</v>
      </c>
      <c r="Y394" s="3" t="n">
        <v>8.513</v>
      </c>
      <c r="Z394" s="3" t="n">
        <v>0.1148373121854416</v>
      </c>
      <c r="AA394" s="3" t="n">
        <v>0</v>
      </c>
      <c r="AB394" s="3" t="n">
        <v>1</v>
      </c>
      <c r="AC394" s="3" t="n">
        <v>2.7451</v>
      </c>
      <c r="AD394" s="3" t="n">
        <v>1.3575</v>
      </c>
      <c r="AE394" s="3" t="n">
        <v>-0.2138521122509435</v>
      </c>
      <c r="AF394" s="4" t="n">
        <v>0</v>
      </c>
      <c r="AG394" s="3" t="n">
        <v>0</v>
      </c>
      <c r="AH394" s="3" t="n">
        <v>0</v>
      </c>
      <c r="AI394" s="3" t="n">
        <v>0</v>
      </c>
      <c r="AJ394" s="3">
        <f>N(R394)*N(BC394)</f>
        <v/>
      </c>
      <c r="AK394" s="3" t="n">
        <v>0</v>
      </c>
      <c r="AL394" s="3" t="n">
        <v>0</v>
      </c>
      <c r="AM394" s="3" t="n">
        <v>-0</v>
      </c>
      <c r="AN394" s="3" t="n">
        <v>-0.2138521122509435</v>
      </c>
      <c r="AO394" s="3">
        <f>SUM(AH394:AN394)</f>
        <v/>
      </c>
      <c r="AP394" s="5">
        <f>IF(OR(N(Q394)&lt;=0,N(BA394)=0),0,N(Q394)*IF(N(M394)/N(Q394)&gt;=60,N(BA394),1))</f>
        <v/>
      </c>
      <c r="AQ394" s="5">
        <f>N(Q394)*N(Z394)*N(BB394)</f>
        <v/>
      </c>
      <c r="AR394" s="5">
        <f>N(AF394)*(Assumptions!$B$13*N(BD394)-(1-Assumptions!$B$13)*Assumptions!$B$14)+N(AG394)</f>
        <v/>
      </c>
      <c r="AS394" s="5">
        <f>N(AO394)*N(M394)/90+N(AP394)+N(AQ394)+N(AR394)</f>
        <v/>
      </c>
      <c r="AT394" s="3">
        <f>IF(N(M394)&lt;=0,0,(N(AS394)-N(AR394))*90/N(M394))</f>
        <v/>
      </c>
      <c r="AU394" s="5">
        <f>IFERROR(AS394-VLOOKUP($C394,Assumptions!$A$36:$C$39,3,FALSE),"")</f>
        <v/>
      </c>
      <c r="AV394" s="3">
        <f>IFERROR(AU394/F394,"")</f>
        <v/>
      </c>
      <c r="AW394">
        <f>IF(AND($E394=TRUE,$C394="GKP"),AS394,"")</f>
        <v/>
      </c>
      <c r="AX394">
        <f>IF(AND($E394=TRUE,$C394="DEF"),AS394,"")</f>
        <v/>
      </c>
      <c r="AY394">
        <f>IF(AND($E394=TRUE,$C394="MID"),AS394,"")</f>
        <v/>
      </c>
      <c r="AZ394">
        <f>IF(AND($E394=TRUE,$C394="FWD"),AS394,"")</f>
        <v/>
      </c>
      <c r="BA394" t="n">
        <v>2</v>
      </c>
      <c r="BB394" t="n">
        <v>2</v>
      </c>
      <c r="BC394" t="n">
        <v>1</v>
      </c>
      <c r="BD394" t="n">
        <v>5</v>
      </c>
    </row>
    <row r="395">
      <c r="A395" t="inlineStr">
        <is>
          <t>Sean Neave</t>
        </is>
      </c>
      <c r="B395" t="inlineStr">
        <is>
          <t>NEW</t>
        </is>
      </c>
      <c r="C395" t="inlineStr">
        <is>
          <t>FWD</t>
        </is>
      </c>
      <c r="D395" t="inlineStr">
        <is>
          <t>FWD</t>
        </is>
      </c>
      <c r="E395" t="b">
        <v>1</v>
      </c>
      <c r="F395" s="2" t="n">
        <v>4.5</v>
      </c>
      <c r="G395" t="inlineStr">
        <is>
          <t>a</t>
        </is>
      </c>
      <c r="I395" s="2" t="n">
        <v>13</v>
      </c>
      <c r="J395" t="n">
        <v>1</v>
      </c>
      <c r="K395" s="3" t="n">
        <v>0</v>
      </c>
      <c r="L395" t="inlineStr">
        <is>
          <t>flat</t>
        </is>
      </c>
      <c r="M395" s="4" t="n">
        <v>0</v>
      </c>
      <c r="N395" t="inlineStr">
        <is>
          <t>Solio</t>
        </is>
      </c>
      <c r="O395" s="5" t="n">
        <v>85</v>
      </c>
      <c r="P395" t="b">
        <v>1</v>
      </c>
      <c r="Q395" s="5">
        <f>IF(N(O395)&lt;=0,0,MIN(Assumptions!$B$15,N(M395)/N(O395)))</f>
        <v/>
      </c>
      <c r="R395" s="4" t="n">
        <v>0.248</v>
      </c>
      <c r="S395" s="3" t="n">
        <v>0.2077</v>
      </c>
      <c r="T395" t="inlineStr">
        <is>
          <t>adjusted xGOT</t>
        </is>
      </c>
      <c r="U395" s="3" t="n">
        <v>1</v>
      </c>
      <c r="V395" s="3" t="n">
        <v>0.996</v>
      </c>
      <c r="W395" s="3" t="n">
        <v>0</v>
      </c>
      <c r="X395" s="3" t="n">
        <v>0</v>
      </c>
      <c r="Y395" s="3" t="n">
        <v>4.708</v>
      </c>
      <c r="Z395" s="3" t="n">
        <v>0.002184568299561929</v>
      </c>
      <c r="AA395" s="3" t="n">
        <v>0</v>
      </c>
      <c r="AB395" s="3" t="n">
        <v>1</v>
      </c>
      <c r="AC395" s="3" t="n">
        <v>3.0912</v>
      </c>
      <c r="AD395" s="3" t="n">
        <v>1.4534</v>
      </c>
      <c r="AE395" s="3" t="n">
        <v>-0.1732323483129252</v>
      </c>
      <c r="AF395" s="4" t="n">
        <v>0</v>
      </c>
      <c r="AG395" s="3" t="n">
        <v>0</v>
      </c>
      <c r="AH395" s="3" t="n">
        <v>0.8308</v>
      </c>
      <c r="AI395" s="3" t="n">
        <v>0</v>
      </c>
      <c r="AJ395" s="3">
        <f>N(R395)*N(BC395)</f>
        <v/>
      </c>
      <c r="AK395" s="3" t="n">
        <v>0</v>
      </c>
      <c r="AL395" s="3" t="n">
        <v>0</v>
      </c>
      <c r="AM395" s="3" t="n">
        <v>-0</v>
      </c>
      <c r="AN395" s="3" t="n">
        <v>-0.1732323483129252</v>
      </c>
      <c r="AO395" s="3">
        <f>SUM(AH395:AN395)</f>
        <v/>
      </c>
      <c r="AP395" s="5">
        <f>IF(OR(N(Q395)&lt;=0,N(BA395)=0),0,N(Q395)*IF(N(M395)/N(Q395)&gt;=60,N(BA395),1))</f>
        <v/>
      </c>
      <c r="AQ395" s="5">
        <f>N(Q395)*N(Z395)*N(BB395)</f>
        <v/>
      </c>
      <c r="AR395" s="5">
        <f>N(AF395)*(Assumptions!$B$13*N(BD395)-(1-Assumptions!$B$13)*Assumptions!$B$14)+N(AG395)</f>
        <v/>
      </c>
      <c r="AS395" s="5">
        <f>N(AO395)*N(M395)/90+N(AP395)+N(AQ395)+N(AR395)</f>
        <v/>
      </c>
      <c r="AT395" s="3">
        <f>IF(N(M395)&lt;=0,0,(N(AS395)-N(AR395))*90/N(M395))</f>
        <v/>
      </c>
      <c r="AU395" s="5">
        <f>IFERROR(AS395-VLOOKUP($C395,Assumptions!$A$36:$C$39,3,FALSE),"")</f>
        <v/>
      </c>
      <c r="AV395" s="3">
        <f>IFERROR(AU395/F395,"")</f>
        <v/>
      </c>
      <c r="AW395">
        <f>IF(AND($E395=TRUE,$C395="GKP"),AS395,"")</f>
        <v/>
      </c>
      <c r="AX395">
        <f>IF(AND($E395=TRUE,$C395="DEF"),AS395,"")</f>
        <v/>
      </c>
      <c r="AY395">
        <f>IF(AND($E395=TRUE,$C395="MID"),AS395,"")</f>
        <v/>
      </c>
      <c r="AZ395">
        <f>IF(AND($E395=TRUE,$C395="FWD"),AS395,"")</f>
        <v/>
      </c>
      <c r="BA395" t="n">
        <v>2</v>
      </c>
      <c r="BB395" t="n">
        <v>2</v>
      </c>
      <c r="BC395" t="n">
        <v>0</v>
      </c>
      <c r="BD395" t="n">
        <v>4</v>
      </c>
    </row>
    <row r="396">
      <c r="A396" t="inlineStr">
        <is>
          <t>Kaye Furo</t>
        </is>
      </c>
      <c r="B396" t="inlineStr">
        <is>
          <t>BRE</t>
        </is>
      </c>
      <c r="C396" t="inlineStr">
        <is>
          <t>FWD</t>
        </is>
      </c>
      <c r="D396" t="inlineStr">
        <is>
          <t>FWD</t>
        </is>
      </c>
      <c r="E396" t="b">
        <v>1</v>
      </c>
      <c r="F396" s="2" t="n">
        <v>4.5</v>
      </c>
      <c r="G396" t="inlineStr">
        <is>
          <t>a</t>
        </is>
      </c>
      <c r="I396" s="2" t="n">
        <v>1</v>
      </c>
      <c r="J396" t="n">
        <v>1</v>
      </c>
      <c r="K396" s="3" t="n">
        <v>0</v>
      </c>
      <c r="L396" t="inlineStr">
        <is>
          <t>flat</t>
        </is>
      </c>
      <c r="M396" s="4" t="n">
        <v>0</v>
      </c>
      <c r="N396" t="inlineStr">
        <is>
          <t>Solio</t>
        </is>
      </c>
      <c r="O396" s="5" t="n">
        <v>85</v>
      </c>
      <c r="P396" t="b">
        <v>1</v>
      </c>
      <c r="Q396" s="5">
        <f>IF(N(O396)&lt;=0,0,MIN(Assumptions!$B$15,N(M396)/N(O396)))</f>
        <v/>
      </c>
      <c r="R396" s="4" t="n">
        <v>0.228</v>
      </c>
      <c r="S396" s="3" t="n">
        <v>0</v>
      </c>
      <c r="T396" t="inlineStr">
        <is>
          <t>blended xG</t>
        </is>
      </c>
      <c r="U396" s="3" t="n">
        <v>1</v>
      </c>
      <c r="V396" s="3" t="n">
        <v>1</v>
      </c>
      <c r="W396" s="3" t="n">
        <v>0</v>
      </c>
      <c r="X396" s="3" t="n">
        <v>0</v>
      </c>
      <c r="Y396" s="3" t="n">
        <v>4.786</v>
      </c>
      <c r="Z396" s="3" t="n">
        <v>0.002491299772645839</v>
      </c>
      <c r="AA396" s="3" t="n">
        <v>0</v>
      </c>
      <c r="AB396" s="3" t="n">
        <v>1</v>
      </c>
      <c r="AC396" s="3" t="n">
        <v>3.2371</v>
      </c>
      <c r="AD396" s="3" t="n">
        <v>1.5396</v>
      </c>
      <c r="AE396" s="3" t="n">
        <v>-0.1745781315412974</v>
      </c>
      <c r="AF396" s="4" t="n">
        <v>0</v>
      </c>
      <c r="AG396" s="3" t="n">
        <v>0</v>
      </c>
      <c r="AH396" s="3" t="n">
        <v>0</v>
      </c>
      <c r="AI396" s="3" t="n">
        <v>0</v>
      </c>
      <c r="AJ396" s="3">
        <f>N(R396)*N(BC396)</f>
        <v/>
      </c>
      <c r="AK396" s="3" t="n">
        <v>0</v>
      </c>
      <c r="AL396" s="3" t="n">
        <v>0</v>
      </c>
      <c r="AM396" s="3" t="n">
        <v>-0</v>
      </c>
      <c r="AN396" s="3" t="n">
        <v>-0.1745781315412974</v>
      </c>
      <c r="AO396" s="3">
        <f>SUM(AH396:AN396)</f>
        <v/>
      </c>
      <c r="AP396" s="5">
        <f>IF(OR(N(Q396)&lt;=0,N(BA396)=0),0,N(Q396)*IF(N(M396)/N(Q396)&gt;=60,N(BA396),1))</f>
        <v/>
      </c>
      <c r="AQ396" s="5">
        <f>N(Q396)*N(Z396)*N(BB396)</f>
        <v/>
      </c>
      <c r="AR396" s="5">
        <f>N(AF396)*(Assumptions!$B$13*N(BD396)-(1-Assumptions!$B$13)*Assumptions!$B$14)+N(AG396)</f>
        <v/>
      </c>
      <c r="AS396" s="5">
        <f>N(AO396)*N(M396)/90+N(AP396)+N(AQ396)+N(AR396)</f>
        <v/>
      </c>
      <c r="AT396" s="3">
        <f>IF(N(M396)&lt;=0,0,(N(AS396)-N(AR396))*90/N(M396))</f>
        <v/>
      </c>
      <c r="AU396" s="5">
        <f>IFERROR(AS396-VLOOKUP($C396,Assumptions!$A$36:$C$39,3,FALSE),"")</f>
        <v/>
      </c>
      <c r="AV396" s="3">
        <f>IFERROR(AU396/F396,"")</f>
        <v/>
      </c>
      <c r="AW396">
        <f>IF(AND($E396=TRUE,$C396="GKP"),AS396,"")</f>
        <v/>
      </c>
      <c r="AX396">
        <f>IF(AND($E396=TRUE,$C396="DEF"),AS396,"")</f>
        <v/>
      </c>
      <c r="AY396">
        <f>IF(AND($E396=TRUE,$C396="MID"),AS396,"")</f>
        <v/>
      </c>
      <c r="AZ396">
        <f>IF(AND($E396=TRUE,$C396="FWD"),AS396,"")</f>
        <v/>
      </c>
      <c r="BA396" t="n">
        <v>2</v>
      </c>
      <c r="BB396" t="n">
        <v>2</v>
      </c>
      <c r="BC396" t="n">
        <v>0</v>
      </c>
      <c r="BD396" t="n">
        <v>4</v>
      </c>
    </row>
    <row r="397">
      <c r="A397" t="inlineStr">
        <is>
          <t>Shumaira Mheuka</t>
        </is>
      </c>
      <c r="B397" t="inlineStr">
        <is>
          <t>CHE</t>
        </is>
      </c>
      <c r="C397" t="inlineStr">
        <is>
          <t>FWD</t>
        </is>
      </c>
      <c r="D397" t="inlineStr">
        <is>
          <t>FWD</t>
        </is>
      </c>
      <c r="E397" t="b">
        <v>1</v>
      </c>
      <c r="F397" s="2" t="n">
        <v>4.5</v>
      </c>
      <c r="G397" t="inlineStr">
        <is>
          <t>a</t>
        </is>
      </c>
      <c r="I397" s="2" t="n">
        <v>1</v>
      </c>
      <c r="J397" t="n">
        <v>1</v>
      </c>
      <c r="K397" s="3" t="n">
        <v>0</v>
      </c>
      <c r="L397" t="inlineStr">
        <is>
          <t>flat</t>
        </is>
      </c>
      <c r="M397" s="4" t="n">
        <v>0</v>
      </c>
      <c r="N397" t="inlineStr">
        <is>
          <t>Solio</t>
        </is>
      </c>
      <c r="O397" s="5" t="n">
        <v>85</v>
      </c>
      <c r="P397" t="b">
        <v>1</v>
      </c>
      <c r="Q397" s="5">
        <f>IF(N(O397)&lt;=0,0,MIN(Assumptions!$B$15,N(M397)/N(O397)))</f>
        <v/>
      </c>
      <c r="R397" s="4" t="n">
        <v>0.322</v>
      </c>
      <c r="S397" s="3" t="n">
        <v>0</v>
      </c>
      <c r="T397" t="inlineStr">
        <is>
          <t>adjusted xGOT</t>
        </is>
      </c>
      <c r="U397" s="3" t="n">
        <v>1</v>
      </c>
      <c r="V397" s="3" t="n">
        <v>1.017</v>
      </c>
      <c r="W397" s="3" t="n">
        <v>0.1</v>
      </c>
      <c r="X397" s="3" t="n">
        <v>0</v>
      </c>
      <c r="Y397" s="3" t="n">
        <v>4.911</v>
      </c>
      <c r="Z397" s="3" t="n">
        <v>0.003055224753628072</v>
      </c>
      <c r="AA397" s="3" t="n">
        <v>0</v>
      </c>
      <c r="AB397" s="3" t="n">
        <v>1</v>
      </c>
      <c r="AC397" s="3" t="n">
        <v>2.4232</v>
      </c>
      <c r="AD397" s="3" t="n">
        <v>1.1851</v>
      </c>
      <c r="AE397" s="3" t="n">
        <v>-0.174510310265256</v>
      </c>
      <c r="AF397" s="4" t="n">
        <v>0</v>
      </c>
      <c r="AG397" s="3" t="n">
        <v>0</v>
      </c>
      <c r="AH397" s="3" t="n">
        <v>0</v>
      </c>
      <c r="AI397" s="3" t="n">
        <v>0</v>
      </c>
      <c r="AJ397" s="3">
        <f>N(R397)*N(BC397)</f>
        <v/>
      </c>
      <c r="AK397" s="3" t="n">
        <v>0</v>
      </c>
      <c r="AL397" s="3" t="n">
        <v>0</v>
      </c>
      <c r="AM397" s="3" t="n">
        <v>-0</v>
      </c>
      <c r="AN397" s="3" t="n">
        <v>-0.174510310265256</v>
      </c>
      <c r="AO397" s="3">
        <f>SUM(AH397:AN397)</f>
        <v/>
      </c>
      <c r="AP397" s="5">
        <f>IF(OR(N(Q397)&lt;=0,N(BA397)=0),0,N(Q397)*IF(N(M397)/N(Q397)&gt;=60,N(BA397),1))</f>
        <v/>
      </c>
      <c r="AQ397" s="5">
        <f>N(Q397)*N(Z397)*N(BB397)</f>
        <v/>
      </c>
      <c r="AR397" s="5">
        <f>N(AF397)*(Assumptions!$B$13*N(BD397)-(1-Assumptions!$B$13)*Assumptions!$B$14)+N(AG397)</f>
        <v/>
      </c>
      <c r="AS397" s="5">
        <f>N(AO397)*N(M397)/90+N(AP397)+N(AQ397)+N(AR397)</f>
        <v/>
      </c>
      <c r="AT397" s="3">
        <f>IF(N(M397)&lt;=0,0,(N(AS397)-N(AR397))*90/N(M397))</f>
        <v/>
      </c>
      <c r="AU397" s="5">
        <f>IFERROR(AS397-VLOOKUP($C397,Assumptions!$A$36:$C$39,3,FALSE),"")</f>
        <v/>
      </c>
      <c r="AV397" s="3">
        <f>IFERROR(AU397/F397,"")</f>
        <v/>
      </c>
      <c r="AW397">
        <f>IF(AND($E397=TRUE,$C397="GKP"),AS397,"")</f>
        <v/>
      </c>
      <c r="AX397">
        <f>IF(AND($E397=TRUE,$C397="DEF"),AS397,"")</f>
        <v/>
      </c>
      <c r="AY397">
        <f>IF(AND($E397=TRUE,$C397="MID"),AS397,"")</f>
        <v/>
      </c>
      <c r="AZ397">
        <f>IF(AND($E397=TRUE,$C397="FWD"),AS397,"")</f>
        <v/>
      </c>
      <c r="BA397" t="n">
        <v>2</v>
      </c>
      <c r="BB397" t="n">
        <v>2</v>
      </c>
      <c r="BC397" t="n">
        <v>0</v>
      </c>
      <c r="BD397" t="n">
        <v>4</v>
      </c>
    </row>
    <row r="398">
      <c r="A398" t="inlineStr">
        <is>
          <t>Bendito Mantato</t>
        </is>
      </c>
      <c r="B398" t="inlineStr">
        <is>
          <t>MUN</t>
        </is>
      </c>
      <c r="C398" t="inlineStr">
        <is>
          <t>MID</t>
        </is>
      </c>
      <c r="D398" t="inlineStr">
        <is>
          <t>MID</t>
        </is>
      </c>
      <c r="E398" t="b">
        <v>1</v>
      </c>
      <c r="F398" s="2" t="n">
        <v>4.5</v>
      </c>
      <c r="G398" t="inlineStr">
        <is>
          <t>a</t>
        </is>
      </c>
      <c r="I398" s="2" t="n">
        <v>15</v>
      </c>
      <c r="J398" t="n">
        <v>1</v>
      </c>
      <c r="K398" s="3" t="n">
        <v>0</v>
      </c>
      <c r="L398" t="inlineStr">
        <is>
          <t>flat</t>
        </is>
      </c>
      <c r="M398" s="4" t="n">
        <v>0</v>
      </c>
      <c r="N398" t="inlineStr">
        <is>
          <t>Solio</t>
        </is>
      </c>
      <c r="O398" s="5" t="n">
        <v>85</v>
      </c>
      <c r="P398" t="b">
        <v>1</v>
      </c>
      <c r="Q398" s="5">
        <f>IF(N(O398)&lt;=0,0,MIN(Assumptions!$B$15,N(M398)/N(O398)))</f>
        <v/>
      </c>
      <c r="R398" s="4" t="n">
        <v>0.334</v>
      </c>
      <c r="S398" s="3" t="n">
        <v>0</v>
      </c>
      <c r="T398" t="inlineStr">
        <is>
          <t>blended xG</t>
        </is>
      </c>
      <c r="U398" s="3" t="n">
        <v>1</v>
      </c>
      <c r="V398" s="3" t="n">
        <v>1</v>
      </c>
      <c r="W398" s="3" t="n">
        <v>0</v>
      </c>
      <c r="X398" s="3" t="n">
        <v>0.1394</v>
      </c>
      <c r="Y398" s="3" t="n">
        <v>8.401999999999999</v>
      </c>
      <c r="Z398" s="3" t="n">
        <v>0.1073045747075856</v>
      </c>
      <c r="AA398" s="3" t="n">
        <v>0</v>
      </c>
      <c r="AB398" s="3" t="n">
        <v>1</v>
      </c>
      <c r="AC398" s="3" t="n">
        <v>2.2165</v>
      </c>
      <c r="AD398" s="3" t="n">
        <v>1.1467</v>
      </c>
      <c r="AE398" s="3" t="n">
        <v>-0.2139876568509252</v>
      </c>
      <c r="AF398" s="4" t="n">
        <v>0</v>
      </c>
      <c r="AG398" s="3" t="n">
        <v>0</v>
      </c>
      <c r="AH398" s="3" t="n">
        <v>0</v>
      </c>
      <c r="AI398" s="3" t="n">
        <v>0.5520240000000001</v>
      </c>
      <c r="AJ398" s="3">
        <f>N(R398)*N(BC398)</f>
        <v/>
      </c>
      <c r="AK398" s="3" t="n">
        <v>0</v>
      </c>
      <c r="AL398" s="3" t="n">
        <v>0</v>
      </c>
      <c r="AM398" s="3" t="n">
        <v>-0</v>
      </c>
      <c r="AN398" s="3" t="n">
        <v>-0.2139876568509252</v>
      </c>
      <c r="AO398" s="3">
        <f>SUM(AH398:AN398)</f>
        <v/>
      </c>
      <c r="AP398" s="5">
        <f>IF(OR(N(Q398)&lt;=0,N(BA398)=0),0,N(Q398)*IF(N(M398)/N(Q398)&gt;=60,N(BA398),1))</f>
        <v/>
      </c>
      <c r="AQ398" s="5">
        <f>N(Q398)*N(Z398)*N(BB398)</f>
        <v/>
      </c>
      <c r="AR398" s="5">
        <f>N(AF398)*(Assumptions!$B$13*N(BD398)-(1-Assumptions!$B$13)*Assumptions!$B$14)+N(AG398)</f>
        <v/>
      </c>
      <c r="AS398" s="5">
        <f>N(AO398)*N(M398)/90+N(AP398)+N(AQ398)+N(AR398)</f>
        <v/>
      </c>
      <c r="AT398" s="3">
        <f>IF(N(M398)&lt;=0,0,(N(AS398)-N(AR398))*90/N(M398))</f>
        <v/>
      </c>
      <c r="AU398" s="5">
        <f>IFERROR(AS398-VLOOKUP($C398,Assumptions!$A$36:$C$39,3,FALSE),"")</f>
        <v/>
      </c>
      <c r="AV398" s="3">
        <f>IFERROR(AU398/F398,"")</f>
        <v/>
      </c>
      <c r="AW398">
        <f>IF(AND($E398=TRUE,$C398="GKP"),AS398,"")</f>
        <v/>
      </c>
      <c r="AX398">
        <f>IF(AND($E398=TRUE,$C398="DEF"),AS398,"")</f>
        <v/>
      </c>
      <c r="AY398">
        <f>IF(AND($E398=TRUE,$C398="MID"),AS398,"")</f>
        <v/>
      </c>
      <c r="AZ398">
        <f>IF(AND($E398=TRUE,$C398="FWD"),AS398,"")</f>
        <v/>
      </c>
      <c r="BA398" t="n">
        <v>2</v>
      </c>
      <c r="BB398" t="n">
        <v>2</v>
      </c>
      <c r="BC398" t="n">
        <v>1</v>
      </c>
      <c r="BD398" t="n">
        <v>5</v>
      </c>
    </row>
    <row r="399">
      <c r="A399" t="inlineStr">
        <is>
          <t>Djiamgone Jocelin Ta Bi</t>
        </is>
      </c>
      <c r="B399" t="inlineStr">
        <is>
          <t>SUN</t>
        </is>
      </c>
      <c r="C399" t="inlineStr">
        <is>
          <t>MID</t>
        </is>
      </c>
      <c r="D399" t="inlineStr">
        <is>
          <t>MID</t>
        </is>
      </c>
      <c r="E399" t="b">
        <v>1</v>
      </c>
      <c r="F399" s="2" t="n">
        <v>5</v>
      </c>
      <c r="G399" t="inlineStr">
        <is>
          <t>a</t>
        </is>
      </c>
      <c r="I399" s="2" t="n">
        <v>38</v>
      </c>
      <c r="J399" t="n">
        <v>1</v>
      </c>
      <c r="K399" s="3" t="n">
        <v>125</v>
      </c>
      <c r="L399" t="inlineStr">
        <is>
          <t>flat</t>
        </is>
      </c>
      <c r="M399" s="4" t="n">
        <v>125</v>
      </c>
      <c r="N399" t="inlineStr">
        <is>
          <t>Solio</t>
        </is>
      </c>
      <c r="O399" s="5" t="n">
        <v>38</v>
      </c>
      <c r="P399" t="b">
        <v>1</v>
      </c>
      <c r="Q399" s="5">
        <f>IF(N(O399)&lt;=0,0,MIN(Assumptions!$B$15,N(M399)/N(O399)))</f>
        <v/>
      </c>
      <c r="R399" s="4" t="n">
        <v>0.204</v>
      </c>
      <c r="S399" s="3" t="n">
        <v>0</v>
      </c>
      <c r="T399" t="inlineStr">
        <is>
          <t>blended xG</t>
        </is>
      </c>
      <c r="U399" s="3" t="n">
        <v>1</v>
      </c>
      <c r="V399" s="3" t="n">
        <v>1</v>
      </c>
      <c r="W399" s="3" t="n">
        <v>0</v>
      </c>
      <c r="X399" s="3" t="n">
        <v>0.0474</v>
      </c>
      <c r="Y399" s="3" t="n">
        <v>8.503</v>
      </c>
      <c r="Z399" s="3" t="n">
        <v>0.0003615416342339639</v>
      </c>
      <c r="AA399" s="3" t="n">
        <v>0</v>
      </c>
      <c r="AB399" s="3" t="n">
        <v>1</v>
      </c>
      <c r="AC399" s="3" t="n">
        <v>3.3348</v>
      </c>
      <c r="AD399" s="3" t="n">
        <v>1.6498</v>
      </c>
      <c r="AE399" s="3" t="n">
        <v>-0.2109165353595941</v>
      </c>
      <c r="AF399" s="4" t="n">
        <v>0</v>
      </c>
      <c r="AG399" s="3" t="n">
        <v>0</v>
      </c>
      <c r="AH399" s="3" t="n">
        <v>0</v>
      </c>
      <c r="AI399" s="3" t="n">
        <v>0.187704</v>
      </c>
      <c r="AJ399" s="3">
        <f>N(R399)*N(BC399)</f>
        <v/>
      </c>
      <c r="AK399" s="3" t="n">
        <v>0</v>
      </c>
      <c r="AL399" s="3" t="n">
        <v>0</v>
      </c>
      <c r="AM399" s="3" t="n">
        <v>-0</v>
      </c>
      <c r="AN399" s="3" t="n">
        <v>-0.2109165353595941</v>
      </c>
      <c r="AO399" s="3">
        <f>SUM(AH399:AN399)</f>
        <v/>
      </c>
      <c r="AP399" s="5">
        <f>IF(OR(N(Q399)&lt;=0,N(BA399)=0),0,N(Q399)*IF(N(M399)/N(Q399)&gt;=60,N(BA399),1))</f>
        <v/>
      </c>
      <c r="AQ399" s="5">
        <f>N(Q399)*N(Z399)*N(BB399)</f>
        <v/>
      </c>
      <c r="AR399" s="5">
        <f>N(AF399)*(Assumptions!$B$13*N(BD399)-(1-Assumptions!$B$13)*Assumptions!$B$14)+N(AG399)</f>
        <v/>
      </c>
      <c r="AS399" s="5">
        <f>N(AO399)*N(M399)/90+N(AP399)+N(AQ399)+N(AR399)</f>
        <v/>
      </c>
      <c r="AT399" s="3">
        <f>IF(N(M399)&lt;=0,0,(N(AS399)-N(AR399))*90/N(M399))</f>
        <v/>
      </c>
      <c r="AU399" s="5">
        <f>IFERROR(AS399-VLOOKUP($C399,Assumptions!$A$36:$C$39,3,FALSE),"")</f>
        <v/>
      </c>
      <c r="AV399" s="3">
        <f>IFERROR(AU399/F399,"")</f>
        <v/>
      </c>
      <c r="AW399">
        <f>IF(AND($E399=TRUE,$C399="GKP"),AS399,"")</f>
        <v/>
      </c>
      <c r="AX399">
        <f>IF(AND($E399=TRUE,$C399="DEF"),AS399,"")</f>
        <v/>
      </c>
      <c r="AY399">
        <f>IF(AND($E399=TRUE,$C399="MID"),AS399,"")</f>
        <v/>
      </c>
      <c r="AZ399">
        <f>IF(AND($E399=TRUE,$C399="FWD"),AS399,"")</f>
        <v/>
      </c>
      <c r="BA399" t="n">
        <v>2</v>
      </c>
      <c r="BB399" t="n">
        <v>2</v>
      </c>
      <c r="BC399" t="n">
        <v>1</v>
      </c>
      <c r="BD399" t="n">
        <v>5</v>
      </c>
    </row>
    <row r="400">
      <c r="A400" t="inlineStr">
        <is>
          <t>James Rowswell</t>
        </is>
      </c>
      <c r="B400" t="inlineStr">
        <is>
          <t>TOT</t>
        </is>
      </c>
      <c r="C400" t="inlineStr">
        <is>
          <t>DEF</t>
        </is>
      </c>
      <c r="D400" t="inlineStr">
        <is>
          <t>DEF</t>
        </is>
      </c>
      <c r="E400" t="b">
        <v>1</v>
      </c>
      <c r="F400" s="2" t="n">
        <v>4</v>
      </c>
      <c r="G400" t="inlineStr">
        <is>
          <t>a</t>
        </is>
      </c>
      <c r="I400" s="2" t="n">
        <v>1</v>
      </c>
      <c r="J400" t="n">
        <v>1</v>
      </c>
      <c r="K400" s="3" t="n">
        <v>0</v>
      </c>
      <c r="L400" t="inlineStr">
        <is>
          <t>flat</t>
        </is>
      </c>
      <c r="M400" s="4" t="n">
        <v>0</v>
      </c>
      <c r="N400" t="inlineStr">
        <is>
          <t>Solio</t>
        </is>
      </c>
      <c r="O400" s="5" t="n">
        <v>85</v>
      </c>
      <c r="P400" t="b">
        <v>1</v>
      </c>
      <c r="Q400" s="5">
        <f>IF(N(O400)&lt;=0,0,MIN(Assumptions!$B$15,N(M400)/N(O400)))</f>
        <v/>
      </c>
      <c r="R400" s="4" t="n">
        <v>0.286</v>
      </c>
      <c r="S400" s="3" t="n">
        <v>0</v>
      </c>
      <c r="T400" t="inlineStr">
        <is>
          <t>blended xG</t>
        </is>
      </c>
      <c r="U400" s="3" t="n">
        <v>1</v>
      </c>
      <c r="V400" s="3" t="n">
        <v>1</v>
      </c>
      <c r="W400" s="3" t="n">
        <v>0</v>
      </c>
      <c r="X400" s="3" t="n">
        <v>0</v>
      </c>
      <c r="Y400" s="3" t="n">
        <v>7.674</v>
      </c>
      <c r="Z400" s="3" t="n">
        <v>0.1954797440934053</v>
      </c>
      <c r="AA400" s="3" t="n">
        <v>0</v>
      </c>
      <c r="AB400" s="3" t="n">
        <v>1</v>
      </c>
      <c r="AC400" s="3" t="n">
        <v>2.5739</v>
      </c>
      <c r="AD400" s="3" t="n">
        <v>1.3096</v>
      </c>
      <c r="AE400" s="3" t="n">
        <v>-0.2043954225041625</v>
      </c>
      <c r="AF400" s="4" t="n">
        <v>0</v>
      </c>
      <c r="AG400" s="3" t="n">
        <v>0</v>
      </c>
      <c r="AH400" s="3" t="n">
        <v>0</v>
      </c>
      <c r="AI400" s="3" t="n">
        <v>0</v>
      </c>
      <c r="AJ400" s="3">
        <f>N(R400)*N(BC400)</f>
        <v/>
      </c>
      <c r="AK400" s="3" t="n">
        <v>0</v>
      </c>
      <c r="AL400" s="3" t="n">
        <v>0</v>
      </c>
      <c r="AM400" s="3" t="n">
        <v>-0.4230152821052008</v>
      </c>
      <c r="AN400" s="3" t="n">
        <v>-0.2043954225041625</v>
      </c>
      <c r="AO400" s="3">
        <f>SUM(AH400:AN400)</f>
        <v/>
      </c>
      <c r="AP400" s="5">
        <f>IF(OR(N(Q400)&lt;=0,N(BA400)=0),0,N(Q400)*IF(N(M400)/N(Q400)&gt;=60,N(BA400),1))</f>
        <v/>
      </c>
      <c r="AQ400" s="5">
        <f>N(Q400)*N(Z400)*N(BB400)</f>
        <v/>
      </c>
      <c r="AR400" s="5">
        <f>N(AF400)*(Assumptions!$B$13*N(BD400)-(1-Assumptions!$B$13)*Assumptions!$B$14)+N(AG400)</f>
        <v/>
      </c>
      <c r="AS400" s="5">
        <f>N(AO400)*N(M400)/90+N(AP400)+N(AQ400)+N(AR400)</f>
        <v/>
      </c>
      <c r="AT400" s="3">
        <f>IF(N(M400)&lt;=0,0,(N(AS400)-N(AR400))*90/N(M400))</f>
        <v/>
      </c>
      <c r="AU400" s="5">
        <f>IFERROR(AS400-VLOOKUP($C400,Assumptions!$A$36:$C$39,3,FALSE),"")</f>
        <v/>
      </c>
      <c r="AV400" s="3">
        <f>IFERROR(AU400/F400,"")</f>
        <v/>
      </c>
      <c r="AW400">
        <f>IF(AND($E400=TRUE,$C400="GKP"),AS400,"")</f>
        <v/>
      </c>
      <c r="AX400">
        <f>IF(AND($E400=TRUE,$C400="DEF"),AS400,"")</f>
        <v/>
      </c>
      <c r="AY400">
        <f>IF(AND($E400=TRUE,$C400="MID"),AS400,"")</f>
        <v/>
      </c>
      <c r="AZ400">
        <f>IF(AND($E400=TRUE,$C400="FWD"),AS400,"")</f>
        <v/>
      </c>
      <c r="BA400" t="n">
        <v>2</v>
      </c>
      <c r="BB400" t="n">
        <v>2</v>
      </c>
      <c r="BC400" t="n">
        <v>4</v>
      </c>
      <c r="BD400" t="n">
        <v>6</v>
      </c>
    </row>
    <row r="401">
      <c r="A401" t="inlineStr">
        <is>
          <t>Arthur Masuaku</t>
        </is>
      </c>
      <c r="B401" t="inlineStr">
        <is>
          <t>SUN</t>
        </is>
      </c>
      <c r="C401" t="inlineStr">
        <is>
          <t>DEF</t>
        </is>
      </c>
      <c r="D401" t="inlineStr">
        <is>
          <t>DEF</t>
        </is>
      </c>
      <c r="E401" t="b">
        <v>1</v>
      </c>
      <c r="F401" s="2" t="n">
        <v>4</v>
      </c>
      <c r="G401" t="inlineStr">
        <is>
          <t>u</t>
        </is>
      </c>
      <c r="H401" t="inlineStr">
        <is>
          <t>Has joined Konyaspor permanently</t>
        </is>
      </c>
      <c r="I401" s="2" t="n">
        <v>125</v>
      </c>
      <c r="J401" t="n">
        <v>1</v>
      </c>
      <c r="K401" s="3" t="n"/>
      <c r="M401" s="4" t="n">
        <v>125</v>
      </c>
      <c r="N401" t="inlineStr">
        <is>
          <t>25/26 actual</t>
        </is>
      </c>
      <c r="O401" s="5" t="n">
        <v>57.5</v>
      </c>
      <c r="P401" t="b">
        <v>1</v>
      </c>
      <c r="Q401" s="5">
        <f>IF(N(O401)&lt;=0,0,MIN(Assumptions!$B$15,N(M401)/N(O401)))</f>
        <v/>
      </c>
      <c r="R401" s="4" t="n">
        <v>0.204</v>
      </c>
      <c r="S401" s="3" t="n">
        <v>0.0497</v>
      </c>
      <c r="T401" t="inlineStr">
        <is>
          <t>adjusted xGOT</t>
        </is>
      </c>
      <c r="U401" s="3" t="n">
        <v>1</v>
      </c>
      <c r="V401" s="3" t="n">
        <v>0.991</v>
      </c>
      <c r="W401" s="3" t="n">
        <v>0.1</v>
      </c>
      <c r="X401" s="3" t="n">
        <v>0.0497</v>
      </c>
      <c r="Y401" s="3" t="n">
        <v>7.613</v>
      </c>
      <c r="Z401" s="3" t="n">
        <v>0.02715538228647074</v>
      </c>
      <c r="AA401" s="3" t="n">
        <v>0</v>
      </c>
      <c r="AB401" s="3" t="n">
        <v>3</v>
      </c>
      <c r="AC401" s="3" t="n">
        <v>3.3348</v>
      </c>
      <c r="AD401" s="3" t="n">
        <v>1.6498</v>
      </c>
      <c r="AE401" s="3" t="n">
        <v>-0.2473881698989371</v>
      </c>
      <c r="AF401" s="4" t="n">
        <v>0</v>
      </c>
      <c r="AG401" s="3" t="n">
        <v>0</v>
      </c>
      <c r="AH401" s="3" t="n">
        <v>0.2982</v>
      </c>
      <c r="AI401" s="3" t="n">
        <v>0.196812</v>
      </c>
      <c r="AJ401" s="3">
        <f>N(R401)*N(BC401)</f>
        <v/>
      </c>
      <c r="AK401" s="3" t="n">
        <v>0</v>
      </c>
      <c r="AL401" s="3" t="n">
        <v>0</v>
      </c>
      <c r="AM401" s="3" t="n">
        <v>-0.5841244809045405</v>
      </c>
      <c r="AN401" s="3" t="n">
        <v>-0.2473881698989371</v>
      </c>
      <c r="AO401" s="3">
        <f>SUM(AH401:AN401)</f>
        <v/>
      </c>
      <c r="AP401" s="5">
        <f>IF(OR(N(Q401)&lt;=0,N(BA401)=0),0,N(Q401)*IF(N(M401)/N(Q401)&gt;=60,N(BA401),1))</f>
        <v/>
      </c>
      <c r="AQ401" s="5">
        <f>N(Q401)*N(Z401)*N(BB401)</f>
        <v/>
      </c>
      <c r="AR401" s="5">
        <f>N(AF401)*(Assumptions!$B$13*N(BD401)-(1-Assumptions!$B$13)*Assumptions!$B$14)+N(AG401)</f>
        <v/>
      </c>
      <c r="AS401" s="5">
        <f>N(AO401)*N(M401)/90+N(AP401)+N(AQ401)+N(AR401)</f>
        <v/>
      </c>
      <c r="AT401" s="3">
        <f>IF(N(M401)&lt;=0,0,(N(AS401)-N(AR401))*90/N(M401))</f>
        <v/>
      </c>
      <c r="AU401" s="5">
        <f>IFERROR(AS401-VLOOKUP($C401,Assumptions!$A$36:$C$39,3,FALSE),"")</f>
        <v/>
      </c>
      <c r="AV401" s="3">
        <f>IFERROR(AU401/F401,"")</f>
        <v/>
      </c>
      <c r="AW401">
        <f>IF(AND($E401=TRUE,$C401="GKP"),AS401,"")</f>
        <v/>
      </c>
      <c r="AX401">
        <f>IF(AND($E401=TRUE,$C401="DEF"),AS401,"")</f>
        <v/>
      </c>
      <c r="AY401">
        <f>IF(AND($E401=TRUE,$C401="MID"),AS401,"")</f>
        <v/>
      </c>
      <c r="AZ401">
        <f>IF(AND($E401=TRUE,$C401="FWD"),AS401,"")</f>
        <v/>
      </c>
      <c r="BA401" t="n">
        <v>2</v>
      </c>
      <c r="BB401" t="n">
        <v>2</v>
      </c>
      <c r="BC401" t="n">
        <v>4</v>
      </c>
      <c r="BD401" t="n">
        <v>6</v>
      </c>
    </row>
    <row r="402">
      <c r="A402" t="inlineStr">
        <is>
          <t>Callum Olusesi</t>
        </is>
      </c>
      <c r="B402" t="inlineStr">
        <is>
          <t>TOT</t>
        </is>
      </c>
      <c r="C402" t="inlineStr">
        <is>
          <t>MID</t>
        </is>
      </c>
      <c r="D402" t="inlineStr">
        <is>
          <t>MID</t>
        </is>
      </c>
      <c r="E402" t="b">
        <v>1</v>
      </c>
      <c r="F402" s="2" t="n">
        <v>4.5</v>
      </c>
      <c r="G402" t="inlineStr">
        <is>
          <t>a</t>
        </is>
      </c>
      <c r="I402" s="2" t="n">
        <v>14</v>
      </c>
      <c r="J402" t="n">
        <v>1</v>
      </c>
      <c r="K402" s="3" t="n">
        <v>0</v>
      </c>
      <c r="L402" t="inlineStr">
        <is>
          <t>flat</t>
        </is>
      </c>
      <c r="M402" s="4" t="n">
        <v>0</v>
      </c>
      <c r="N402" t="inlineStr">
        <is>
          <t>Solio</t>
        </is>
      </c>
      <c r="O402" s="5" t="n">
        <v>85</v>
      </c>
      <c r="P402" t="b">
        <v>1</v>
      </c>
      <c r="Q402" s="5">
        <f>IF(N(O402)&lt;=0,0,MIN(Assumptions!$B$15,N(M402)/N(O402)))</f>
        <v/>
      </c>
      <c r="R402" s="4" t="n">
        <v>0.286</v>
      </c>
      <c r="S402" s="3" t="n">
        <v>0</v>
      </c>
      <c r="T402" t="inlineStr">
        <is>
          <t>blended xG</t>
        </is>
      </c>
      <c r="U402" s="3" t="n">
        <v>1</v>
      </c>
      <c r="V402" s="3" t="n">
        <v>1</v>
      </c>
      <c r="W402" s="3" t="n">
        <v>0</v>
      </c>
      <c r="X402" s="3" t="n">
        <v>0.0321</v>
      </c>
      <c r="Y402" s="3" t="n">
        <v>8.659000000000001</v>
      </c>
      <c r="Z402" s="3" t="n">
        <v>0.1251960318844989</v>
      </c>
      <c r="AA402" s="3" t="n">
        <v>0</v>
      </c>
      <c r="AB402" s="3" t="n">
        <v>1</v>
      </c>
      <c r="AC402" s="3" t="n">
        <v>2.5739</v>
      </c>
      <c r="AD402" s="3" t="n">
        <v>1.3096</v>
      </c>
      <c r="AE402" s="3" t="n">
        <v>-0.2141233878946482</v>
      </c>
      <c r="AF402" s="4" t="n">
        <v>0</v>
      </c>
      <c r="AG402" s="3" t="n">
        <v>0</v>
      </c>
      <c r="AH402" s="3" t="n">
        <v>0</v>
      </c>
      <c r="AI402" s="3" t="n">
        <v>0.127116</v>
      </c>
      <c r="AJ402" s="3">
        <f>N(R402)*N(BC402)</f>
        <v/>
      </c>
      <c r="AK402" s="3" t="n">
        <v>0</v>
      </c>
      <c r="AL402" s="3" t="n">
        <v>0</v>
      </c>
      <c r="AM402" s="3" t="n">
        <v>-0</v>
      </c>
      <c r="AN402" s="3" t="n">
        <v>-0.2141233878946482</v>
      </c>
      <c r="AO402" s="3">
        <f>SUM(AH402:AN402)</f>
        <v/>
      </c>
      <c r="AP402" s="5">
        <f>IF(OR(N(Q402)&lt;=0,N(BA402)=0),0,N(Q402)*IF(N(M402)/N(Q402)&gt;=60,N(BA402),1))</f>
        <v/>
      </c>
      <c r="AQ402" s="5">
        <f>N(Q402)*N(Z402)*N(BB402)</f>
        <v/>
      </c>
      <c r="AR402" s="5">
        <f>N(AF402)*(Assumptions!$B$13*N(BD402)-(1-Assumptions!$B$13)*Assumptions!$B$14)+N(AG402)</f>
        <v/>
      </c>
      <c r="AS402" s="5">
        <f>N(AO402)*N(M402)/90+N(AP402)+N(AQ402)+N(AR402)</f>
        <v/>
      </c>
      <c r="AT402" s="3">
        <f>IF(N(M402)&lt;=0,0,(N(AS402)-N(AR402))*90/N(M402))</f>
        <v/>
      </c>
      <c r="AU402" s="5">
        <f>IFERROR(AS402-VLOOKUP($C402,Assumptions!$A$36:$C$39,3,FALSE),"")</f>
        <v/>
      </c>
      <c r="AV402" s="3">
        <f>IFERROR(AU402/F402,"")</f>
        <v/>
      </c>
      <c r="AW402">
        <f>IF(AND($E402=TRUE,$C402="GKP"),AS402,"")</f>
        <v/>
      </c>
      <c r="AX402">
        <f>IF(AND($E402=TRUE,$C402="DEF"),AS402,"")</f>
        <v/>
      </c>
      <c r="AY402">
        <f>IF(AND($E402=TRUE,$C402="MID"),AS402,"")</f>
        <v/>
      </c>
      <c r="AZ402">
        <f>IF(AND($E402=TRUE,$C402="FWD"),AS402,"")</f>
        <v/>
      </c>
      <c r="BA402" t="n">
        <v>2</v>
      </c>
      <c r="BB402" t="n">
        <v>2</v>
      </c>
      <c r="BC402" t="n">
        <v>1</v>
      </c>
      <c r="BD402" t="n">
        <v>5</v>
      </c>
    </row>
    <row r="403">
      <c r="A403" t="inlineStr">
        <is>
          <t>Dário Essugo</t>
        </is>
      </c>
      <c r="B403" t="inlineStr">
        <is>
          <t>CHE</t>
        </is>
      </c>
      <c r="C403" t="inlineStr">
        <is>
          <t>MID</t>
        </is>
      </c>
      <c r="D403" t="inlineStr">
        <is>
          <t>MID</t>
        </is>
      </c>
      <c r="E403" t="b">
        <v>1</v>
      </c>
      <c r="F403" s="2" t="n">
        <v>4.5</v>
      </c>
      <c r="G403" t="inlineStr">
        <is>
          <t>a</t>
        </is>
      </c>
      <c r="I403" s="2" t="n">
        <v>26</v>
      </c>
      <c r="J403" t="n">
        <v>1</v>
      </c>
      <c r="K403" s="3" t="n">
        <v>12</v>
      </c>
      <c r="L403" t="inlineStr">
        <is>
          <t>flat</t>
        </is>
      </c>
      <c r="M403" s="4" t="n">
        <v>12</v>
      </c>
      <c r="N403" t="inlineStr">
        <is>
          <t>Solio</t>
        </is>
      </c>
      <c r="O403" s="5" t="n">
        <v>85</v>
      </c>
      <c r="P403" t="b">
        <v>1</v>
      </c>
      <c r="Q403" s="5">
        <f>IF(N(O403)&lt;=0,0,MIN(Assumptions!$B$15,N(M403)/N(O403)))</f>
        <v/>
      </c>
      <c r="R403" s="4" t="n">
        <v>0.322</v>
      </c>
      <c r="S403" s="3" t="n">
        <v>0</v>
      </c>
      <c r="T403" t="inlineStr">
        <is>
          <t>blended xG</t>
        </is>
      </c>
      <c r="U403" s="3" t="n">
        <v>1</v>
      </c>
      <c r="V403" s="3" t="n">
        <v>1</v>
      </c>
      <c r="W403" s="3" t="n">
        <v>0</v>
      </c>
      <c r="X403" s="3" t="n">
        <v>0.0173</v>
      </c>
      <c r="Y403" s="3" t="n">
        <v>9.243</v>
      </c>
      <c r="Z403" s="3" t="n">
        <v>0.1715630165825967</v>
      </c>
      <c r="AA403" s="3" t="n">
        <v>0</v>
      </c>
      <c r="AB403" s="3" t="n">
        <v>3</v>
      </c>
      <c r="AC403" s="3" t="n">
        <v>2.4232</v>
      </c>
      <c r="AD403" s="3" t="n">
        <v>1.1851</v>
      </c>
      <c r="AE403" s="3" t="n">
        <v>-0.3352899199387102</v>
      </c>
      <c r="AF403" s="4" t="n">
        <v>0</v>
      </c>
      <c r="AG403" s="3" t="n">
        <v>0</v>
      </c>
      <c r="AH403" s="3" t="n">
        <v>0</v>
      </c>
      <c r="AI403" s="3" t="n">
        <v>0.068508</v>
      </c>
      <c r="AJ403" s="3">
        <f>N(R403)*N(BC403)</f>
        <v/>
      </c>
      <c r="AK403" s="3" t="n">
        <v>0</v>
      </c>
      <c r="AL403" s="3" t="n">
        <v>0</v>
      </c>
      <c r="AM403" s="3" t="n">
        <v>-0</v>
      </c>
      <c r="AN403" s="3" t="n">
        <v>-0.3352899199387102</v>
      </c>
      <c r="AO403" s="3">
        <f>SUM(AH403:AN403)</f>
        <v/>
      </c>
      <c r="AP403" s="5">
        <f>IF(OR(N(Q403)&lt;=0,N(BA403)=0),0,N(Q403)*IF(N(M403)/N(Q403)&gt;=60,N(BA403),1))</f>
        <v/>
      </c>
      <c r="AQ403" s="5">
        <f>N(Q403)*N(Z403)*N(BB403)</f>
        <v/>
      </c>
      <c r="AR403" s="5">
        <f>N(AF403)*(Assumptions!$B$13*N(BD403)-(1-Assumptions!$B$13)*Assumptions!$B$14)+N(AG403)</f>
        <v/>
      </c>
      <c r="AS403" s="5">
        <f>N(AO403)*N(M403)/90+N(AP403)+N(AQ403)+N(AR403)</f>
        <v/>
      </c>
      <c r="AT403" s="3">
        <f>IF(N(M403)&lt;=0,0,(N(AS403)-N(AR403))*90/N(M403))</f>
        <v/>
      </c>
      <c r="AU403" s="5">
        <f>IFERROR(AS403-VLOOKUP($C403,Assumptions!$A$36:$C$39,3,FALSE),"")</f>
        <v/>
      </c>
      <c r="AV403" s="3">
        <f>IFERROR(AU403/F403,"")</f>
        <v/>
      </c>
      <c r="AW403">
        <f>IF(AND($E403=TRUE,$C403="GKP"),AS403,"")</f>
        <v/>
      </c>
      <c r="AX403">
        <f>IF(AND($E403=TRUE,$C403="DEF"),AS403,"")</f>
        <v/>
      </c>
      <c r="AY403">
        <f>IF(AND($E403=TRUE,$C403="MID"),AS403,"")</f>
        <v/>
      </c>
      <c r="AZ403">
        <f>IF(AND($E403=TRUE,$C403="FWD"),AS403,"")</f>
        <v/>
      </c>
      <c r="BA403" t="n">
        <v>2</v>
      </c>
      <c r="BB403" t="n">
        <v>2</v>
      </c>
      <c r="BC403" t="n">
        <v>1</v>
      </c>
      <c r="BD403" t="n">
        <v>5</v>
      </c>
    </row>
    <row r="404">
      <c r="A404" t="inlineStr">
        <is>
          <t>Hákon Valdimarsson</t>
        </is>
      </c>
      <c r="B404" t="inlineStr">
        <is>
          <t>BRE</t>
        </is>
      </c>
      <c r="C404" t="inlineStr">
        <is>
          <t>GKP</t>
        </is>
      </c>
      <c r="D404" t="inlineStr">
        <is>
          <t>GKP</t>
        </is>
      </c>
      <c r="E404" t="b">
        <v>1</v>
      </c>
      <c r="F404" s="2" t="n">
        <v>4.5</v>
      </c>
      <c r="G404" t="inlineStr">
        <is>
          <t>a</t>
        </is>
      </c>
      <c r="I404" s="2" t="n">
        <v>90</v>
      </c>
      <c r="J404" t="n">
        <v>1</v>
      </c>
      <c r="K404" s="3" t="n">
        <v>35</v>
      </c>
      <c r="L404" t="inlineStr">
        <is>
          <t>flat</t>
        </is>
      </c>
      <c r="M404" s="4" t="n">
        <v>35</v>
      </c>
      <c r="N404" t="inlineStr">
        <is>
          <t>Solio</t>
        </is>
      </c>
      <c r="O404" s="5" t="n">
        <v>90</v>
      </c>
      <c r="P404" t="b">
        <v>1</v>
      </c>
      <c r="Q404" s="5">
        <f>IF(N(O404)&lt;=0,0,MIN(Assumptions!$B$15,N(M404)/N(O404)))</f>
        <v/>
      </c>
      <c r="R404" s="4" t="n">
        <v>0.228</v>
      </c>
      <c r="S404" s="3" t="n">
        <v>0</v>
      </c>
      <c r="T404" t="inlineStr">
        <is>
          <t>blended xG</t>
        </is>
      </c>
      <c r="U404" s="3" t="n">
        <v>1</v>
      </c>
      <c r="V404" s="3" t="n">
        <v>1</v>
      </c>
      <c r="W404" s="3" t="n">
        <v>0</v>
      </c>
      <c r="X404" s="3" t="n">
        <v>0</v>
      </c>
      <c r="Y404" s="3" t="n">
        <v>0</v>
      </c>
      <c r="Z404" s="3" t="n">
        <v>0</v>
      </c>
      <c r="AA404" s="3" t="n">
        <v>0</v>
      </c>
      <c r="AB404" s="3" t="n">
        <v>2</v>
      </c>
      <c r="AC404" s="3" t="n">
        <v>3.2371</v>
      </c>
      <c r="AD404" s="3" t="n">
        <v>1.5396</v>
      </c>
      <c r="AE404" s="3" t="n">
        <v>-0.0683156702064885</v>
      </c>
      <c r="AF404" s="4" t="n">
        <v>0</v>
      </c>
      <c r="AG404" s="3" t="n">
        <v>0.0336372485649878</v>
      </c>
      <c r="AH404" s="3" t="n">
        <v>0</v>
      </c>
      <c r="AI404" s="3" t="n">
        <v>0</v>
      </c>
      <c r="AJ404" s="3">
        <f>N(R404)*N(BC404)</f>
        <v/>
      </c>
      <c r="AK404" s="3" t="n">
        <v>0</v>
      </c>
      <c r="AL404" s="3" t="n">
        <v>0.7437492341118994</v>
      </c>
      <c r="AM404" s="3" t="n">
        <v>-0.5312990096912251</v>
      </c>
      <c r="AN404" s="3" t="n">
        <v>-0.0683156702064885</v>
      </c>
      <c r="AO404" s="3">
        <f>SUM(AH404:AN404)</f>
        <v/>
      </c>
      <c r="AP404" s="5">
        <f>IF(OR(N(Q404)&lt;=0,N(BA404)=0),0,N(Q404)*IF(N(M404)/N(Q404)&gt;=60,N(BA404),1))</f>
        <v/>
      </c>
      <c r="AQ404" s="5">
        <f>N(Q404)*N(Z404)*N(BB404)</f>
        <v/>
      </c>
      <c r="AR404" s="5">
        <f>N(AF404)*(Assumptions!$B$13*N(BD404)-(1-Assumptions!$B$13)*Assumptions!$B$14)+N(AG404)</f>
        <v/>
      </c>
      <c r="AS404" s="5">
        <f>N(AO404)*N(M404)/90+N(AP404)+N(AQ404)+N(AR404)</f>
        <v/>
      </c>
      <c r="AT404" s="3">
        <f>IF(N(M404)&lt;=0,0,(N(AS404)-N(AR404))*90/N(M404))</f>
        <v/>
      </c>
      <c r="AU404" s="5">
        <f>IFERROR(AS404-VLOOKUP($C404,Assumptions!$A$36:$C$39,3,FALSE),"")</f>
        <v/>
      </c>
      <c r="AV404" s="3">
        <f>IFERROR(AU404/F404,"")</f>
        <v/>
      </c>
      <c r="AW404">
        <f>IF(AND($E404=TRUE,$C404="GKP"),AS404,"")</f>
        <v/>
      </c>
      <c r="AX404">
        <f>IF(AND($E404=TRUE,$C404="DEF"),AS404,"")</f>
        <v/>
      </c>
      <c r="AY404">
        <f>IF(AND($E404=TRUE,$C404="MID"),AS404,"")</f>
        <v/>
      </c>
      <c r="AZ404">
        <f>IF(AND($E404=TRUE,$C404="FWD"),AS404,"")</f>
        <v/>
      </c>
      <c r="BA404" t="n">
        <v>2</v>
      </c>
      <c r="BB404" t="n">
        <v>0</v>
      </c>
      <c r="BC404" t="n">
        <v>4</v>
      </c>
      <c r="BD404" t="n">
        <v>10</v>
      </c>
    </row>
    <row r="405">
      <c r="A405" t="inlineStr">
        <is>
          <t>Antoni Milambo</t>
        </is>
      </c>
      <c r="B405" t="inlineStr">
        <is>
          <t>BRE</t>
        </is>
      </c>
      <c r="C405" t="inlineStr">
        <is>
          <t>MID</t>
        </is>
      </c>
      <c r="D405" t="inlineStr">
        <is>
          <t>MID</t>
        </is>
      </c>
      <c r="E405" t="b">
        <v>1</v>
      </c>
      <c r="F405" s="2" t="n">
        <v>5</v>
      </c>
      <c r="G405" t="inlineStr">
        <is>
          <t>d</t>
        </is>
      </c>
      <c r="H405" t="inlineStr">
        <is>
          <t>Knee injury - 75% chance of playing</t>
        </is>
      </c>
      <c r="I405" s="2" t="n">
        <v>45</v>
      </c>
      <c r="J405" t="n">
        <v>1</v>
      </c>
      <c r="K405" s="3" t="n">
        <v>0</v>
      </c>
      <c r="L405" t="inlineStr">
        <is>
          <t>flat</t>
        </is>
      </c>
      <c r="M405" s="4" t="n">
        <v>0</v>
      </c>
      <c r="N405" t="inlineStr">
        <is>
          <t>Solio</t>
        </is>
      </c>
      <c r="O405" s="5" t="n">
        <v>45</v>
      </c>
      <c r="P405" t="b">
        <v>1</v>
      </c>
      <c r="Q405" s="5">
        <f>IF(N(O405)&lt;=0,0,MIN(Assumptions!$B$15,N(M405)/N(O405)))</f>
        <v/>
      </c>
      <c r="R405" s="4" t="n">
        <v>0.228</v>
      </c>
      <c r="S405" s="3" t="n">
        <v>0</v>
      </c>
      <c r="T405" t="inlineStr">
        <is>
          <t>blended xG</t>
        </is>
      </c>
      <c r="U405" s="3" t="n">
        <v>1</v>
      </c>
      <c r="V405" s="3" t="n">
        <v>1</v>
      </c>
      <c r="W405" s="3" t="n">
        <v>0</v>
      </c>
      <c r="X405" s="3" t="n">
        <v>0.01</v>
      </c>
      <c r="Y405" s="3" t="n">
        <v>8.542999999999999</v>
      </c>
      <c r="Z405" s="3" t="n">
        <v>0.001578033481389518</v>
      </c>
      <c r="AA405" s="3" t="n">
        <v>0</v>
      </c>
      <c r="AB405" s="3" t="n">
        <v>1</v>
      </c>
      <c r="AC405" s="3" t="n">
        <v>3.2371</v>
      </c>
      <c r="AD405" s="3" t="n">
        <v>1.5396</v>
      </c>
      <c r="AE405" s="3" t="n">
        <v>-0.21000072881914</v>
      </c>
      <c r="AF405" s="4" t="n">
        <v>0</v>
      </c>
      <c r="AG405" s="3" t="n">
        <v>0</v>
      </c>
      <c r="AH405" s="3" t="n">
        <v>0</v>
      </c>
      <c r="AI405" s="3" t="n">
        <v>0.0396</v>
      </c>
      <c r="AJ405" s="3">
        <f>N(R405)*N(BC405)</f>
        <v/>
      </c>
      <c r="AK405" s="3" t="n">
        <v>0</v>
      </c>
      <c r="AL405" s="3" t="n">
        <v>0</v>
      </c>
      <c r="AM405" s="3" t="n">
        <v>-0</v>
      </c>
      <c r="AN405" s="3" t="n">
        <v>-0.21000072881914</v>
      </c>
      <c r="AO405" s="3">
        <f>SUM(AH405:AN405)</f>
        <v/>
      </c>
      <c r="AP405" s="5">
        <f>IF(OR(N(Q405)&lt;=0,N(BA405)=0),0,N(Q405)*IF(N(M405)/N(Q405)&gt;=60,N(BA405),1))</f>
        <v/>
      </c>
      <c r="AQ405" s="5">
        <f>N(Q405)*N(Z405)*N(BB405)</f>
        <v/>
      </c>
      <c r="AR405" s="5">
        <f>N(AF405)*(Assumptions!$B$13*N(BD405)-(1-Assumptions!$B$13)*Assumptions!$B$14)+N(AG405)</f>
        <v/>
      </c>
      <c r="AS405" s="5">
        <f>N(AO405)*N(M405)/90+N(AP405)+N(AQ405)+N(AR405)</f>
        <v/>
      </c>
      <c r="AT405" s="3">
        <f>IF(N(M405)&lt;=0,0,(N(AS405)-N(AR405))*90/N(M405))</f>
        <v/>
      </c>
      <c r="AU405" s="5">
        <f>IFERROR(AS405-VLOOKUP($C405,Assumptions!$A$36:$C$39,3,FALSE),"")</f>
        <v/>
      </c>
      <c r="AV405" s="3">
        <f>IFERROR(AU405/F405,"")</f>
        <v/>
      </c>
      <c r="AW405">
        <f>IF(AND($E405=TRUE,$C405="GKP"),AS405,"")</f>
        <v/>
      </c>
      <c r="AX405">
        <f>IF(AND($E405=TRUE,$C405="DEF"),AS405,"")</f>
        <v/>
      </c>
      <c r="AY405">
        <f>IF(AND($E405=TRUE,$C405="MID"),AS405,"")</f>
        <v/>
      </c>
      <c r="AZ405">
        <f>IF(AND($E405=TRUE,$C405="FWD"),AS405,"")</f>
        <v/>
      </c>
      <c r="BA405" t="n">
        <v>2</v>
      </c>
      <c r="BB405" t="n">
        <v>2</v>
      </c>
      <c r="BC405" t="n">
        <v>1</v>
      </c>
      <c r="BD405" t="n">
        <v>5</v>
      </c>
    </row>
    <row r="406">
      <c r="A406" t="inlineStr">
        <is>
          <t>Tyler Fredricson</t>
        </is>
      </c>
      <c r="B406" t="inlineStr">
        <is>
          <t>MUN</t>
        </is>
      </c>
      <c r="C406" t="inlineStr">
        <is>
          <t>DEF</t>
        </is>
      </c>
      <c r="D406" t="inlineStr">
        <is>
          <t>DEF</t>
        </is>
      </c>
      <c r="E406" t="b">
        <v>1</v>
      </c>
      <c r="F406" s="2" t="n">
        <v>4</v>
      </c>
      <c r="G406" t="inlineStr">
        <is>
          <t>a</t>
        </is>
      </c>
      <c r="I406" s="2" t="n">
        <v>2</v>
      </c>
      <c r="J406" t="n">
        <v>1</v>
      </c>
      <c r="K406" s="3" t="n">
        <v>0</v>
      </c>
      <c r="L406" t="inlineStr">
        <is>
          <t>flat</t>
        </is>
      </c>
      <c r="M406" s="4" t="n">
        <v>0</v>
      </c>
      <c r="N406" t="inlineStr">
        <is>
          <t>Solio</t>
        </is>
      </c>
      <c r="O406" s="5" t="n">
        <v>85</v>
      </c>
      <c r="P406" t="b">
        <v>1</v>
      </c>
      <c r="Q406" s="5">
        <f>IF(N(O406)&lt;=0,0,MIN(Assumptions!$B$15,N(M406)/N(O406)))</f>
        <v/>
      </c>
      <c r="R406" s="4" t="n">
        <v>0.334</v>
      </c>
      <c r="S406" s="3" t="n">
        <v>0</v>
      </c>
      <c r="T406" t="inlineStr">
        <is>
          <t>blended xG</t>
        </is>
      </c>
      <c r="U406" s="3" t="n">
        <v>1</v>
      </c>
      <c r="V406" s="3" t="n">
        <v>1</v>
      </c>
      <c r="W406" s="3" t="n">
        <v>0</v>
      </c>
      <c r="X406" s="3" t="n">
        <v>0</v>
      </c>
      <c r="Y406" s="3" t="n">
        <v>7.913</v>
      </c>
      <c r="Z406" s="3" t="n">
        <v>0.220555145422571</v>
      </c>
      <c r="AA406" s="3" t="n">
        <v>0</v>
      </c>
      <c r="AB406" s="3" t="n">
        <v>1</v>
      </c>
      <c r="AC406" s="3" t="n">
        <v>2.2165</v>
      </c>
      <c r="AD406" s="3" t="n">
        <v>1.1467</v>
      </c>
      <c r="AE406" s="3" t="n">
        <v>-0.1924405994730319</v>
      </c>
      <c r="AF406" s="4" t="n">
        <v>0</v>
      </c>
      <c r="AG406" s="3" t="n">
        <v>0</v>
      </c>
      <c r="AH406" s="3" t="n">
        <v>0</v>
      </c>
      <c r="AI406" s="3" t="n">
        <v>0</v>
      </c>
      <c r="AJ406" s="3">
        <f>N(R406)*N(BC406)</f>
        <v/>
      </c>
      <c r="AK406" s="3" t="n">
        <v>0</v>
      </c>
      <c r="AL406" s="3" t="n">
        <v>0</v>
      </c>
      <c r="AM406" s="3" t="n">
        <v>-0.348580685135232</v>
      </c>
      <c r="AN406" s="3" t="n">
        <v>-0.1924405994730319</v>
      </c>
      <c r="AO406" s="3">
        <f>SUM(AH406:AN406)</f>
        <v/>
      </c>
      <c r="AP406" s="5">
        <f>IF(OR(N(Q406)&lt;=0,N(BA406)=0),0,N(Q406)*IF(N(M406)/N(Q406)&gt;=60,N(BA406),1))</f>
        <v/>
      </c>
      <c r="AQ406" s="5">
        <f>N(Q406)*N(Z406)*N(BB406)</f>
        <v/>
      </c>
      <c r="AR406" s="5">
        <f>N(AF406)*(Assumptions!$B$13*N(BD406)-(1-Assumptions!$B$13)*Assumptions!$B$14)+N(AG406)</f>
        <v/>
      </c>
      <c r="AS406" s="5">
        <f>N(AO406)*N(M406)/90+N(AP406)+N(AQ406)+N(AR406)</f>
        <v/>
      </c>
      <c r="AT406" s="3">
        <f>IF(N(M406)&lt;=0,0,(N(AS406)-N(AR406))*90/N(M406))</f>
        <v/>
      </c>
      <c r="AU406" s="5">
        <f>IFERROR(AS406-VLOOKUP($C406,Assumptions!$A$36:$C$39,3,FALSE),"")</f>
        <v/>
      </c>
      <c r="AV406" s="3">
        <f>IFERROR(AU406/F406,"")</f>
        <v/>
      </c>
      <c r="AW406">
        <f>IF(AND($E406=TRUE,$C406="GKP"),AS406,"")</f>
        <v/>
      </c>
      <c r="AX406">
        <f>IF(AND($E406=TRUE,$C406="DEF"),AS406,"")</f>
        <v/>
      </c>
      <c r="AY406">
        <f>IF(AND($E406=TRUE,$C406="MID"),AS406,"")</f>
        <v/>
      </c>
      <c r="AZ406">
        <f>IF(AND($E406=TRUE,$C406="FWD"),AS406,"")</f>
        <v/>
      </c>
      <c r="BA406" t="n">
        <v>2</v>
      </c>
      <c r="BB406" t="n">
        <v>2</v>
      </c>
      <c r="BC406" t="n">
        <v>4</v>
      </c>
      <c r="BD406" t="n">
        <v>6</v>
      </c>
    </row>
    <row r="407">
      <c r="A407" t="inlineStr">
        <is>
          <t>Illan Meslier</t>
        </is>
      </c>
      <c r="B407" t="inlineStr">
        <is>
          <t>ARS</t>
        </is>
      </c>
      <c r="C407" t="inlineStr">
        <is>
          <t>GKP</t>
        </is>
      </c>
      <c r="D407" t="inlineStr">
        <is>
          <t>GKP</t>
        </is>
      </c>
      <c r="E407" t="b">
        <v>1</v>
      </c>
      <c r="F407" s="2" t="n">
        <v>5</v>
      </c>
      <c r="G407" t="inlineStr">
        <is>
          <t>a</t>
        </is>
      </c>
      <c r="I407" s="2" t="n">
        <v>0</v>
      </c>
      <c r="J407" t="n">
        <v>0</v>
      </c>
      <c r="K407" s="3" t="n">
        <v>0</v>
      </c>
      <c r="L407" t="inlineStr">
        <is>
          <t>flat</t>
        </is>
      </c>
      <c r="M407" s="4" t="n">
        <v>0</v>
      </c>
      <c r="N407" t="inlineStr">
        <is>
          <t>Solio</t>
        </is>
      </c>
      <c r="O407" s="5" t="n">
        <v>85</v>
      </c>
      <c r="P407" t="b">
        <v>0</v>
      </c>
      <c r="Q407" s="5">
        <f>IF(N(O407)&lt;=0,0,MIN(Assumptions!$B$15,N(M407)/N(O407)))</f>
        <v/>
      </c>
      <c r="R407" s="4" t="n">
        <v>0.391</v>
      </c>
      <c r="S407" s="3" t="n"/>
      <c r="T407" t="inlineStr"/>
      <c r="U407" s="3" t="n">
        <v>1</v>
      </c>
      <c r="V407" s="3" t="n"/>
      <c r="W407" s="3" t="n"/>
      <c r="X407" s="3" t="n"/>
      <c r="Y407" s="3" t="n">
        <v>0</v>
      </c>
      <c r="Z407" s="3" t="n">
        <v>0</v>
      </c>
      <c r="AA407" s="3" t="n"/>
      <c r="AB407" s="3" t="n">
        <v>0</v>
      </c>
      <c r="AC407" s="3" t="n">
        <v>2.067</v>
      </c>
      <c r="AD407" s="3" t="n">
        <v>0.9838</v>
      </c>
      <c r="AE407" s="3" t="n">
        <v>-0.0763216474948735</v>
      </c>
      <c r="AF407" s="4" t="n">
        <v>0</v>
      </c>
      <c r="AG407" s="3" t="n">
        <v>0</v>
      </c>
      <c r="AH407" s="3" t="n">
        <v>0</v>
      </c>
      <c r="AI407" s="3" t="n">
        <v>0</v>
      </c>
      <c r="AJ407" s="3">
        <f>N(R407)*N(BC407)</f>
        <v/>
      </c>
      <c r="AK407" s="3" t="n">
        <v>0</v>
      </c>
      <c r="AL407" s="3" t="n">
        <v>0.3608597487600056</v>
      </c>
      <c r="AM407" s="3" t="n">
        <v>-0.2768479886568037</v>
      </c>
      <c r="AN407" s="3" t="n">
        <v>-0.0763216474948735</v>
      </c>
      <c r="AO407" s="3">
        <f>SUM(AH407:AN407)</f>
        <v/>
      </c>
      <c r="AP407" s="5">
        <f>IF(OR(N(Q407)&lt;=0,N(BA407)=0),0,N(Q407)*IF(N(M407)/N(Q407)&gt;=60,N(BA407),1))</f>
        <v/>
      </c>
      <c r="AQ407" s="5">
        <f>N(Q407)*N(Z407)*N(BB407)</f>
        <v/>
      </c>
      <c r="AR407" s="5">
        <f>N(AF407)*(Assumptions!$B$13*N(BD407)-(1-Assumptions!$B$13)*Assumptions!$B$14)+N(AG407)</f>
        <v/>
      </c>
      <c r="AS407" s="5">
        <f>N(AO407)*N(M407)/90+N(AP407)+N(AQ407)+N(AR407)</f>
        <v/>
      </c>
      <c r="AT407" s="3">
        <f>IF(N(M407)&lt;=0,0,(N(AS407)-N(AR407))*90/N(M407))</f>
        <v/>
      </c>
      <c r="AU407" s="5">
        <f>IFERROR(AS407-VLOOKUP($C407,Assumptions!$A$36:$C$39,3,FALSE),"")</f>
        <v/>
      </c>
      <c r="AV407" s="3">
        <f>IFERROR(AU407/F407,"")</f>
        <v/>
      </c>
      <c r="AW407">
        <f>IF(AND($E407=TRUE,$C407="GKP"),AS407,"")</f>
        <v/>
      </c>
      <c r="AX407">
        <f>IF(AND($E407=TRUE,$C407="DEF"),AS407,"")</f>
        <v/>
      </c>
      <c r="AY407">
        <f>IF(AND($E407=TRUE,$C407="MID"),AS407,"")</f>
        <v/>
      </c>
      <c r="AZ407">
        <f>IF(AND($E407=TRUE,$C407="FWD"),AS407,"")</f>
        <v/>
      </c>
      <c r="BA407" t="n">
        <v>2</v>
      </c>
      <c r="BB407" t="n">
        <v>0</v>
      </c>
      <c r="BC407" t="n">
        <v>4</v>
      </c>
      <c r="BD407" t="n">
        <v>10</v>
      </c>
    </row>
    <row r="408">
      <c r="A408" t="inlineStr">
        <is>
          <t>Julián Araujo Zúñiga</t>
        </is>
      </c>
      <c r="B408" t="inlineStr">
        <is>
          <t>BOU</t>
        </is>
      </c>
      <c r="C408" t="inlineStr">
        <is>
          <t>DEF</t>
        </is>
      </c>
      <c r="D408" t="inlineStr">
        <is>
          <t>DEF</t>
        </is>
      </c>
      <c r="E408" t="b">
        <v>1</v>
      </c>
      <c r="F408" s="2" t="n">
        <v>4.5</v>
      </c>
      <c r="G408" t="inlineStr">
        <is>
          <t>i</t>
        </is>
      </c>
      <c r="H408" t="inlineStr">
        <is>
          <t>Thigh injury - Unknown return date</t>
        </is>
      </c>
      <c r="I408" s="2" t="n">
        <v>0</v>
      </c>
      <c r="J408" t="n">
        <v>0</v>
      </c>
      <c r="K408" s="3" t="n">
        <v>0</v>
      </c>
      <c r="L408" t="inlineStr">
        <is>
          <t>flat</t>
        </is>
      </c>
      <c r="M408" s="4" t="n">
        <v>0</v>
      </c>
      <c r="N408" t="inlineStr">
        <is>
          <t>Solio</t>
        </is>
      </c>
      <c r="O408" s="5" t="n">
        <v>85</v>
      </c>
      <c r="P408" t="b">
        <v>0</v>
      </c>
      <c r="Q408" s="5">
        <f>IF(N(O408)&lt;=0,0,MIN(Assumptions!$B$15,N(M408)/N(O408)))</f>
        <v/>
      </c>
      <c r="R408" s="4" t="n">
        <v>0.23</v>
      </c>
      <c r="S408" s="3" t="n"/>
      <c r="T408" t="inlineStr"/>
      <c r="U408" s="3" t="n">
        <v>1</v>
      </c>
      <c r="V408" s="3" t="n"/>
      <c r="W408" s="3" t="n"/>
      <c r="X408" s="3" t="n"/>
      <c r="Y408" s="3" t="n"/>
      <c r="Z408" s="3" t="n">
        <v>0</v>
      </c>
      <c r="AA408" s="3" t="n"/>
      <c r="AB408" s="3" t="n">
        <v>0</v>
      </c>
      <c r="AC408" s="3" t="n">
        <v>3.0957</v>
      </c>
      <c r="AD408" s="3" t="n">
        <v>1.53</v>
      </c>
      <c r="AE408" s="3" t="n">
        <v>-0.2355754748814301</v>
      </c>
      <c r="AF408" s="4" t="n">
        <v>0</v>
      </c>
      <c r="AG408" s="3" t="n">
        <v>0</v>
      </c>
      <c r="AH408" s="3" t="n">
        <v>0</v>
      </c>
      <c r="AI408" s="3" t="n">
        <v>0</v>
      </c>
      <c r="AJ408" s="3">
        <f>N(R408)*N(BC408)</f>
        <v/>
      </c>
      <c r="AK408" s="3" t="n">
        <v>0</v>
      </c>
      <c r="AL408" s="3" t="n">
        <v>0</v>
      </c>
      <c r="AM408" s="3" t="n">
        <v>-0.5267219238049191</v>
      </c>
      <c r="AN408" s="3" t="n">
        <v>-0.2355754748814301</v>
      </c>
      <c r="AO408" s="3">
        <f>SUM(AH408:AN408)</f>
        <v/>
      </c>
      <c r="AP408" s="5">
        <f>IF(OR(N(Q408)&lt;=0,N(BA408)=0),0,N(Q408)*IF(N(M408)/N(Q408)&gt;=60,N(BA408),1))</f>
        <v/>
      </c>
      <c r="AQ408" s="5">
        <f>N(Q408)*N(Z408)*N(BB408)</f>
        <v/>
      </c>
      <c r="AR408" s="5">
        <f>N(AF408)*(Assumptions!$B$13*N(BD408)-(1-Assumptions!$B$13)*Assumptions!$B$14)+N(AG408)</f>
        <v/>
      </c>
      <c r="AS408" s="5">
        <f>N(AO408)*N(M408)/90+N(AP408)+N(AQ408)+N(AR408)</f>
        <v/>
      </c>
      <c r="AT408" s="3">
        <f>IF(N(M408)&lt;=0,0,(N(AS408)-N(AR408))*90/N(M408))</f>
        <v/>
      </c>
      <c r="AU408" s="5">
        <f>IFERROR(AS408-VLOOKUP($C408,Assumptions!$A$36:$C$39,3,FALSE),"")</f>
        <v/>
      </c>
      <c r="AV408" s="3">
        <f>IFERROR(AU408/F408,"")</f>
        <v/>
      </c>
      <c r="AW408">
        <f>IF(AND($E408=TRUE,$C408="GKP"),AS408,"")</f>
        <v/>
      </c>
      <c r="AX408">
        <f>IF(AND($E408=TRUE,$C408="DEF"),AS408,"")</f>
        <v/>
      </c>
      <c r="AY408">
        <f>IF(AND($E408=TRUE,$C408="MID"),AS408,"")</f>
        <v/>
      </c>
      <c r="AZ408">
        <f>IF(AND($E408=TRUE,$C408="FWD"),AS408,"")</f>
        <v/>
      </c>
      <c r="BA408" t="n">
        <v>2</v>
      </c>
      <c r="BB408" t="n">
        <v>2</v>
      </c>
      <c r="BC408" t="n">
        <v>4</v>
      </c>
      <c r="BD408" t="n">
        <v>6</v>
      </c>
    </row>
    <row r="409">
      <c r="A409" t="inlineStr">
        <is>
          <t>Kjell Scherpen</t>
        </is>
      </c>
      <c r="B409" t="inlineStr">
        <is>
          <t>IPS</t>
        </is>
      </c>
      <c r="C409" t="inlineStr">
        <is>
          <t>GKP</t>
        </is>
      </c>
      <c r="D409" t="inlineStr">
        <is>
          <t>GKP</t>
        </is>
      </c>
      <c r="E409" t="b">
        <v>1</v>
      </c>
      <c r="F409" s="2" t="n">
        <v>4.5</v>
      </c>
      <c r="G409" t="inlineStr">
        <is>
          <t>a</t>
        </is>
      </c>
      <c r="I409" s="2" t="n">
        <v>0</v>
      </c>
      <c r="J409" t="n">
        <v>0</v>
      </c>
      <c r="K409" s="3" t="n">
        <v>3317</v>
      </c>
      <c r="L409" t="inlineStr">
        <is>
          <t>flat</t>
        </is>
      </c>
      <c r="M409" s="4" t="n">
        <v>3317</v>
      </c>
      <c r="N409" t="inlineStr">
        <is>
          <t>Solio</t>
        </is>
      </c>
      <c r="O409" s="5" t="n">
        <v>85</v>
      </c>
      <c r="P409" t="b">
        <v>0</v>
      </c>
      <c r="Q409" s="5">
        <f>IF(N(O409)&lt;=0,0,MIN(Assumptions!$B$15,N(M409)/N(O409)))</f>
        <v/>
      </c>
      <c r="R409" s="4" t="n">
        <v>0.17</v>
      </c>
      <c r="S409" s="3" t="n"/>
      <c r="T409" t="inlineStr"/>
      <c r="U409" s="3" t="n">
        <v>1</v>
      </c>
      <c r="V409" s="3" t="n"/>
      <c r="W409" s="3" t="n"/>
      <c r="X409" s="3" t="n"/>
      <c r="Y409" s="3" t="n">
        <v>0</v>
      </c>
      <c r="Z409" s="3" t="n">
        <v>0</v>
      </c>
      <c r="AA409" s="3" t="n"/>
      <c r="AB409" s="3" t="n">
        <v>0</v>
      </c>
      <c r="AC409" s="3" t="n">
        <v>3.5741</v>
      </c>
      <c r="AD409" s="3" t="n">
        <v>1.8319</v>
      </c>
      <c r="AE409" s="3" t="n">
        <v>-0.0763216474948735</v>
      </c>
      <c r="AF409" s="4" t="n">
        <v>0</v>
      </c>
      <c r="AG409" s="3" t="n">
        <v>3.792999458017947</v>
      </c>
      <c r="AH409" s="3" t="n">
        <v>0</v>
      </c>
      <c r="AI409" s="3" t="n">
        <v>0</v>
      </c>
      <c r="AJ409" s="3">
        <f>N(R409)*N(BC409)</f>
        <v/>
      </c>
      <c r="AK409" s="3" t="n">
        <v>0</v>
      </c>
      <c r="AL409" s="3" t="n">
        <v>0.8565116974562608</v>
      </c>
      <c r="AM409" s="3" t="n">
        <v>-0.6723587286814016</v>
      </c>
      <c r="AN409" s="3" t="n">
        <v>-0.0763216474948735</v>
      </c>
      <c r="AO409" s="3">
        <f>SUM(AH409:AN409)</f>
        <v/>
      </c>
      <c r="AP409" s="5">
        <f>IF(OR(N(Q409)&lt;=0,N(BA409)=0),0,N(Q409)*IF(N(M409)/N(Q409)&gt;=60,N(BA409),1))</f>
        <v/>
      </c>
      <c r="AQ409" s="5">
        <f>N(Q409)*N(Z409)*N(BB409)</f>
        <v/>
      </c>
      <c r="AR409" s="5">
        <f>N(AF409)*(Assumptions!$B$13*N(BD409)-(1-Assumptions!$B$13)*Assumptions!$B$14)+N(AG409)</f>
        <v/>
      </c>
      <c r="AS409" s="5">
        <f>N(AO409)*N(M409)/90+N(AP409)+N(AQ409)+N(AR409)</f>
        <v/>
      </c>
      <c r="AT409" s="3">
        <f>IF(N(M409)&lt;=0,0,(N(AS409)-N(AR409))*90/N(M409))</f>
        <v/>
      </c>
      <c r="AU409" s="5">
        <f>IFERROR(AS409-VLOOKUP($C409,Assumptions!$A$36:$C$39,3,FALSE),"")</f>
        <v/>
      </c>
      <c r="AV409" s="3">
        <f>IFERROR(AU409/F409,"")</f>
        <v/>
      </c>
      <c r="AW409">
        <f>IF(AND($E409=TRUE,$C409="GKP"),AS409,"")</f>
        <v/>
      </c>
      <c r="AX409">
        <f>IF(AND($E409=TRUE,$C409="DEF"),AS409,"")</f>
        <v/>
      </c>
      <c r="AY409">
        <f>IF(AND($E409=TRUE,$C409="MID"),AS409,"")</f>
        <v/>
      </c>
      <c r="AZ409">
        <f>IF(AND($E409=TRUE,$C409="FWD"),AS409,"")</f>
        <v/>
      </c>
      <c r="BA409" t="n">
        <v>2</v>
      </c>
      <c r="BB409" t="n">
        <v>0</v>
      </c>
      <c r="BC409" t="n">
        <v>4</v>
      </c>
      <c r="BD409" t="n">
        <v>10</v>
      </c>
    </row>
    <row r="410">
      <c r="A410" t="inlineStr">
        <is>
          <t>Tom Heaton</t>
        </is>
      </c>
      <c r="B410" t="inlineStr">
        <is>
          <t>MUN</t>
        </is>
      </c>
      <c r="C410" t="inlineStr">
        <is>
          <t>GKP</t>
        </is>
      </c>
      <c r="D410" t="inlineStr">
        <is>
          <t>GKP</t>
        </is>
      </c>
      <c r="E410" t="b">
        <v>1</v>
      </c>
      <c r="F410" s="2" t="n">
        <v>4</v>
      </c>
      <c r="G410" t="inlineStr">
        <is>
          <t>a</t>
        </is>
      </c>
      <c r="I410" s="2" t="n">
        <v>0</v>
      </c>
      <c r="J410" t="n">
        <v>0</v>
      </c>
      <c r="K410" s="3" t="n">
        <v>0</v>
      </c>
      <c r="L410" t="inlineStr">
        <is>
          <t>flat</t>
        </is>
      </c>
      <c r="M410" s="4" t="n">
        <v>0</v>
      </c>
      <c r="N410" t="inlineStr">
        <is>
          <t>Solio</t>
        </is>
      </c>
      <c r="O410" s="5" t="n">
        <v>85</v>
      </c>
      <c r="P410" t="b">
        <v>0</v>
      </c>
      <c r="Q410" s="5">
        <f>IF(N(O410)&lt;=0,0,MIN(Assumptions!$B$15,N(M410)/N(O410)))</f>
        <v/>
      </c>
      <c r="R410" s="4" t="n">
        <v>0.334</v>
      </c>
      <c r="S410" s="3" t="n"/>
      <c r="T410" t="inlineStr"/>
      <c r="U410" s="3" t="n">
        <v>1</v>
      </c>
      <c r="V410" s="3" t="n"/>
      <c r="W410" s="3" t="n"/>
      <c r="X410" s="3" t="n"/>
      <c r="Y410" s="3" t="n">
        <v>0</v>
      </c>
      <c r="Z410" s="3" t="n">
        <v>0</v>
      </c>
      <c r="AA410" s="3" t="n"/>
      <c r="AB410" s="3" t="n">
        <v>0</v>
      </c>
      <c r="AC410" s="3" t="n">
        <v>2.2165</v>
      </c>
      <c r="AD410" s="3" t="n">
        <v>1.1467</v>
      </c>
      <c r="AE410" s="3" t="n">
        <v>-0.0763216474948735</v>
      </c>
      <c r="AF410" s="4" t="n">
        <v>0</v>
      </c>
      <c r="AG410" s="3" t="n">
        <v>0</v>
      </c>
      <c r="AH410" s="3" t="n">
        <v>0</v>
      </c>
      <c r="AI410" s="3" t="n">
        <v>0</v>
      </c>
      <c r="AJ410" s="3">
        <f>N(R410)*N(BC410)</f>
        <v/>
      </c>
      <c r="AK410" s="3" t="n">
        <v>0</v>
      </c>
      <c r="AL410" s="3" t="n">
        <v>0.407909225741714</v>
      </c>
      <c r="AM410" s="3" t="n">
        <v>-0.348580685135232</v>
      </c>
      <c r="AN410" s="3" t="n">
        <v>-0.0763216474948735</v>
      </c>
      <c r="AO410" s="3">
        <f>SUM(AH410:AN410)</f>
        <v/>
      </c>
      <c r="AP410" s="5">
        <f>IF(OR(N(Q410)&lt;=0,N(BA410)=0),0,N(Q410)*IF(N(M410)/N(Q410)&gt;=60,N(BA410),1))</f>
        <v/>
      </c>
      <c r="AQ410" s="5">
        <f>N(Q410)*N(Z410)*N(BB410)</f>
        <v/>
      </c>
      <c r="AR410" s="5">
        <f>N(AF410)*(Assumptions!$B$13*N(BD410)-(1-Assumptions!$B$13)*Assumptions!$B$14)+N(AG410)</f>
        <v/>
      </c>
      <c r="AS410" s="5">
        <f>N(AO410)*N(M410)/90+N(AP410)+N(AQ410)+N(AR410)</f>
        <v/>
      </c>
      <c r="AT410" s="3">
        <f>IF(N(M410)&lt;=0,0,(N(AS410)-N(AR410))*90/N(M410))</f>
        <v/>
      </c>
      <c r="AU410" s="5">
        <f>IFERROR(AS410-VLOOKUP($C410,Assumptions!$A$36:$C$39,3,FALSE),"")</f>
        <v/>
      </c>
      <c r="AV410" s="3">
        <f>IFERROR(AU410/F410,"")</f>
        <v/>
      </c>
      <c r="AW410">
        <f>IF(AND($E410=TRUE,$C410="GKP"),AS410,"")</f>
        <v/>
      </c>
      <c r="AX410">
        <f>IF(AND($E410=TRUE,$C410="DEF"),AS410,"")</f>
        <v/>
      </c>
      <c r="AY410">
        <f>IF(AND($E410=TRUE,$C410="MID"),AS410,"")</f>
        <v/>
      </c>
      <c r="AZ410">
        <f>IF(AND($E410=TRUE,$C410="FWD"),AS410,"")</f>
        <v/>
      </c>
      <c r="BA410" t="n">
        <v>2</v>
      </c>
      <c r="BB410" t="n">
        <v>0</v>
      </c>
      <c r="BC410" t="n">
        <v>4</v>
      </c>
      <c r="BD410" t="n">
        <v>10</v>
      </c>
    </row>
    <row r="411">
      <c r="A411" t="inlineStr">
        <is>
          <t>Anthony Patterson</t>
        </is>
      </c>
      <c r="B411" t="inlineStr">
        <is>
          <t>SUN</t>
        </is>
      </c>
      <c r="C411" t="inlineStr">
        <is>
          <t>GKP</t>
        </is>
      </c>
      <c r="D411" t="inlineStr">
        <is>
          <t>GKP</t>
        </is>
      </c>
      <c r="E411" t="b">
        <v>1</v>
      </c>
      <c r="F411" s="2" t="n">
        <v>4</v>
      </c>
      <c r="G411" t="inlineStr">
        <is>
          <t>u</t>
        </is>
      </c>
      <c r="H411" t="inlineStr">
        <is>
          <t>Has joined Wrexham permanently</t>
        </is>
      </c>
      <c r="I411" s="2" t="n">
        <v>0</v>
      </c>
      <c r="J411" t="n">
        <v>0</v>
      </c>
      <c r="K411" s="3" t="n"/>
      <c r="M411" s="4" t="n">
        <v>0</v>
      </c>
      <c r="N411" t="inlineStr">
        <is>
          <t>25/26 actual</t>
        </is>
      </c>
      <c r="O411" s="5" t="n">
        <v>85</v>
      </c>
      <c r="P411" t="b">
        <v>0</v>
      </c>
      <c r="Q411" s="5">
        <f>IF(N(O411)&lt;=0,0,MIN(Assumptions!$B$15,N(M411)/N(O411)))</f>
        <v/>
      </c>
      <c r="R411" s="4" t="n">
        <v>0.204</v>
      </c>
      <c r="S411" s="3" t="n"/>
      <c r="T411" t="inlineStr"/>
      <c r="U411" s="3" t="n">
        <v>1</v>
      </c>
      <c r="V411" s="3" t="n"/>
      <c r="W411" s="3" t="n"/>
      <c r="X411" s="3" t="n"/>
      <c r="Y411" s="3" t="n">
        <v>0</v>
      </c>
      <c r="Z411" s="3" t="n">
        <v>0</v>
      </c>
      <c r="AA411" s="3" t="n"/>
      <c r="AB411" s="3" t="n">
        <v>0</v>
      </c>
      <c r="AC411" s="3" t="n">
        <v>3.3348</v>
      </c>
      <c r="AD411" s="3" t="n">
        <v>1.6498</v>
      </c>
      <c r="AE411" s="3" t="n">
        <v>-0.0763216474948735</v>
      </c>
      <c r="AF411" s="4" t="n">
        <v>0</v>
      </c>
      <c r="AG411" s="3" t="n">
        <v>0</v>
      </c>
      <c r="AH411" s="3" t="n">
        <v>0</v>
      </c>
      <c r="AI411" s="3" t="n">
        <v>0</v>
      </c>
      <c r="AJ411" s="3">
        <f>N(R411)*N(BC411)</f>
        <v/>
      </c>
      <c r="AK411" s="3" t="n">
        <v>0</v>
      </c>
      <c r="AL411" s="3" t="n">
        <v>0.7764218657798218</v>
      </c>
      <c r="AM411" s="3" t="n">
        <v>-0.5841244809045405</v>
      </c>
      <c r="AN411" s="3" t="n">
        <v>-0.0763216474948735</v>
      </c>
      <c r="AO411" s="3">
        <f>SUM(AH411:AN411)</f>
        <v/>
      </c>
      <c r="AP411" s="5">
        <f>IF(OR(N(Q411)&lt;=0,N(BA411)=0),0,N(Q411)*IF(N(M411)/N(Q411)&gt;=60,N(BA411),1))</f>
        <v/>
      </c>
      <c r="AQ411" s="5">
        <f>N(Q411)*N(Z411)*N(BB411)</f>
        <v/>
      </c>
      <c r="AR411" s="5">
        <f>N(AF411)*(Assumptions!$B$13*N(BD411)-(1-Assumptions!$B$13)*Assumptions!$B$14)+N(AG411)</f>
        <v/>
      </c>
      <c r="AS411" s="5">
        <f>N(AO411)*N(M411)/90+N(AP411)+N(AQ411)+N(AR411)</f>
        <v/>
      </c>
      <c r="AT411" s="3">
        <f>IF(N(M411)&lt;=0,0,(N(AS411)-N(AR411))*90/N(M411))</f>
        <v/>
      </c>
      <c r="AU411" s="5">
        <f>IFERROR(AS411-VLOOKUP($C411,Assumptions!$A$36:$C$39,3,FALSE),"")</f>
        <v/>
      </c>
      <c r="AV411" s="3">
        <f>IFERROR(AU411/F411,"")</f>
        <v/>
      </c>
      <c r="AW411">
        <f>IF(AND($E411=TRUE,$C411="GKP"),AS411,"")</f>
        <v/>
      </c>
      <c r="AX411">
        <f>IF(AND($E411=TRUE,$C411="DEF"),AS411,"")</f>
        <v/>
      </c>
      <c r="AY411">
        <f>IF(AND($E411=TRUE,$C411="MID"),AS411,"")</f>
        <v/>
      </c>
      <c r="AZ411">
        <f>IF(AND($E411=TRUE,$C411="FWD"),AS411,"")</f>
        <v/>
      </c>
      <c r="BA411" t="n">
        <v>2</v>
      </c>
      <c r="BB411" t="n">
        <v>0</v>
      </c>
      <c r="BC411" t="n">
        <v>4</v>
      </c>
      <c r="BD411" t="n">
        <v>10</v>
      </c>
    </row>
    <row r="412">
      <c r="A412" t="inlineStr">
        <is>
          <t>Mark Travers</t>
        </is>
      </c>
      <c r="B412" t="inlineStr">
        <is>
          <t>EVE</t>
        </is>
      </c>
      <c r="C412" t="inlineStr">
        <is>
          <t>GKP</t>
        </is>
      </c>
      <c r="D412" t="inlineStr">
        <is>
          <t>GKP</t>
        </is>
      </c>
      <c r="E412" t="b">
        <v>1</v>
      </c>
      <c r="F412" s="2" t="n">
        <v>5</v>
      </c>
      <c r="G412" t="inlineStr">
        <is>
          <t>a</t>
        </is>
      </c>
      <c r="I412" s="2" t="n">
        <v>0</v>
      </c>
      <c r="J412" t="n">
        <v>0</v>
      </c>
      <c r="K412" s="3" t="n">
        <v>35</v>
      </c>
      <c r="L412" t="inlineStr">
        <is>
          <t>flat</t>
        </is>
      </c>
      <c r="M412" s="4" t="n">
        <v>35</v>
      </c>
      <c r="N412" t="inlineStr">
        <is>
          <t>Solio</t>
        </is>
      </c>
      <c r="O412" s="5" t="n">
        <v>85</v>
      </c>
      <c r="P412" t="b">
        <v>0</v>
      </c>
      <c r="Q412" s="5">
        <f>IF(N(O412)&lt;=0,0,MIN(Assumptions!$B$15,N(M412)/N(O412)))</f>
        <v/>
      </c>
      <c r="R412" s="4" t="n">
        <v>0.231</v>
      </c>
      <c r="S412" s="3" t="n"/>
      <c r="T412" t="inlineStr"/>
      <c r="U412" s="3" t="n">
        <v>1</v>
      </c>
      <c r="V412" s="3" t="n"/>
      <c r="W412" s="3" t="n"/>
      <c r="X412" s="3" t="n"/>
      <c r="Y412" s="3" t="n">
        <v>0</v>
      </c>
      <c r="Z412" s="3" t="n">
        <v>0</v>
      </c>
      <c r="AA412" s="3" t="n"/>
      <c r="AB412" s="3" t="n">
        <v>0</v>
      </c>
      <c r="AC412" s="3" t="n">
        <v>3.0311</v>
      </c>
      <c r="AD412" s="3" t="n">
        <v>1.5252</v>
      </c>
      <c r="AE412" s="3" t="n">
        <v>-0.0599400886565237</v>
      </c>
      <c r="AF412" s="4" t="n">
        <v>0</v>
      </c>
      <c r="AG412" s="3" t="n">
        <v>0.0333233277425541</v>
      </c>
      <c r="AH412" s="3" t="n">
        <v>0</v>
      </c>
      <c r="AI412" s="3" t="n">
        <v>0</v>
      </c>
      <c r="AJ412" s="3">
        <f>N(R412)*N(BC412)</f>
        <v/>
      </c>
      <c r="AK412" s="3" t="n">
        <v>0</v>
      </c>
      <c r="AL412" s="3" t="n">
        <v>0.67496810501903</v>
      </c>
      <c r="AM412" s="3" t="n">
        <v>-0.524434996152324</v>
      </c>
      <c r="AN412" s="3" t="n">
        <v>-0.0599400886565237</v>
      </c>
      <c r="AO412" s="3">
        <f>SUM(AH412:AN412)</f>
        <v/>
      </c>
      <c r="AP412" s="5">
        <f>IF(OR(N(Q412)&lt;=0,N(BA412)=0),0,N(Q412)*IF(N(M412)/N(Q412)&gt;=60,N(BA412),1))</f>
        <v/>
      </c>
      <c r="AQ412" s="5">
        <f>N(Q412)*N(Z412)*N(BB412)</f>
        <v/>
      </c>
      <c r="AR412" s="5">
        <f>N(AF412)*(Assumptions!$B$13*N(BD412)-(1-Assumptions!$B$13)*Assumptions!$B$14)+N(AG412)</f>
        <v/>
      </c>
      <c r="AS412" s="5">
        <f>N(AO412)*N(M412)/90+N(AP412)+N(AQ412)+N(AR412)</f>
        <v/>
      </c>
      <c r="AT412" s="3">
        <f>IF(N(M412)&lt;=0,0,(N(AS412)-N(AR412))*90/N(M412))</f>
        <v/>
      </c>
      <c r="AU412" s="5">
        <f>IFERROR(AS412-VLOOKUP($C412,Assumptions!$A$36:$C$39,3,FALSE),"")</f>
        <v/>
      </c>
      <c r="AV412" s="3">
        <f>IFERROR(AU412/F412,"")</f>
        <v/>
      </c>
      <c r="AW412">
        <f>IF(AND($E412=TRUE,$C412="GKP"),AS412,"")</f>
        <v/>
      </c>
      <c r="AX412">
        <f>IF(AND($E412=TRUE,$C412="DEF"),AS412,"")</f>
        <v/>
      </c>
      <c r="AY412">
        <f>IF(AND($E412=TRUE,$C412="MID"),AS412,"")</f>
        <v/>
      </c>
      <c r="AZ412">
        <f>IF(AND($E412=TRUE,$C412="FWD"),AS412,"")</f>
        <v/>
      </c>
      <c r="BA412" t="n">
        <v>2</v>
      </c>
      <c r="BB412" t="n">
        <v>0</v>
      </c>
      <c r="BC412" t="n">
        <v>4</v>
      </c>
      <c r="BD412" t="n">
        <v>10</v>
      </c>
    </row>
    <row r="413">
      <c r="A413" t="inlineStr">
        <is>
          <t>Luka Vušković</t>
        </is>
      </c>
      <c r="B413" t="inlineStr">
        <is>
          <t>BHA</t>
        </is>
      </c>
      <c r="C413" t="inlineStr">
        <is>
          <t>DEF</t>
        </is>
      </c>
      <c r="D413" t="inlineStr">
        <is>
          <t>DEF</t>
        </is>
      </c>
      <c r="E413" t="b">
        <v>1</v>
      </c>
      <c r="F413" s="2" t="n">
        <v>5</v>
      </c>
      <c r="G413" t="inlineStr">
        <is>
          <t>a</t>
        </is>
      </c>
      <c r="I413" s="2" t="n">
        <v>0</v>
      </c>
      <c r="J413" t="n">
        <v>0</v>
      </c>
      <c r="K413" s="3" t="n">
        <v>1708</v>
      </c>
      <c r="L413" t="inlineStr">
        <is>
          <t>flat</t>
        </is>
      </c>
      <c r="M413" s="4" t="n">
        <v>1708</v>
      </c>
      <c r="N413" t="inlineStr">
        <is>
          <t>Solio</t>
        </is>
      </c>
      <c r="O413" s="5" t="n">
        <v>85</v>
      </c>
      <c r="P413" t="b">
        <v>0</v>
      </c>
      <c r="Q413" s="5">
        <f>IF(N(O413)&lt;=0,0,MIN(Assumptions!$B$15,N(M413)/N(O413)))</f>
        <v/>
      </c>
      <c r="R413" s="4" t="n">
        <v>0.252</v>
      </c>
      <c r="S413" s="3" t="n"/>
      <c r="T413" t="inlineStr"/>
      <c r="U413" s="3" t="n">
        <v>1</v>
      </c>
      <c r="V413" s="3" t="n"/>
      <c r="W413" s="3" t="n"/>
      <c r="X413" s="3" t="n"/>
      <c r="Y413" s="3" t="n"/>
      <c r="Z413" s="3" t="n">
        <v>0</v>
      </c>
      <c r="AA413" s="3" t="n"/>
      <c r="AB413" s="3" t="n">
        <v>0</v>
      </c>
      <c r="AC413" s="3" t="n">
        <v>2.8404</v>
      </c>
      <c r="AD413" s="3" t="n">
        <v>1.439</v>
      </c>
      <c r="AE413" s="3" t="n">
        <v>-0.2045226422080557</v>
      </c>
      <c r="AF413" s="4" t="n">
        <v>0</v>
      </c>
      <c r="AG413" s="3" t="n">
        <v>0</v>
      </c>
      <c r="AH413" s="3" t="n">
        <v>0</v>
      </c>
      <c r="AI413" s="3" t="n">
        <v>0</v>
      </c>
      <c r="AJ413" s="3">
        <f>N(R413)*N(BC413)</f>
        <v/>
      </c>
      <c r="AK413" s="3" t="n">
        <v>0</v>
      </c>
      <c r="AL413" s="3" t="n">
        <v>0</v>
      </c>
      <c r="AM413" s="3" t="n">
        <v>-0.4835617861760246</v>
      </c>
      <c r="AN413" s="3" t="n">
        <v>-0.2045226422080557</v>
      </c>
      <c r="AO413" s="3">
        <f>SUM(AH413:AN413)</f>
        <v/>
      </c>
      <c r="AP413" s="5">
        <f>IF(OR(N(Q413)&lt;=0,N(BA413)=0),0,N(Q413)*IF(N(M413)/N(Q413)&gt;=60,N(BA413),1))</f>
        <v/>
      </c>
      <c r="AQ413" s="5">
        <f>N(Q413)*N(Z413)*N(BB413)</f>
        <v/>
      </c>
      <c r="AR413" s="5">
        <f>N(AF413)*(Assumptions!$B$13*N(BD413)-(1-Assumptions!$B$13)*Assumptions!$B$14)+N(AG413)</f>
        <v/>
      </c>
      <c r="AS413" s="5">
        <f>N(AO413)*N(M413)/90+N(AP413)+N(AQ413)+N(AR413)</f>
        <v/>
      </c>
      <c r="AT413" s="3">
        <f>IF(N(M413)&lt;=0,0,(N(AS413)-N(AR413))*90/N(M413))</f>
        <v/>
      </c>
      <c r="AU413" s="5">
        <f>IFERROR(AS413-VLOOKUP($C413,Assumptions!$A$36:$C$39,3,FALSE),"")</f>
        <v/>
      </c>
      <c r="AV413" s="3">
        <f>IFERROR(AU413/F413,"")</f>
        <v/>
      </c>
      <c r="AW413">
        <f>IF(AND($E413=TRUE,$C413="GKP"),AS413,"")</f>
        <v/>
      </c>
      <c r="AX413">
        <f>IF(AND($E413=TRUE,$C413="DEF"),AS413,"")</f>
        <v/>
      </c>
      <c r="AY413">
        <f>IF(AND($E413=TRUE,$C413="MID"),AS413,"")</f>
        <v/>
      </c>
      <c r="AZ413">
        <f>IF(AND($E413=TRUE,$C413="FWD"),AS413,"")</f>
        <v/>
      </c>
      <c r="BA413" t="n">
        <v>2</v>
      </c>
      <c r="BB413" t="n">
        <v>2</v>
      </c>
      <c r="BC413" t="n">
        <v>4</v>
      </c>
      <c r="BD413" t="n">
        <v>6</v>
      </c>
    </row>
    <row r="414">
      <c r="A414" t="inlineStr">
        <is>
          <t>Brandon Austin</t>
        </is>
      </c>
      <c r="B414" t="inlineStr">
        <is>
          <t>TOT</t>
        </is>
      </c>
      <c r="C414" t="inlineStr">
        <is>
          <t>GKP</t>
        </is>
      </c>
      <c r="D414" t="inlineStr">
        <is>
          <t>GKP</t>
        </is>
      </c>
      <c r="E414" t="b">
        <v>1</v>
      </c>
      <c r="F414" s="2" t="n">
        <v>4</v>
      </c>
      <c r="G414" t="inlineStr">
        <is>
          <t>a</t>
        </is>
      </c>
      <c r="I414" s="2" t="n">
        <v>0</v>
      </c>
      <c r="J414" t="n">
        <v>0</v>
      </c>
      <c r="K414" s="3" t="n">
        <v>0</v>
      </c>
      <c r="L414" t="inlineStr">
        <is>
          <t>flat</t>
        </is>
      </c>
      <c r="M414" s="4" t="n">
        <v>0</v>
      </c>
      <c r="N414" t="inlineStr">
        <is>
          <t>Solio</t>
        </is>
      </c>
      <c r="O414" s="5" t="n">
        <v>85</v>
      </c>
      <c r="P414" t="b">
        <v>0</v>
      </c>
      <c r="Q414" s="5">
        <f>IF(N(O414)&lt;=0,0,MIN(Assumptions!$B$15,N(M414)/N(O414)))</f>
        <v/>
      </c>
      <c r="R414" s="4" t="n">
        <v>0.286</v>
      </c>
      <c r="S414" s="3" t="n"/>
      <c r="T414" t="inlineStr"/>
      <c r="U414" s="3" t="n">
        <v>1</v>
      </c>
      <c r="V414" s="3" t="n"/>
      <c r="W414" s="3" t="n"/>
      <c r="X414" s="3" t="n"/>
      <c r="Y414" s="3" t="n">
        <v>0</v>
      </c>
      <c r="Z414" s="3" t="n">
        <v>0</v>
      </c>
      <c r="AA414" s="3" t="n"/>
      <c r="AB414" s="3" t="n">
        <v>0</v>
      </c>
      <c r="AC414" s="3" t="n">
        <v>2.5739</v>
      </c>
      <c r="AD414" s="3" t="n">
        <v>1.3096</v>
      </c>
      <c r="AE414" s="3" t="n">
        <v>-0.0736700489191532</v>
      </c>
      <c r="AF414" s="4" t="n">
        <v>0</v>
      </c>
      <c r="AG414" s="3" t="n">
        <v>0</v>
      </c>
      <c r="AH414" s="3" t="n">
        <v>0</v>
      </c>
      <c r="AI414" s="3" t="n">
        <v>0</v>
      </c>
      <c r="AJ414" s="3">
        <f>N(R414)*N(BC414)</f>
        <v/>
      </c>
      <c r="AK414" s="3" t="n">
        <v>0</v>
      </c>
      <c r="AL414" s="3" t="n">
        <v>0.5235455255089686</v>
      </c>
      <c r="AM414" s="3" t="n">
        <v>-0.4230152821052008</v>
      </c>
      <c r="AN414" s="3" t="n">
        <v>-0.0736700489191532</v>
      </c>
      <c r="AO414" s="3">
        <f>SUM(AH414:AN414)</f>
        <v/>
      </c>
      <c r="AP414" s="5">
        <f>IF(OR(N(Q414)&lt;=0,N(BA414)=0),0,N(Q414)*IF(N(M414)/N(Q414)&gt;=60,N(BA414),1))</f>
        <v/>
      </c>
      <c r="AQ414" s="5">
        <f>N(Q414)*N(Z414)*N(BB414)</f>
        <v/>
      </c>
      <c r="AR414" s="5">
        <f>N(AF414)*(Assumptions!$B$13*N(BD414)-(1-Assumptions!$B$13)*Assumptions!$B$14)+N(AG414)</f>
        <v/>
      </c>
      <c r="AS414" s="5">
        <f>N(AO414)*N(M414)/90+N(AP414)+N(AQ414)+N(AR414)</f>
        <v/>
      </c>
      <c r="AT414" s="3">
        <f>IF(N(M414)&lt;=0,0,(N(AS414)-N(AR414))*90/N(M414))</f>
        <v/>
      </c>
      <c r="AU414" s="5">
        <f>IFERROR(AS414-VLOOKUP($C414,Assumptions!$A$36:$C$39,3,FALSE),"")</f>
        <v/>
      </c>
      <c r="AV414" s="3">
        <f>IFERROR(AU414/F414,"")</f>
        <v/>
      </c>
      <c r="AW414">
        <f>IF(AND($E414=TRUE,$C414="GKP"),AS414,"")</f>
        <v/>
      </c>
      <c r="AX414">
        <f>IF(AND($E414=TRUE,$C414="DEF"),AS414,"")</f>
        <v/>
      </c>
      <c r="AY414">
        <f>IF(AND($E414=TRUE,$C414="MID"),AS414,"")</f>
        <v/>
      </c>
      <c r="AZ414">
        <f>IF(AND($E414=TRUE,$C414="FWD"),AS414,"")</f>
        <v/>
      </c>
      <c r="BA414" t="n">
        <v>2</v>
      </c>
      <c r="BB414" t="n">
        <v>0</v>
      </c>
      <c r="BC414" t="n">
        <v>4</v>
      </c>
      <c r="BD414" t="n">
        <v>10</v>
      </c>
    </row>
    <row r="415">
      <c r="A415" t="inlineStr">
        <is>
          <t>Kostas Tsimikas</t>
        </is>
      </c>
      <c r="B415" t="inlineStr">
        <is>
          <t>LIV</t>
        </is>
      </c>
      <c r="C415" t="inlineStr">
        <is>
          <t>DEF</t>
        </is>
      </c>
      <c r="D415" t="inlineStr">
        <is>
          <t>DEF</t>
        </is>
      </c>
      <c r="E415" t="b">
        <v>1</v>
      </c>
      <c r="F415" s="2" t="n">
        <v>5</v>
      </c>
      <c r="G415" t="inlineStr">
        <is>
          <t>a</t>
        </is>
      </c>
      <c r="I415" s="2" t="n">
        <v>0</v>
      </c>
      <c r="J415" t="n">
        <v>0</v>
      </c>
      <c r="K415" s="3" t="n">
        <v>256</v>
      </c>
      <c r="L415" t="inlineStr">
        <is>
          <t>flat</t>
        </is>
      </c>
      <c r="M415" s="4" t="n">
        <v>256</v>
      </c>
      <c r="N415" t="inlineStr">
        <is>
          <t>Solio</t>
        </is>
      </c>
      <c r="O415" s="5" t="n">
        <v>85</v>
      </c>
      <c r="P415" t="b">
        <v>0</v>
      </c>
      <c r="Q415" s="5">
        <f>IF(N(O415)&lt;=0,0,MIN(Assumptions!$B$15,N(M415)/N(O415)))</f>
        <v/>
      </c>
      <c r="R415" s="4" t="n">
        <v>0.342</v>
      </c>
      <c r="S415" s="3" t="n"/>
      <c r="T415" t="inlineStr"/>
      <c r="U415" s="3" t="n">
        <v>1</v>
      </c>
      <c r="V415" s="3" t="n"/>
      <c r="W415" s="3" t="n"/>
      <c r="X415" s="3" t="n"/>
      <c r="Y415" s="3" t="n"/>
      <c r="Z415" s="3" t="n">
        <v>0</v>
      </c>
      <c r="AA415" s="3" t="n"/>
      <c r="AB415" s="3" t="n">
        <v>0</v>
      </c>
      <c r="AC415" s="3" t="n">
        <v>2.409</v>
      </c>
      <c r="AD415" s="3" t="n">
        <v>1.1228</v>
      </c>
      <c r="AE415" s="3" t="n">
        <v>-0.1897167504321107</v>
      </c>
      <c r="AF415" s="4" t="n">
        <v>0</v>
      </c>
      <c r="AG415" s="3" t="n">
        <v>0</v>
      </c>
      <c r="AH415" s="3" t="n">
        <v>0</v>
      </c>
      <c r="AI415" s="3" t="n">
        <v>0</v>
      </c>
      <c r="AJ415" s="3">
        <f>N(R415)*N(BC415)</f>
        <v/>
      </c>
      <c r="AK415" s="3" t="n">
        <v>0</v>
      </c>
      <c r="AL415" s="3" t="n">
        <v>0</v>
      </c>
      <c r="AM415" s="3" t="n">
        <v>-0.3378660007281162</v>
      </c>
      <c r="AN415" s="3" t="n">
        <v>-0.1897167504321107</v>
      </c>
      <c r="AO415" s="3">
        <f>SUM(AH415:AN415)</f>
        <v/>
      </c>
      <c r="AP415" s="5">
        <f>IF(OR(N(Q415)&lt;=0,N(BA415)=0),0,N(Q415)*IF(N(M415)/N(Q415)&gt;=60,N(BA415),1))</f>
        <v/>
      </c>
      <c r="AQ415" s="5">
        <f>N(Q415)*N(Z415)*N(BB415)</f>
        <v/>
      </c>
      <c r="AR415" s="5">
        <f>N(AF415)*(Assumptions!$B$13*N(BD415)-(1-Assumptions!$B$13)*Assumptions!$B$14)+N(AG415)</f>
        <v/>
      </c>
      <c r="AS415" s="5">
        <f>N(AO415)*N(M415)/90+N(AP415)+N(AQ415)+N(AR415)</f>
        <v/>
      </c>
      <c r="AT415" s="3">
        <f>IF(N(M415)&lt;=0,0,(N(AS415)-N(AR415))*90/N(M415))</f>
        <v/>
      </c>
      <c r="AU415" s="5">
        <f>IFERROR(AS415-VLOOKUP($C415,Assumptions!$A$36:$C$39,3,FALSE),"")</f>
        <v/>
      </c>
      <c r="AV415" s="3">
        <f>IFERROR(AU415/F415,"")</f>
        <v/>
      </c>
      <c r="AW415">
        <f>IF(AND($E415=TRUE,$C415="GKP"),AS415,"")</f>
        <v/>
      </c>
      <c r="AX415">
        <f>IF(AND($E415=TRUE,$C415="DEF"),AS415,"")</f>
        <v/>
      </c>
      <c r="AY415">
        <f>IF(AND($E415=TRUE,$C415="MID"),AS415,"")</f>
        <v/>
      </c>
      <c r="AZ415">
        <f>IF(AND($E415=TRUE,$C415="FWD"),AS415,"")</f>
        <v/>
      </c>
      <c r="BA415" t="n">
        <v>2</v>
      </c>
      <c r="BB415" t="n">
        <v>2</v>
      </c>
      <c r="BC415" t="n">
        <v>4</v>
      </c>
      <c r="BD415" t="n">
        <v>6</v>
      </c>
    </row>
    <row r="416">
      <c r="A416" t="inlineStr">
        <is>
          <t>Omar Richards</t>
        </is>
      </c>
      <c r="B416" t="inlineStr">
        <is>
          <t>NFO</t>
        </is>
      </c>
      <c r="C416" t="inlineStr">
        <is>
          <t>DEF</t>
        </is>
      </c>
      <c r="D416" t="inlineStr">
        <is>
          <t>DEF</t>
        </is>
      </c>
      <c r="E416" t="b">
        <v>1</v>
      </c>
      <c r="F416" s="2" t="n">
        <v>4</v>
      </c>
      <c r="G416" t="inlineStr">
        <is>
          <t>a</t>
        </is>
      </c>
      <c r="I416" s="2" t="n">
        <v>0</v>
      </c>
      <c r="J416" t="n">
        <v>0</v>
      </c>
      <c r="K416" s="3" t="n">
        <v>0</v>
      </c>
      <c r="L416" t="inlineStr">
        <is>
          <t>flat</t>
        </is>
      </c>
      <c r="M416" s="4" t="n">
        <v>0</v>
      </c>
      <c r="N416" t="inlineStr">
        <is>
          <t>Solio</t>
        </is>
      </c>
      <c r="O416" s="5" t="n">
        <v>85</v>
      </c>
      <c r="P416" t="b">
        <v>0</v>
      </c>
      <c r="Q416" s="5">
        <f>IF(N(O416)&lt;=0,0,MIN(Assumptions!$B$15,N(M416)/N(O416)))</f>
        <v/>
      </c>
      <c r="R416" s="4" t="n">
        <v>0.224</v>
      </c>
      <c r="S416" s="3" t="n"/>
      <c r="T416" t="inlineStr"/>
      <c r="U416" s="3" t="n">
        <v>1</v>
      </c>
      <c r="V416" s="3" t="n"/>
      <c r="W416" s="3" t="n"/>
      <c r="X416" s="3" t="n"/>
      <c r="Y416" s="3" t="n"/>
      <c r="Z416" s="3" t="n">
        <v>0</v>
      </c>
      <c r="AA416" s="3" t="n"/>
      <c r="AB416" s="3" t="n">
        <v>0</v>
      </c>
      <c r="AC416" s="3" t="n">
        <v>3.1134</v>
      </c>
      <c r="AD416" s="3" t="n">
        <v>1.5588</v>
      </c>
      <c r="AE416" s="3" t="n">
        <v>-0.2045226422080557</v>
      </c>
      <c r="AF416" s="4" t="n">
        <v>0</v>
      </c>
      <c r="AG416" s="3" t="n">
        <v>0</v>
      </c>
      <c r="AH416" s="3" t="n">
        <v>0</v>
      </c>
      <c r="AI416" s="3" t="n">
        <v>0</v>
      </c>
      <c r="AJ416" s="3">
        <f>N(R416)*N(BC416)</f>
        <v/>
      </c>
      <c r="AK416" s="3" t="n">
        <v>0</v>
      </c>
      <c r="AL416" s="3" t="n">
        <v>0</v>
      </c>
      <c r="AM416" s="3" t="n">
        <v>-0.5404658182244797</v>
      </c>
      <c r="AN416" s="3" t="n">
        <v>-0.2045226422080557</v>
      </c>
      <c r="AO416" s="3">
        <f>SUM(AH416:AN416)</f>
        <v/>
      </c>
      <c r="AP416" s="5">
        <f>IF(OR(N(Q416)&lt;=0,N(BA416)=0),0,N(Q416)*IF(N(M416)/N(Q416)&gt;=60,N(BA416),1))</f>
        <v/>
      </c>
      <c r="AQ416" s="5">
        <f>N(Q416)*N(Z416)*N(BB416)</f>
        <v/>
      </c>
      <c r="AR416" s="5">
        <f>N(AF416)*(Assumptions!$B$13*N(BD416)-(1-Assumptions!$B$13)*Assumptions!$B$14)+N(AG416)</f>
        <v/>
      </c>
      <c r="AS416" s="5">
        <f>N(AO416)*N(M416)/90+N(AP416)+N(AQ416)+N(AR416)</f>
        <v/>
      </c>
      <c r="AT416" s="3">
        <f>IF(N(M416)&lt;=0,0,(N(AS416)-N(AR416))*90/N(M416))</f>
        <v/>
      </c>
      <c r="AU416" s="5">
        <f>IFERROR(AS416-VLOOKUP($C416,Assumptions!$A$36:$C$39,3,FALSE),"")</f>
        <v/>
      </c>
      <c r="AV416" s="3">
        <f>IFERROR(AU416/F416,"")</f>
        <v/>
      </c>
      <c r="AW416">
        <f>IF(AND($E416=TRUE,$C416="GKP"),AS416,"")</f>
        <v/>
      </c>
      <c r="AX416">
        <f>IF(AND($E416=TRUE,$C416="DEF"),AS416,"")</f>
        <v/>
      </c>
      <c r="AY416">
        <f>IF(AND($E416=TRUE,$C416="MID"),AS416,"")</f>
        <v/>
      </c>
      <c r="AZ416">
        <f>IF(AND($E416=TRUE,$C416="FWD"),AS416,"")</f>
        <v/>
      </c>
      <c r="BA416" t="n">
        <v>2</v>
      </c>
      <c r="BB416" t="n">
        <v>2</v>
      </c>
      <c r="BC416" t="n">
        <v>4</v>
      </c>
      <c r="BD416" t="n">
        <v>6</v>
      </c>
    </row>
    <row r="417">
      <c r="A417" t="inlineStr">
        <is>
          <t>Marcus Rashford</t>
        </is>
      </c>
      <c r="B417" t="inlineStr">
        <is>
          <t>MUN</t>
        </is>
      </c>
      <c r="C417" t="inlineStr">
        <is>
          <t>MID</t>
        </is>
      </c>
      <c r="D417" t="inlineStr">
        <is>
          <t>MID</t>
        </is>
      </c>
      <c r="E417" t="b">
        <v>1</v>
      </c>
      <c r="F417" s="2" t="n">
        <v>7</v>
      </c>
      <c r="G417" t="inlineStr">
        <is>
          <t>a</t>
        </is>
      </c>
      <c r="I417" s="2" t="n">
        <v>0</v>
      </c>
      <c r="J417" t="n">
        <v>0</v>
      </c>
      <c r="K417" s="3" t="n">
        <v>176</v>
      </c>
      <c r="L417" t="inlineStr">
        <is>
          <t>flat</t>
        </is>
      </c>
      <c r="M417" s="4" t="n">
        <v>176</v>
      </c>
      <c r="N417" t="inlineStr">
        <is>
          <t>Solio</t>
        </is>
      </c>
      <c r="O417" s="5" t="n">
        <v>85</v>
      </c>
      <c r="P417" t="b">
        <v>0</v>
      </c>
      <c r="Q417" s="5">
        <f>IF(N(O417)&lt;=0,0,MIN(Assumptions!$B$15,N(M417)/N(O417)))</f>
        <v/>
      </c>
      <c r="R417" s="4" t="n">
        <v>0.334</v>
      </c>
      <c r="S417" s="3" t="n"/>
      <c r="T417" t="inlineStr"/>
      <c r="U417" s="3" t="n">
        <v>1</v>
      </c>
      <c r="V417" s="3" t="n"/>
      <c r="W417" s="3" t="n"/>
      <c r="X417" s="3" t="n"/>
      <c r="Y417" s="3" t="n"/>
      <c r="Z417" s="3" t="n">
        <v>0</v>
      </c>
      <c r="AA417" s="3" t="n"/>
      <c r="AB417" s="3" t="n">
        <v>0</v>
      </c>
      <c r="AC417" s="3" t="n">
        <v>2.2165</v>
      </c>
      <c r="AD417" s="3" t="n">
        <v>1.1467</v>
      </c>
      <c r="AE417" s="3" t="n">
        <v>-0.162892867107631</v>
      </c>
      <c r="AF417" s="4" t="n">
        <v>0</v>
      </c>
      <c r="AG417" s="3" t="n">
        <v>0</v>
      </c>
      <c r="AH417" s="3" t="n">
        <v>0</v>
      </c>
      <c r="AI417" s="3" t="n">
        <v>0</v>
      </c>
      <c r="AJ417" s="3">
        <f>N(R417)*N(BC417)</f>
        <v/>
      </c>
      <c r="AK417" s="3" t="n">
        <v>0</v>
      </c>
      <c r="AL417" s="3" t="n">
        <v>0</v>
      </c>
      <c r="AM417" s="3" t="n">
        <v>-0</v>
      </c>
      <c r="AN417" s="3" t="n">
        <v>-0.162892867107631</v>
      </c>
      <c r="AO417" s="3">
        <f>SUM(AH417:AN417)</f>
        <v/>
      </c>
      <c r="AP417" s="5">
        <f>IF(OR(N(Q417)&lt;=0,N(BA417)=0),0,N(Q417)*IF(N(M417)/N(Q417)&gt;=60,N(BA417),1))</f>
        <v/>
      </c>
      <c r="AQ417" s="5">
        <f>N(Q417)*N(Z417)*N(BB417)</f>
        <v/>
      </c>
      <c r="AR417" s="5">
        <f>N(AF417)*(Assumptions!$B$13*N(BD417)-(1-Assumptions!$B$13)*Assumptions!$B$14)+N(AG417)</f>
        <v/>
      </c>
      <c r="AS417" s="5">
        <f>N(AO417)*N(M417)/90+N(AP417)+N(AQ417)+N(AR417)</f>
        <v/>
      </c>
      <c r="AT417" s="3">
        <f>IF(N(M417)&lt;=0,0,(N(AS417)-N(AR417))*90/N(M417))</f>
        <v/>
      </c>
      <c r="AU417" s="5">
        <f>IFERROR(AS417-VLOOKUP($C417,Assumptions!$A$36:$C$39,3,FALSE),"")</f>
        <v/>
      </c>
      <c r="AV417" s="3">
        <f>IFERROR(AU417/F417,"")</f>
        <v/>
      </c>
      <c r="AW417">
        <f>IF(AND($E417=TRUE,$C417="GKP"),AS417,"")</f>
        <v/>
      </c>
      <c r="AX417">
        <f>IF(AND($E417=TRUE,$C417="DEF"),AS417,"")</f>
        <v/>
      </c>
      <c r="AY417">
        <f>IF(AND($E417=TRUE,$C417="MID"),AS417,"")</f>
        <v/>
      </c>
      <c r="AZ417">
        <f>IF(AND($E417=TRUE,$C417="FWD"),AS417,"")</f>
        <v/>
      </c>
      <c r="BA417" t="n">
        <v>2</v>
      </c>
      <c r="BB417" t="n">
        <v>2</v>
      </c>
      <c r="BC417" t="n">
        <v>1</v>
      </c>
      <c r="BD417" t="n">
        <v>5</v>
      </c>
    </row>
    <row r="418">
      <c r="A418" t="inlineStr">
        <is>
          <t>Vitor de Oliveira Nunes dos Reis</t>
        </is>
      </c>
      <c r="B418" t="inlineStr">
        <is>
          <t>MCI</t>
        </is>
      </c>
      <c r="C418" t="inlineStr">
        <is>
          <t>DEF</t>
        </is>
      </c>
      <c r="D418" t="inlineStr">
        <is>
          <t>DEF</t>
        </is>
      </c>
      <c r="E418" t="b">
        <v>1</v>
      </c>
      <c r="F418" s="2" t="n">
        <v>4.5</v>
      </c>
      <c r="G418" t="inlineStr">
        <is>
          <t>a</t>
        </is>
      </c>
      <c r="I418" s="2" t="n">
        <v>0</v>
      </c>
      <c r="J418" t="n">
        <v>0</v>
      </c>
      <c r="K418" s="3" t="n">
        <v>0</v>
      </c>
      <c r="L418" t="inlineStr">
        <is>
          <t>flat</t>
        </is>
      </c>
      <c r="M418" s="4" t="n">
        <v>0</v>
      </c>
      <c r="N418" t="inlineStr">
        <is>
          <t>Solio</t>
        </is>
      </c>
      <c r="O418" s="5" t="n">
        <v>85</v>
      </c>
      <c r="P418" t="b">
        <v>0</v>
      </c>
      <c r="Q418" s="5">
        <f>IF(N(O418)&lt;=0,0,MIN(Assumptions!$B$15,N(M418)/N(O418)))</f>
        <v/>
      </c>
      <c r="R418" s="4" t="n">
        <v>0.371</v>
      </c>
      <c r="S418" s="3" t="n"/>
      <c r="T418" t="inlineStr"/>
      <c r="U418" s="3" t="n">
        <v>1</v>
      </c>
      <c r="V418" s="3" t="n"/>
      <c r="W418" s="3" t="n"/>
      <c r="X418" s="3" t="n"/>
      <c r="Y418" s="3" t="n"/>
      <c r="Z418" s="3" t="n">
        <v>0</v>
      </c>
      <c r="AA418" s="3" t="n"/>
      <c r="AB418" s="3" t="n">
        <v>0</v>
      </c>
      <c r="AC418" s="3" t="n">
        <v>1.9737</v>
      </c>
      <c r="AD418" s="3" t="n">
        <v>1.0365</v>
      </c>
      <c r="AE418" s="3" t="n">
        <v>-0.2044462891912668</v>
      </c>
      <c r="AF418" s="4" t="n">
        <v>0</v>
      </c>
      <c r="AG418" s="3" t="n">
        <v>0</v>
      </c>
      <c r="AH418" s="3" t="n">
        <v>0</v>
      </c>
      <c r="AI418" s="3" t="n">
        <v>0</v>
      </c>
      <c r="AJ418" s="3">
        <f>N(R418)*N(BC418)</f>
        <v/>
      </c>
      <c r="AK418" s="3" t="n">
        <v>0</v>
      </c>
      <c r="AL418" s="3" t="n">
        <v>0</v>
      </c>
      <c r="AM418" s="3" t="n">
        <v>-0.2997019479071323</v>
      </c>
      <c r="AN418" s="3" t="n">
        <v>-0.2044462891912668</v>
      </c>
      <c r="AO418" s="3">
        <f>SUM(AH418:AN418)</f>
        <v/>
      </c>
      <c r="AP418" s="5">
        <f>IF(OR(N(Q418)&lt;=0,N(BA418)=0),0,N(Q418)*IF(N(M418)/N(Q418)&gt;=60,N(BA418),1))</f>
        <v/>
      </c>
      <c r="AQ418" s="5">
        <f>N(Q418)*N(Z418)*N(BB418)</f>
        <v/>
      </c>
      <c r="AR418" s="5">
        <f>N(AF418)*(Assumptions!$B$13*N(BD418)-(1-Assumptions!$B$13)*Assumptions!$B$14)+N(AG418)</f>
        <v/>
      </c>
      <c r="AS418" s="5">
        <f>N(AO418)*N(M418)/90+N(AP418)+N(AQ418)+N(AR418)</f>
        <v/>
      </c>
      <c r="AT418" s="3">
        <f>IF(N(M418)&lt;=0,0,(N(AS418)-N(AR418))*90/N(M418))</f>
        <v/>
      </c>
      <c r="AU418" s="5">
        <f>IFERROR(AS418-VLOOKUP($C418,Assumptions!$A$36:$C$39,3,FALSE),"")</f>
        <v/>
      </c>
      <c r="AV418" s="3">
        <f>IFERROR(AU418/F418,"")</f>
        <v/>
      </c>
      <c r="AW418">
        <f>IF(AND($E418=TRUE,$C418="GKP"),AS418,"")</f>
        <v/>
      </c>
      <c r="AX418">
        <f>IF(AND($E418=TRUE,$C418="DEF"),AS418,"")</f>
        <v/>
      </c>
      <c r="AY418">
        <f>IF(AND($E418=TRUE,$C418="MID"),AS418,"")</f>
        <v/>
      </c>
      <c r="AZ418">
        <f>IF(AND($E418=TRUE,$C418="FWD"),AS418,"")</f>
        <v/>
      </c>
      <c r="BA418" t="n">
        <v>2</v>
      </c>
      <c r="BB418" t="n">
        <v>2</v>
      </c>
      <c r="BC418" t="n">
        <v>4</v>
      </c>
      <c r="BD418" t="n">
        <v>6</v>
      </c>
    </row>
    <row r="419">
      <c r="A419" t="inlineStr">
        <is>
          <t>Mike Penders</t>
        </is>
      </c>
      <c r="B419" t="inlineStr">
        <is>
          <t>CHE</t>
        </is>
      </c>
      <c r="C419" t="inlineStr">
        <is>
          <t>GKP</t>
        </is>
      </c>
      <c r="D419" t="inlineStr">
        <is>
          <t>GKP</t>
        </is>
      </c>
      <c r="E419" t="b">
        <v>1</v>
      </c>
      <c r="F419" s="2" t="n">
        <v>4.5</v>
      </c>
      <c r="G419" t="inlineStr">
        <is>
          <t>a</t>
        </is>
      </c>
      <c r="I419" s="2" t="n">
        <v>0</v>
      </c>
      <c r="J419" t="n">
        <v>0</v>
      </c>
      <c r="K419" s="3" t="n">
        <v>274</v>
      </c>
      <c r="L419" t="inlineStr">
        <is>
          <t>flat</t>
        </is>
      </c>
      <c r="M419" s="4" t="n">
        <v>274</v>
      </c>
      <c r="N419" t="inlineStr">
        <is>
          <t>Solio</t>
        </is>
      </c>
      <c r="O419" s="5" t="n">
        <v>85</v>
      </c>
      <c r="P419" t="b">
        <v>0</v>
      </c>
      <c r="Q419" s="5">
        <f>IF(N(O419)&lt;=0,0,MIN(Assumptions!$B$15,N(M419)/N(O419)))</f>
        <v/>
      </c>
      <c r="R419" s="4" t="n">
        <v>0.322</v>
      </c>
      <c r="S419" s="3" t="n"/>
      <c r="T419" t="inlineStr"/>
      <c r="U419" s="3" t="n">
        <v>1</v>
      </c>
      <c r="V419" s="3" t="n"/>
      <c r="W419" s="3" t="n"/>
      <c r="X419" s="3" t="n"/>
      <c r="Y419" s="3" t="n">
        <v>0</v>
      </c>
      <c r="Z419" s="3" t="n">
        <v>0</v>
      </c>
      <c r="AA419" s="3" t="n"/>
      <c r="AB419" s="3" t="n">
        <v>0</v>
      </c>
      <c r="AC419" s="3" t="n">
        <v>2.4232</v>
      </c>
      <c r="AD419" s="3" t="n">
        <v>1.1851</v>
      </c>
      <c r="AE419" s="3" t="n">
        <v>-0.0763216474948735</v>
      </c>
      <c r="AF419" s="4" t="n">
        <v>0</v>
      </c>
      <c r="AG419" s="3" t="n">
        <v>0.2026894923275023</v>
      </c>
      <c r="AH419" s="3" t="n">
        <v>0</v>
      </c>
      <c r="AI419" s="3" t="n">
        <v>0</v>
      </c>
      <c r="AJ419" s="3">
        <f>N(R419)*N(BC419)</f>
        <v/>
      </c>
      <c r="AK419" s="3" t="n">
        <v>0</v>
      </c>
      <c r="AL419" s="3" t="n">
        <v>0.474357769926339</v>
      </c>
      <c r="AM419" s="3" t="n">
        <v>-0.365915508000572</v>
      </c>
      <c r="AN419" s="3" t="n">
        <v>-0.0763216474948735</v>
      </c>
      <c r="AO419" s="3">
        <f>SUM(AH419:AN419)</f>
        <v/>
      </c>
      <c r="AP419" s="5">
        <f>IF(OR(N(Q419)&lt;=0,N(BA419)=0),0,N(Q419)*IF(N(M419)/N(Q419)&gt;=60,N(BA419),1))</f>
        <v/>
      </c>
      <c r="AQ419" s="5">
        <f>N(Q419)*N(Z419)*N(BB419)</f>
        <v/>
      </c>
      <c r="AR419" s="5">
        <f>N(AF419)*(Assumptions!$B$13*N(BD419)-(1-Assumptions!$B$13)*Assumptions!$B$14)+N(AG419)</f>
        <v/>
      </c>
      <c r="AS419" s="5">
        <f>N(AO419)*N(M419)/90+N(AP419)+N(AQ419)+N(AR419)</f>
        <v/>
      </c>
      <c r="AT419" s="3">
        <f>IF(N(M419)&lt;=0,0,(N(AS419)-N(AR419))*90/N(M419))</f>
        <v/>
      </c>
      <c r="AU419" s="5">
        <f>IFERROR(AS419-VLOOKUP($C419,Assumptions!$A$36:$C$39,3,FALSE),"")</f>
        <v/>
      </c>
      <c r="AV419" s="3">
        <f>IFERROR(AU419/F419,"")</f>
        <v/>
      </c>
      <c r="AW419">
        <f>IF(AND($E419=TRUE,$C419="GKP"),AS419,"")</f>
        <v/>
      </c>
      <c r="AX419">
        <f>IF(AND($E419=TRUE,$C419="DEF"),AS419,"")</f>
        <v/>
      </c>
      <c r="AY419">
        <f>IF(AND($E419=TRUE,$C419="MID"),AS419,"")</f>
        <v/>
      </c>
      <c r="AZ419">
        <f>IF(AND($E419=TRUE,$C419="FWD"),AS419,"")</f>
        <v/>
      </c>
      <c r="BA419" t="n">
        <v>2</v>
      </c>
      <c r="BB419" t="n">
        <v>0</v>
      </c>
      <c r="BC419" t="n">
        <v>4</v>
      </c>
      <c r="BD419" t="n">
        <v>10</v>
      </c>
    </row>
    <row r="420">
      <c r="A420" t="inlineStr">
        <is>
          <t>Remi Matthews</t>
        </is>
      </c>
      <c r="B420" t="inlineStr">
        <is>
          <t>CRY</t>
        </is>
      </c>
      <c r="C420" t="inlineStr">
        <is>
          <t>GKP</t>
        </is>
      </c>
      <c r="D420" t="inlineStr">
        <is>
          <t>GKP</t>
        </is>
      </c>
      <c r="E420" t="b">
        <v>1</v>
      </c>
      <c r="F420" s="2" t="n">
        <v>4</v>
      </c>
      <c r="G420" t="inlineStr">
        <is>
          <t>a</t>
        </is>
      </c>
      <c r="I420" s="2" t="n">
        <v>0</v>
      </c>
      <c r="J420" t="n">
        <v>0</v>
      </c>
      <c r="K420" s="3" t="n">
        <v>0</v>
      </c>
      <c r="L420" t="inlineStr">
        <is>
          <t>flat</t>
        </is>
      </c>
      <c r="M420" s="4" t="n">
        <v>0</v>
      </c>
      <c r="N420" t="inlineStr">
        <is>
          <t>Solio</t>
        </is>
      </c>
      <c r="O420" s="5" t="n">
        <v>85</v>
      </c>
      <c r="P420" t="b">
        <v>0</v>
      </c>
      <c r="Q420" s="5">
        <f>IF(N(O420)&lt;=0,0,MIN(Assumptions!$B$15,N(M420)/N(O420)))</f>
        <v/>
      </c>
      <c r="R420" s="4" t="n">
        <v>0.216</v>
      </c>
      <c r="S420" s="3" t="n"/>
      <c r="T420" t="inlineStr"/>
      <c r="U420" s="3" t="n">
        <v>1</v>
      </c>
      <c r="V420" s="3" t="n"/>
      <c r="W420" s="3" t="n"/>
      <c r="X420" s="3" t="n"/>
      <c r="Y420" s="3" t="n">
        <v>0</v>
      </c>
      <c r="Z420" s="3" t="n">
        <v>0</v>
      </c>
      <c r="AA420" s="3" t="n"/>
      <c r="AB420" s="3" t="n">
        <v>0</v>
      </c>
      <c r="AC420" s="3" t="n">
        <v>3.2035</v>
      </c>
      <c r="AD420" s="3" t="n">
        <v>1.5923</v>
      </c>
      <c r="AE420" s="3" t="n">
        <v>-0.0762605643192463</v>
      </c>
      <c r="AF420" s="4" t="n">
        <v>0</v>
      </c>
      <c r="AG420" s="3" t="n">
        <v>0</v>
      </c>
      <c r="AH420" s="3" t="n">
        <v>0</v>
      </c>
      <c r="AI420" s="3" t="n">
        <v>0</v>
      </c>
      <c r="AJ420" s="3">
        <f>N(R420)*N(BC420)</f>
        <v/>
      </c>
      <c r="AK420" s="3" t="n">
        <v>0</v>
      </c>
      <c r="AL420" s="3" t="n">
        <v>0.7325188478059661</v>
      </c>
      <c r="AM420" s="3" t="n">
        <v>-0.5564987001023466</v>
      </c>
      <c r="AN420" s="3" t="n">
        <v>-0.0762605643192463</v>
      </c>
      <c r="AO420" s="3">
        <f>SUM(AH420:AN420)</f>
        <v/>
      </c>
      <c r="AP420" s="5">
        <f>IF(OR(N(Q420)&lt;=0,N(BA420)=0),0,N(Q420)*IF(N(M420)/N(Q420)&gt;=60,N(BA420),1))</f>
        <v/>
      </c>
      <c r="AQ420" s="5">
        <f>N(Q420)*N(Z420)*N(BB420)</f>
        <v/>
      </c>
      <c r="AR420" s="5">
        <f>N(AF420)*(Assumptions!$B$13*N(BD420)-(1-Assumptions!$B$13)*Assumptions!$B$14)+N(AG420)</f>
        <v/>
      </c>
      <c r="AS420" s="5">
        <f>N(AO420)*N(M420)/90+N(AP420)+N(AQ420)+N(AR420)</f>
        <v/>
      </c>
      <c r="AT420" s="3">
        <f>IF(N(M420)&lt;=0,0,(N(AS420)-N(AR420))*90/N(M420))</f>
        <v/>
      </c>
      <c r="AU420" s="5">
        <f>IFERROR(AS420-VLOOKUP($C420,Assumptions!$A$36:$C$39,3,FALSE),"")</f>
        <v/>
      </c>
      <c r="AV420" s="3">
        <f>IFERROR(AU420/F420,"")</f>
        <v/>
      </c>
      <c r="AW420">
        <f>IF(AND($E420=TRUE,$C420="GKP"),AS420,"")</f>
        <v/>
      </c>
      <c r="AX420">
        <f>IF(AND($E420=TRUE,$C420="DEF"),AS420,"")</f>
        <v/>
      </c>
      <c r="AY420">
        <f>IF(AND($E420=TRUE,$C420="MID"),AS420,"")</f>
        <v/>
      </c>
      <c r="AZ420">
        <f>IF(AND($E420=TRUE,$C420="FWD"),AS420,"")</f>
        <v/>
      </c>
      <c r="BA420" t="n">
        <v>2</v>
      </c>
      <c r="BB420" t="n">
        <v>0</v>
      </c>
      <c r="BC420" t="n">
        <v>4</v>
      </c>
      <c r="BD420" t="n">
        <v>10</v>
      </c>
    </row>
    <row r="421">
      <c r="A421" t="inlineStr">
        <is>
          <t>Aaron Anselmino</t>
        </is>
      </c>
      <c r="B421" t="inlineStr">
        <is>
          <t>CHE</t>
        </is>
      </c>
      <c r="C421" t="inlineStr">
        <is>
          <t>DEF</t>
        </is>
      </c>
      <c r="D421" t="inlineStr">
        <is>
          <t>DEF</t>
        </is>
      </c>
      <c r="E421" t="b">
        <v>1</v>
      </c>
      <c r="F421" s="2" t="n">
        <v>4.5</v>
      </c>
      <c r="G421" t="inlineStr">
        <is>
          <t>a</t>
        </is>
      </c>
      <c r="I421" s="2" t="n">
        <v>0</v>
      </c>
      <c r="J421" t="n">
        <v>0</v>
      </c>
      <c r="K421" s="3" t="n">
        <v>0</v>
      </c>
      <c r="L421" t="inlineStr">
        <is>
          <t>flat</t>
        </is>
      </c>
      <c r="M421" s="4" t="n">
        <v>0</v>
      </c>
      <c r="N421" t="inlineStr">
        <is>
          <t>Solio</t>
        </is>
      </c>
      <c r="O421" s="5" t="n">
        <v>85</v>
      </c>
      <c r="P421" t="b">
        <v>0</v>
      </c>
      <c r="Q421" s="5">
        <f>IF(N(O421)&lt;=0,0,MIN(Assumptions!$B$15,N(M421)/N(O421)))</f>
        <v/>
      </c>
      <c r="R421" s="4" t="n">
        <v>0.322</v>
      </c>
      <c r="S421" s="3" t="n"/>
      <c r="T421" t="inlineStr"/>
      <c r="U421" s="3" t="n">
        <v>1</v>
      </c>
      <c r="V421" s="3" t="n"/>
      <c r="W421" s="3" t="n"/>
      <c r="X421" s="3" t="n"/>
      <c r="Y421" s="3" t="n"/>
      <c r="Z421" s="3" t="n">
        <v>0</v>
      </c>
      <c r="AA421" s="3" t="n"/>
      <c r="AB421" s="3" t="n">
        <v>0</v>
      </c>
      <c r="AC421" s="3" t="n">
        <v>2.4232</v>
      </c>
      <c r="AD421" s="3" t="n">
        <v>1.1851</v>
      </c>
      <c r="AE421" s="3" t="n">
        <v>-0.2045226422080557</v>
      </c>
      <c r="AF421" s="4" t="n">
        <v>0</v>
      </c>
      <c r="AG421" s="3" t="n">
        <v>0</v>
      </c>
      <c r="AH421" s="3" t="n">
        <v>0</v>
      </c>
      <c r="AI421" s="3" t="n">
        <v>0</v>
      </c>
      <c r="AJ421" s="3">
        <f>N(R421)*N(BC421)</f>
        <v/>
      </c>
      <c r="AK421" s="3" t="n">
        <v>0</v>
      </c>
      <c r="AL421" s="3" t="n">
        <v>0</v>
      </c>
      <c r="AM421" s="3" t="n">
        <v>-0.365915508000572</v>
      </c>
      <c r="AN421" s="3" t="n">
        <v>-0.2045226422080557</v>
      </c>
      <c r="AO421" s="3">
        <f>SUM(AH421:AN421)</f>
        <v/>
      </c>
      <c r="AP421" s="5">
        <f>IF(OR(N(Q421)&lt;=0,N(BA421)=0),0,N(Q421)*IF(N(M421)/N(Q421)&gt;=60,N(BA421),1))</f>
        <v/>
      </c>
      <c r="AQ421" s="5">
        <f>N(Q421)*N(Z421)*N(BB421)</f>
        <v/>
      </c>
      <c r="AR421" s="5">
        <f>N(AF421)*(Assumptions!$B$13*N(BD421)-(1-Assumptions!$B$13)*Assumptions!$B$14)+N(AG421)</f>
        <v/>
      </c>
      <c r="AS421" s="5">
        <f>N(AO421)*N(M421)/90+N(AP421)+N(AQ421)+N(AR421)</f>
        <v/>
      </c>
      <c r="AT421" s="3">
        <f>IF(N(M421)&lt;=0,0,(N(AS421)-N(AR421))*90/N(M421))</f>
        <v/>
      </c>
      <c r="AU421" s="5">
        <f>IFERROR(AS421-VLOOKUP($C421,Assumptions!$A$36:$C$39,3,FALSE),"")</f>
        <v/>
      </c>
      <c r="AV421" s="3">
        <f>IFERROR(AU421/F421,"")</f>
        <v/>
      </c>
      <c r="AW421">
        <f>IF(AND($E421=TRUE,$C421="GKP"),AS421,"")</f>
        <v/>
      </c>
      <c r="AX421">
        <f>IF(AND($E421=TRUE,$C421="DEF"),AS421,"")</f>
        <v/>
      </c>
      <c r="AY421">
        <f>IF(AND($E421=TRUE,$C421="MID"),AS421,"")</f>
        <v/>
      </c>
      <c r="AZ421">
        <f>IF(AND($E421=TRUE,$C421="FWD"),AS421,"")</f>
        <v/>
      </c>
      <c r="BA421" t="n">
        <v>2</v>
      </c>
      <c r="BB421" t="n">
        <v>2</v>
      </c>
      <c r="BC421" t="n">
        <v>4</v>
      </c>
      <c r="BD421" t="n">
        <v>6</v>
      </c>
    </row>
    <row r="422">
      <c r="A422" t="inlineStr">
        <is>
          <t>Will Dennis</t>
        </is>
      </c>
      <c r="B422" t="inlineStr">
        <is>
          <t>BOU</t>
        </is>
      </c>
      <c r="C422" t="inlineStr">
        <is>
          <t>GKP</t>
        </is>
      </c>
      <c r="D422" t="inlineStr">
        <is>
          <t>GKP</t>
        </is>
      </c>
      <c r="E422" t="b">
        <v>1</v>
      </c>
      <c r="F422" s="2" t="n">
        <v>4</v>
      </c>
      <c r="G422" t="inlineStr">
        <is>
          <t>a</t>
        </is>
      </c>
      <c r="I422" s="2" t="n">
        <v>0</v>
      </c>
      <c r="J422" t="n">
        <v>0</v>
      </c>
      <c r="K422" s="3" t="n">
        <v>35</v>
      </c>
      <c r="L422" t="inlineStr">
        <is>
          <t>flat</t>
        </is>
      </c>
      <c r="M422" s="4" t="n">
        <v>35</v>
      </c>
      <c r="N422" t="inlineStr">
        <is>
          <t>Solio</t>
        </is>
      </c>
      <c r="O422" s="5" t="n">
        <v>85</v>
      </c>
      <c r="P422" t="b">
        <v>0</v>
      </c>
      <c r="Q422" s="5">
        <f>IF(N(O422)&lt;=0,0,MIN(Assumptions!$B$15,N(M422)/N(O422)))</f>
        <v/>
      </c>
      <c r="R422" s="4" t="n">
        <v>0.23</v>
      </c>
      <c r="S422" s="3" t="n"/>
      <c r="T422" t="inlineStr"/>
      <c r="U422" s="3" t="n">
        <v>1</v>
      </c>
      <c r="V422" s="3" t="n"/>
      <c r="W422" s="3" t="n"/>
      <c r="X422" s="3" t="n"/>
      <c r="Y422" s="3" t="n">
        <v>0</v>
      </c>
      <c r="Z422" s="3" t="n">
        <v>0</v>
      </c>
      <c r="AA422" s="3" t="n"/>
      <c r="AB422" s="3" t="n">
        <v>0</v>
      </c>
      <c r="AC422" s="3" t="n">
        <v>3.0957</v>
      </c>
      <c r="AD422" s="3" t="n">
        <v>1.53</v>
      </c>
      <c r="AE422" s="3" t="n">
        <v>-0.0763216474948735</v>
      </c>
      <c r="AF422" s="4" t="n">
        <v>0</v>
      </c>
      <c r="AG422" s="3" t="n">
        <v>0.0334279680166987</v>
      </c>
      <c r="AH422" s="3" t="n">
        <v>0</v>
      </c>
      <c r="AI422" s="3" t="n">
        <v>0</v>
      </c>
      <c r="AJ422" s="3">
        <f>N(R422)*N(BC422)</f>
        <v/>
      </c>
      <c r="AK422" s="3" t="n">
        <v>0</v>
      </c>
      <c r="AL422" s="3" t="n">
        <v>0.6965164635997099</v>
      </c>
      <c r="AM422" s="3" t="n">
        <v>-0.5267219238049191</v>
      </c>
      <c r="AN422" s="3" t="n">
        <v>-0.0763216474948735</v>
      </c>
      <c r="AO422" s="3">
        <f>SUM(AH422:AN422)</f>
        <v/>
      </c>
      <c r="AP422" s="5">
        <f>IF(OR(N(Q422)&lt;=0,N(BA422)=0),0,N(Q422)*IF(N(M422)/N(Q422)&gt;=60,N(BA422),1))</f>
        <v/>
      </c>
      <c r="AQ422" s="5">
        <f>N(Q422)*N(Z422)*N(BB422)</f>
        <v/>
      </c>
      <c r="AR422" s="5">
        <f>N(AF422)*(Assumptions!$B$13*N(BD422)-(1-Assumptions!$B$13)*Assumptions!$B$14)+N(AG422)</f>
        <v/>
      </c>
      <c r="AS422" s="5">
        <f>N(AO422)*N(M422)/90+N(AP422)+N(AQ422)+N(AR422)</f>
        <v/>
      </c>
      <c r="AT422" s="3">
        <f>IF(N(M422)&lt;=0,0,(N(AS422)-N(AR422))*90/N(M422))</f>
        <v/>
      </c>
      <c r="AU422" s="5">
        <f>IFERROR(AS422-VLOOKUP($C422,Assumptions!$A$36:$C$39,3,FALSE),"")</f>
        <v/>
      </c>
      <c r="AV422" s="3">
        <f>IFERROR(AU422/F422,"")</f>
        <v/>
      </c>
      <c r="AW422">
        <f>IF(AND($E422=TRUE,$C422="GKP"),AS422,"")</f>
        <v/>
      </c>
      <c r="AX422">
        <f>IF(AND($E422=TRUE,$C422="DEF"),AS422,"")</f>
        <v/>
      </c>
      <c r="AY422">
        <f>IF(AND($E422=TRUE,$C422="MID"),AS422,"")</f>
        <v/>
      </c>
      <c r="AZ422">
        <f>IF(AND($E422=TRUE,$C422="FWD"),AS422,"")</f>
        <v/>
      </c>
      <c r="BA422" t="n">
        <v>2</v>
      </c>
      <c r="BB422" t="n">
        <v>0</v>
      </c>
      <c r="BC422" t="n">
        <v>4</v>
      </c>
      <c r="BD422" t="n">
        <v>10</v>
      </c>
    </row>
    <row r="423">
      <c r="A423" t="inlineStr">
        <is>
          <t>Matt Targett</t>
        </is>
      </c>
      <c r="B423" t="inlineStr">
        <is>
          <t>HUL</t>
        </is>
      </c>
      <c r="C423" t="inlineStr">
        <is>
          <t>DEF</t>
        </is>
      </c>
      <c r="D423" t="inlineStr">
        <is>
          <t>DEF</t>
        </is>
      </c>
      <c r="E423" t="b">
        <v>1</v>
      </c>
      <c r="F423" s="2" t="n">
        <v>4</v>
      </c>
      <c r="G423" t="inlineStr">
        <is>
          <t>a</t>
        </is>
      </c>
      <c r="I423" s="2" t="n">
        <v>0</v>
      </c>
      <c r="J423" t="n">
        <v>0</v>
      </c>
      <c r="K423" s="3" t="n">
        <v>421</v>
      </c>
      <c r="L423" t="inlineStr">
        <is>
          <t>flat</t>
        </is>
      </c>
      <c r="M423" s="4" t="n">
        <v>421</v>
      </c>
      <c r="N423" t="inlineStr">
        <is>
          <t>Solio</t>
        </is>
      </c>
      <c r="O423" s="5" t="n">
        <v>85</v>
      </c>
      <c r="P423" t="b">
        <v>0</v>
      </c>
      <c r="Q423" s="5">
        <f>IF(N(O423)&lt;=0,0,MIN(Assumptions!$B$15,N(M423)/N(O423)))</f>
        <v/>
      </c>
      <c r="R423" s="4" t="n">
        <v>0.143</v>
      </c>
      <c r="S423" s="3" t="n"/>
      <c r="T423" t="inlineStr"/>
      <c r="U423" s="3" t="n">
        <v>1</v>
      </c>
      <c r="V423" s="3" t="n"/>
      <c r="W423" s="3" t="n"/>
      <c r="X423" s="3" t="n"/>
      <c r="Y423" s="3" t="n"/>
      <c r="Z423" s="3" t="n">
        <v>0</v>
      </c>
      <c r="AA423" s="3" t="n"/>
      <c r="AB423" s="3" t="n">
        <v>0</v>
      </c>
      <c r="AC423" s="3" t="n">
        <v>3.9421</v>
      </c>
      <c r="AD423" s="3" t="n">
        <v>1.99</v>
      </c>
      <c r="AE423" s="3" t="n">
        <v>-0.2235095252713987</v>
      </c>
      <c r="AF423" s="4" t="n">
        <v>0</v>
      </c>
      <c r="AG423" s="3" t="n">
        <v>0</v>
      </c>
      <c r="AH423" s="3" t="n">
        <v>0</v>
      </c>
      <c r="AI423" s="3" t="n">
        <v>0</v>
      </c>
      <c r="AJ423" s="3">
        <f>N(R423)*N(BC423)</f>
        <v/>
      </c>
      <c r="AK423" s="3" t="n">
        <v>0</v>
      </c>
      <c r="AL423" s="3" t="n">
        <v>0</v>
      </c>
      <c r="AM423" s="3" t="n">
        <v>-0.7496714098286652</v>
      </c>
      <c r="AN423" s="3" t="n">
        <v>-0.2235095252713987</v>
      </c>
      <c r="AO423" s="3">
        <f>SUM(AH423:AN423)</f>
        <v/>
      </c>
      <c r="AP423" s="5">
        <f>IF(OR(N(Q423)&lt;=0,N(BA423)=0),0,N(Q423)*IF(N(M423)/N(Q423)&gt;=60,N(BA423),1))</f>
        <v/>
      </c>
      <c r="AQ423" s="5">
        <f>N(Q423)*N(Z423)*N(BB423)</f>
        <v/>
      </c>
      <c r="AR423" s="5">
        <f>N(AF423)*(Assumptions!$B$13*N(BD423)-(1-Assumptions!$B$13)*Assumptions!$B$14)+N(AG423)</f>
        <v/>
      </c>
      <c r="AS423" s="5">
        <f>N(AO423)*N(M423)/90+N(AP423)+N(AQ423)+N(AR423)</f>
        <v/>
      </c>
      <c r="AT423" s="3">
        <f>IF(N(M423)&lt;=0,0,(N(AS423)-N(AR423))*90/N(M423))</f>
        <v/>
      </c>
      <c r="AU423" s="5">
        <f>IFERROR(AS423-VLOOKUP($C423,Assumptions!$A$36:$C$39,3,FALSE),"")</f>
        <v/>
      </c>
      <c r="AV423" s="3">
        <f>IFERROR(AU423/F423,"")</f>
        <v/>
      </c>
      <c r="AW423">
        <f>IF(AND($E423=TRUE,$C423="GKP"),AS423,"")</f>
        <v/>
      </c>
      <c r="AX423">
        <f>IF(AND($E423=TRUE,$C423="DEF"),AS423,"")</f>
        <v/>
      </c>
      <c r="AY423">
        <f>IF(AND($E423=TRUE,$C423="MID"),AS423,"")</f>
        <v/>
      </c>
      <c r="AZ423">
        <f>IF(AND($E423=TRUE,$C423="FWD"),AS423,"")</f>
        <v/>
      </c>
      <c r="BA423" t="n">
        <v>2</v>
      </c>
      <c r="BB423" t="n">
        <v>2</v>
      </c>
      <c r="BC423" t="n">
        <v>4</v>
      </c>
      <c r="BD423" t="n">
        <v>6</v>
      </c>
    </row>
    <row r="424">
      <c r="A424" t="inlineStr">
        <is>
          <t>Kalvin Phillips</t>
        </is>
      </c>
      <c r="B424" t="inlineStr">
        <is>
          <t>MCI</t>
        </is>
      </c>
      <c r="C424" t="inlineStr">
        <is>
          <t>MID</t>
        </is>
      </c>
      <c r="D424" t="inlineStr">
        <is>
          <t>MID</t>
        </is>
      </c>
      <c r="E424" t="b">
        <v>1</v>
      </c>
      <c r="F424" s="2" t="n">
        <v>5</v>
      </c>
      <c r="G424" t="inlineStr">
        <is>
          <t>a</t>
        </is>
      </c>
      <c r="I424" s="2" t="n">
        <v>0</v>
      </c>
      <c r="J424" t="n">
        <v>0</v>
      </c>
      <c r="K424" s="3" t="n">
        <v>0</v>
      </c>
      <c r="L424" t="inlineStr">
        <is>
          <t>flat</t>
        </is>
      </c>
      <c r="M424" s="4" t="n">
        <v>0</v>
      </c>
      <c r="N424" t="inlineStr">
        <is>
          <t>Solio</t>
        </is>
      </c>
      <c r="O424" s="5" t="n">
        <v>85</v>
      </c>
      <c r="P424" t="b">
        <v>0</v>
      </c>
      <c r="Q424" s="5">
        <f>IF(N(O424)&lt;=0,0,MIN(Assumptions!$B$15,N(M424)/N(O424)))</f>
        <v/>
      </c>
      <c r="R424" s="4" t="n">
        <v>0.371</v>
      </c>
      <c r="S424" s="3" t="n"/>
      <c r="T424" t="inlineStr"/>
      <c r="U424" s="3" t="n">
        <v>1</v>
      </c>
      <c r="V424" s="3" t="n"/>
      <c r="W424" s="3" t="n"/>
      <c r="X424" s="3" t="n"/>
      <c r="Y424" s="3" t="n"/>
      <c r="Z424" s="3" t="n">
        <v>0</v>
      </c>
      <c r="AA424" s="3" t="n"/>
      <c r="AB424" s="3" t="n">
        <v>0</v>
      </c>
      <c r="AC424" s="3" t="n">
        <v>1.9737</v>
      </c>
      <c r="AD424" s="3" t="n">
        <v>1.0365</v>
      </c>
      <c r="AE424" s="3" t="n">
        <v>-0.2474148426271219</v>
      </c>
      <c r="AF424" s="4" t="n">
        <v>0</v>
      </c>
      <c r="AG424" s="3" t="n">
        <v>0</v>
      </c>
      <c r="AH424" s="3" t="n">
        <v>0</v>
      </c>
      <c r="AI424" s="3" t="n">
        <v>0</v>
      </c>
      <c r="AJ424" s="3">
        <f>N(R424)*N(BC424)</f>
        <v/>
      </c>
      <c r="AK424" s="3" t="n">
        <v>0</v>
      </c>
      <c r="AL424" s="3" t="n">
        <v>0</v>
      </c>
      <c r="AM424" s="3" t="n">
        <v>-0</v>
      </c>
      <c r="AN424" s="3" t="n">
        <v>-0.2474148426271219</v>
      </c>
      <c r="AO424" s="3">
        <f>SUM(AH424:AN424)</f>
        <v/>
      </c>
      <c r="AP424" s="5">
        <f>IF(OR(N(Q424)&lt;=0,N(BA424)=0),0,N(Q424)*IF(N(M424)/N(Q424)&gt;=60,N(BA424),1))</f>
        <v/>
      </c>
      <c r="AQ424" s="5">
        <f>N(Q424)*N(Z424)*N(BB424)</f>
        <v/>
      </c>
      <c r="AR424" s="5">
        <f>N(AF424)*(Assumptions!$B$13*N(BD424)-(1-Assumptions!$B$13)*Assumptions!$B$14)+N(AG424)</f>
        <v/>
      </c>
      <c r="AS424" s="5">
        <f>N(AO424)*N(M424)/90+N(AP424)+N(AQ424)+N(AR424)</f>
        <v/>
      </c>
      <c r="AT424" s="3">
        <f>IF(N(M424)&lt;=0,0,(N(AS424)-N(AR424))*90/N(M424))</f>
        <v/>
      </c>
      <c r="AU424" s="5">
        <f>IFERROR(AS424-VLOOKUP($C424,Assumptions!$A$36:$C$39,3,FALSE),"")</f>
        <v/>
      </c>
      <c r="AV424" s="3">
        <f>IFERROR(AU424/F424,"")</f>
        <v/>
      </c>
      <c r="AW424">
        <f>IF(AND($E424=TRUE,$C424="GKP"),AS424,"")</f>
        <v/>
      </c>
      <c r="AX424">
        <f>IF(AND($E424=TRUE,$C424="DEF"),AS424,"")</f>
        <v/>
      </c>
      <c r="AY424">
        <f>IF(AND($E424=TRUE,$C424="MID"),AS424,"")</f>
        <v/>
      </c>
      <c r="AZ424">
        <f>IF(AND($E424=TRUE,$C424="FWD"),AS424,"")</f>
        <v/>
      </c>
      <c r="BA424" t="n">
        <v>2</v>
      </c>
      <c r="BB424" t="n">
        <v>2</v>
      </c>
      <c r="BC424" t="n">
        <v>1</v>
      </c>
      <c r="BD424" t="n">
        <v>5</v>
      </c>
    </row>
    <row r="425">
      <c r="A425" t="inlineStr">
        <is>
          <t>Tom King</t>
        </is>
      </c>
      <c r="B425" t="inlineStr">
        <is>
          <t>EVE</t>
        </is>
      </c>
      <c r="C425" t="inlineStr">
        <is>
          <t>GKP</t>
        </is>
      </c>
      <c r="D425" t="inlineStr">
        <is>
          <t>GKP</t>
        </is>
      </c>
      <c r="E425" t="b">
        <v>1</v>
      </c>
      <c r="F425" s="2" t="n">
        <v>4.5</v>
      </c>
      <c r="G425" t="inlineStr">
        <is>
          <t>a</t>
        </is>
      </c>
      <c r="I425" s="2" t="n">
        <v>0</v>
      </c>
      <c r="J425" t="n">
        <v>0</v>
      </c>
      <c r="K425" s="3" t="n">
        <v>0</v>
      </c>
      <c r="L425" t="inlineStr">
        <is>
          <t>flat</t>
        </is>
      </c>
      <c r="M425" s="4" t="n">
        <v>0</v>
      </c>
      <c r="N425" t="inlineStr">
        <is>
          <t>Solio</t>
        </is>
      </c>
      <c r="O425" s="5" t="n">
        <v>85</v>
      </c>
      <c r="P425" t="b">
        <v>0</v>
      </c>
      <c r="Q425" s="5">
        <f>IF(N(O425)&lt;=0,0,MIN(Assumptions!$B$15,N(M425)/N(O425)))</f>
        <v/>
      </c>
      <c r="R425" s="4" t="n">
        <v>0.231</v>
      </c>
      <c r="S425" s="3" t="n"/>
      <c r="T425" t="inlineStr"/>
      <c r="U425" s="3" t="n">
        <v>1</v>
      </c>
      <c r="V425" s="3" t="n"/>
      <c r="W425" s="3" t="n"/>
      <c r="X425" s="3" t="n"/>
      <c r="Y425" s="3" t="n">
        <v>0</v>
      </c>
      <c r="Z425" s="3" t="n">
        <v>0</v>
      </c>
      <c r="AA425" s="3" t="n"/>
      <c r="AB425" s="3" t="n">
        <v>0</v>
      </c>
      <c r="AC425" s="3" t="n">
        <v>3.0311</v>
      </c>
      <c r="AD425" s="3" t="n">
        <v>1.5252</v>
      </c>
      <c r="AE425" s="3" t="n">
        <v>-0.0762910931866984</v>
      </c>
      <c r="AF425" s="4" t="n">
        <v>0</v>
      </c>
      <c r="AG425" s="3" t="n">
        <v>0</v>
      </c>
      <c r="AH425" s="3" t="n">
        <v>0</v>
      </c>
      <c r="AI425" s="3" t="n">
        <v>0</v>
      </c>
      <c r="AJ425" s="3">
        <f>N(R425)*N(BC425)</f>
        <v/>
      </c>
      <c r="AK425" s="3" t="n">
        <v>0</v>
      </c>
      <c r="AL425" s="3" t="n">
        <v>0.67496810501903</v>
      </c>
      <c r="AM425" s="3" t="n">
        <v>-0.524434996152324</v>
      </c>
      <c r="AN425" s="3" t="n">
        <v>-0.0762910931866984</v>
      </c>
      <c r="AO425" s="3">
        <f>SUM(AH425:AN425)</f>
        <v/>
      </c>
      <c r="AP425" s="5">
        <f>IF(OR(N(Q425)&lt;=0,N(BA425)=0),0,N(Q425)*IF(N(M425)/N(Q425)&gt;=60,N(BA425),1))</f>
        <v/>
      </c>
      <c r="AQ425" s="5">
        <f>N(Q425)*N(Z425)*N(BB425)</f>
        <v/>
      </c>
      <c r="AR425" s="5">
        <f>N(AF425)*(Assumptions!$B$13*N(BD425)-(1-Assumptions!$B$13)*Assumptions!$B$14)+N(AG425)</f>
        <v/>
      </c>
      <c r="AS425" s="5">
        <f>N(AO425)*N(M425)/90+N(AP425)+N(AQ425)+N(AR425)</f>
        <v/>
      </c>
      <c r="AT425" s="3">
        <f>IF(N(M425)&lt;=0,0,(N(AS425)-N(AR425))*90/N(M425))</f>
        <v/>
      </c>
      <c r="AU425" s="5">
        <f>IFERROR(AS425-VLOOKUP($C425,Assumptions!$A$36:$C$39,3,FALSE),"")</f>
        <v/>
      </c>
      <c r="AV425" s="3">
        <f>IFERROR(AU425/F425,"")</f>
        <v/>
      </c>
      <c r="AW425">
        <f>IF(AND($E425=TRUE,$C425="GKP"),AS425,"")</f>
        <v/>
      </c>
      <c r="AX425">
        <f>IF(AND($E425=TRUE,$C425="DEF"),AS425,"")</f>
        <v/>
      </c>
      <c r="AY425">
        <f>IF(AND($E425=TRUE,$C425="MID"),AS425,"")</f>
        <v/>
      </c>
      <c r="AZ425">
        <f>IF(AND($E425=TRUE,$C425="FWD"),AS425,"")</f>
        <v/>
      </c>
      <c r="BA425" t="n">
        <v>2</v>
      </c>
      <c r="BB425" t="n">
        <v>0</v>
      </c>
      <c r="BC425" t="n">
        <v>4</v>
      </c>
      <c r="BD425" t="n">
        <v>10</v>
      </c>
    </row>
    <row r="426">
      <c r="A426" t="inlineStr">
        <is>
          <t>Marcus Bettinelli</t>
        </is>
      </c>
      <c r="B426" t="inlineStr">
        <is>
          <t>MCI</t>
        </is>
      </c>
      <c r="C426" t="inlineStr">
        <is>
          <t>GKP</t>
        </is>
      </c>
      <c r="D426" t="inlineStr">
        <is>
          <t>GKP</t>
        </is>
      </c>
      <c r="E426" t="b">
        <v>1</v>
      </c>
      <c r="F426" s="2" t="n">
        <v>4.5</v>
      </c>
      <c r="G426" t="inlineStr">
        <is>
          <t>a</t>
        </is>
      </c>
      <c r="I426" s="2" t="n">
        <v>0</v>
      </c>
      <c r="J426" t="n">
        <v>0</v>
      </c>
      <c r="K426" s="3" t="n">
        <v>0</v>
      </c>
      <c r="L426" t="inlineStr">
        <is>
          <t>flat</t>
        </is>
      </c>
      <c r="M426" s="4" t="n">
        <v>0</v>
      </c>
      <c r="N426" t="inlineStr">
        <is>
          <t>Solio</t>
        </is>
      </c>
      <c r="O426" s="5" t="n">
        <v>85</v>
      </c>
      <c r="P426" t="b">
        <v>0</v>
      </c>
      <c r="Q426" s="5">
        <f>IF(N(O426)&lt;=0,0,MIN(Assumptions!$B$15,N(M426)/N(O426)))</f>
        <v/>
      </c>
      <c r="R426" s="4" t="n">
        <v>0.371</v>
      </c>
      <c r="S426" s="3" t="n"/>
      <c r="T426" t="inlineStr"/>
      <c r="U426" s="3" t="n">
        <v>1</v>
      </c>
      <c r="V426" s="3" t="n"/>
      <c r="W426" s="3" t="n"/>
      <c r="X426" s="3" t="n"/>
      <c r="Y426" s="3" t="n">
        <v>0</v>
      </c>
      <c r="Z426" s="3" t="n">
        <v>0</v>
      </c>
      <c r="AA426" s="3" t="n"/>
      <c r="AB426" s="3" t="n">
        <v>0</v>
      </c>
      <c r="AC426" s="3" t="n">
        <v>1.9737</v>
      </c>
      <c r="AD426" s="3" t="n">
        <v>1.0365</v>
      </c>
      <c r="AE426" s="3" t="n">
        <v>-0.0763216474948735</v>
      </c>
      <c r="AF426" s="4" t="n">
        <v>0</v>
      </c>
      <c r="AG426" s="3" t="n">
        <v>0</v>
      </c>
      <c r="AH426" s="3" t="n">
        <v>0</v>
      </c>
      <c r="AI426" s="3" t="n">
        <v>0</v>
      </c>
      <c r="AJ426" s="3">
        <f>N(R426)*N(BC426)</f>
        <v/>
      </c>
      <c r="AK426" s="3" t="n">
        <v>0</v>
      </c>
      <c r="AL426" s="3" t="n">
        <v>0.3320553475083804</v>
      </c>
      <c r="AM426" s="3" t="n">
        <v>-0.2997019479071323</v>
      </c>
      <c r="AN426" s="3" t="n">
        <v>-0.0763216474948735</v>
      </c>
      <c r="AO426" s="3">
        <f>SUM(AH426:AN426)</f>
        <v/>
      </c>
      <c r="AP426" s="5">
        <f>IF(OR(N(Q426)&lt;=0,N(BA426)=0),0,N(Q426)*IF(N(M426)/N(Q426)&gt;=60,N(BA426),1))</f>
        <v/>
      </c>
      <c r="AQ426" s="5">
        <f>N(Q426)*N(Z426)*N(BB426)</f>
        <v/>
      </c>
      <c r="AR426" s="5">
        <f>N(AF426)*(Assumptions!$B$13*N(BD426)-(1-Assumptions!$B$13)*Assumptions!$B$14)+N(AG426)</f>
        <v/>
      </c>
      <c r="AS426" s="5">
        <f>N(AO426)*N(M426)/90+N(AP426)+N(AQ426)+N(AR426)</f>
        <v/>
      </c>
      <c r="AT426" s="3">
        <f>IF(N(M426)&lt;=0,0,(N(AS426)-N(AR426))*90/N(M426))</f>
        <v/>
      </c>
      <c r="AU426" s="5">
        <f>IFERROR(AS426-VLOOKUP($C426,Assumptions!$A$36:$C$39,3,FALSE),"")</f>
        <v/>
      </c>
      <c r="AV426" s="3">
        <f>IFERROR(AU426/F426,"")</f>
        <v/>
      </c>
      <c r="AW426">
        <f>IF(AND($E426=TRUE,$C426="GKP"),AS426,"")</f>
        <v/>
      </c>
      <c r="AX426">
        <f>IF(AND($E426=TRUE,$C426="DEF"),AS426,"")</f>
        <v/>
      </c>
      <c r="AY426">
        <f>IF(AND($E426=TRUE,$C426="MID"),AS426,"")</f>
        <v/>
      </c>
      <c r="AZ426">
        <f>IF(AND($E426=TRUE,$C426="FWD"),AS426,"")</f>
        <v/>
      </c>
      <c r="BA426" t="n">
        <v>2</v>
      </c>
      <c r="BB426" t="n">
        <v>0</v>
      </c>
      <c r="BC426" t="n">
        <v>4</v>
      </c>
      <c r="BD426" t="n">
        <v>10</v>
      </c>
    </row>
    <row r="427">
      <c r="A427" t="inlineStr">
        <is>
          <t>Giovanni Leoni</t>
        </is>
      </c>
      <c r="B427" t="inlineStr">
        <is>
          <t>LIV</t>
        </is>
      </c>
      <c r="C427" t="inlineStr">
        <is>
          <t>DEF</t>
        </is>
      </c>
      <c r="D427" t="inlineStr">
        <is>
          <t>DEF</t>
        </is>
      </c>
      <c r="E427" t="b">
        <v>1</v>
      </c>
      <c r="F427" s="2" t="n">
        <v>4</v>
      </c>
      <c r="G427" t="inlineStr">
        <is>
          <t>i</t>
        </is>
      </c>
      <c r="H427" t="inlineStr">
        <is>
          <t>Knee injury - Unknown return date</t>
        </is>
      </c>
      <c r="I427" s="2" t="n">
        <v>0</v>
      </c>
      <c r="J427" t="n">
        <v>0</v>
      </c>
      <c r="K427" s="3" t="n">
        <v>28</v>
      </c>
      <c r="L427" t="inlineStr">
        <is>
          <t>flat</t>
        </is>
      </c>
      <c r="M427" s="4" t="n">
        <v>28</v>
      </c>
      <c r="N427" t="inlineStr">
        <is>
          <t>Solio</t>
        </is>
      </c>
      <c r="O427" s="5" t="n">
        <v>85</v>
      </c>
      <c r="P427" t="b">
        <v>0</v>
      </c>
      <c r="Q427" s="5">
        <f>IF(N(O427)&lt;=0,0,MIN(Assumptions!$B$15,N(M427)/N(O427)))</f>
        <v/>
      </c>
      <c r="R427" s="4" t="n">
        <v>0.342</v>
      </c>
      <c r="S427" s="3" t="n"/>
      <c r="T427" t="inlineStr"/>
      <c r="U427" s="3" t="n">
        <v>1</v>
      </c>
      <c r="V427" s="3" t="n"/>
      <c r="W427" s="3" t="n"/>
      <c r="X427" s="3" t="n"/>
      <c r="Y427" s="3" t="n"/>
      <c r="Z427" s="3" t="n">
        <v>0</v>
      </c>
      <c r="AA427" s="3" t="n"/>
      <c r="AB427" s="3" t="n">
        <v>0</v>
      </c>
      <c r="AC427" s="3" t="n">
        <v>2.409</v>
      </c>
      <c r="AD427" s="3" t="n">
        <v>1.1228</v>
      </c>
      <c r="AE427" s="3" t="n">
        <v>-0.2045226422080557</v>
      </c>
      <c r="AF427" s="4" t="n">
        <v>0</v>
      </c>
      <c r="AG427" s="3" t="n">
        <v>0</v>
      </c>
      <c r="AH427" s="3" t="n">
        <v>0</v>
      </c>
      <c r="AI427" s="3" t="n">
        <v>0</v>
      </c>
      <c r="AJ427" s="3">
        <f>N(R427)*N(BC427)</f>
        <v/>
      </c>
      <c r="AK427" s="3" t="n">
        <v>0</v>
      </c>
      <c r="AL427" s="3" t="n">
        <v>0</v>
      </c>
      <c r="AM427" s="3" t="n">
        <v>-0.3378660007281162</v>
      </c>
      <c r="AN427" s="3" t="n">
        <v>-0.2045226422080557</v>
      </c>
      <c r="AO427" s="3">
        <f>SUM(AH427:AN427)</f>
        <v/>
      </c>
      <c r="AP427" s="5">
        <f>IF(OR(N(Q427)&lt;=0,N(BA427)=0),0,N(Q427)*IF(N(M427)/N(Q427)&gt;=60,N(BA427),1))</f>
        <v/>
      </c>
      <c r="AQ427" s="5">
        <f>N(Q427)*N(Z427)*N(BB427)</f>
        <v/>
      </c>
      <c r="AR427" s="5">
        <f>N(AF427)*(Assumptions!$B$13*N(BD427)-(1-Assumptions!$B$13)*Assumptions!$B$14)+N(AG427)</f>
        <v/>
      </c>
      <c r="AS427" s="5">
        <f>N(AO427)*N(M427)/90+N(AP427)+N(AQ427)+N(AR427)</f>
        <v/>
      </c>
      <c r="AT427" s="3">
        <f>IF(N(M427)&lt;=0,0,(N(AS427)-N(AR427))*90/N(M427))</f>
        <v/>
      </c>
      <c r="AU427" s="5">
        <f>IFERROR(AS427-VLOOKUP($C427,Assumptions!$A$36:$C$39,3,FALSE),"")</f>
        <v/>
      </c>
      <c r="AV427" s="3">
        <f>IFERROR(AU427/F427,"")</f>
        <v/>
      </c>
      <c r="AW427">
        <f>IF(AND($E427=TRUE,$C427="GKP"),AS427,"")</f>
        <v/>
      </c>
      <c r="AX427">
        <f>IF(AND($E427=TRUE,$C427="DEF"),AS427,"")</f>
        <v/>
      </c>
      <c r="AY427">
        <f>IF(AND($E427=TRUE,$C427="MID"),AS427,"")</f>
        <v/>
      </c>
      <c r="AZ427">
        <f>IF(AND($E427=TRUE,$C427="FWD"),AS427,"")</f>
        <v/>
      </c>
      <c r="BA427" t="n">
        <v>2</v>
      </c>
      <c r="BB427" t="n">
        <v>2</v>
      </c>
      <c r="BC427" t="n">
        <v>4</v>
      </c>
      <c r="BD427" t="n">
        <v>6</v>
      </c>
    </row>
    <row r="428">
      <c r="A428" t="inlineStr">
        <is>
          <t>Benjamin Lecomte</t>
        </is>
      </c>
      <c r="B428" t="inlineStr">
        <is>
          <t>FUL</t>
        </is>
      </c>
      <c r="C428" t="inlineStr">
        <is>
          <t>GKP</t>
        </is>
      </c>
      <c r="D428" t="inlineStr">
        <is>
          <t>GKP</t>
        </is>
      </c>
      <c r="E428" t="b">
        <v>1</v>
      </c>
      <c r="F428" s="2" t="n">
        <v>4</v>
      </c>
      <c r="G428" t="inlineStr">
        <is>
          <t>a</t>
        </is>
      </c>
      <c r="I428" s="2" t="n">
        <v>0</v>
      </c>
      <c r="J428" t="n">
        <v>0</v>
      </c>
      <c r="K428" s="3" t="n">
        <v>11</v>
      </c>
      <c r="L428" t="inlineStr">
        <is>
          <t>flat</t>
        </is>
      </c>
      <c r="M428" s="4" t="n">
        <v>11</v>
      </c>
      <c r="N428" t="inlineStr">
        <is>
          <t>Solio</t>
        </is>
      </c>
      <c r="O428" s="5" t="n">
        <v>85</v>
      </c>
      <c r="P428" t="b">
        <v>0</v>
      </c>
      <c r="Q428" s="5">
        <f>IF(N(O428)&lt;=0,0,MIN(Assumptions!$B$15,N(M428)/N(O428)))</f>
        <v/>
      </c>
      <c r="R428" s="4" t="n">
        <v>0.214</v>
      </c>
      <c r="S428" s="3" t="n"/>
      <c r="T428" t="inlineStr"/>
      <c r="U428" s="3" t="n">
        <v>1</v>
      </c>
      <c r="V428" s="3" t="n"/>
      <c r="W428" s="3" t="n"/>
      <c r="X428" s="3" t="n"/>
      <c r="Y428" s="3" t="n">
        <v>0</v>
      </c>
      <c r="Z428" s="3" t="n">
        <v>0</v>
      </c>
      <c r="AA428" s="3" t="n"/>
      <c r="AB428" s="3" t="n">
        <v>0</v>
      </c>
      <c r="AC428" s="3" t="n">
        <v>3.22</v>
      </c>
      <c r="AD428" s="3" t="n">
        <v>1.6019</v>
      </c>
      <c r="AE428" s="3" t="n">
        <v>-0.0763216474948735</v>
      </c>
      <c r="AF428" s="4" t="n">
        <v>0</v>
      </c>
      <c r="AG428" s="3" t="n">
        <v>0.0109994176522775</v>
      </c>
      <c r="AH428" s="3" t="n">
        <v>0</v>
      </c>
      <c r="AI428" s="3" t="n">
        <v>0</v>
      </c>
      <c r="AJ428" s="3">
        <f>N(R428)*N(BC428)</f>
        <v/>
      </c>
      <c r="AK428" s="3" t="n">
        <v>0</v>
      </c>
      <c r="AL428" s="3" t="n">
        <v>0.7380333201454712</v>
      </c>
      <c r="AM428" s="3" t="n">
        <v>-0.5611019003833156</v>
      </c>
      <c r="AN428" s="3" t="n">
        <v>-0.0763216474948735</v>
      </c>
      <c r="AO428" s="3">
        <f>SUM(AH428:AN428)</f>
        <v/>
      </c>
      <c r="AP428" s="5">
        <f>IF(OR(N(Q428)&lt;=0,N(BA428)=0),0,N(Q428)*IF(N(M428)/N(Q428)&gt;=60,N(BA428),1))</f>
        <v/>
      </c>
      <c r="AQ428" s="5">
        <f>N(Q428)*N(Z428)*N(BB428)</f>
        <v/>
      </c>
      <c r="AR428" s="5">
        <f>N(AF428)*(Assumptions!$B$13*N(BD428)-(1-Assumptions!$B$13)*Assumptions!$B$14)+N(AG428)</f>
        <v/>
      </c>
      <c r="AS428" s="5">
        <f>N(AO428)*N(M428)/90+N(AP428)+N(AQ428)+N(AR428)</f>
        <v/>
      </c>
      <c r="AT428" s="3">
        <f>IF(N(M428)&lt;=0,0,(N(AS428)-N(AR428))*90/N(M428))</f>
        <v/>
      </c>
      <c r="AU428" s="5">
        <f>IFERROR(AS428-VLOOKUP($C428,Assumptions!$A$36:$C$39,3,FALSE),"")</f>
        <v/>
      </c>
      <c r="AV428" s="3">
        <f>IFERROR(AU428/F428,"")</f>
        <v/>
      </c>
      <c r="AW428">
        <f>IF(AND($E428=TRUE,$C428="GKP"),AS428,"")</f>
        <v/>
      </c>
      <c r="AX428">
        <f>IF(AND($E428=TRUE,$C428="DEF"),AS428,"")</f>
        <v/>
      </c>
      <c r="AY428">
        <f>IF(AND($E428=TRUE,$C428="MID"),AS428,"")</f>
        <v/>
      </c>
      <c r="AZ428">
        <f>IF(AND($E428=TRUE,$C428="FWD"),AS428,"")</f>
        <v/>
      </c>
      <c r="BA428" t="n">
        <v>2</v>
      </c>
      <c r="BB428" t="n">
        <v>0</v>
      </c>
      <c r="BC428" t="n">
        <v>4</v>
      </c>
      <c r="BD428" t="n">
        <v>10</v>
      </c>
    </row>
    <row r="429">
      <c r="A429" t="inlineStr">
        <is>
          <t>Mark Gillespie</t>
        </is>
      </c>
      <c r="B429" t="inlineStr">
        <is>
          <t>NEW</t>
        </is>
      </c>
      <c r="C429" t="inlineStr">
        <is>
          <t>GKP</t>
        </is>
      </c>
      <c r="D429" t="inlineStr">
        <is>
          <t>GKP</t>
        </is>
      </c>
      <c r="E429" t="b">
        <v>1</v>
      </c>
      <c r="F429" s="2" t="n">
        <v>4.5</v>
      </c>
      <c r="G429" t="inlineStr">
        <is>
          <t>a</t>
        </is>
      </c>
      <c r="I429" s="2" t="n">
        <v>0</v>
      </c>
      <c r="J429" t="n">
        <v>0</v>
      </c>
      <c r="K429" s="3" t="n">
        <v>0</v>
      </c>
      <c r="L429" t="inlineStr">
        <is>
          <t>flat</t>
        </is>
      </c>
      <c r="M429" s="4" t="n">
        <v>0</v>
      </c>
      <c r="N429" t="inlineStr">
        <is>
          <t>Solio</t>
        </is>
      </c>
      <c r="O429" s="5" t="n">
        <v>85</v>
      </c>
      <c r="P429" t="b">
        <v>0</v>
      </c>
      <c r="Q429" s="5">
        <f>IF(N(O429)&lt;=0,0,MIN(Assumptions!$B$15,N(M429)/N(O429)))</f>
        <v/>
      </c>
      <c r="R429" s="4" t="n">
        <v>0.248</v>
      </c>
      <c r="S429" s="3" t="n"/>
      <c r="T429" t="inlineStr"/>
      <c r="U429" s="3" t="n">
        <v>1</v>
      </c>
      <c r="V429" s="3" t="n"/>
      <c r="W429" s="3" t="n"/>
      <c r="X429" s="3" t="n"/>
      <c r="Y429" s="3" t="n">
        <v>0</v>
      </c>
      <c r="Z429" s="3" t="n">
        <v>0</v>
      </c>
      <c r="AA429" s="3" t="n"/>
      <c r="AB429" s="3" t="n">
        <v>0</v>
      </c>
      <c r="AC429" s="3" t="n">
        <v>3.0912</v>
      </c>
      <c r="AD429" s="3" t="n">
        <v>1.4534</v>
      </c>
      <c r="AE429" s="3" t="n">
        <v>-0.0763216474948735</v>
      </c>
      <c r="AF429" s="4" t="n">
        <v>0</v>
      </c>
      <c r="AG429" s="3" t="n">
        <v>0</v>
      </c>
      <c r="AH429" s="3" t="n">
        <v>0</v>
      </c>
      <c r="AI429" s="3" t="n">
        <v>0</v>
      </c>
      <c r="AJ429" s="3">
        <f>N(R429)*N(BC429)</f>
        <v/>
      </c>
      <c r="AK429" s="3" t="n">
        <v>0</v>
      </c>
      <c r="AL429" s="3" t="n">
        <v>0.6950146973483665</v>
      </c>
      <c r="AM429" s="3" t="n">
        <v>-0.4903625828545308</v>
      </c>
      <c r="AN429" s="3" t="n">
        <v>-0.0763216474948735</v>
      </c>
      <c r="AO429" s="3">
        <f>SUM(AH429:AN429)</f>
        <v/>
      </c>
      <c r="AP429" s="5">
        <f>IF(OR(N(Q429)&lt;=0,N(BA429)=0),0,N(Q429)*IF(N(M429)/N(Q429)&gt;=60,N(BA429),1))</f>
        <v/>
      </c>
      <c r="AQ429" s="5">
        <f>N(Q429)*N(Z429)*N(BB429)</f>
        <v/>
      </c>
      <c r="AR429" s="5">
        <f>N(AF429)*(Assumptions!$B$13*N(BD429)-(1-Assumptions!$B$13)*Assumptions!$B$14)+N(AG429)</f>
        <v/>
      </c>
      <c r="AS429" s="5">
        <f>N(AO429)*N(M429)/90+N(AP429)+N(AQ429)+N(AR429)</f>
        <v/>
      </c>
      <c r="AT429" s="3">
        <f>IF(N(M429)&lt;=0,0,(N(AS429)-N(AR429))*90/N(M429))</f>
        <v/>
      </c>
      <c r="AU429" s="5">
        <f>IFERROR(AS429-VLOOKUP($C429,Assumptions!$A$36:$C$39,3,FALSE),"")</f>
        <v/>
      </c>
      <c r="AV429" s="3">
        <f>IFERROR(AU429/F429,"")</f>
        <v/>
      </c>
      <c r="AW429">
        <f>IF(AND($E429=TRUE,$C429="GKP"),AS429,"")</f>
        <v/>
      </c>
      <c r="AX429">
        <f>IF(AND($E429=TRUE,$C429="DEF"),AS429,"")</f>
        <v/>
      </c>
      <c r="AY429">
        <f>IF(AND($E429=TRUE,$C429="MID"),AS429,"")</f>
        <v/>
      </c>
      <c r="AZ429">
        <f>IF(AND($E429=TRUE,$C429="FWD"),AS429,"")</f>
        <v/>
      </c>
      <c r="BA429" t="n">
        <v>2</v>
      </c>
      <c r="BB429" t="n">
        <v>0</v>
      </c>
      <c r="BC429" t="n">
        <v>4</v>
      </c>
      <c r="BD429" t="n">
        <v>10</v>
      </c>
    </row>
    <row r="430">
      <c r="A430" t="inlineStr">
        <is>
          <t>Jason Steele</t>
        </is>
      </c>
      <c r="B430" t="inlineStr">
        <is>
          <t>BHA</t>
        </is>
      </c>
      <c r="C430" t="inlineStr">
        <is>
          <t>GKP</t>
        </is>
      </c>
      <c r="D430" t="inlineStr">
        <is>
          <t>GKP</t>
        </is>
      </c>
      <c r="E430" t="b">
        <v>1</v>
      </c>
      <c r="F430" s="2" t="n">
        <v>4</v>
      </c>
      <c r="G430" t="inlineStr">
        <is>
          <t>a</t>
        </is>
      </c>
      <c r="I430" s="2" t="n">
        <v>0</v>
      </c>
      <c r="J430" t="n">
        <v>0</v>
      </c>
      <c r="K430" s="3" t="n">
        <v>35</v>
      </c>
      <c r="L430" t="inlineStr">
        <is>
          <t>flat</t>
        </is>
      </c>
      <c r="M430" s="4" t="n">
        <v>35</v>
      </c>
      <c r="N430" t="inlineStr">
        <is>
          <t>Solio</t>
        </is>
      </c>
      <c r="O430" s="5" t="n">
        <v>85</v>
      </c>
      <c r="P430" t="b">
        <v>0</v>
      </c>
      <c r="Q430" s="5">
        <f>IF(N(O430)&lt;=0,0,MIN(Assumptions!$B$15,N(M430)/N(O430)))</f>
        <v/>
      </c>
      <c r="R430" s="4" t="n">
        <v>0.252</v>
      </c>
      <c r="S430" s="3" t="n"/>
      <c r="T430" t="inlineStr"/>
      <c r="U430" s="3" t="n">
        <v>1</v>
      </c>
      <c r="V430" s="3" t="n"/>
      <c r="W430" s="3" t="n"/>
      <c r="X430" s="3" t="n"/>
      <c r="Y430" s="3" t="n">
        <v>0</v>
      </c>
      <c r="Z430" s="3" t="n">
        <v>0</v>
      </c>
      <c r="AA430" s="3" t="n"/>
      <c r="AB430" s="3" t="n">
        <v>0</v>
      </c>
      <c r="AC430" s="3" t="n">
        <v>2.8404</v>
      </c>
      <c r="AD430" s="3" t="n">
        <v>1.439</v>
      </c>
      <c r="AE430" s="3" t="n">
        <v>-0.0518680161854528</v>
      </c>
      <c r="AF430" s="4" t="n">
        <v>0</v>
      </c>
      <c r="AG430" s="3" t="n">
        <v>0.0314386529148295</v>
      </c>
      <c r="AH430" s="3" t="n">
        <v>0</v>
      </c>
      <c r="AI430" s="3" t="n">
        <v>0</v>
      </c>
      <c r="AJ430" s="3">
        <f>N(R430)*N(BC430)</f>
        <v/>
      </c>
      <c r="AK430" s="3" t="n">
        <v>0</v>
      </c>
      <c r="AL430" s="3" t="n">
        <v>0.6115252178851747</v>
      </c>
      <c r="AM430" s="3" t="n">
        <v>-0.4835617861760246</v>
      </c>
      <c r="AN430" s="3" t="n">
        <v>-0.0518680161854528</v>
      </c>
      <c r="AO430" s="3">
        <f>SUM(AH430:AN430)</f>
        <v/>
      </c>
      <c r="AP430" s="5">
        <f>IF(OR(N(Q430)&lt;=0,N(BA430)=0),0,N(Q430)*IF(N(M430)/N(Q430)&gt;=60,N(BA430),1))</f>
        <v/>
      </c>
      <c r="AQ430" s="5">
        <f>N(Q430)*N(Z430)*N(BB430)</f>
        <v/>
      </c>
      <c r="AR430" s="5">
        <f>N(AF430)*(Assumptions!$B$13*N(BD430)-(1-Assumptions!$B$13)*Assumptions!$B$14)+N(AG430)</f>
        <v/>
      </c>
      <c r="AS430" s="5">
        <f>N(AO430)*N(M430)/90+N(AP430)+N(AQ430)+N(AR430)</f>
        <v/>
      </c>
      <c r="AT430" s="3">
        <f>IF(N(M430)&lt;=0,0,(N(AS430)-N(AR430))*90/N(M430))</f>
        <v/>
      </c>
      <c r="AU430" s="5">
        <f>IFERROR(AS430-VLOOKUP($C430,Assumptions!$A$36:$C$39,3,FALSE),"")</f>
        <v/>
      </c>
      <c r="AV430" s="3">
        <f>IFERROR(AU430/F430,"")</f>
        <v/>
      </c>
      <c r="AW430">
        <f>IF(AND($E430=TRUE,$C430="GKP"),AS430,"")</f>
        <v/>
      </c>
      <c r="AX430">
        <f>IF(AND($E430=TRUE,$C430="DEF"),AS430,"")</f>
        <v/>
      </c>
      <c r="AY430">
        <f>IF(AND($E430=TRUE,$C430="MID"),AS430,"")</f>
        <v/>
      </c>
      <c r="AZ430">
        <f>IF(AND($E430=TRUE,$C430="FWD"),AS430,"")</f>
        <v/>
      </c>
      <c r="BA430" t="n">
        <v>2</v>
      </c>
      <c r="BB430" t="n">
        <v>0</v>
      </c>
      <c r="BC430" t="n">
        <v>4</v>
      </c>
      <c r="BD430" t="n">
        <v>10</v>
      </c>
    </row>
    <row r="431">
      <c r="A431" t="inlineStr">
        <is>
          <t>Fraser Forster</t>
        </is>
      </c>
      <c r="B431" t="inlineStr">
        <is>
          <t>BOU</t>
        </is>
      </c>
      <c r="C431" t="inlineStr">
        <is>
          <t>GKP</t>
        </is>
      </c>
      <c r="D431" t="inlineStr">
        <is>
          <t>GKP</t>
        </is>
      </c>
      <c r="E431" t="b">
        <v>1</v>
      </c>
      <c r="F431" s="2" t="n">
        <v>4</v>
      </c>
      <c r="G431" t="inlineStr">
        <is>
          <t>a</t>
        </is>
      </c>
      <c r="I431" s="2" t="n">
        <v>0</v>
      </c>
      <c r="J431" t="n">
        <v>0</v>
      </c>
      <c r="K431" s="3" t="n">
        <v>0</v>
      </c>
      <c r="L431" t="inlineStr">
        <is>
          <t>flat</t>
        </is>
      </c>
      <c r="M431" s="4" t="n">
        <v>0</v>
      </c>
      <c r="N431" t="inlineStr">
        <is>
          <t>Solio</t>
        </is>
      </c>
      <c r="O431" s="5" t="n">
        <v>85</v>
      </c>
      <c r="P431" t="b">
        <v>0</v>
      </c>
      <c r="Q431" s="5">
        <f>IF(N(O431)&lt;=0,0,MIN(Assumptions!$B$15,N(M431)/N(O431)))</f>
        <v/>
      </c>
      <c r="R431" s="4" t="n">
        <v>0.23</v>
      </c>
      <c r="S431" s="3" t="n"/>
      <c r="T431" t="inlineStr"/>
      <c r="U431" s="3" t="n">
        <v>1</v>
      </c>
      <c r="V431" s="3" t="n"/>
      <c r="W431" s="3" t="n"/>
      <c r="X431" s="3" t="n"/>
      <c r="Y431" s="3" t="n">
        <v>0</v>
      </c>
      <c r="Z431" s="3" t="n">
        <v>0</v>
      </c>
      <c r="AA431" s="3" t="n"/>
      <c r="AB431" s="3" t="n">
        <v>0</v>
      </c>
      <c r="AC431" s="3" t="n">
        <v>3.0957</v>
      </c>
      <c r="AD431" s="3" t="n">
        <v>1.53</v>
      </c>
      <c r="AE431" s="3" t="n">
        <v>-0.0610683923216705</v>
      </c>
      <c r="AF431" s="4" t="n">
        <v>0</v>
      </c>
      <c r="AG431" s="3" t="n">
        <v>0</v>
      </c>
      <c r="AH431" s="3" t="n">
        <v>0</v>
      </c>
      <c r="AI431" s="3" t="n">
        <v>0</v>
      </c>
      <c r="AJ431" s="3">
        <f>N(R431)*N(BC431)</f>
        <v/>
      </c>
      <c r="AK431" s="3" t="n">
        <v>0</v>
      </c>
      <c r="AL431" s="3" t="n">
        <v>0.6965164635997099</v>
      </c>
      <c r="AM431" s="3" t="n">
        <v>-0.5267219238049191</v>
      </c>
      <c r="AN431" s="3" t="n">
        <v>-0.0610683923216705</v>
      </c>
      <c r="AO431" s="3">
        <f>SUM(AH431:AN431)</f>
        <v/>
      </c>
      <c r="AP431" s="5">
        <f>IF(OR(N(Q431)&lt;=0,N(BA431)=0),0,N(Q431)*IF(N(M431)/N(Q431)&gt;=60,N(BA431),1))</f>
        <v/>
      </c>
      <c r="AQ431" s="5">
        <f>N(Q431)*N(Z431)*N(BB431)</f>
        <v/>
      </c>
      <c r="AR431" s="5">
        <f>N(AF431)*(Assumptions!$B$13*N(BD431)-(1-Assumptions!$B$13)*Assumptions!$B$14)+N(AG431)</f>
        <v/>
      </c>
      <c r="AS431" s="5">
        <f>N(AO431)*N(M431)/90+N(AP431)+N(AQ431)+N(AR431)</f>
        <v/>
      </c>
      <c r="AT431" s="3">
        <f>IF(N(M431)&lt;=0,0,(N(AS431)-N(AR431))*90/N(M431))</f>
        <v/>
      </c>
      <c r="AU431" s="5">
        <f>IFERROR(AS431-VLOOKUP($C431,Assumptions!$A$36:$C$39,3,FALSE),"")</f>
        <v/>
      </c>
      <c r="AV431" s="3">
        <f>IFERROR(AU431/F431,"")</f>
        <v/>
      </c>
      <c r="AW431">
        <f>IF(AND($E431=TRUE,$C431="GKP"),AS431,"")</f>
        <v/>
      </c>
      <c r="AX431">
        <f>IF(AND($E431=TRUE,$C431="DEF"),AS431,"")</f>
        <v/>
      </c>
      <c r="AY431">
        <f>IF(AND($E431=TRUE,$C431="MID"),AS431,"")</f>
        <v/>
      </c>
      <c r="AZ431">
        <f>IF(AND($E431=TRUE,$C431="FWD"),AS431,"")</f>
        <v/>
      </c>
      <c r="BA431" t="n">
        <v>2</v>
      </c>
      <c r="BB431" t="n">
        <v>0</v>
      </c>
      <c r="BC431" t="n">
        <v>4</v>
      </c>
      <c r="BD431" t="n">
        <v>10</v>
      </c>
    </row>
    <row r="432">
      <c r="A432" t="inlineStr">
        <is>
          <t>Cheick Doucouré</t>
        </is>
      </c>
      <c r="B432" t="inlineStr">
        <is>
          <t>CRY</t>
        </is>
      </c>
      <c r="C432" t="inlineStr">
        <is>
          <t>MID</t>
        </is>
      </c>
      <c r="D432" t="inlineStr">
        <is>
          <t>MID</t>
        </is>
      </c>
      <c r="E432" t="b">
        <v>1</v>
      </c>
      <c r="F432" s="2" t="n">
        <v>5</v>
      </c>
      <c r="G432" t="inlineStr">
        <is>
          <t>a</t>
        </is>
      </c>
      <c r="I432" s="2" t="n">
        <v>0</v>
      </c>
      <c r="J432" t="n">
        <v>0</v>
      </c>
      <c r="K432" s="3" t="n">
        <v>0</v>
      </c>
      <c r="L432" t="inlineStr">
        <is>
          <t>flat</t>
        </is>
      </c>
      <c r="M432" s="4" t="n">
        <v>0</v>
      </c>
      <c r="N432" t="inlineStr">
        <is>
          <t>Solio</t>
        </is>
      </c>
      <c r="O432" s="5" t="n">
        <v>85</v>
      </c>
      <c r="P432" t="b">
        <v>0</v>
      </c>
      <c r="Q432" s="5">
        <f>IF(N(O432)&lt;=0,0,MIN(Assumptions!$B$15,N(M432)/N(O432)))</f>
        <v/>
      </c>
      <c r="R432" s="4" t="n">
        <v>0.216</v>
      </c>
      <c r="S432" s="3" t="n"/>
      <c r="T432" t="inlineStr"/>
      <c r="U432" s="3" t="n">
        <v>1</v>
      </c>
      <c r="V432" s="3" t="n"/>
      <c r="W432" s="3" t="n"/>
      <c r="X432" s="3" t="n"/>
      <c r="Y432" s="3" t="n"/>
      <c r="Z432" s="3" t="n">
        <v>0</v>
      </c>
      <c r="AA432" s="3" t="n"/>
      <c r="AB432" s="3" t="n">
        <v>0</v>
      </c>
      <c r="AC432" s="3" t="n">
        <v>3.2035</v>
      </c>
      <c r="AD432" s="3" t="n">
        <v>1.5923</v>
      </c>
      <c r="AE432" s="3" t="n">
        <v>-0.2158576550328143</v>
      </c>
      <c r="AF432" s="4" t="n">
        <v>0</v>
      </c>
      <c r="AG432" s="3" t="n">
        <v>0</v>
      </c>
      <c r="AH432" s="3" t="n">
        <v>0</v>
      </c>
      <c r="AI432" s="3" t="n">
        <v>0</v>
      </c>
      <c r="AJ432" s="3">
        <f>N(R432)*N(BC432)</f>
        <v/>
      </c>
      <c r="AK432" s="3" t="n">
        <v>0</v>
      </c>
      <c r="AL432" s="3" t="n">
        <v>0</v>
      </c>
      <c r="AM432" s="3" t="n">
        <v>-0</v>
      </c>
      <c r="AN432" s="3" t="n">
        <v>-0.2158576550328143</v>
      </c>
      <c r="AO432" s="3">
        <f>SUM(AH432:AN432)</f>
        <v/>
      </c>
      <c r="AP432" s="5">
        <f>IF(OR(N(Q432)&lt;=0,N(BA432)=0),0,N(Q432)*IF(N(M432)/N(Q432)&gt;=60,N(BA432),1))</f>
        <v/>
      </c>
      <c r="AQ432" s="5">
        <f>N(Q432)*N(Z432)*N(BB432)</f>
        <v/>
      </c>
      <c r="AR432" s="5">
        <f>N(AF432)*(Assumptions!$B$13*N(BD432)-(1-Assumptions!$B$13)*Assumptions!$B$14)+N(AG432)</f>
        <v/>
      </c>
      <c r="AS432" s="5">
        <f>N(AO432)*N(M432)/90+N(AP432)+N(AQ432)+N(AR432)</f>
        <v/>
      </c>
      <c r="AT432" s="3">
        <f>IF(N(M432)&lt;=0,0,(N(AS432)-N(AR432))*90/N(M432))</f>
        <v/>
      </c>
      <c r="AU432" s="5">
        <f>IFERROR(AS432-VLOOKUP($C432,Assumptions!$A$36:$C$39,3,FALSE),"")</f>
        <v/>
      </c>
      <c r="AV432" s="3">
        <f>IFERROR(AU432/F432,"")</f>
        <v/>
      </c>
      <c r="AW432">
        <f>IF(AND($E432=TRUE,$C432="GKP"),AS432,"")</f>
        <v/>
      </c>
      <c r="AX432">
        <f>IF(AND($E432=TRUE,$C432="DEF"),AS432,"")</f>
        <v/>
      </c>
      <c r="AY432">
        <f>IF(AND($E432=TRUE,$C432="MID"),AS432,"")</f>
        <v/>
      </c>
      <c r="AZ432">
        <f>IF(AND($E432=TRUE,$C432="FWD"),AS432,"")</f>
        <v/>
      </c>
      <c r="BA432" t="n">
        <v>2</v>
      </c>
      <c r="BB432" t="n">
        <v>2</v>
      </c>
      <c r="BC432" t="n">
        <v>1</v>
      </c>
      <c r="BD432" t="n">
        <v>5</v>
      </c>
    </row>
    <row r="433">
      <c r="A433" t="inlineStr">
        <is>
          <t>Joe Gelhardt</t>
        </is>
      </c>
      <c r="B433" t="inlineStr">
        <is>
          <t>LEE</t>
        </is>
      </c>
      <c r="C433" t="inlineStr">
        <is>
          <t>MID</t>
        </is>
      </c>
      <c r="D433" t="inlineStr">
        <is>
          <t>MID</t>
        </is>
      </c>
      <c r="E433" t="b">
        <v>1</v>
      </c>
      <c r="F433" s="2" t="n">
        <v>5</v>
      </c>
      <c r="G433" t="inlineStr">
        <is>
          <t>a</t>
        </is>
      </c>
      <c r="I433" s="2" t="n">
        <v>0</v>
      </c>
      <c r="J433" t="n">
        <v>0</v>
      </c>
      <c r="K433" s="3" t="n">
        <v>0</v>
      </c>
      <c r="L433" t="inlineStr">
        <is>
          <t>flat</t>
        </is>
      </c>
      <c r="M433" s="4" t="n">
        <v>0</v>
      </c>
      <c r="N433" t="inlineStr">
        <is>
          <t>Solio</t>
        </is>
      </c>
      <c r="O433" s="5" t="n">
        <v>85</v>
      </c>
      <c r="P433" t="b">
        <v>0</v>
      </c>
      <c r="Q433" s="5">
        <f>IF(N(O433)&lt;=0,0,MIN(Assumptions!$B$15,N(M433)/N(O433)))</f>
        <v/>
      </c>
      <c r="R433" s="4" t="n">
        <v>0.218</v>
      </c>
      <c r="S433" s="3" t="n"/>
      <c r="T433" t="inlineStr"/>
      <c r="U433" s="3" t="n">
        <v>1</v>
      </c>
      <c r="V433" s="3" t="n"/>
      <c r="W433" s="3" t="n"/>
      <c r="X433" s="3" t="n"/>
      <c r="Y433" s="3" t="n"/>
      <c r="Z433" s="3" t="n">
        <v>0</v>
      </c>
      <c r="AA433" s="3" t="n"/>
      <c r="AB433" s="3" t="n">
        <v>0</v>
      </c>
      <c r="AC433" s="3" t="n">
        <v>3.0611</v>
      </c>
      <c r="AD433" s="3" t="n">
        <v>1.5875</v>
      </c>
      <c r="AE433" s="3" t="n">
        <v>-0.2160434166173144</v>
      </c>
      <c r="AF433" s="4" t="n">
        <v>0</v>
      </c>
      <c r="AG433" s="3" t="n">
        <v>0</v>
      </c>
      <c r="AH433" s="3" t="n">
        <v>0</v>
      </c>
      <c r="AI433" s="3" t="n">
        <v>0</v>
      </c>
      <c r="AJ433" s="3">
        <f>N(R433)*N(BC433)</f>
        <v/>
      </c>
      <c r="AK433" s="3" t="n">
        <v>0</v>
      </c>
      <c r="AL433" s="3" t="n">
        <v>0</v>
      </c>
      <c r="AM433" s="3" t="n">
        <v>-0</v>
      </c>
      <c r="AN433" s="3" t="n">
        <v>-0.2160434166173144</v>
      </c>
      <c r="AO433" s="3">
        <f>SUM(AH433:AN433)</f>
        <v/>
      </c>
      <c r="AP433" s="5">
        <f>IF(OR(N(Q433)&lt;=0,N(BA433)=0),0,N(Q433)*IF(N(M433)/N(Q433)&gt;=60,N(BA433),1))</f>
        <v/>
      </c>
      <c r="AQ433" s="5">
        <f>N(Q433)*N(Z433)*N(BB433)</f>
        <v/>
      </c>
      <c r="AR433" s="5">
        <f>N(AF433)*(Assumptions!$B$13*N(BD433)-(1-Assumptions!$B$13)*Assumptions!$B$14)+N(AG433)</f>
        <v/>
      </c>
      <c r="AS433" s="5">
        <f>N(AO433)*N(M433)/90+N(AP433)+N(AQ433)+N(AR433)</f>
        <v/>
      </c>
      <c r="AT433" s="3">
        <f>IF(N(M433)&lt;=0,0,(N(AS433)-N(AR433))*90/N(M433))</f>
        <v/>
      </c>
      <c r="AU433" s="5">
        <f>IFERROR(AS433-VLOOKUP($C433,Assumptions!$A$36:$C$39,3,FALSE),"")</f>
        <v/>
      </c>
      <c r="AV433" s="3">
        <f>IFERROR(AU433/F433,"")</f>
        <v/>
      </c>
      <c r="AW433">
        <f>IF(AND($E433=TRUE,$C433="GKP"),AS433,"")</f>
        <v/>
      </c>
      <c r="AX433">
        <f>IF(AND($E433=TRUE,$C433="DEF"),AS433,"")</f>
        <v/>
      </c>
      <c r="AY433">
        <f>IF(AND($E433=TRUE,$C433="MID"),AS433,"")</f>
        <v/>
      </c>
      <c r="AZ433">
        <f>IF(AND($E433=TRUE,$C433="FWD"),AS433,"")</f>
        <v/>
      </c>
      <c r="BA433" t="n">
        <v>2</v>
      </c>
      <c r="BB433" t="n">
        <v>2</v>
      </c>
      <c r="BC433" t="n">
        <v>1</v>
      </c>
      <c r="BD433" t="n">
        <v>5</v>
      </c>
    </row>
    <row r="434">
      <c r="A434" t="inlineStr">
        <is>
          <t>Dejan Kulusevski</t>
        </is>
      </c>
      <c r="B434" t="inlineStr">
        <is>
          <t>TOT</t>
        </is>
      </c>
      <c r="C434" t="inlineStr">
        <is>
          <t>MID</t>
        </is>
      </c>
      <c r="D434" t="inlineStr">
        <is>
          <t>MID</t>
        </is>
      </c>
      <c r="E434" t="b">
        <v>1</v>
      </c>
      <c r="F434" s="2" t="n">
        <v>6.5</v>
      </c>
      <c r="G434" t="inlineStr">
        <is>
          <t>i</t>
        </is>
      </c>
      <c r="H434" t="inlineStr">
        <is>
          <t>Knee injury - Unknown return date</t>
        </is>
      </c>
      <c r="I434" s="2" t="n">
        <v>0</v>
      </c>
      <c r="J434" t="n">
        <v>0</v>
      </c>
      <c r="K434" s="3" t="n">
        <v>280</v>
      </c>
      <c r="L434" t="inlineStr">
        <is>
          <t>flat</t>
        </is>
      </c>
      <c r="M434" s="4" t="n">
        <v>280</v>
      </c>
      <c r="N434" t="inlineStr">
        <is>
          <t>Solio</t>
        </is>
      </c>
      <c r="O434" s="5" t="n">
        <v>85</v>
      </c>
      <c r="P434" t="b">
        <v>0</v>
      </c>
      <c r="Q434" s="5">
        <f>IF(N(O434)&lt;=0,0,MIN(Assumptions!$B$15,N(M434)/N(O434)))</f>
        <v/>
      </c>
      <c r="R434" s="4" t="n">
        <v>0.286</v>
      </c>
      <c r="S434" s="3" t="n"/>
      <c r="T434" t="inlineStr"/>
      <c r="U434" s="3" t="n">
        <v>1</v>
      </c>
      <c r="V434" s="3" t="n"/>
      <c r="W434" s="3" t="n"/>
      <c r="X434" s="3" t="n"/>
      <c r="Y434" s="3" t="n"/>
      <c r="Z434" s="3" t="n">
        <v>0</v>
      </c>
      <c r="AA434" s="3" t="n"/>
      <c r="AB434" s="3" t="n">
        <v>0</v>
      </c>
      <c r="AC434" s="3" t="n">
        <v>2.5739</v>
      </c>
      <c r="AD434" s="3" t="n">
        <v>1.3096</v>
      </c>
      <c r="AE434" s="3" t="n">
        <v>-0.1930154106061087</v>
      </c>
      <c r="AF434" s="4" t="n">
        <v>0</v>
      </c>
      <c r="AG434" s="3" t="n">
        <v>0</v>
      </c>
      <c r="AH434" s="3" t="n">
        <v>0</v>
      </c>
      <c r="AI434" s="3" t="n">
        <v>0</v>
      </c>
      <c r="AJ434" s="3">
        <f>N(R434)*N(BC434)</f>
        <v/>
      </c>
      <c r="AK434" s="3" t="n">
        <v>0</v>
      </c>
      <c r="AL434" s="3" t="n">
        <v>0</v>
      </c>
      <c r="AM434" s="3" t="n">
        <v>-0</v>
      </c>
      <c r="AN434" s="3" t="n">
        <v>-0.1930154106061087</v>
      </c>
      <c r="AO434" s="3">
        <f>SUM(AH434:AN434)</f>
        <v/>
      </c>
      <c r="AP434" s="5">
        <f>IF(OR(N(Q434)&lt;=0,N(BA434)=0),0,N(Q434)*IF(N(M434)/N(Q434)&gt;=60,N(BA434),1))</f>
        <v/>
      </c>
      <c r="AQ434" s="5">
        <f>N(Q434)*N(Z434)*N(BB434)</f>
        <v/>
      </c>
      <c r="AR434" s="5">
        <f>N(AF434)*(Assumptions!$B$13*N(BD434)-(1-Assumptions!$B$13)*Assumptions!$B$14)+N(AG434)</f>
        <v/>
      </c>
      <c r="AS434" s="5">
        <f>N(AO434)*N(M434)/90+N(AP434)+N(AQ434)+N(AR434)</f>
        <v/>
      </c>
      <c r="AT434" s="3">
        <f>IF(N(M434)&lt;=0,0,(N(AS434)-N(AR434))*90/N(M434))</f>
        <v/>
      </c>
      <c r="AU434" s="5">
        <f>IFERROR(AS434-VLOOKUP($C434,Assumptions!$A$36:$C$39,3,FALSE),"")</f>
        <v/>
      </c>
      <c r="AV434" s="3">
        <f>IFERROR(AU434/F434,"")</f>
        <v/>
      </c>
      <c r="AW434">
        <f>IF(AND($E434=TRUE,$C434="GKP"),AS434,"")</f>
        <v/>
      </c>
      <c r="AX434">
        <f>IF(AND($E434=TRUE,$C434="DEF"),AS434,"")</f>
        <v/>
      </c>
      <c r="AY434">
        <f>IF(AND($E434=TRUE,$C434="MID"),AS434,"")</f>
        <v/>
      </c>
      <c r="AZ434">
        <f>IF(AND($E434=TRUE,$C434="FWD"),AS434,"")</f>
        <v/>
      </c>
      <c r="BA434" t="n">
        <v>2</v>
      </c>
      <c r="BB434" t="n">
        <v>2</v>
      </c>
      <c r="BC434" t="n">
        <v>1</v>
      </c>
      <c r="BD434" t="n">
        <v>5</v>
      </c>
    </row>
    <row r="435">
      <c r="A435" t="inlineStr">
        <is>
          <t>James McConnell</t>
        </is>
      </c>
      <c r="B435" t="inlineStr">
        <is>
          <t>LIV</t>
        </is>
      </c>
      <c r="C435" t="inlineStr">
        <is>
          <t>MID</t>
        </is>
      </c>
      <c r="D435" t="inlineStr">
        <is>
          <t>MID</t>
        </is>
      </c>
      <c r="E435" t="b">
        <v>1</v>
      </c>
      <c r="F435" s="2" t="n">
        <v>4.5</v>
      </c>
      <c r="G435" t="inlineStr">
        <is>
          <t>a</t>
        </is>
      </c>
      <c r="I435" s="2" t="n">
        <v>0</v>
      </c>
      <c r="J435" t="n">
        <v>0</v>
      </c>
      <c r="K435" s="3" t="n">
        <v>0</v>
      </c>
      <c r="L435" t="inlineStr">
        <is>
          <t>flat</t>
        </is>
      </c>
      <c r="M435" s="4" t="n">
        <v>0</v>
      </c>
      <c r="N435" t="inlineStr">
        <is>
          <t>Solio</t>
        </is>
      </c>
      <c r="O435" s="5" t="n">
        <v>85</v>
      </c>
      <c r="P435" t="b">
        <v>0</v>
      </c>
      <c r="Q435" s="5">
        <f>IF(N(O435)&lt;=0,0,MIN(Assumptions!$B$15,N(M435)/N(O435)))</f>
        <v/>
      </c>
      <c r="R435" s="4" t="n">
        <v>0.342</v>
      </c>
      <c r="S435" s="3" t="n"/>
      <c r="T435" t="inlineStr"/>
      <c r="U435" s="3" t="n">
        <v>1</v>
      </c>
      <c r="V435" s="3" t="n"/>
      <c r="W435" s="3" t="n"/>
      <c r="X435" s="3" t="n"/>
      <c r="Y435" s="3" t="n"/>
      <c r="Z435" s="3" t="n">
        <v>0</v>
      </c>
      <c r="AA435" s="3" t="n"/>
      <c r="AB435" s="3" t="n">
        <v>0</v>
      </c>
      <c r="AC435" s="3" t="n">
        <v>2.409</v>
      </c>
      <c r="AD435" s="3" t="n">
        <v>1.1228</v>
      </c>
      <c r="AE435" s="3" t="n">
        <v>-0.2158773810658242</v>
      </c>
      <c r="AF435" s="4" t="n">
        <v>0</v>
      </c>
      <c r="AG435" s="3" t="n">
        <v>0</v>
      </c>
      <c r="AH435" s="3" t="n">
        <v>0</v>
      </c>
      <c r="AI435" s="3" t="n">
        <v>0</v>
      </c>
      <c r="AJ435" s="3">
        <f>N(R435)*N(BC435)</f>
        <v/>
      </c>
      <c r="AK435" s="3" t="n">
        <v>0</v>
      </c>
      <c r="AL435" s="3" t="n">
        <v>0</v>
      </c>
      <c r="AM435" s="3" t="n">
        <v>-0</v>
      </c>
      <c r="AN435" s="3" t="n">
        <v>-0.2158773810658242</v>
      </c>
      <c r="AO435" s="3">
        <f>SUM(AH435:AN435)</f>
        <v/>
      </c>
      <c r="AP435" s="5">
        <f>IF(OR(N(Q435)&lt;=0,N(BA435)=0),0,N(Q435)*IF(N(M435)/N(Q435)&gt;=60,N(BA435),1))</f>
        <v/>
      </c>
      <c r="AQ435" s="5">
        <f>N(Q435)*N(Z435)*N(BB435)</f>
        <v/>
      </c>
      <c r="AR435" s="5">
        <f>N(AF435)*(Assumptions!$B$13*N(BD435)-(1-Assumptions!$B$13)*Assumptions!$B$14)+N(AG435)</f>
        <v/>
      </c>
      <c r="AS435" s="5">
        <f>N(AO435)*N(M435)/90+N(AP435)+N(AQ435)+N(AR435)</f>
        <v/>
      </c>
      <c r="AT435" s="3">
        <f>IF(N(M435)&lt;=0,0,(N(AS435)-N(AR435))*90/N(M435))</f>
        <v/>
      </c>
      <c r="AU435" s="5">
        <f>IFERROR(AS435-VLOOKUP($C435,Assumptions!$A$36:$C$39,3,FALSE),"")</f>
        <v/>
      </c>
      <c r="AV435" s="3">
        <f>IFERROR(AU435/F435,"")</f>
        <v/>
      </c>
      <c r="AW435">
        <f>IF(AND($E435=TRUE,$C435="GKP"),AS435,"")</f>
        <v/>
      </c>
      <c r="AX435">
        <f>IF(AND($E435=TRUE,$C435="DEF"),AS435,"")</f>
        <v/>
      </c>
      <c r="AY435">
        <f>IF(AND($E435=TRUE,$C435="MID"),AS435,"")</f>
        <v/>
      </c>
      <c r="AZ435">
        <f>IF(AND($E435=TRUE,$C435="FWD"),AS435,"")</f>
        <v/>
      </c>
      <c r="BA435" t="n">
        <v>2</v>
      </c>
      <c r="BB435" t="n">
        <v>2</v>
      </c>
      <c r="BC435" t="n">
        <v>1</v>
      </c>
      <c r="BD435" t="n">
        <v>5</v>
      </c>
    </row>
    <row r="436">
      <c r="A436" t="inlineStr">
        <is>
          <t>Matheus França de Oliveira</t>
        </is>
      </c>
      <c r="B436" t="inlineStr">
        <is>
          <t>CRY</t>
        </is>
      </c>
      <c r="C436" t="inlineStr">
        <is>
          <t>MID</t>
        </is>
      </c>
      <c r="D436" t="inlineStr">
        <is>
          <t>MID</t>
        </is>
      </c>
      <c r="E436" t="b">
        <v>1</v>
      </c>
      <c r="F436" s="2" t="n">
        <v>5</v>
      </c>
      <c r="G436" t="inlineStr">
        <is>
          <t>a</t>
        </is>
      </c>
      <c r="I436" s="2" t="n">
        <v>0</v>
      </c>
      <c r="J436" t="n">
        <v>0</v>
      </c>
      <c r="K436" s="3" t="n">
        <v>0</v>
      </c>
      <c r="L436" t="inlineStr">
        <is>
          <t>flat</t>
        </is>
      </c>
      <c r="M436" s="4" t="n">
        <v>0</v>
      </c>
      <c r="N436" t="inlineStr">
        <is>
          <t>Solio</t>
        </is>
      </c>
      <c r="O436" s="5" t="n">
        <v>85</v>
      </c>
      <c r="P436" t="b">
        <v>0</v>
      </c>
      <c r="Q436" s="5">
        <f>IF(N(O436)&lt;=0,0,MIN(Assumptions!$B$15,N(M436)/N(O436)))</f>
        <v/>
      </c>
      <c r="R436" s="4" t="n">
        <v>0.216</v>
      </c>
      <c r="S436" s="3" t="n"/>
      <c r="T436" t="inlineStr"/>
      <c r="U436" s="3" t="n">
        <v>1</v>
      </c>
      <c r="V436" s="3" t="n"/>
      <c r="W436" s="3" t="n"/>
      <c r="X436" s="3" t="n"/>
      <c r="Y436" s="3" t="n"/>
      <c r="Z436" s="3" t="n">
        <v>0</v>
      </c>
      <c r="AA436" s="3" t="n"/>
      <c r="AB436" s="3" t="n">
        <v>0</v>
      </c>
      <c r="AC436" s="3" t="n">
        <v>3.2035</v>
      </c>
      <c r="AD436" s="3" t="n">
        <v>1.5923</v>
      </c>
      <c r="AE436" s="3" t="n">
        <v>-0.2236750346089582</v>
      </c>
      <c r="AF436" s="4" t="n">
        <v>0</v>
      </c>
      <c r="AG436" s="3" t="n">
        <v>0</v>
      </c>
      <c r="AH436" s="3" t="n">
        <v>0</v>
      </c>
      <c r="AI436" s="3" t="n">
        <v>0</v>
      </c>
      <c r="AJ436" s="3">
        <f>N(R436)*N(BC436)</f>
        <v/>
      </c>
      <c r="AK436" s="3" t="n">
        <v>0</v>
      </c>
      <c r="AL436" s="3" t="n">
        <v>0</v>
      </c>
      <c r="AM436" s="3" t="n">
        <v>-0</v>
      </c>
      <c r="AN436" s="3" t="n">
        <v>-0.2236750346089582</v>
      </c>
      <c r="AO436" s="3">
        <f>SUM(AH436:AN436)</f>
        <v/>
      </c>
      <c r="AP436" s="5">
        <f>IF(OR(N(Q436)&lt;=0,N(BA436)=0),0,N(Q436)*IF(N(M436)/N(Q436)&gt;=60,N(BA436),1))</f>
        <v/>
      </c>
      <c r="AQ436" s="5">
        <f>N(Q436)*N(Z436)*N(BB436)</f>
        <v/>
      </c>
      <c r="AR436" s="5">
        <f>N(AF436)*(Assumptions!$B$13*N(BD436)-(1-Assumptions!$B$13)*Assumptions!$B$14)+N(AG436)</f>
        <v/>
      </c>
      <c r="AS436" s="5">
        <f>N(AO436)*N(M436)/90+N(AP436)+N(AQ436)+N(AR436)</f>
        <v/>
      </c>
      <c r="AT436" s="3">
        <f>IF(N(M436)&lt;=0,0,(N(AS436)-N(AR436))*90/N(M436))</f>
        <v/>
      </c>
      <c r="AU436" s="5">
        <f>IFERROR(AS436-VLOOKUP($C436,Assumptions!$A$36:$C$39,3,FALSE),"")</f>
        <v/>
      </c>
      <c r="AV436" s="3">
        <f>IFERROR(AU436/F436,"")</f>
        <v/>
      </c>
      <c r="AW436">
        <f>IF(AND($E436=TRUE,$C436="GKP"),AS436,"")</f>
        <v/>
      </c>
      <c r="AX436">
        <f>IF(AND($E436=TRUE,$C436="DEF"),AS436,"")</f>
        <v/>
      </c>
      <c r="AY436">
        <f>IF(AND($E436=TRUE,$C436="MID"),AS436,"")</f>
        <v/>
      </c>
      <c r="AZ436">
        <f>IF(AND($E436=TRUE,$C436="FWD"),AS436,"")</f>
        <v/>
      </c>
      <c r="BA436" t="n">
        <v>2</v>
      </c>
      <c r="BB436" t="n">
        <v>2</v>
      </c>
      <c r="BC436" t="n">
        <v>1</v>
      </c>
      <c r="BD436" t="n">
        <v>5</v>
      </c>
    </row>
    <row r="437">
      <c r="A437" t="inlineStr">
        <is>
          <t>Stefan Bajčetić Maquieira</t>
        </is>
      </c>
      <c r="B437" t="inlineStr">
        <is>
          <t>LIV</t>
        </is>
      </c>
      <c r="C437" t="inlineStr">
        <is>
          <t>MID</t>
        </is>
      </c>
      <c r="D437" t="inlineStr">
        <is>
          <t>MID</t>
        </is>
      </c>
      <c r="E437" t="b">
        <v>1</v>
      </c>
      <c r="F437" s="2" t="n">
        <v>5</v>
      </c>
      <c r="G437" t="inlineStr">
        <is>
          <t>i</t>
        </is>
      </c>
      <c r="H437" t="inlineStr">
        <is>
          <t>Hamstring injury - Expected back 23 Aug</t>
        </is>
      </c>
      <c r="I437" s="2" t="n">
        <v>0</v>
      </c>
      <c r="J437" t="n">
        <v>0</v>
      </c>
      <c r="K437" s="3" t="n">
        <v>0</v>
      </c>
      <c r="L437" t="inlineStr">
        <is>
          <t>flat</t>
        </is>
      </c>
      <c r="M437" s="4" t="n">
        <v>0</v>
      </c>
      <c r="N437" t="inlineStr">
        <is>
          <t>Solio</t>
        </is>
      </c>
      <c r="O437" s="5" t="n">
        <v>85</v>
      </c>
      <c r="P437" t="b">
        <v>0</v>
      </c>
      <c r="Q437" s="5">
        <f>IF(N(O437)&lt;=0,0,MIN(Assumptions!$B$15,N(M437)/N(O437)))</f>
        <v/>
      </c>
      <c r="R437" s="4" t="n">
        <v>0.342</v>
      </c>
      <c r="S437" s="3" t="n"/>
      <c r="T437" t="inlineStr"/>
      <c r="U437" s="3" t="n">
        <v>1</v>
      </c>
      <c r="V437" s="3" t="n"/>
      <c r="W437" s="3" t="n"/>
      <c r="X437" s="3" t="n"/>
      <c r="Y437" s="3" t="n"/>
      <c r="Z437" s="3" t="n">
        <v>0</v>
      </c>
      <c r="AA437" s="3" t="n"/>
      <c r="AB437" s="3" t="n">
        <v>0</v>
      </c>
      <c r="AC437" s="3" t="n">
        <v>2.409</v>
      </c>
      <c r="AD437" s="3" t="n">
        <v>1.1228</v>
      </c>
      <c r="AE437" s="3" t="n">
        <v>-0.2146681842218678</v>
      </c>
      <c r="AF437" s="4" t="n">
        <v>0</v>
      </c>
      <c r="AG437" s="3" t="n">
        <v>0</v>
      </c>
      <c r="AH437" s="3" t="n">
        <v>0</v>
      </c>
      <c r="AI437" s="3" t="n">
        <v>0</v>
      </c>
      <c r="AJ437" s="3">
        <f>N(R437)*N(BC437)</f>
        <v/>
      </c>
      <c r="AK437" s="3" t="n">
        <v>0</v>
      </c>
      <c r="AL437" s="3" t="n">
        <v>0</v>
      </c>
      <c r="AM437" s="3" t="n">
        <v>-0</v>
      </c>
      <c r="AN437" s="3" t="n">
        <v>-0.2146681842218678</v>
      </c>
      <c r="AO437" s="3">
        <f>SUM(AH437:AN437)</f>
        <v/>
      </c>
      <c r="AP437" s="5">
        <f>IF(OR(N(Q437)&lt;=0,N(BA437)=0),0,N(Q437)*IF(N(M437)/N(Q437)&gt;=60,N(BA437),1))</f>
        <v/>
      </c>
      <c r="AQ437" s="5">
        <f>N(Q437)*N(Z437)*N(BB437)</f>
        <v/>
      </c>
      <c r="AR437" s="5">
        <f>N(AF437)*(Assumptions!$B$13*N(BD437)-(1-Assumptions!$B$13)*Assumptions!$B$14)+N(AG437)</f>
        <v/>
      </c>
      <c r="AS437" s="5">
        <f>N(AO437)*N(M437)/90+N(AP437)+N(AQ437)+N(AR437)</f>
        <v/>
      </c>
      <c r="AT437" s="3">
        <f>IF(N(M437)&lt;=0,0,(N(AS437)-N(AR437))*90/N(M437))</f>
        <v/>
      </c>
      <c r="AU437" s="5">
        <f>IFERROR(AS437-VLOOKUP($C437,Assumptions!$A$36:$C$39,3,FALSE),"")</f>
        <v/>
      </c>
      <c r="AV437" s="3">
        <f>IFERROR(AU437/F437,"")</f>
        <v/>
      </c>
      <c r="AW437">
        <f>IF(AND($E437=TRUE,$C437="GKP"),AS437,"")</f>
        <v/>
      </c>
      <c r="AX437">
        <f>IF(AND($E437=TRUE,$C437="DEF"),AS437,"")</f>
        <v/>
      </c>
      <c r="AY437">
        <f>IF(AND($E437=TRUE,$C437="MID"),AS437,"")</f>
        <v/>
      </c>
      <c r="AZ437">
        <f>IF(AND($E437=TRUE,$C437="FWD"),AS437,"")</f>
        <v/>
      </c>
      <c r="BA437" t="n">
        <v>2</v>
      </c>
      <c r="BB437" t="n">
        <v>2</v>
      </c>
      <c r="BC437" t="n">
        <v>1</v>
      </c>
      <c r="BD437" t="n">
        <v>5</v>
      </c>
    </row>
    <row r="438">
      <c r="A438" t="inlineStr">
        <is>
          <t>Wellity Lucky</t>
        </is>
      </c>
      <c r="B438" t="inlineStr">
        <is>
          <t>LIV</t>
        </is>
      </c>
      <c r="C438" t="inlineStr">
        <is>
          <t>DEF</t>
        </is>
      </c>
      <c r="D438" t="inlineStr">
        <is>
          <t>DEF</t>
        </is>
      </c>
      <c r="E438" t="b">
        <v>1</v>
      </c>
      <c r="F438" s="2" t="n">
        <v>4</v>
      </c>
      <c r="G438" t="inlineStr">
        <is>
          <t>a</t>
        </is>
      </c>
      <c r="I438" s="2" t="n">
        <v>0</v>
      </c>
      <c r="J438" t="n">
        <v>0</v>
      </c>
      <c r="K438" s="3" t="n">
        <v>0</v>
      </c>
      <c r="L438" t="inlineStr">
        <is>
          <t>flat</t>
        </is>
      </c>
      <c r="M438" s="4" t="n">
        <v>0</v>
      </c>
      <c r="N438" t="inlineStr">
        <is>
          <t>Solio</t>
        </is>
      </c>
      <c r="O438" s="5" t="n">
        <v>85</v>
      </c>
      <c r="P438" t="b">
        <v>0</v>
      </c>
      <c r="Q438" s="5">
        <f>IF(N(O438)&lt;=0,0,MIN(Assumptions!$B$15,N(M438)/N(O438)))</f>
        <v/>
      </c>
      <c r="R438" s="4" t="n">
        <v>0.342</v>
      </c>
      <c r="S438" s="3" t="n"/>
      <c r="T438" t="inlineStr"/>
      <c r="U438" s="3" t="n">
        <v>1</v>
      </c>
      <c r="V438" s="3" t="n"/>
      <c r="W438" s="3" t="n"/>
      <c r="X438" s="3" t="n"/>
      <c r="Y438" s="3" t="n"/>
      <c r="Z438" s="3" t="n">
        <v>0</v>
      </c>
      <c r="AA438" s="3" t="n"/>
      <c r="AB438" s="3" t="n">
        <v>0</v>
      </c>
      <c r="AC438" s="3" t="n">
        <v>2.409</v>
      </c>
      <c r="AD438" s="3" t="n">
        <v>1.1228</v>
      </c>
      <c r="AE438" s="3" t="n">
        <v>-0.2045226422080557</v>
      </c>
      <c r="AF438" s="4" t="n">
        <v>0</v>
      </c>
      <c r="AG438" s="3" t="n">
        <v>0</v>
      </c>
      <c r="AH438" s="3" t="n">
        <v>0</v>
      </c>
      <c r="AI438" s="3" t="n">
        <v>0</v>
      </c>
      <c r="AJ438" s="3">
        <f>N(R438)*N(BC438)</f>
        <v/>
      </c>
      <c r="AK438" s="3" t="n">
        <v>0</v>
      </c>
      <c r="AL438" s="3" t="n">
        <v>0</v>
      </c>
      <c r="AM438" s="3" t="n">
        <v>-0.3378660007281162</v>
      </c>
      <c r="AN438" s="3" t="n">
        <v>-0.2045226422080557</v>
      </c>
      <c r="AO438" s="3">
        <f>SUM(AH438:AN438)</f>
        <v/>
      </c>
      <c r="AP438" s="5">
        <f>IF(OR(N(Q438)&lt;=0,N(BA438)=0),0,N(Q438)*IF(N(M438)/N(Q438)&gt;=60,N(BA438),1))</f>
        <v/>
      </c>
      <c r="AQ438" s="5">
        <f>N(Q438)*N(Z438)*N(BB438)</f>
        <v/>
      </c>
      <c r="AR438" s="5">
        <f>N(AF438)*(Assumptions!$B$13*N(BD438)-(1-Assumptions!$B$13)*Assumptions!$B$14)+N(AG438)</f>
        <v/>
      </c>
      <c r="AS438" s="5">
        <f>N(AO438)*N(M438)/90+N(AP438)+N(AQ438)+N(AR438)</f>
        <v/>
      </c>
      <c r="AT438" s="3">
        <f>IF(N(M438)&lt;=0,0,(N(AS438)-N(AR438))*90/N(M438))</f>
        <v/>
      </c>
      <c r="AU438" s="5">
        <f>IFERROR(AS438-VLOOKUP($C438,Assumptions!$A$36:$C$39,3,FALSE),"")</f>
        <v/>
      </c>
      <c r="AV438" s="3">
        <f>IFERROR(AU438/F438,"")</f>
        <v/>
      </c>
      <c r="AW438">
        <f>IF(AND($E438=TRUE,$C438="GKP"),AS438,"")</f>
        <v/>
      </c>
      <c r="AX438">
        <f>IF(AND($E438=TRUE,$C438="DEF"),AS438,"")</f>
        <v/>
      </c>
      <c r="AY438">
        <f>IF(AND($E438=TRUE,$C438="MID"),AS438,"")</f>
        <v/>
      </c>
      <c r="AZ438">
        <f>IF(AND($E438=TRUE,$C438="FWD"),AS438,"")</f>
        <v/>
      </c>
      <c r="BA438" t="n">
        <v>2</v>
      </c>
      <c r="BB438" t="n">
        <v>2</v>
      </c>
      <c r="BC438" t="n">
        <v>4</v>
      </c>
      <c r="BD438" t="n">
        <v>6</v>
      </c>
    </row>
    <row r="439">
      <c r="A439" t="inlineStr">
        <is>
          <t>Nicolas Jackson</t>
        </is>
      </c>
      <c r="B439" t="inlineStr">
        <is>
          <t>CHE</t>
        </is>
      </c>
      <c r="C439" t="inlineStr">
        <is>
          <t>FWD</t>
        </is>
      </c>
      <c r="D439" t="inlineStr">
        <is>
          <t>FWD</t>
        </is>
      </c>
      <c r="E439" t="b">
        <v>1</v>
      </c>
      <c r="F439" s="2" t="n">
        <v>6.5</v>
      </c>
      <c r="G439" t="inlineStr">
        <is>
          <t>a</t>
        </is>
      </c>
      <c r="I439" s="2" t="n">
        <v>0</v>
      </c>
      <c r="J439" t="n">
        <v>0</v>
      </c>
      <c r="K439" s="3" t="n">
        <v>10</v>
      </c>
      <c r="L439" t="inlineStr">
        <is>
          <t>flat</t>
        </is>
      </c>
      <c r="M439" s="4" t="n">
        <v>10</v>
      </c>
      <c r="N439" t="inlineStr">
        <is>
          <t>Solio</t>
        </is>
      </c>
      <c r="O439" s="5" t="n">
        <v>85</v>
      </c>
      <c r="P439" t="b">
        <v>0</v>
      </c>
      <c r="Q439" s="5">
        <f>IF(N(O439)&lt;=0,0,MIN(Assumptions!$B$15,N(M439)/N(O439)))</f>
        <v/>
      </c>
      <c r="R439" s="4" t="n">
        <v>0.322</v>
      </c>
      <c r="S439" s="3" t="n"/>
      <c r="T439" t="inlineStr"/>
      <c r="U439" s="3" t="n">
        <v>1</v>
      </c>
      <c r="V439" s="3" t="n"/>
      <c r="W439" s="3" t="n"/>
      <c r="X439" s="3" t="n"/>
      <c r="Y439" s="3" t="n"/>
      <c r="Z439" s="3" t="n">
        <v>0</v>
      </c>
      <c r="AA439" s="3" t="n"/>
      <c r="AB439" s="3" t="n">
        <v>0</v>
      </c>
      <c r="AC439" s="3" t="n">
        <v>2.4232</v>
      </c>
      <c r="AD439" s="3" t="n">
        <v>1.1851</v>
      </c>
      <c r="AE439" s="3" t="n">
        <v>-0.2615526627267724</v>
      </c>
      <c r="AF439" s="4" t="n">
        <v>0</v>
      </c>
      <c r="AG439" s="3" t="n">
        <v>0</v>
      </c>
      <c r="AH439" s="3" t="n">
        <v>0</v>
      </c>
      <c r="AI439" s="3" t="n">
        <v>0</v>
      </c>
      <c r="AJ439" s="3">
        <f>N(R439)*N(BC439)</f>
        <v/>
      </c>
      <c r="AK439" s="3" t="n">
        <v>0</v>
      </c>
      <c r="AL439" s="3" t="n">
        <v>0</v>
      </c>
      <c r="AM439" s="3" t="n">
        <v>-0</v>
      </c>
      <c r="AN439" s="3" t="n">
        <v>-0.2615526627267724</v>
      </c>
      <c r="AO439" s="3">
        <f>SUM(AH439:AN439)</f>
        <v/>
      </c>
      <c r="AP439" s="5">
        <f>IF(OR(N(Q439)&lt;=0,N(BA439)=0),0,N(Q439)*IF(N(M439)/N(Q439)&gt;=60,N(BA439),1))</f>
        <v/>
      </c>
      <c r="AQ439" s="5">
        <f>N(Q439)*N(Z439)*N(BB439)</f>
        <v/>
      </c>
      <c r="AR439" s="5">
        <f>N(AF439)*(Assumptions!$B$13*N(BD439)-(1-Assumptions!$B$13)*Assumptions!$B$14)+N(AG439)</f>
        <v/>
      </c>
      <c r="AS439" s="5">
        <f>N(AO439)*N(M439)/90+N(AP439)+N(AQ439)+N(AR439)</f>
        <v/>
      </c>
      <c r="AT439" s="3">
        <f>IF(N(M439)&lt;=0,0,(N(AS439)-N(AR439))*90/N(M439))</f>
        <v/>
      </c>
      <c r="AU439" s="5">
        <f>IFERROR(AS439-VLOOKUP($C439,Assumptions!$A$36:$C$39,3,FALSE),"")</f>
        <v/>
      </c>
      <c r="AV439" s="3">
        <f>IFERROR(AU439/F439,"")</f>
        <v/>
      </c>
      <c r="AW439">
        <f>IF(AND($E439=TRUE,$C439="GKP"),AS439,"")</f>
        <v/>
      </c>
      <c r="AX439">
        <f>IF(AND($E439=TRUE,$C439="DEF"),AS439,"")</f>
        <v/>
      </c>
      <c r="AY439">
        <f>IF(AND($E439=TRUE,$C439="MID"),AS439,"")</f>
        <v/>
      </c>
      <c r="AZ439">
        <f>IF(AND($E439=TRUE,$C439="FWD"),AS439,"")</f>
        <v/>
      </c>
      <c r="BA439" t="n">
        <v>2</v>
      </c>
      <c r="BB439" t="n">
        <v>2</v>
      </c>
      <c r="BC439" t="n">
        <v>0</v>
      </c>
      <c r="BD439" t="n">
        <v>4</v>
      </c>
    </row>
    <row r="440">
      <c r="A440" t="inlineStr">
        <is>
          <t>Mateo Joseph Fernández-Regatillo</t>
        </is>
      </c>
      <c r="B440" t="inlineStr">
        <is>
          <t>LEE</t>
        </is>
      </c>
      <c r="C440" t="inlineStr">
        <is>
          <t>FWD</t>
        </is>
      </c>
      <c r="D440" t="inlineStr">
        <is>
          <t>FWD</t>
        </is>
      </c>
      <c r="E440" t="b">
        <v>1</v>
      </c>
      <c r="F440" s="2" t="n">
        <v>4.5</v>
      </c>
      <c r="G440" t="inlineStr">
        <is>
          <t>i</t>
        </is>
      </c>
      <c r="H440" t="inlineStr">
        <is>
          <t>Knee injury - Unknown return date</t>
        </is>
      </c>
      <c r="I440" s="2" t="n">
        <v>0</v>
      </c>
      <c r="J440" t="n">
        <v>0</v>
      </c>
      <c r="K440" s="3" t="n">
        <v>0</v>
      </c>
      <c r="L440" t="inlineStr">
        <is>
          <t>flat</t>
        </is>
      </c>
      <c r="M440" s="4" t="n">
        <v>0</v>
      </c>
      <c r="N440" t="inlineStr">
        <is>
          <t>Solio</t>
        </is>
      </c>
      <c r="O440" s="5" t="n">
        <v>85</v>
      </c>
      <c r="P440" t="b">
        <v>0</v>
      </c>
      <c r="Q440" s="5">
        <f>IF(N(O440)&lt;=0,0,MIN(Assumptions!$B$15,N(M440)/N(O440)))</f>
        <v/>
      </c>
      <c r="R440" s="4" t="n">
        <v>0.218</v>
      </c>
      <c r="S440" s="3" t="n"/>
      <c r="T440" t="inlineStr"/>
      <c r="U440" s="3" t="n">
        <v>1</v>
      </c>
      <c r="V440" s="3" t="n"/>
      <c r="W440" s="3" t="n"/>
      <c r="X440" s="3" t="n"/>
      <c r="Y440" s="3" t="n"/>
      <c r="Z440" s="3" t="n">
        <v>0</v>
      </c>
      <c r="AA440" s="3" t="n"/>
      <c r="AB440" s="3" t="n">
        <v>0</v>
      </c>
      <c r="AC440" s="3" t="n">
        <v>3.0611</v>
      </c>
      <c r="AD440" s="3" t="n">
        <v>1.5875</v>
      </c>
      <c r="AE440" s="3" t="n">
        <v>-0.174691292596322</v>
      </c>
      <c r="AF440" s="4" t="n">
        <v>0</v>
      </c>
      <c r="AG440" s="3" t="n">
        <v>0</v>
      </c>
      <c r="AH440" s="3" t="n">
        <v>0</v>
      </c>
      <c r="AI440" s="3" t="n">
        <v>0</v>
      </c>
      <c r="AJ440" s="3">
        <f>N(R440)*N(BC440)</f>
        <v/>
      </c>
      <c r="AK440" s="3" t="n">
        <v>0</v>
      </c>
      <c r="AL440" s="3" t="n">
        <v>0</v>
      </c>
      <c r="AM440" s="3" t="n">
        <v>-0</v>
      </c>
      <c r="AN440" s="3" t="n">
        <v>-0.174691292596322</v>
      </c>
      <c r="AO440" s="3">
        <f>SUM(AH440:AN440)</f>
        <v/>
      </c>
      <c r="AP440" s="5">
        <f>IF(OR(N(Q440)&lt;=0,N(BA440)=0),0,N(Q440)*IF(N(M440)/N(Q440)&gt;=60,N(BA440),1))</f>
        <v/>
      </c>
      <c r="AQ440" s="5">
        <f>N(Q440)*N(Z440)*N(BB440)</f>
        <v/>
      </c>
      <c r="AR440" s="5">
        <f>N(AF440)*(Assumptions!$B$13*N(BD440)-(1-Assumptions!$B$13)*Assumptions!$B$14)+N(AG440)</f>
        <v/>
      </c>
      <c r="AS440" s="5">
        <f>N(AO440)*N(M440)/90+N(AP440)+N(AQ440)+N(AR440)</f>
        <v/>
      </c>
      <c r="AT440" s="3">
        <f>IF(N(M440)&lt;=0,0,(N(AS440)-N(AR440))*90/N(M440))</f>
        <v/>
      </c>
      <c r="AU440" s="5">
        <f>IFERROR(AS440-VLOOKUP($C440,Assumptions!$A$36:$C$39,3,FALSE),"")</f>
        <v/>
      </c>
      <c r="AV440" s="3">
        <f>IFERROR(AU440/F440,"")</f>
        <v/>
      </c>
      <c r="AW440">
        <f>IF(AND($E440=TRUE,$C440="GKP"),AS440,"")</f>
        <v/>
      </c>
      <c r="AX440">
        <f>IF(AND($E440=TRUE,$C440="DEF"),AS440,"")</f>
        <v/>
      </c>
      <c r="AY440">
        <f>IF(AND($E440=TRUE,$C440="MID"),AS440,"")</f>
        <v/>
      </c>
      <c r="AZ440">
        <f>IF(AND($E440=TRUE,$C440="FWD"),AS440,"")</f>
        <v/>
      </c>
      <c r="BA440" t="n">
        <v>2</v>
      </c>
      <c r="BB440" t="n">
        <v>2</v>
      </c>
      <c r="BC440" t="n">
        <v>0</v>
      </c>
      <c r="BD440" t="n">
        <v>4</v>
      </c>
    </row>
    <row r="441">
      <c r="A441" t="inlineStr">
        <is>
          <t>Kim Ji-soo</t>
        </is>
      </c>
      <c r="B441" t="inlineStr">
        <is>
          <t>BRE</t>
        </is>
      </c>
      <c r="C441" t="inlineStr">
        <is>
          <t>DEF</t>
        </is>
      </c>
      <c r="D441" t="inlineStr">
        <is>
          <t>DEF</t>
        </is>
      </c>
      <c r="E441" t="b">
        <v>1</v>
      </c>
      <c r="F441" s="2" t="n">
        <v>4.5</v>
      </c>
      <c r="G441" t="inlineStr">
        <is>
          <t>a</t>
        </is>
      </c>
      <c r="I441" s="2" t="n">
        <v>0</v>
      </c>
      <c r="J441" t="n">
        <v>0</v>
      </c>
      <c r="K441" s="3" t="n">
        <v>0</v>
      </c>
      <c r="L441" t="inlineStr">
        <is>
          <t>flat</t>
        </is>
      </c>
      <c r="M441" s="4" t="n">
        <v>0</v>
      </c>
      <c r="N441" t="inlineStr">
        <is>
          <t>Solio</t>
        </is>
      </c>
      <c r="O441" s="5" t="n">
        <v>85</v>
      </c>
      <c r="P441" t="b">
        <v>0</v>
      </c>
      <c r="Q441" s="5">
        <f>IF(N(O441)&lt;=0,0,MIN(Assumptions!$B$15,N(M441)/N(O441)))</f>
        <v/>
      </c>
      <c r="R441" s="4" t="n">
        <v>0.228</v>
      </c>
      <c r="S441" s="3" t="n"/>
      <c r="T441" t="inlineStr"/>
      <c r="U441" s="3" t="n">
        <v>1</v>
      </c>
      <c r="V441" s="3" t="n"/>
      <c r="W441" s="3" t="n"/>
      <c r="X441" s="3" t="n"/>
      <c r="Y441" s="3" t="n"/>
      <c r="Z441" s="3" t="n">
        <v>0</v>
      </c>
      <c r="AA441" s="3" t="n"/>
      <c r="AB441" s="3" t="n">
        <v>0</v>
      </c>
      <c r="AC441" s="3" t="n">
        <v>3.2371</v>
      </c>
      <c r="AD441" s="3" t="n">
        <v>1.5396</v>
      </c>
      <c r="AE441" s="3" t="n">
        <v>-0.2024085315768018</v>
      </c>
      <c r="AF441" s="4" t="n">
        <v>0</v>
      </c>
      <c r="AG441" s="3" t="n">
        <v>0</v>
      </c>
      <c r="AH441" s="3" t="n">
        <v>0</v>
      </c>
      <c r="AI441" s="3" t="n">
        <v>0</v>
      </c>
      <c r="AJ441" s="3">
        <f>N(R441)*N(BC441)</f>
        <v/>
      </c>
      <c r="AK441" s="3" t="n">
        <v>0</v>
      </c>
      <c r="AL441" s="3" t="n">
        <v>0</v>
      </c>
      <c r="AM441" s="3" t="n">
        <v>-0.5312990096912251</v>
      </c>
      <c r="AN441" s="3" t="n">
        <v>-0.2024085315768018</v>
      </c>
      <c r="AO441" s="3">
        <f>SUM(AH441:AN441)</f>
        <v/>
      </c>
      <c r="AP441" s="5">
        <f>IF(OR(N(Q441)&lt;=0,N(BA441)=0),0,N(Q441)*IF(N(M441)/N(Q441)&gt;=60,N(BA441),1))</f>
        <v/>
      </c>
      <c r="AQ441" s="5">
        <f>N(Q441)*N(Z441)*N(BB441)</f>
        <v/>
      </c>
      <c r="AR441" s="5">
        <f>N(AF441)*(Assumptions!$B$13*N(BD441)-(1-Assumptions!$B$13)*Assumptions!$B$14)+N(AG441)</f>
        <v/>
      </c>
      <c r="AS441" s="5">
        <f>N(AO441)*N(M441)/90+N(AP441)+N(AQ441)+N(AR441)</f>
        <v/>
      </c>
      <c r="AT441" s="3">
        <f>IF(N(M441)&lt;=0,0,(N(AS441)-N(AR441))*90/N(M441))</f>
        <v/>
      </c>
      <c r="AU441" s="5">
        <f>IFERROR(AS441-VLOOKUP($C441,Assumptions!$A$36:$C$39,3,FALSE),"")</f>
        <v/>
      </c>
      <c r="AV441" s="3">
        <f>IFERROR(AU441/F441,"")</f>
        <v/>
      </c>
      <c r="AW441">
        <f>IF(AND($E441=TRUE,$C441="GKP"),AS441,"")</f>
        <v/>
      </c>
      <c r="AX441">
        <f>IF(AND($E441=TRUE,$C441="DEF"),AS441,"")</f>
        <v/>
      </c>
      <c r="AY441">
        <f>IF(AND($E441=TRUE,$C441="MID"),AS441,"")</f>
        <v/>
      </c>
      <c r="AZ441">
        <f>IF(AND($E441=TRUE,$C441="FWD"),AS441,"")</f>
        <v/>
      </c>
      <c r="BA441" t="n">
        <v>2</v>
      </c>
      <c r="BB441" t="n">
        <v>2</v>
      </c>
      <c r="BC441" t="n">
        <v>4</v>
      </c>
      <c r="BD441" t="n">
        <v>6</v>
      </c>
    </row>
    <row r="442">
      <c r="A442" t="inlineStr">
        <is>
          <t>Alfie McNally</t>
        </is>
      </c>
      <c r="B442" t="inlineStr">
        <is>
          <t>FUL</t>
        </is>
      </c>
      <c r="C442" t="inlineStr">
        <is>
          <t>GKP</t>
        </is>
      </c>
      <c r="D442" t="inlineStr">
        <is>
          <t>GKP</t>
        </is>
      </c>
      <c r="E442" t="b">
        <v>1</v>
      </c>
      <c r="F442" s="2" t="n">
        <v>4</v>
      </c>
      <c r="G442" t="inlineStr">
        <is>
          <t>a</t>
        </is>
      </c>
      <c r="I442" s="2" t="n">
        <v>0</v>
      </c>
      <c r="J442" t="n">
        <v>0</v>
      </c>
      <c r="K442" s="3" t="n">
        <v>0</v>
      </c>
      <c r="L442" t="inlineStr">
        <is>
          <t>flat</t>
        </is>
      </c>
      <c r="M442" s="4" t="n">
        <v>0</v>
      </c>
      <c r="N442" t="inlineStr">
        <is>
          <t>Solio</t>
        </is>
      </c>
      <c r="O442" s="5" t="n">
        <v>85</v>
      </c>
      <c r="P442" t="b">
        <v>0</v>
      </c>
      <c r="Q442" s="5">
        <f>IF(N(O442)&lt;=0,0,MIN(Assumptions!$B$15,N(M442)/N(O442)))</f>
        <v/>
      </c>
      <c r="R442" s="4" t="n">
        <v>0.214</v>
      </c>
      <c r="S442" s="3" t="n"/>
      <c r="T442" t="inlineStr"/>
      <c r="U442" s="3" t="n">
        <v>1</v>
      </c>
      <c r="V442" s="3" t="n"/>
      <c r="W442" s="3" t="n"/>
      <c r="X442" s="3" t="n"/>
      <c r="Y442" s="3" t="n">
        <v>0</v>
      </c>
      <c r="Z442" s="3" t="n">
        <v>0</v>
      </c>
      <c r="AA442" s="3" t="n"/>
      <c r="AB442" s="3" t="n">
        <v>0</v>
      </c>
      <c r="AC442" s="3" t="n">
        <v>3.22</v>
      </c>
      <c r="AD442" s="3" t="n">
        <v>1.6019</v>
      </c>
      <c r="AE442" s="3" t="n">
        <v>-0.0763216474948735</v>
      </c>
      <c r="AF442" s="4" t="n">
        <v>0</v>
      </c>
      <c r="AG442" s="3" t="n">
        <v>0</v>
      </c>
      <c r="AH442" s="3" t="n">
        <v>0</v>
      </c>
      <c r="AI442" s="3" t="n">
        <v>0</v>
      </c>
      <c r="AJ442" s="3">
        <f>N(R442)*N(BC442)</f>
        <v/>
      </c>
      <c r="AK442" s="3" t="n">
        <v>0</v>
      </c>
      <c r="AL442" s="3" t="n">
        <v>0.7380333201454712</v>
      </c>
      <c r="AM442" s="3" t="n">
        <v>-0.5611019003833156</v>
      </c>
      <c r="AN442" s="3" t="n">
        <v>-0.0763216474948735</v>
      </c>
      <c r="AO442" s="3">
        <f>SUM(AH442:AN442)</f>
        <v/>
      </c>
      <c r="AP442" s="5">
        <f>IF(OR(N(Q442)&lt;=0,N(BA442)=0),0,N(Q442)*IF(N(M442)/N(Q442)&gt;=60,N(BA442),1))</f>
        <v/>
      </c>
      <c r="AQ442" s="5">
        <f>N(Q442)*N(Z442)*N(BB442)</f>
        <v/>
      </c>
      <c r="AR442" s="5">
        <f>N(AF442)*(Assumptions!$B$13*N(BD442)-(1-Assumptions!$B$13)*Assumptions!$B$14)+N(AG442)</f>
        <v/>
      </c>
      <c r="AS442" s="5">
        <f>N(AO442)*N(M442)/90+N(AP442)+N(AQ442)+N(AR442)</f>
        <v/>
      </c>
      <c r="AT442" s="3">
        <f>IF(N(M442)&lt;=0,0,(N(AS442)-N(AR442))*90/N(M442))</f>
        <v/>
      </c>
      <c r="AU442" s="5">
        <f>IFERROR(AS442-VLOOKUP($C442,Assumptions!$A$36:$C$39,3,FALSE),"")</f>
        <v/>
      </c>
      <c r="AV442" s="3">
        <f>IFERROR(AU442/F442,"")</f>
        <v/>
      </c>
      <c r="AW442">
        <f>IF(AND($E442=TRUE,$C442="GKP"),AS442,"")</f>
        <v/>
      </c>
      <c r="AX442">
        <f>IF(AND($E442=TRUE,$C442="DEF"),AS442,"")</f>
        <v/>
      </c>
      <c r="AY442">
        <f>IF(AND($E442=TRUE,$C442="MID"),AS442,"")</f>
        <v/>
      </c>
      <c r="AZ442">
        <f>IF(AND($E442=TRUE,$C442="FWD"),AS442,"")</f>
        <v/>
      </c>
      <c r="BA442" t="n">
        <v>2</v>
      </c>
      <c r="BB442" t="n">
        <v>0</v>
      </c>
      <c r="BC442" t="n">
        <v>4</v>
      </c>
      <c r="BD442" t="n">
        <v>10</v>
      </c>
    </row>
    <row r="443">
      <c r="A443" t="inlineStr">
        <is>
          <t>Jayden Danns</t>
        </is>
      </c>
      <c r="B443" t="inlineStr">
        <is>
          <t>LIV</t>
        </is>
      </c>
      <c r="C443" t="inlineStr">
        <is>
          <t>FWD</t>
        </is>
      </c>
      <c r="D443" t="inlineStr">
        <is>
          <t>FWD</t>
        </is>
      </c>
      <c r="E443" t="b">
        <v>1</v>
      </c>
      <c r="F443" s="2" t="n">
        <v>4.5</v>
      </c>
      <c r="G443" t="inlineStr">
        <is>
          <t>i</t>
        </is>
      </c>
      <c r="H443" t="inlineStr">
        <is>
          <t>Unspecified injury - Unknown return date</t>
        </is>
      </c>
      <c r="I443" s="2" t="n">
        <v>0</v>
      </c>
      <c r="J443" t="n">
        <v>0</v>
      </c>
      <c r="K443" s="3" t="n">
        <v>0</v>
      </c>
      <c r="L443" t="inlineStr">
        <is>
          <t>flat</t>
        </is>
      </c>
      <c r="M443" s="4" t="n">
        <v>0</v>
      </c>
      <c r="N443" t="inlineStr">
        <is>
          <t>Solio</t>
        </is>
      </c>
      <c r="O443" s="5" t="n">
        <v>85</v>
      </c>
      <c r="P443" t="b">
        <v>0</v>
      </c>
      <c r="Q443" s="5">
        <f>IF(N(O443)&lt;=0,0,MIN(Assumptions!$B$15,N(M443)/N(O443)))</f>
        <v/>
      </c>
      <c r="R443" s="4" t="n">
        <v>0.342</v>
      </c>
      <c r="S443" s="3" t="n"/>
      <c r="T443" t="inlineStr"/>
      <c r="U443" s="3" t="n">
        <v>1</v>
      </c>
      <c r="V443" s="3" t="n"/>
      <c r="W443" s="3" t="n"/>
      <c r="X443" s="3" t="n"/>
      <c r="Y443" s="3" t="n"/>
      <c r="Z443" s="3" t="n">
        <v>0</v>
      </c>
      <c r="AA443" s="3" t="n"/>
      <c r="AB443" s="3" t="n">
        <v>0</v>
      </c>
      <c r="AC443" s="3" t="n">
        <v>2.409</v>
      </c>
      <c r="AD443" s="3" t="n">
        <v>1.1228</v>
      </c>
      <c r="AE443" s="3" t="n">
        <v>-0.1985489867524817</v>
      </c>
      <c r="AF443" s="4" t="n">
        <v>0</v>
      </c>
      <c r="AG443" s="3" t="n">
        <v>0</v>
      </c>
      <c r="AH443" s="3" t="n">
        <v>0</v>
      </c>
      <c r="AI443" s="3" t="n">
        <v>0</v>
      </c>
      <c r="AJ443" s="3">
        <f>N(R443)*N(BC443)</f>
        <v/>
      </c>
      <c r="AK443" s="3" t="n">
        <v>0</v>
      </c>
      <c r="AL443" s="3" t="n">
        <v>0</v>
      </c>
      <c r="AM443" s="3" t="n">
        <v>-0</v>
      </c>
      <c r="AN443" s="3" t="n">
        <v>-0.1985489867524817</v>
      </c>
      <c r="AO443" s="3">
        <f>SUM(AH443:AN443)</f>
        <v/>
      </c>
      <c r="AP443" s="5">
        <f>IF(OR(N(Q443)&lt;=0,N(BA443)=0),0,N(Q443)*IF(N(M443)/N(Q443)&gt;=60,N(BA443),1))</f>
        <v/>
      </c>
      <c r="AQ443" s="5">
        <f>N(Q443)*N(Z443)*N(BB443)</f>
        <v/>
      </c>
      <c r="AR443" s="5">
        <f>N(AF443)*(Assumptions!$B$13*N(BD443)-(1-Assumptions!$B$13)*Assumptions!$B$14)+N(AG443)</f>
        <v/>
      </c>
      <c r="AS443" s="5">
        <f>N(AO443)*N(M443)/90+N(AP443)+N(AQ443)+N(AR443)</f>
        <v/>
      </c>
      <c r="AT443" s="3">
        <f>IF(N(M443)&lt;=0,0,(N(AS443)-N(AR443))*90/N(M443))</f>
        <v/>
      </c>
      <c r="AU443" s="5">
        <f>IFERROR(AS443-VLOOKUP($C443,Assumptions!$A$36:$C$39,3,FALSE),"")</f>
        <v/>
      </c>
      <c r="AV443" s="3">
        <f>IFERROR(AU443/F443,"")</f>
        <v/>
      </c>
      <c r="AW443">
        <f>IF(AND($E443=TRUE,$C443="GKP"),AS443,"")</f>
        <v/>
      </c>
      <c r="AX443">
        <f>IF(AND($E443=TRUE,$C443="DEF"),AS443,"")</f>
        <v/>
      </c>
      <c r="AY443">
        <f>IF(AND($E443=TRUE,$C443="MID"),AS443,"")</f>
        <v/>
      </c>
      <c r="AZ443">
        <f>IF(AND($E443=TRUE,$C443="FWD"),AS443,"")</f>
        <v/>
      </c>
      <c r="BA443" t="n">
        <v>2</v>
      </c>
      <c r="BB443" t="n">
        <v>2</v>
      </c>
      <c r="BC443" t="n">
        <v>0</v>
      </c>
      <c r="BD443" t="n">
        <v>4</v>
      </c>
    </row>
    <row r="444">
      <c r="A444" t="inlineStr">
        <is>
          <t>Claudio Echeverri</t>
        </is>
      </c>
      <c r="B444" t="inlineStr">
        <is>
          <t>MCI</t>
        </is>
      </c>
      <c r="C444" t="inlineStr">
        <is>
          <t>MID</t>
        </is>
      </c>
      <c r="D444" t="inlineStr">
        <is>
          <t>MID</t>
        </is>
      </c>
      <c r="E444" t="b">
        <v>1</v>
      </c>
      <c r="F444" s="2" t="n">
        <v>5</v>
      </c>
      <c r="G444" t="inlineStr">
        <is>
          <t>a</t>
        </is>
      </c>
      <c r="I444" s="2" t="n">
        <v>0</v>
      </c>
      <c r="J444" t="n">
        <v>0</v>
      </c>
      <c r="K444" s="3" t="n">
        <v>0</v>
      </c>
      <c r="L444" t="inlineStr">
        <is>
          <t>flat</t>
        </is>
      </c>
      <c r="M444" s="4" t="n">
        <v>0</v>
      </c>
      <c r="N444" t="inlineStr">
        <is>
          <t>Solio</t>
        </is>
      </c>
      <c r="O444" s="5" t="n">
        <v>85</v>
      </c>
      <c r="P444" t="b">
        <v>0</v>
      </c>
      <c r="Q444" s="5">
        <f>IF(N(O444)&lt;=0,0,MIN(Assumptions!$B$15,N(M444)/N(O444)))</f>
        <v/>
      </c>
      <c r="R444" s="4" t="n">
        <v>0.371</v>
      </c>
      <c r="S444" s="3" t="n"/>
      <c r="T444" t="inlineStr"/>
      <c r="U444" s="3" t="n">
        <v>1</v>
      </c>
      <c r="V444" s="3" t="n"/>
      <c r="W444" s="3" t="n"/>
      <c r="X444" s="3" t="n"/>
      <c r="Y444" s="3" t="n"/>
      <c r="Z444" s="3" t="n">
        <v>0</v>
      </c>
      <c r="AA444" s="3" t="n"/>
      <c r="AB444" s="3" t="n">
        <v>0</v>
      </c>
      <c r="AC444" s="3" t="n">
        <v>1.9737</v>
      </c>
      <c r="AD444" s="3" t="n">
        <v>1.0365</v>
      </c>
      <c r="AE444" s="3" t="n">
        <v>-0.2156288455209739</v>
      </c>
      <c r="AF444" s="4" t="n">
        <v>0</v>
      </c>
      <c r="AG444" s="3" t="n">
        <v>0</v>
      </c>
      <c r="AH444" s="3" t="n">
        <v>0</v>
      </c>
      <c r="AI444" s="3" t="n">
        <v>0</v>
      </c>
      <c r="AJ444" s="3">
        <f>N(R444)*N(BC444)</f>
        <v/>
      </c>
      <c r="AK444" s="3" t="n">
        <v>0</v>
      </c>
      <c r="AL444" s="3" t="n">
        <v>0</v>
      </c>
      <c r="AM444" s="3" t="n">
        <v>-0</v>
      </c>
      <c r="AN444" s="3" t="n">
        <v>-0.2156288455209739</v>
      </c>
      <c r="AO444" s="3">
        <f>SUM(AH444:AN444)</f>
        <v/>
      </c>
      <c r="AP444" s="5">
        <f>IF(OR(N(Q444)&lt;=0,N(BA444)=0),0,N(Q444)*IF(N(M444)/N(Q444)&gt;=60,N(BA444),1))</f>
        <v/>
      </c>
      <c r="AQ444" s="5">
        <f>N(Q444)*N(Z444)*N(BB444)</f>
        <v/>
      </c>
      <c r="AR444" s="5">
        <f>N(AF444)*(Assumptions!$B$13*N(BD444)-(1-Assumptions!$B$13)*Assumptions!$B$14)+N(AG444)</f>
        <v/>
      </c>
      <c r="AS444" s="5">
        <f>N(AO444)*N(M444)/90+N(AP444)+N(AQ444)+N(AR444)</f>
        <v/>
      </c>
      <c r="AT444" s="3">
        <f>IF(N(M444)&lt;=0,0,(N(AS444)-N(AR444))*90/N(M444))</f>
        <v/>
      </c>
      <c r="AU444" s="5">
        <f>IFERROR(AS444-VLOOKUP($C444,Assumptions!$A$36:$C$39,3,FALSE),"")</f>
        <v/>
      </c>
      <c r="AV444" s="3">
        <f>IFERROR(AU444/F444,"")</f>
        <v/>
      </c>
      <c r="AW444">
        <f>IF(AND($E444=TRUE,$C444="GKP"),AS444,"")</f>
        <v/>
      </c>
      <c r="AX444">
        <f>IF(AND($E444=TRUE,$C444="DEF"),AS444,"")</f>
        <v/>
      </c>
      <c r="AY444">
        <f>IF(AND($E444=TRUE,$C444="MID"),AS444,"")</f>
        <v/>
      </c>
      <c r="AZ444">
        <f>IF(AND($E444=TRUE,$C444="FWD"),AS444,"")</f>
        <v/>
      </c>
      <c r="BA444" t="n">
        <v>2</v>
      </c>
      <c r="BB444" t="n">
        <v>2</v>
      </c>
      <c r="BC444" t="n">
        <v>1</v>
      </c>
      <c r="BD444" t="n">
        <v>5</v>
      </c>
    </row>
    <row r="445">
      <c r="A445" t="inlineStr">
        <is>
          <t>Mikey Moore</t>
        </is>
      </c>
      <c r="B445" t="inlineStr">
        <is>
          <t>TOT</t>
        </is>
      </c>
      <c r="C445" t="inlineStr">
        <is>
          <t>MID</t>
        </is>
      </c>
      <c r="D445" t="inlineStr">
        <is>
          <t>MID</t>
        </is>
      </c>
      <c r="E445" t="b">
        <v>1</v>
      </c>
      <c r="F445" s="2" t="n">
        <v>5</v>
      </c>
      <c r="G445" t="inlineStr">
        <is>
          <t>a</t>
        </is>
      </c>
      <c r="I445" s="2" t="n">
        <v>0</v>
      </c>
      <c r="J445" t="n">
        <v>0</v>
      </c>
      <c r="K445" s="3" t="n">
        <v>0</v>
      </c>
      <c r="L445" t="inlineStr">
        <is>
          <t>flat</t>
        </is>
      </c>
      <c r="M445" s="4" t="n">
        <v>0</v>
      </c>
      <c r="N445" t="inlineStr">
        <is>
          <t>Solio</t>
        </is>
      </c>
      <c r="O445" s="5" t="n">
        <v>85</v>
      </c>
      <c r="P445" t="b">
        <v>0</v>
      </c>
      <c r="Q445" s="5">
        <f>IF(N(O445)&lt;=0,0,MIN(Assumptions!$B$15,N(M445)/N(O445)))</f>
        <v/>
      </c>
      <c r="R445" s="4" t="n">
        <v>0.286</v>
      </c>
      <c r="S445" s="3" t="n"/>
      <c r="T445" t="inlineStr"/>
      <c r="U445" s="3" t="n">
        <v>1</v>
      </c>
      <c r="V445" s="3" t="n"/>
      <c r="W445" s="3" t="n"/>
      <c r="X445" s="3" t="n"/>
      <c r="Y445" s="3" t="n"/>
      <c r="Z445" s="3" t="n">
        <v>0</v>
      </c>
      <c r="AA445" s="3" t="n"/>
      <c r="AB445" s="3" t="n">
        <v>0</v>
      </c>
      <c r="AC445" s="3" t="n">
        <v>2.5739</v>
      </c>
      <c r="AD445" s="3" t="n">
        <v>1.3096</v>
      </c>
      <c r="AE445" s="3" t="n">
        <v>-0.1899707836076616</v>
      </c>
      <c r="AF445" s="4" t="n">
        <v>0</v>
      </c>
      <c r="AG445" s="3" t="n">
        <v>0</v>
      </c>
      <c r="AH445" s="3" t="n">
        <v>0</v>
      </c>
      <c r="AI445" s="3" t="n">
        <v>0</v>
      </c>
      <c r="AJ445" s="3">
        <f>N(R445)*N(BC445)</f>
        <v/>
      </c>
      <c r="AK445" s="3" t="n">
        <v>0</v>
      </c>
      <c r="AL445" s="3" t="n">
        <v>0</v>
      </c>
      <c r="AM445" s="3" t="n">
        <v>-0</v>
      </c>
      <c r="AN445" s="3" t="n">
        <v>-0.1899707836076616</v>
      </c>
      <c r="AO445" s="3">
        <f>SUM(AH445:AN445)</f>
        <v/>
      </c>
      <c r="AP445" s="5">
        <f>IF(OR(N(Q445)&lt;=0,N(BA445)=0),0,N(Q445)*IF(N(M445)/N(Q445)&gt;=60,N(BA445),1))</f>
        <v/>
      </c>
      <c r="AQ445" s="5">
        <f>N(Q445)*N(Z445)*N(BB445)</f>
        <v/>
      </c>
      <c r="AR445" s="5">
        <f>N(AF445)*(Assumptions!$B$13*N(BD445)-(1-Assumptions!$B$13)*Assumptions!$B$14)+N(AG445)</f>
        <v/>
      </c>
      <c r="AS445" s="5">
        <f>N(AO445)*N(M445)/90+N(AP445)+N(AQ445)+N(AR445)</f>
        <v/>
      </c>
      <c r="AT445" s="3">
        <f>IF(N(M445)&lt;=0,0,(N(AS445)-N(AR445))*90/N(M445))</f>
        <v/>
      </c>
      <c r="AU445" s="5">
        <f>IFERROR(AS445-VLOOKUP($C445,Assumptions!$A$36:$C$39,3,FALSE),"")</f>
        <v/>
      </c>
      <c r="AV445" s="3">
        <f>IFERROR(AU445/F445,"")</f>
        <v/>
      </c>
      <c r="AW445">
        <f>IF(AND($E445=TRUE,$C445="GKP"),AS445,"")</f>
        <v/>
      </c>
      <c r="AX445">
        <f>IF(AND($E445=TRUE,$C445="DEF"),AS445,"")</f>
        <v/>
      </c>
      <c r="AY445">
        <f>IF(AND($E445=TRUE,$C445="MID"),AS445,"")</f>
        <v/>
      </c>
      <c r="AZ445">
        <f>IF(AND($E445=TRUE,$C445="FWD"),AS445,"")</f>
        <v/>
      </c>
      <c r="BA445" t="n">
        <v>2</v>
      </c>
      <c r="BB445" t="n">
        <v>2</v>
      </c>
      <c r="BC445" t="n">
        <v>1</v>
      </c>
      <c r="BD445" t="n">
        <v>5</v>
      </c>
    </row>
    <row r="446">
      <c r="A446" t="inlineStr">
        <is>
          <t>Adam Aznou</t>
        </is>
      </c>
      <c r="B446" t="inlineStr">
        <is>
          <t>EVE</t>
        </is>
      </c>
      <c r="C446" t="inlineStr">
        <is>
          <t>DEF</t>
        </is>
      </c>
      <c r="D446" t="inlineStr">
        <is>
          <t>DEF</t>
        </is>
      </c>
      <c r="E446" t="b">
        <v>1</v>
      </c>
      <c r="F446" s="2" t="n">
        <v>4</v>
      </c>
      <c r="G446" t="inlineStr">
        <is>
          <t>a</t>
        </is>
      </c>
      <c r="I446" s="2" t="n">
        <v>0</v>
      </c>
      <c r="J446" t="n">
        <v>0</v>
      </c>
      <c r="K446" s="3" t="n">
        <v>0</v>
      </c>
      <c r="L446" t="inlineStr">
        <is>
          <t>flat</t>
        </is>
      </c>
      <c r="M446" s="4" t="n">
        <v>0</v>
      </c>
      <c r="N446" t="inlineStr">
        <is>
          <t>Solio</t>
        </is>
      </c>
      <c r="O446" s="5" t="n">
        <v>85</v>
      </c>
      <c r="P446" t="b">
        <v>0</v>
      </c>
      <c r="Q446" s="5">
        <f>IF(N(O446)&lt;=0,0,MIN(Assumptions!$B$15,N(M446)/N(O446)))</f>
        <v/>
      </c>
      <c r="R446" s="4" t="n">
        <v>0.231</v>
      </c>
      <c r="S446" s="3" t="n"/>
      <c r="T446" t="inlineStr"/>
      <c r="U446" s="3" t="n">
        <v>1</v>
      </c>
      <c r="V446" s="3" t="n"/>
      <c r="W446" s="3" t="n"/>
      <c r="X446" s="3" t="n"/>
      <c r="Y446" s="3" t="n"/>
      <c r="Z446" s="3" t="n">
        <v>0</v>
      </c>
      <c r="AA446" s="3" t="n"/>
      <c r="AB446" s="3" t="n">
        <v>0</v>
      </c>
      <c r="AC446" s="3" t="n">
        <v>3.0311</v>
      </c>
      <c r="AD446" s="3" t="n">
        <v>1.5252</v>
      </c>
      <c r="AE446" s="3" t="n">
        <v>-0.2045226422080557</v>
      </c>
      <c r="AF446" s="4" t="n">
        <v>0</v>
      </c>
      <c r="AG446" s="3" t="n">
        <v>0</v>
      </c>
      <c r="AH446" s="3" t="n">
        <v>0</v>
      </c>
      <c r="AI446" s="3" t="n">
        <v>0</v>
      </c>
      <c r="AJ446" s="3">
        <f>N(R446)*N(BC446)</f>
        <v/>
      </c>
      <c r="AK446" s="3" t="n">
        <v>0</v>
      </c>
      <c r="AL446" s="3" t="n">
        <v>0</v>
      </c>
      <c r="AM446" s="3" t="n">
        <v>-0.524434996152324</v>
      </c>
      <c r="AN446" s="3" t="n">
        <v>-0.2045226422080557</v>
      </c>
      <c r="AO446" s="3">
        <f>SUM(AH446:AN446)</f>
        <v/>
      </c>
      <c r="AP446" s="5">
        <f>IF(OR(N(Q446)&lt;=0,N(BA446)=0),0,N(Q446)*IF(N(M446)/N(Q446)&gt;=60,N(BA446),1))</f>
        <v/>
      </c>
      <c r="AQ446" s="5">
        <f>N(Q446)*N(Z446)*N(BB446)</f>
        <v/>
      </c>
      <c r="AR446" s="5">
        <f>N(AF446)*(Assumptions!$B$13*N(BD446)-(1-Assumptions!$B$13)*Assumptions!$B$14)+N(AG446)</f>
        <v/>
      </c>
      <c r="AS446" s="5">
        <f>N(AO446)*N(M446)/90+N(AP446)+N(AQ446)+N(AR446)</f>
        <v/>
      </c>
      <c r="AT446" s="3">
        <f>IF(N(M446)&lt;=0,0,(N(AS446)-N(AR446))*90/N(M446))</f>
        <v/>
      </c>
      <c r="AU446" s="5">
        <f>IFERROR(AS446-VLOOKUP($C446,Assumptions!$A$36:$C$39,3,FALSE),"")</f>
        <v/>
      </c>
      <c r="AV446" s="3">
        <f>IFERROR(AU446/F446,"")</f>
        <v/>
      </c>
      <c r="AW446">
        <f>IF(AND($E446=TRUE,$C446="GKP"),AS446,"")</f>
        <v/>
      </c>
      <c r="AX446">
        <f>IF(AND($E446=TRUE,$C446="DEF"),AS446,"")</f>
        <v/>
      </c>
      <c r="AY446">
        <f>IF(AND($E446=TRUE,$C446="MID"),AS446,"")</f>
        <v/>
      </c>
      <c r="AZ446">
        <f>IF(AND($E446=TRUE,$C446="FWD"),AS446,"")</f>
        <v/>
      </c>
      <c r="BA446" t="n">
        <v>2</v>
      </c>
      <c r="BB446" t="n">
        <v>2</v>
      </c>
      <c r="BC446" t="n">
        <v>4</v>
      </c>
      <c r="BD446" t="n">
        <v>6</v>
      </c>
    </row>
    <row r="447">
      <c r="A447" t="inlineStr">
        <is>
          <t>Toby Collyer</t>
        </is>
      </c>
      <c r="B447" t="inlineStr">
        <is>
          <t>MUN</t>
        </is>
      </c>
      <c r="C447" t="inlineStr">
        <is>
          <t>MID</t>
        </is>
      </c>
      <c r="D447" t="inlineStr">
        <is>
          <t>MID</t>
        </is>
      </c>
      <c r="E447" t="b">
        <v>1</v>
      </c>
      <c r="F447" s="2" t="n">
        <v>5</v>
      </c>
      <c r="G447" t="inlineStr">
        <is>
          <t>a</t>
        </is>
      </c>
      <c r="I447" s="2" t="n">
        <v>0</v>
      </c>
      <c r="J447" t="n">
        <v>0</v>
      </c>
      <c r="K447" s="3" t="n">
        <v>0</v>
      </c>
      <c r="L447" t="inlineStr">
        <is>
          <t>flat</t>
        </is>
      </c>
      <c r="M447" s="4" t="n">
        <v>0</v>
      </c>
      <c r="N447" t="inlineStr">
        <is>
          <t>Solio</t>
        </is>
      </c>
      <c r="O447" s="5" t="n">
        <v>85</v>
      </c>
      <c r="P447" t="b">
        <v>0</v>
      </c>
      <c r="Q447" s="5">
        <f>IF(N(O447)&lt;=0,0,MIN(Assumptions!$B$15,N(M447)/N(O447)))</f>
        <v/>
      </c>
      <c r="R447" s="4" t="n">
        <v>0.334</v>
      </c>
      <c r="S447" s="3" t="n"/>
      <c r="T447" t="inlineStr"/>
      <c r="U447" s="3" t="n">
        <v>1</v>
      </c>
      <c r="V447" s="3" t="n"/>
      <c r="W447" s="3" t="n"/>
      <c r="X447" s="3" t="n"/>
      <c r="Y447" s="3" t="n"/>
      <c r="Z447" s="3" t="n">
        <v>0</v>
      </c>
      <c r="AA447" s="3" t="n"/>
      <c r="AB447" s="3" t="n">
        <v>0</v>
      </c>
      <c r="AC447" s="3" t="n">
        <v>2.2165</v>
      </c>
      <c r="AD447" s="3" t="n">
        <v>1.1467</v>
      </c>
      <c r="AE447" s="3" t="n">
        <v>-0.2025635746060023</v>
      </c>
      <c r="AF447" s="4" t="n">
        <v>0</v>
      </c>
      <c r="AG447" s="3" t="n">
        <v>0</v>
      </c>
      <c r="AH447" s="3" t="n">
        <v>0</v>
      </c>
      <c r="AI447" s="3" t="n">
        <v>0</v>
      </c>
      <c r="AJ447" s="3">
        <f>N(R447)*N(BC447)</f>
        <v/>
      </c>
      <c r="AK447" s="3" t="n">
        <v>0</v>
      </c>
      <c r="AL447" s="3" t="n">
        <v>0</v>
      </c>
      <c r="AM447" s="3" t="n">
        <v>-0</v>
      </c>
      <c r="AN447" s="3" t="n">
        <v>-0.2025635746060023</v>
      </c>
      <c r="AO447" s="3">
        <f>SUM(AH447:AN447)</f>
        <v/>
      </c>
      <c r="AP447" s="5">
        <f>IF(OR(N(Q447)&lt;=0,N(BA447)=0),0,N(Q447)*IF(N(M447)/N(Q447)&gt;=60,N(BA447),1))</f>
        <v/>
      </c>
      <c r="AQ447" s="5">
        <f>N(Q447)*N(Z447)*N(BB447)</f>
        <v/>
      </c>
      <c r="AR447" s="5">
        <f>N(AF447)*(Assumptions!$B$13*N(BD447)-(1-Assumptions!$B$13)*Assumptions!$B$14)+N(AG447)</f>
        <v/>
      </c>
      <c r="AS447" s="5">
        <f>N(AO447)*N(M447)/90+N(AP447)+N(AQ447)+N(AR447)</f>
        <v/>
      </c>
      <c r="AT447" s="3">
        <f>IF(N(M447)&lt;=0,0,(N(AS447)-N(AR447))*90/N(M447))</f>
        <v/>
      </c>
      <c r="AU447" s="5">
        <f>IFERROR(AS447-VLOOKUP($C447,Assumptions!$A$36:$C$39,3,FALSE),"")</f>
        <v/>
      </c>
      <c r="AV447" s="3">
        <f>IFERROR(AU447/F447,"")</f>
        <v/>
      </c>
      <c r="AW447">
        <f>IF(AND($E447=TRUE,$C447="GKP"),AS447,"")</f>
        <v/>
      </c>
      <c r="AX447">
        <f>IF(AND($E447=TRUE,$C447="DEF"),AS447,"")</f>
        <v/>
      </c>
      <c r="AY447">
        <f>IF(AND($E447=TRUE,$C447="MID"),AS447,"")</f>
        <v/>
      </c>
      <c r="AZ447">
        <f>IF(AND($E447=TRUE,$C447="FWD"),AS447,"")</f>
        <v/>
      </c>
      <c r="BA447" t="n">
        <v>2</v>
      </c>
      <c r="BB447" t="n">
        <v>2</v>
      </c>
      <c r="BC447" t="n">
        <v>1</v>
      </c>
      <c r="BD447" t="n">
        <v>5</v>
      </c>
    </row>
    <row r="448">
      <c r="A448" t="inlineStr">
        <is>
          <t>Chido Obi</t>
        </is>
      </c>
      <c r="B448" t="inlineStr">
        <is>
          <t>MUN</t>
        </is>
      </c>
      <c r="C448" t="inlineStr">
        <is>
          <t>FWD</t>
        </is>
      </c>
      <c r="D448" t="inlineStr">
        <is>
          <t>FWD</t>
        </is>
      </c>
      <c r="E448" t="b">
        <v>1</v>
      </c>
      <c r="F448" s="2" t="n">
        <v>4.5</v>
      </c>
      <c r="G448" t="inlineStr">
        <is>
          <t>a</t>
        </is>
      </c>
      <c r="I448" s="2" t="n">
        <v>0</v>
      </c>
      <c r="J448" t="n">
        <v>0</v>
      </c>
      <c r="K448" s="3" t="n">
        <v>0</v>
      </c>
      <c r="L448" t="inlineStr">
        <is>
          <t>flat</t>
        </is>
      </c>
      <c r="M448" s="4" t="n">
        <v>0</v>
      </c>
      <c r="N448" t="inlineStr">
        <is>
          <t>Solio</t>
        </is>
      </c>
      <c r="O448" s="5" t="n">
        <v>85</v>
      </c>
      <c r="P448" t="b">
        <v>0</v>
      </c>
      <c r="Q448" s="5">
        <f>IF(N(O448)&lt;=0,0,MIN(Assumptions!$B$15,N(M448)/N(O448)))</f>
        <v/>
      </c>
      <c r="R448" s="4" t="n">
        <v>0.334</v>
      </c>
      <c r="S448" s="3" t="n"/>
      <c r="T448" t="inlineStr"/>
      <c r="U448" s="3" t="n">
        <v>1</v>
      </c>
      <c r="V448" s="3" t="n"/>
      <c r="W448" s="3" t="n"/>
      <c r="X448" s="3" t="n"/>
      <c r="Y448" s="3" t="n"/>
      <c r="Z448" s="3" t="n">
        <v>0</v>
      </c>
      <c r="AA448" s="3" t="n"/>
      <c r="AB448" s="3" t="n">
        <v>0</v>
      </c>
      <c r="AC448" s="3" t="n">
        <v>2.2165</v>
      </c>
      <c r="AD448" s="3" t="n">
        <v>1.1467</v>
      </c>
      <c r="AE448" s="3" t="n">
        <v>-0.1996559750781705</v>
      </c>
      <c r="AF448" s="4" t="n">
        <v>0</v>
      </c>
      <c r="AG448" s="3" t="n">
        <v>0</v>
      </c>
      <c r="AH448" s="3" t="n">
        <v>0</v>
      </c>
      <c r="AI448" s="3" t="n">
        <v>0</v>
      </c>
      <c r="AJ448" s="3">
        <f>N(R448)*N(BC448)</f>
        <v/>
      </c>
      <c r="AK448" s="3" t="n">
        <v>0</v>
      </c>
      <c r="AL448" s="3" t="n">
        <v>0</v>
      </c>
      <c r="AM448" s="3" t="n">
        <v>-0</v>
      </c>
      <c r="AN448" s="3" t="n">
        <v>-0.1996559750781705</v>
      </c>
      <c r="AO448" s="3">
        <f>SUM(AH448:AN448)</f>
        <v/>
      </c>
      <c r="AP448" s="5">
        <f>IF(OR(N(Q448)&lt;=0,N(BA448)=0),0,N(Q448)*IF(N(M448)/N(Q448)&gt;=60,N(BA448),1))</f>
        <v/>
      </c>
      <c r="AQ448" s="5">
        <f>N(Q448)*N(Z448)*N(BB448)</f>
        <v/>
      </c>
      <c r="AR448" s="5">
        <f>N(AF448)*(Assumptions!$B$13*N(BD448)-(1-Assumptions!$B$13)*Assumptions!$B$14)+N(AG448)</f>
        <v/>
      </c>
      <c r="AS448" s="5">
        <f>N(AO448)*N(M448)/90+N(AP448)+N(AQ448)+N(AR448)</f>
        <v/>
      </c>
      <c r="AT448" s="3">
        <f>IF(N(M448)&lt;=0,0,(N(AS448)-N(AR448))*90/N(M448))</f>
        <v/>
      </c>
      <c r="AU448" s="5">
        <f>IFERROR(AS448-VLOOKUP($C448,Assumptions!$A$36:$C$39,3,FALSE),"")</f>
        <v/>
      </c>
      <c r="AV448" s="3">
        <f>IFERROR(AU448/F448,"")</f>
        <v/>
      </c>
      <c r="AW448">
        <f>IF(AND($E448=TRUE,$C448="GKP"),AS448,"")</f>
        <v/>
      </c>
      <c r="AX448">
        <f>IF(AND($E448=TRUE,$C448="DEF"),AS448,"")</f>
        <v/>
      </c>
      <c r="AY448">
        <f>IF(AND($E448=TRUE,$C448="MID"),AS448,"")</f>
        <v/>
      </c>
      <c r="AZ448">
        <f>IF(AND($E448=TRUE,$C448="FWD"),AS448,"")</f>
        <v/>
      </c>
      <c r="BA448" t="n">
        <v>2</v>
      </c>
      <c r="BB448" t="n">
        <v>2</v>
      </c>
      <c r="BC448" t="n">
        <v>0</v>
      </c>
      <c r="BD448" t="n">
        <v>4</v>
      </c>
    </row>
    <row r="449">
      <c r="A449" t="inlineStr">
        <is>
          <t>Calvin Ramsay</t>
        </is>
      </c>
      <c r="B449" t="inlineStr">
        <is>
          <t>LIV</t>
        </is>
      </c>
      <c r="C449" t="inlineStr">
        <is>
          <t>DEF</t>
        </is>
      </c>
      <c r="D449" t="inlineStr">
        <is>
          <t>DEF</t>
        </is>
      </c>
      <c r="E449" t="b">
        <v>1</v>
      </c>
      <c r="F449" s="2" t="n">
        <v>4</v>
      </c>
      <c r="G449" t="inlineStr">
        <is>
          <t>a</t>
        </is>
      </c>
      <c r="I449" s="2" t="n">
        <v>0</v>
      </c>
      <c r="J449" t="n">
        <v>0</v>
      </c>
      <c r="K449" s="3" t="n">
        <v>103</v>
      </c>
      <c r="L449" t="inlineStr">
        <is>
          <t>flat</t>
        </is>
      </c>
      <c r="M449" s="4" t="n">
        <v>103</v>
      </c>
      <c r="N449" t="inlineStr">
        <is>
          <t>Solio</t>
        </is>
      </c>
      <c r="O449" s="5" t="n">
        <v>85</v>
      </c>
      <c r="P449" t="b">
        <v>0</v>
      </c>
      <c r="Q449" s="5">
        <f>IF(N(O449)&lt;=0,0,MIN(Assumptions!$B$15,N(M449)/N(O449)))</f>
        <v/>
      </c>
      <c r="R449" s="4" t="n">
        <v>0.342</v>
      </c>
      <c r="S449" s="3" t="n"/>
      <c r="T449" t="inlineStr"/>
      <c r="U449" s="3" t="n">
        <v>1</v>
      </c>
      <c r="V449" s="3" t="n"/>
      <c r="W449" s="3" t="n"/>
      <c r="X449" s="3" t="n"/>
      <c r="Y449" s="3" t="n"/>
      <c r="Z449" s="3" t="n">
        <v>0</v>
      </c>
      <c r="AA449" s="3" t="n"/>
      <c r="AB449" s="3" t="n">
        <v>0</v>
      </c>
      <c r="AC449" s="3" t="n">
        <v>2.409</v>
      </c>
      <c r="AD449" s="3" t="n">
        <v>1.1228</v>
      </c>
      <c r="AE449" s="3" t="n">
        <v>-0.2045226422080557</v>
      </c>
      <c r="AF449" s="4" t="n">
        <v>0</v>
      </c>
      <c r="AG449" s="3" t="n">
        <v>0</v>
      </c>
      <c r="AH449" s="3" t="n">
        <v>0</v>
      </c>
      <c r="AI449" s="3" t="n">
        <v>0</v>
      </c>
      <c r="AJ449" s="3">
        <f>N(R449)*N(BC449)</f>
        <v/>
      </c>
      <c r="AK449" s="3" t="n">
        <v>0</v>
      </c>
      <c r="AL449" s="3" t="n">
        <v>0</v>
      </c>
      <c r="AM449" s="3" t="n">
        <v>-0.3378660007281162</v>
      </c>
      <c r="AN449" s="3" t="n">
        <v>-0.2045226422080557</v>
      </c>
      <c r="AO449" s="3">
        <f>SUM(AH449:AN449)</f>
        <v/>
      </c>
      <c r="AP449" s="5">
        <f>IF(OR(N(Q449)&lt;=0,N(BA449)=0),0,N(Q449)*IF(N(M449)/N(Q449)&gt;=60,N(BA449),1))</f>
        <v/>
      </c>
      <c r="AQ449" s="5">
        <f>N(Q449)*N(Z449)*N(BB449)</f>
        <v/>
      </c>
      <c r="AR449" s="5">
        <f>N(AF449)*(Assumptions!$B$13*N(BD449)-(1-Assumptions!$B$13)*Assumptions!$B$14)+N(AG449)</f>
        <v/>
      </c>
      <c r="AS449" s="5">
        <f>N(AO449)*N(M449)/90+N(AP449)+N(AQ449)+N(AR449)</f>
        <v/>
      </c>
      <c r="AT449" s="3">
        <f>IF(N(M449)&lt;=0,0,(N(AS449)-N(AR449))*90/N(M449))</f>
        <v/>
      </c>
      <c r="AU449" s="5">
        <f>IFERROR(AS449-VLOOKUP($C449,Assumptions!$A$36:$C$39,3,FALSE),"")</f>
        <v/>
      </c>
      <c r="AV449" s="3">
        <f>IFERROR(AU449/F449,"")</f>
        <v/>
      </c>
      <c r="AW449">
        <f>IF(AND($E449=TRUE,$C449="GKP"),AS449,"")</f>
        <v/>
      </c>
      <c r="AX449">
        <f>IF(AND($E449=TRUE,$C449="DEF"),AS449,"")</f>
        <v/>
      </c>
      <c r="AY449">
        <f>IF(AND($E449=TRUE,$C449="MID"),AS449,"")</f>
        <v/>
      </c>
      <c r="AZ449">
        <f>IF(AND($E449=TRUE,$C449="FWD"),AS449,"")</f>
        <v/>
      </c>
      <c r="BA449" t="n">
        <v>2</v>
      </c>
      <c r="BB449" t="n">
        <v>2</v>
      </c>
      <c r="BC449" t="n">
        <v>4</v>
      </c>
      <c r="BD449" t="n">
        <v>6</v>
      </c>
    </row>
    <row r="450">
      <c r="A450" t="inlineStr">
        <is>
          <t>Evan Ferguson</t>
        </is>
      </c>
      <c r="B450" t="inlineStr">
        <is>
          <t>BHA</t>
        </is>
      </c>
      <c r="C450" t="inlineStr">
        <is>
          <t>FWD</t>
        </is>
      </c>
      <c r="D450" t="inlineStr">
        <is>
          <t>FWD</t>
        </is>
      </c>
      <c r="E450" t="b">
        <v>1</v>
      </c>
      <c r="F450" s="2" t="n">
        <v>5</v>
      </c>
      <c r="G450" t="inlineStr">
        <is>
          <t>i</t>
        </is>
      </c>
      <c r="H450" t="inlineStr">
        <is>
          <t>Ankle injury - Expected back 10 Oct</t>
        </is>
      </c>
      <c r="I450" s="2" t="n">
        <v>0</v>
      </c>
      <c r="J450" t="n">
        <v>0</v>
      </c>
      <c r="K450" s="3" t="n">
        <v>0</v>
      </c>
      <c r="L450" t="inlineStr">
        <is>
          <t>flat</t>
        </is>
      </c>
      <c r="M450" s="4" t="n">
        <v>0</v>
      </c>
      <c r="N450" t="inlineStr">
        <is>
          <t>Solio</t>
        </is>
      </c>
      <c r="O450" s="5" t="n">
        <v>85</v>
      </c>
      <c r="P450" t="b">
        <v>0</v>
      </c>
      <c r="Q450" s="5">
        <f>IF(N(O450)&lt;=0,0,MIN(Assumptions!$B$15,N(M450)/N(O450)))</f>
        <v/>
      </c>
      <c r="R450" s="4" t="n">
        <v>0.252</v>
      </c>
      <c r="S450" s="3" t="n"/>
      <c r="T450" t="inlineStr"/>
      <c r="U450" s="3" t="n">
        <v>1</v>
      </c>
      <c r="V450" s="3" t="n"/>
      <c r="W450" s="3" t="n"/>
      <c r="X450" s="3" t="n"/>
      <c r="Y450" s="3" t="n"/>
      <c r="Z450" s="3" t="n">
        <v>0</v>
      </c>
      <c r="AA450" s="3" t="n"/>
      <c r="AB450" s="3" t="n">
        <v>0</v>
      </c>
      <c r="AC450" s="3" t="n">
        <v>2.8404</v>
      </c>
      <c r="AD450" s="3" t="n">
        <v>1.439</v>
      </c>
      <c r="AE450" s="3" t="n">
        <v>-0.1339781214132491</v>
      </c>
      <c r="AF450" s="4" t="n">
        <v>0</v>
      </c>
      <c r="AG450" s="3" t="n">
        <v>0</v>
      </c>
      <c r="AH450" s="3" t="n">
        <v>0</v>
      </c>
      <c r="AI450" s="3" t="n">
        <v>0</v>
      </c>
      <c r="AJ450" s="3">
        <f>N(R450)*N(BC450)</f>
        <v/>
      </c>
      <c r="AK450" s="3" t="n">
        <v>0</v>
      </c>
      <c r="AL450" s="3" t="n">
        <v>0</v>
      </c>
      <c r="AM450" s="3" t="n">
        <v>-0</v>
      </c>
      <c r="AN450" s="3" t="n">
        <v>-0.1339781214132491</v>
      </c>
      <c r="AO450" s="3">
        <f>SUM(AH450:AN450)</f>
        <v/>
      </c>
      <c r="AP450" s="5">
        <f>IF(OR(N(Q450)&lt;=0,N(BA450)=0),0,N(Q450)*IF(N(M450)/N(Q450)&gt;=60,N(BA450),1))</f>
        <v/>
      </c>
      <c r="AQ450" s="5">
        <f>N(Q450)*N(Z450)*N(BB450)</f>
        <v/>
      </c>
      <c r="AR450" s="5">
        <f>N(AF450)*(Assumptions!$B$13*N(BD450)-(1-Assumptions!$B$13)*Assumptions!$B$14)+N(AG450)</f>
        <v/>
      </c>
      <c r="AS450" s="5">
        <f>N(AO450)*N(M450)/90+N(AP450)+N(AQ450)+N(AR450)</f>
        <v/>
      </c>
      <c r="AT450" s="3">
        <f>IF(N(M450)&lt;=0,0,(N(AS450)-N(AR450))*90/N(M450))</f>
        <v/>
      </c>
      <c r="AU450" s="5">
        <f>IFERROR(AS450-VLOOKUP($C450,Assumptions!$A$36:$C$39,3,FALSE),"")</f>
        <v/>
      </c>
      <c r="AV450" s="3">
        <f>IFERROR(AU450/F450,"")</f>
        <v/>
      </c>
      <c r="AW450">
        <f>IF(AND($E450=TRUE,$C450="GKP"),AS450,"")</f>
        <v/>
      </c>
      <c r="AX450">
        <f>IF(AND($E450=TRUE,$C450="DEF"),AS450,"")</f>
        <v/>
      </c>
      <c r="AY450">
        <f>IF(AND($E450=TRUE,$C450="MID"),AS450,"")</f>
        <v/>
      </c>
      <c r="AZ450">
        <f>IF(AND($E450=TRUE,$C450="FWD"),AS450,"")</f>
        <v/>
      </c>
      <c r="BA450" t="n">
        <v>2</v>
      </c>
      <c r="BB450" t="n">
        <v>2</v>
      </c>
      <c r="BC450" t="n">
        <v>0</v>
      </c>
      <c r="BD450" t="n">
        <v>4</v>
      </c>
    </row>
    <row r="451">
      <c r="A451" t="inlineStr">
        <is>
          <t>Harry Amass</t>
        </is>
      </c>
      <c r="B451" t="inlineStr">
        <is>
          <t>MUN</t>
        </is>
      </c>
      <c r="C451" t="inlineStr">
        <is>
          <t>DEF</t>
        </is>
      </c>
      <c r="D451" t="inlineStr">
        <is>
          <t>DEF</t>
        </is>
      </c>
      <c r="E451" t="b">
        <v>1</v>
      </c>
      <c r="F451" s="2" t="n">
        <v>4</v>
      </c>
      <c r="G451" t="inlineStr">
        <is>
          <t>a</t>
        </is>
      </c>
      <c r="I451" s="2" t="n">
        <v>0</v>
      </c>
      <c r="J451" t="n">
        <v>0</v>
      </c>
      <c r="K451" s="3" t="n">
        <v>79</v>
      </c>
      <c r="L451" t="inlineStr">
        <is>
          <t>flat</t>
        </is>
      </c>
      <c r="M451" s="4" t="n">
        <v>79</v>
      </c>
      <c r="N451" t="inlineStr">
        <is>
          <t>Solio</t>
        </is>
      </c>
      <c r="O451" s="5" t="n">
        <v>85</v>
      </c>
      <c r="P451" t="b">
        <v>0</v>
      </c>
      <c r="Q451" s="5">
        <f>IF(N(O451)&lt;=0,0,MIN(Assumptions!$B$15,N(M451)/N(O451)))</f>
        <v/>
      </c>
      <c r="R451" s="4" t="n">
        <v>0.334</v>
      </c>
      <c r="S451" s="3" t="n"/>
      <c r="T451" t="inlineStr"/>
      <c r="U451" s="3" t="n">
        <v>1</v>
      </c>
      <c r="V451" s="3" t="n"/>
      <c r="W451" s="3" t="n"/>
      <c r="X451" s="3" t="n"/>
      <c r="Y451" s="3" t="n"/>
      <c r="Z451" s="3" t="n">
        <v>0</v>
      </c>
      <c r="AA451" s="3" t="n"/>
      <c r="AB451" s="3" t="n">
        <v>0</v>
      </c>
      <c r="AC451" s="3" t="n">
        <v>2.2165</v>
      </c>
      <c r="AD451" s="3" t="n">
        <v>1.1467</v>
      </c>
      <c r="AE451" s="3" t="n">
        <v>-0.1814819720106033</v>
      </c>
      <c r="AF451" s="4" t="n">
        <v>0</v>
      </c>
      <c r="AG451" s="3" t="n">
        <v>0</v>
      </c>
      <c r="AH451" s="3" t="n">
        <v>0</v>
      </c>
      <c r="AI451" s="3" t="n">
        <v>0</v>
      </c>
      <c r="AJ451" s="3">
        <f>N(R451)*N(BC451)</f>
        <v/>
      </c>
      <c r="AK451" s="3" t="n">
        <v>0</v>
      </c>
      <c r="AL451" s="3" t="n">
        <v>0</v>
      </c>
      <c r="AM451" s="3" t="n">
        <v>-0.348580685135232</v>
      </c>
      <c r="AN451" s="3" t="n">
        <v>-0.1814819720106033</v>
      </c>
      <c r="AO451" s="3">
        <f>SUM(AH451:AN451)</f>
        <v/>
      </c>
      <c r="AP451" s="5">
        <f>IF(OR(N(Q451)&lt;=0,N(BA451)=0),0,N(Q451)*IF(N(M451)/N(Q451)&gt;=60,N(BA451),1))</f>
        <v/>
      </c>
      <c r="AQ451" s="5">
        <f>N(Q451)*N(Z451)*N(BB451)</f>
        <v/>
      </c>
      <c r="AR451" s="5">
        <f>N(AF451)*(Assumptions!$B$13*N(BD451)-(1-Assumptions!$B$13)*Assumptions!$B$14)+N(AG451)</f>
        <v/>
      </c>
      <c r="AS451" s="5">
        <f>N(AO451)*N(M451)/90+N(AP451)+N(AQ451)+N(AR451)</f>
        <v/>
      </c>
      <c r="AT451" s="3">
        <f>IF(N(M451)&lt;=0,0,(N(AS451)-N(AR451))*90/N(M451))</f>
        <v/>
      </c>
      <c r="AU451" s="5">
        <f>IFERROR(AS451-VLOOKUP($C451,Assumptions!$A$36:$C$39,3,FALSE),"")</f>
        <v/>
      </c>
      <c r="AV451" s="3">
        <f>IFERROR(AU451/F451,"")</f>
        <v/>
      </c>
      <c r="AW451">
        <f>IF(AND($E451=TRUE,$C451="GKP"),AS451,"")</f>
        <v/>
      </c>
      <c r="AX451">
        <f>IF(AND($E451=TRUE,$C451="DEF"),AS451,"")</f>
        <v/>
      </c>
      <c r="AY451">
        <f>IF(AND($E451=TRUE,$C451="MID"),AS451,"")</f>
        <v/>
      </c>
      <c r="AZ451">
        <f>IF(AND($E451=TRUE,$C451="FWD"),AS451,"")</f>
        <v/>
      </c>
      <c r="BA451" t="n">
        <v>2</v>
      </c>
      <c r="BB451" t="n">
        <v>2</v>
      </c>
      <c r="BC451" t="n">
        <v>4</v>
      </c>
      <c r="BD451" t="n">
        <v>6</v>
      </c>
    </row>
    <row r="452">
      <c r="A452" t="inlineStr">
        <is>
          <t>Leo Fuhr Hjelde</t>
        </is>
      </c>
      <c r="B452" t="inlineStr">
        <is>
          <t>SUN</t>
        </is>
      </c>
      <c r="C452" t="inlineStr">
        <is>
          <t>DEF</t>
        </is>
      </c>
      <c r="D452" t="inlineStr">
        <is>
          <t>DEF</t>
        </is>
      </c>
      <c r="E452" t="b">
        <v>1</v>
      </c>
      <c r="F452" s="2" t="n">
        <v>4</v>
      </c>
      <c r="G452" t="inlineStr">
        <is>
          <t>u</t>
        </is>
      </c>
      <c r="H452" t="inlineStr">
        <is>
          <t>Has joined KV Mechelen on loan for the rest of the season</t>
        </is>
      </c>
      <c r="I452" s="2" t="n">
        <v>0</v>
      </c>
      <c r="J452" t="n">
        <v>0</v>
      </c>
      <c r="K452" s="3" t="n"/>
      <c r="M452" s="4" t="n">
        <v>0</v>
      </c>
      <c r="N452" t="inlineStr">
        <is>
          <t>25/26 actual</t>
        </is>
      </c>
      <c r="O452" s="5" t="n">
        <v>85</v>
      </c>
      <c r="P452" t="b">
        <v>0</v>
      </c>
      <c r="Q452" s="5">
        <f>IF(N(O452)&lt;=0,0,MIN(Assumptions!$B$15,N(M452)/N(O452)))</f>
        <v/>
      </c>
      <c r="R452" s="4" t="n">
        <v>0.204</v>
      </c>
      <c r="S452" s="3" t="n"/>
      <c r="T452" t="inlineStr"/>
      <c r="U452" s="3" t="n">
        <v>1</v>
      </c>
      <c r="V452" s="3" t="n"/>
      <c r="W452" s="3" t="n"/>
      <c r="X452" s="3" t="n"/>
      <c r="Y452" s="3" t="n"/>
      <c r="Z452" s="3" t="n">
        <v>0</v>
      </c>
      <c r="AA452" s="3" t="n"/>
      <c r="AB452" s="3" t="n">
        <v>0</v>
      </c>
      <c r="AC452" s="3" t="n">
        <v>3.3348</v>
      </c>
      <c r="AD452" s="3" t="n">
        <v>1.6498</v>
      </c>
      <c r="AE452" s="3" t="n">
        <v>-0.2045226422080557</v>
      </c>
      <c r="AF452" s="4" t="n">
        <v>0</v>
      </c>
      <c r="AG452" s="3" t="n">
        <v>0</v>
      </c>
      <c r="AH452" s="3" t="n">
        <v>0</v>
      </c>
      <c r="AI452" s="3" t="n">
        <v>0</v>
      </c>
      <c r="AJ452" s="3">
        <f>N(R452)*N(BC452)</f>
        <v/>
      </c>
      <c r="AK452" s="3" t="n">
        <v>0</v>
      </c>
      <c r="AL452" s="3" t="n">
        <v>0</v>
      </c>
      <c r="AM452" s="3" t="n">
        <v>-0.5841244809045405</v>
      </c>
      <c r="AN452" s="3" t="n">
        <v>-0.2045226422080557</v>
      </c>
      <c r="AO452" s="3">
        <f>SUM(AH452:AN452)</f>
        <v/>
      </c>
      <c r="AP452" s="5">
        <f>IF(OR(N(Q452)&lt;=0,N(BA452)=0),0,N(Q452)*IF(N(M452)/N(Q452)&gt;=60,N(BA452),1))</f>
        <v/>
      </c>
      <c r="AQ452" s="5">
        <f>N(Q452)*N(Z452)*N(BB452)</f>
        <v/>
      </c>
      <c r="AR452" s="5">
        <f>N(AF452)*(Assumptions!$B$13*N(BD452)-(1-Assumptions!$B$13)*Assumptions!$B$14)+N(AG452)</f>
        <v/>
      </c>
      <c r="AS452" s="5">
        <f>N(AO452)*N(M452)/90+N(AP452)+N(AQ452)+N(AR452)</f>
        <v/>
      </c>
      <c r="AT452" s="3">
        <f>IF(N(M452)&lt;=0,0,(N(AS452)-N(AR452))*90/N(M452))</f>
        <v/>
      </c>
      <c r="AU452" s="5">
        <f>IFERROR(AS452-VLOOKUP($C452,Assumptions!$A$36:$C$39,3,FALSE),"")</f>
        <v/>
      </c>
      <c r="AV452" s="3">
        <f>IFERROR(AU452/F452,"")</f>
        <v/>
      </c>
      <c r="AW452">
        <f>IF(AND($E452=TRUE,$C452="GKP"),AS452,"")</f>
        <v/>
      </c>
      <c r="AX452">
        <f>IF(AND($E452=TRUE,$C452="DEF"),AS452,"")</f>
        <v/>
      </c>
      <c r="AY452">
        <f>IF(AND($E452=TRUE,$C452="MID"),AS452,"")</f>
        <v/>
      </c>
      <c r="AZ452">
        <f>IF(AND($E452=TRUE,$C452="FWD"),AS452,"")</f>
        <v/>
      </c>
      <c r="BA452" t="n">
        <v>2</v>
      </c>
      <c r="BB452" t="n">
        <v>2</v>
      </c>
      <c r="BC452" t="n">
        <v>4</v>
      </c>
      <c r="BD452" t="n">
        <v>6</v>
      </c>
    </row>
    <row r="453">
      <c r="A453" t="inlineStr">
        <is>
          <t>Armin Pecsi</t>
        </is>
      </c>
      <c r="B453" t="inlineStr">
        <is>
          <t>LIV</t>
        </is>
      </c>
      <c r="C453" t="inlineStr">
        <is>
          <t>GKP</t>
        </is>
      </c>
      <c r="D453" t="inlineStr">
        <is>
          <t>GKP</t>
        </is>
      </c>
      <c r="E453" t="b">
        <v>1</v>
      </c>
      <c r="F453" s="2" t="n">
        <v>4</v>
      </c>
      <c r="G453" t="inlineStr">
        <is>
          <t>a</t>
        </is>
      </c>
      <c r="I453" s="2" t="n">
        <v>0</v>
      </c>
      <c r="J453" t="n">
        <v>0</v>
      </c>
      <c r="K453" s="3" t="n">
        <v>0</v>
      </c>
      <c r="L453" t="inlineStr">
        <is>
          <t>flat</t>
        </is>
      </c>
      <c r="M453" s="4" t="n">
        <v>0</v>
      </c>
      <c r="N453" t="inlineStr">
        <is>
          <t>Solio</t>
        </is>
      </c>
      <c r="O453" s="5" t="n">
        <v>85</v>
      </c>
      <c r="P453" t="b">
        <v>0</v>
      </c>
      <c r="Q453" s="5">
        <f>IF(N(O453)&lt;=0,0,MIN(Assumptions!$B$15,N(M453)/N(O453)))</f>
        <v/>
      </c>
      <c r="R453" s="4" t="n">
        <v>0.342</v>
      </c>
      <c r="S453" s="3" t="n"/>
      <c r="T453" t="inlineStr"/>
      <c r="U453" s="3" t="n">
        <v>1</v>
      </c>
      <c r="V453" s="3" t="n"/>
      <c r="W453" s="3" t="n"/>
      <c r="X453" s="3" t="n"/>
      <c r="Y453" s="3" t="n">
        <v>0</v>
      </c>
      <c r="Z453" s="3" t="n">
        <v>0</v>
      </c>
      <c r="AA453" s="3" t="n"/>
      <c r="AB453" s="3" t="n">
        <v>0</v>
      </c>
      <c r="AC453" s="3" t="n">
        <v>2.409</v>
      </c>
      <c r="AD453" s="3" t="n">
        <v>1.1228</v>
      </c>
      <c r="AE453" s="3" t="n">
        <v>-0.0763216474948735</v>
      </c>
      <c r="AF453" s="4" t="n">
        <v>0</v>
      </c>
      <c r="AG453" s="3" t="n">
        <v>0</v>
      </c>
      <c r="AH453" s="3" t="n">
        <v>0</v>
      </c>
      <c r="AI453" s="3" t="n">
        <v>0</v>
      </c>
      <c r="AJ453" s="3">
        <f>N(R453)*N(BC453)</f>
        <v/>
      </c>
      <c r="AK453" s="3" t="n">
        <v>0</v>
      </c>
      <c r="AL453" s="3" t="n">
        <v>0.4697511244203511</v>
      </c>
      <c r="AM453" s="3" t="n">
        <v>-0.3378660007281162</v>
      </c>
      <c r="AN453" s="3" t="n">
        <v>-0.0763216474948735</v>
      </c>
      <c r="AO453" s="3">
        <f>SUM(AH453:AN453)</f>
        <v/>
      </c>
      <c r="AP453" s="5">
        <f>IF(OR(N(Q453)&lt;=0,N(BA453)=0),0,N(Q453)*IF(N(M453)/N(Q453)&gt;=60,N(BA453),1))</f>
        <v/>
      </c>
      <c r="AQ453" s="5">
        <f>N(Q453)*N(Z453)*N(BB453)</f>
        <v/>
      </c>
      <c r="AR453" s="5">
        <f>N(AF453)*(Assumptions!$B$13*N(BD453)-(1-Assumptions!$B$13)*Assumptions!$B$14)+N(AG453)</f>
        <v/>
      </c>
      <c r="AS453" s="5">
        <f>N(AO453)*N(M453)/90+N(AP453)+N(AQ453)+N(AR453)</f>
        <v/>
      </c>
      <c r="AT453" s="3">
        <f>IF(N(M453)&lt;=0,0,(N(AS453)-N(AR453))*90/N(M453))</f>
        <v/>
      </c>
      <c r="AU453" s="5">
        <f>IFERROR(AS453-VLOOKUP($C453,Assumptions!$A$36:$C$39,3,FALSE),"")</f>
        <v/>
      </c>
      <c r="AV453" s="3">
        <f>IFERROR(AU453/F453,"")</f>
        <v/>
      </c>
      <c r="AW453">
        <f>IF(AND($E453=TRUE,$C453="GKP"),AS453,"")</f>
        <v/>
      </c>
      <c r="AX453">
        <f>IF(AND($E453=TRUE,$C453="DEF"),AS453,"")</f>
        <v/>
      </c>
      <c r="AY453">
        <f>IF(AND($E453=TRUE,$C453="MID"),AS453,"")</f>
        <v/>
      </c>
      <c r="AZ453">
        <f>IF(AND($E453=TRUE,$C453="FWD"),AS453,"")</f>
        <v/>
      </c>
      <c r="BA453" t="n">
        <v>2</v>
      </c>
      <c r="BB453" t="n">
        <v>0</v>
      </c>
      <c r="BC453" t="n">
        <v>4</v>
      </c>
      <c r="BD453" t="n">
        <v>10</v>
      </c>
    </row>
    <row r="454">
      <c r="A454" t="inlineStr">
        <is>
          <t>Carl Rushworth</t>
        </is>
      </c>
      <c r="B454" t="inlineStr">
        <is>
          <t>COV</t>
        </is>
      </c>
      <c r="C454" t="inlineStr">
        <is>
          <t>GKP</t>
        </is>
      </c>
      <c r="D454" t="inlineStr">
        <is>
          <t>GKP</t>
        </is>
      </c>
      <c r="E454" t="b">
        <v>1</v>
      </c>
      <c r="F454" s="2" t="n">
        <v>4.5</v>
      </c>
      <c r="G454" t="inlineStr">
        <is>
          <t>a</t>
        </is>
      </c>
      <c r="I454" s="2" t="n">
        <v>0</v>
      </c>
      <c r="J454" t="n">
        <v>0</v>
      </c>
      <c r="K454" s="3" t="n">
        <v>3385</v>
      </c>
      <c r="L454" t="inlineStr">
        <is>
          <t>flat</t>
        </is>
      </c>
      <c r="M454" s="4" t="n">
        <v>3385</v>
      </c>
      <c r="N454" t="inlineStr">
        <is>
          <t>Solio</t>
        </is>
      </c>
      <c r="O454" s="5" t="n">
        <v>85</v>
      </c>
      <c r="P454" t="b">
        <v>0</v>
      </c>
      <c r="Q454" s="5">
        <f>IF(N(O454)&lt;=0,0,MIN(Assumptions!$B$15,N(M454)/N(O454)))</f>
        <v/>
      </c>
      <c r="R454" s="4" t="n">
        <v>0.17</v>
      </c>
      <c r="S454" s="3" t="n"/>
      <c r="T454" t="inlineStr"/>
      <c r="U454" s="3" t="n">
        <v>1</v>
      </c>
      <c r="V454" s="3" t="n"/>
      <c r="W454" s="3" t="n"/>
      <c r="X454" s="3" t="n"/>
      <c r="Y454" s="3" t="n">
        <v>0</v>
      </c>
      <c r="Z454" s="3" t="n">
        <v>0</v>
      </c>
      <c r="AA454" s="3" t="n"/>
      <c r="AB454" s="3" t="n">
        <v>0</v>
      </c>
      <c r="AC454" s="3" t="n">
        <v>3.6194</v>
      </c>
      <c r="AD454" s="3" t="n">
        <v>1.8271</v>
      </c>
      <c r="AE454" s="3" t="n">
        <v>-0.0763216474948735</v>
      </c>
      <c r="AF454" s="4" t="n">
        <v>0</v>
      </c>
      <c r="AG454" s="3" t="n">
        <v>3.86063745279098</v>
      </c>
      <c r="AH454" s="3" t="n">
        <v>0</v>
      </c>
      <c r="AI454" s="3" t="n">
        <v>0</v>
      </c>
      <c r="AJ454" s="3">
        <f>N(R454)*N(BC454)</f>
        <v/>
      </c>
      <c r="AK454" s="3" t="n">
        <v>0</v>
      </c>
      <c r="AL454" s="3" t="n">
        <v>0.8716770173844571</v>
      </c>
      <c r="AM454" s="3" t="n">
        <v>-0.670020548738316</v>
      </c>
      <c r="AN454" s="3" t="n">
        <v>-0.0763216474948735</v>
      </c>
      <c r="AO454" s="3">
        <f>SUM(AH454:AN454)</f>
        <v/>
      </c>
      <c r="AP454" s="5">
        <f>IF(OR(N(Q454)&lt;=0,N(BA454)=0),0,N(Q454)*IF(N(M454)/N(Q454)&gt;=60,N(BA454),1))</f>
        <v/>
      </c>
      <c r="AQ454" s="5">
        <f>N(Q454)*N(Z454)*N(BB454)</f>
        <v/>
      </c>
      <c r="AR454" s="5">
        <f>N(AF454)*(Assumptions!$B$13*N(BD454)-(1-Assumptions!$B$13)*Assumptions!$B$14)+N(AG454)</f>
        <v/>
      </c>
      <c r="AS454" s="5">
        <f>N(AO454)*N(M454)/90+N(AP454)+N(AQ454)+N(AR454)</f>
        <v/>
      </c>
      <c r="AT454" s="3">
        <f>IF(N(M454)&lt;=0,0,(N(AS454)-N(AR454))*90/N(M454))</f>
        <v/>
      </c>
      <c r="AU454" s="5">
        <f>IFERROR(AS454-VLOOKUP($C454,Assumptions!$A$36:$C$39,3,FALSE),"")</f>
        <v/>
      </c>
      <c r="AV454" s="3">
        <f>IFERROR(AU454/F454,"")</f>
        <v/>
      </c>
      <c r="AW454">
        <f>IF(AND($E454=TRUE,$C454="GKP"),AS454,"")</f>
        <v/>
      </c>
      <c r="AX454">
        <f>IF(AND($E454=TRUE,$C454="DEF"),AS454,"")</f>
        <v/>
      </c>
      <c r="AY454">
        <f>IF(AND($E454=TRUE,$C454="MID"),AS454,"")</f>
        <v/>
      </c>
      <c r="AZ454">
        <f>IF(AND($E454=TRUE,$C454="FWD"),AS454,"")</f>
        <v/>
      </c>
      <c r="BA454" t="n">
        <v>2</v>
      </c>
      <c r="BB454" t="n">
        <v>0</v>
      </c>
      <c r="BC454" t="n">
        <v>4</v>
      </c>
      <c r="BD454" t="n">
        <v>10</v>
      </c>
    </row>
    <row r="455">
      <c r="A455" t="inlineStr">
        <is>
          <t>Darko Gyabi</t>
        </is>
      </c>
      <c r="B455" t="inlineStr">
        <is>
          <t>HUL</t>
        </is>
      </c>
      <c r="C455" t="inlineStr">
        <is>
          <t>MID</t>
        </is>
      </c>
      <c r="D455" t="inlineStr">
        <is>
          <t>MID</t>
        </is>
      </c>
      <c r="E455" t="b">
        <v>1</v>
      </c>
      <c r="F455" s="2" t="n">
        <v>4.5</v>
      </c>
      <c r="G455" t="inlineStr">
        <is>
          <t>i</t>
        </is>
      </c>
      <c r="H455" t="inlineStr">
        <is>
          <t>Thigh injury - Unknown return date</t>
        </is>
      </c>
      <c r="I455" s="2" t="n">
        <v>0</v>
      </c>
      <c r="J455" t="n">
        <v>0</v>
      </c>
      <c r="K455" s="3" t="n">
        <v>0</v>
      </c>
      <c r="L455" t="inlineStr">
        <is>
          <t>flat</t>
        </is>
      </c>
      <c r="M455" s="4" t="n">
        <v>0</v>
      </c>
      <c r="N455" t="inlineStr">
        <is>
          <t>Solio</t>
        </is>
      </c>
      <c r="O455" s="5" t="n">
        <v>85</v>
      </c>
      <c r="P455" t="b">
        <v>0</v>
      </c>
      <c r="Q455" s="5">
        <f>IF(N(O455)&lt;=0,0,MIN(Assumptions!$B$15,N(M455)/N(O455)))</f>
        <v/>
      </c>
      <c r="R455" s="4" t="n">
        <v>0.143</v>
      </c>
      <c r="S455" s="3" t="n"/>
      <c r="T455" t="inlineStr"/>
      <c r="U455" s="3" t="n">
        <v>1</v>
      </c>
      <c r="V455" s="3" t="n"/>
      <c r="W455" s="3" t="n"/>
      <c r="X455" s="3" t="n"/>
      <c r="Y455" s="3" t="n"/>
      <c r="Z455" s="3" t="n">
        <v>0</v>
      </c>
      <c r="AA455" s="3" t="n"/>
      <c r="AB455" s="3" t="n">
        <v>0</v>
      </c>
      <c r="AC455" s="3" t="n">
        <v>3.9421</v>
      </c>
      <c r="AD455" s="3" t="n">
        <v>1.99</v>
      </c>
      <c r="AE455" s="3" t="n">
        <v>-0.2160434166173144</v>
      </c>
      <c r="AF455" s="4" t="n">
        <v>0</v>
      </c>
      <c r="AG455" s="3" t="n">
        <v>0</v>
      </c>
      <c r="AH455" s="3" t="n">
        <v>0</v>
      </c>
      <c r="AI455" s="3" t="n">
        <v>0</v>
      </c>
      <c r="AJ455" s="3">
        <f>N(R455)*N(BC455)</f>
        <v/>
      </c>
      <c r="AK455" s="3" t="n">
        <v>0</v>
      </c>
      <c r="AL455" s="3" t="n">
        <v>0</v>
      </c>
      <c r="AM455" s="3" t="n">
        <v>-0</v>
      </c>
      <c r="AN455" s="3" t="n">
        <v>-0.2160434166173144</v>
      </c>
      <c r="AO455" s="3">
        <f>SUM(AH455:AN455)</f>
        <v/>
      </c>
      <c r="AP455" s="5">
        <f>IF(OR(N(Q455)&lt;=0,N(BA455)=0),0,N(Q455)*IF(N(M455)/N(Q455)&gt;=60,N(BA455),1))</f>
        <v/>
      </c>
      <c r="AQ455" s="5">
        <f>N(Q455)*N(Z455)*N(BB455)</f>
        <v/>
      </c>
      <c r="AR455" s="5">
        <f>N(AF455)*(Assumptions!$B$13*N(BD455)-(1-Assumptions!$B$13)*Assumptions!$B$14)+N(AG455)</f>
        <v/>
      </c>
      <c r="AS455" s="5">
        <f>N(AO455)*N(M455)/90+N(AP455)+N(AQ455)+N(AR455)</f>
        <v/>
      </c>
      <c r="AT455" s="3">
        <f>IF(N(M455)&lt;=0,0,(N(AS455)-N(AR455))*90/N(M455))</f>
        <v/>
      </c>
      <c r="AU455" s="5">
        <f>IFERROR(AS455-VLOOKUP($C455,Assumptions!$A$36:$C$39,3,FALSE),"")</f>
        <v/>
      </c>
      <c r="AV455" s="3">
        <f>IFERROR(AU455/F455,"")</f>
        <v/>
      </c>
      <c r="AW455">
        <f>IF(AND($E455=TRUE,$C455="GKP"),AS455,"")</f>
        <v/>
      </c>
      <c r="AX455">
        <f>IF(AND($E455=TRUE,$C455="DEF"),AS455,"")</f>
        <v/>
      </c>
      <c r="AY455">
        <f>IF(AND($E455=TRUE,$C455="MID"),AS455,"")</f>
        <v/>
      </c>
      <c r="AZ455">
        <f>IF(AND($E455=TRUE,$C455="FWD"),AS455,"")</f>
        <v/>
      </c>
      <c r="BA455" t="n">
        <v>2</v>
      </c>
      <c r="BB455" t="n">
        <v>2</v>
      </c>
      <c r="BC455" t="n">
        <v>1</v>
      </c>
      <c r="BD455" t="n">
        <v>5</v>
      </c>
    </row>
    <row r="456">
      <c r="A456" t="inlineStr">
        <is>
          <t>Samuel Iling-Junior</t>
        </is>
      </c>
      <c r="B456" t="inlineStr">
        <is>
          <t>AVL</t>
        </is>
      </c>
      <c r="C456" t="inlineStr">
        <is>
          <t>MID</t>
        </is>
      </c>
      <c r="D456" t="inlineStr">
        <is>
          <t>MID</t>
        </is>
      </c>
      <c r="E456" t="b">
        <v>1</v>
      </c>
      <c r="F456" s="2" t="n">
        <v>5</v>
      </c>
      <c r="G456" t="inlineStr">
        <is>
          <t>a</t>
        </is>
      </c>
      <c r="I456" s="2" t="n">
        <v>0</v>
      </c>
      <c r="J456" t="n">
        <v>0</v>
      </c>
      <c r="K456" s="3" t="n">
        <v>0</v>
      </c>
      <c r="L456" t="inlineStr">
        <is>
          <t>flat</t>
        </is>
      </c>
      <c r="M456" s="4" t="n">
        <v>0</v>
      </c>
      <c r="N456" t="inlineStr">
        <is>
          <t>Solio</t>
        </is>
      </c>
      <c r="O456" s="5" t="n">
        <v>85</v>
      </c>
      <c r="P456" t="b">
        <v>0</v>
      </c>
      <c r="Q456" s="5">
        <f>IF(N(O456)&lt;=0,0,MIN(Assumptions!$B$15,N(M456)/N(O456)))</f>
        <v/>
      </c>
      <c r="R456" s="4" t="n">
        <v>0.273</v>
      </c>
      <c r="S456" s="3" t="n"/>
      <c r="T456" t="inlineStr"/>
      <c r="U456" s="3" t="n">
        <v>1</v>
      </c>
      <c r="V456" s="3" t="n"/>
      <c r="W456" s="3" t="n"/>
      <c r="X456" s="3" t="n"/>
      <c r="Y456" s="3" t="n"/>
      <c r="Z456" s="3" t="n">
        <v>0</v>
      </c>
      <c r="AA456" s="3" t="n"/>
      <c r="AB456" s="3" t="n">
        <v>0</v>
      </c>
      <c r="AC456" s="3" t="n">
        <v>2.7451</v>
      </c>
      <c r="AD456" s="3" t="n">
        <v>1.3575</v>
      </c>
      <c r="AE456" s="3" t="n">
        <v>-0.2160434166173144</v>
      </c>
      <c r="AF456" s="4" t="n">
        <v>0</v>
      </c>
      <c r="AG456" s="3" t="n">
        <v>0</v>
      </c>
      <c r="AH456" s="3" t="n">
        <v>0</v>
      </c>
      <c r="AI456" s="3" t="n">
        <v>0</v>
      </c>
      <c r="AJ456" s="3">
        <f>N(R456)*N(BC456)</f>
        <v/>
      </c>
      <c r="AK456" s="3" t="n">
        <v>0</v>
      </c>
      <c r="AL456" s="3" t="n">
        <v>0</v>
      </c>
      <c r="AM456" s="3" t="n">
        <v>-0</v>
      </c>
      <c r="AN456" s="3" t="n">
        <v>-0.2160434166173144</v>
      </c>
      <c r="AO456" s="3">
        <f>SUM(AH456:AN456)</f>
        <v/>
      </c>
      <c r="AP456" s="5">
        <f>IF(OR(N(Q456)&lt;=0,N(BA456)=0),0,N(Q456)*IF(N(M456)/N(Q456)&gt;=60,N(BA456),1))</f>
        <v/>
      </c>
      <c r="AQ456" s="5">
        <f>N(Q456)*N(Z456)*N(BB456)</f>
        <v/>
      </c>
      <c r="AR456" s="5">
        <f>N(AF456)*(Assumptions!$B$13*N(BD456)-(1-Assumptions!$B$13)*Assumptions!$B$14)+N(AG456)</f>
        <v/>
      </c>
      <c r="AS456" s="5">
        <f>N(AO456)*N(M456)/90+N(AP456)+N(AQ456)+N(AR456)</f>
        <v/>
      </c>
      <c r="AT456" s="3">
        <f>IF(N(M456)&lt;=0,0,(N(AS456)-N(AR456))*90/N(M456))</f>
        <v/>
      </c>
      <c r="AU456" s="5">
        <f>IFERROR(AS456-VLOOKUP($C456,Assumptions!$A$36:$C$39,3,FALSE),"")</f>
        <v/>
      </c>
      <c r="AV456" s="3">
        <f>IFERROR(AU456/F456,"")</f>
        <v/>
      </c>
      <c r="AW456">
        <f>IF(AND($E456=TRUE,$C456="GKP"),AS456,"")</f>
        <v/>
      </c>
      <c r="AX456">
        <f>IF(AND($E456=TRUE,$C456="DEF"),AS456,"")</f>
        <v/>
      </c>
      <c r="AY456">
        <f>IF(AND($E456=TRUE,$C456="MID"),AS456,"")</f>
        <v/>
      </c>
      <c r="AZ456">
        <f>IF(AND($E456=TRUE,$C456="FWD"),AS456,"")</f>
        <v/>
      </c>
      <c r="BA456" t="n">
        <v>2</v>
      </c>
      <c r="BB456" t="n">
        <v>2</v>
      </c>
      <c r="BC456" t="n">
        <v>1</v>
      </c>
      <c r="BD456" t="n">
        <v>5</v>
      </c>
    </row>
    <row r="457">
      <c r="A457" t="inlineStr">
        <is>
          <t>Mykhailo Mudryk</t>
        </is>
      </c>
      <c r="B457" t="inlineStr">
        <is>
          <t>CHE</t>
        </is>
      </c>
      <c r="C457" t="inlineStr">
        <is>
          <t>MID</t>
        </is>
      </c>
      <c r="D457" t="inlineStr">
        <is>
          <t>MID</t>
        </is>
      </c>
      <c r="E457" t="b">
        <v>1</v>
      </c>
      <c r="F457" s="2" t="n">
        <v>5.5</v>
      </c>
      <c r="G457" t="inlineStr">
        <is>
          <t>a</t>
        </is>
      </c>
      <c r="I457" s="2" t="n">
        <v>0</v>
      </c>
      <c r="J457" t="n">
        <v>0</v>
      </c>
      <c r="K457" s="3" t="n">
        <v>20</v>
      </c>
      <c r="L457" t="inlineStr">
        <is>
          <t>flat</t>
        </is>
      </c>
      <c r="M457" s="4" t="n">
        <v>20</v>
      </c>
      <c r="N457" t="inlineStr">
        <is>
          <t>Solio</t>
        </is>
      </c>
      <c r="O457" s="5" t="n">
        <v>85</v>
      </c>
      <c r="P457" t="b">
        <v>0</v>
      </c>
      <c r="Q457" s="5">
        <f>IF(N(O457)&lt;=0,0,MIN(Assumptions!$B$15,N(M457)/N(O457)))</f>
        <v/>
      </c>
      <c r="R457" s="4" t="n">
        <v>0.322</v>
      </c>
      <c r="S457" s="3" t="n"/>
      <c r="T457" t="inlineStr"/>
      <c r="U457" s="3" t="n">
        <v>1</v>
      </c>
      <c r="V457" s="3" t="n"/>
      <c r="W457" s="3" t="n"/>
      <c r="X457" s="3" t="n"/>
      <c r="Y457" s="3" t="n"/>
      <c r="Z457" s="3" t="n">
        <v>0</v>
      </c>
      <c r="AA457" s="3" t="n"/>
      <c r="AB457" s="3" t="n">
        <v>0</v>
      </c>
      <c r="AC457" s="3" t="n">
        <v>2.4232</v>
      </c>
      <c r="AD457" s="3" t="n">
        <v>1.1851</v>
      </c>
      <c r="AE457" s="3" t="n">
        <v>-0.2336506647245759</v>
      </c>
      <c r="AF457" s="4" t="n">
        <v>0</v>
      </c>
      <c r="AG457" s="3" t="n">
        <v>0</v>
      </c>
      <c r="AH457" s="3" t="n">
        <v>0</v>
      </c>
      <c r="AI457" s="3" t="n">
        <v>0</v>
      </c>
      <c r="AJ457" s="3">
        <f>N(R457)*N(BC457)</f>
        <v/>
      </c>
      <c r="AK457" s="3" t="n">
        <v>0</v>
      </c>
      <c r="AL457" s="3" t="n">
        <v>0</v>
      </c>
      <c r="AM457" s="3" t="n">
        <v>-0</v>
      </c>
      <c r="AN457" s="3" t="n">
        <v>-0.2336506647245759</v>
      </c>
      <c r="AO457" s="3">
        <f>SUM(AH457:AN457)</f>
        <v/>
      </c>
      <c r="AP457" s="5">
        <f>IF(OR(N(Q457)&lt;=0,N(BA457)=0),0,N(Q457)*IF(N(M457)/N(Q457)&gt;=60,N(BA457),1))</f>
        <v/>
      </c>
      <c r="AQ457" s="5">
        <f>N(Q457)*N(Z457)*N(BB457)</f>
        <v/>
      </c>
      <c r="AR457" s="5">
        <f>N(AF457)*(Assumptions!$B$13*N(BD457)-(1-Assumptions!$B$13)*Assumptions!$B$14)+N(AG457)</f>
        <v/>
      </c>
      <c r="AS457" s="5">
        <f>N(AO457)*N(M457)/90+N(AP457)+N(AQ457)+N(AR457)</f>
        <v/>
      </c>
      <c r="AT457" s="3">
        <f>IF(N(M457)&lt;=0,0,(N(AS457)-N(AR457))*90/N(M457))</f>
        <v/>
      </c>
      <c r="AU457" s="5">
        <f>IFERROR(AS457-VLOOKUP($C457,Assumptions!$A$36:$C$39,3,FALSE),"")</f>
        <v/>
      </c>
      <c r="AV457" s="3">
        <f>IFERROR(AU457/F457,"")</f>
        <v/>
      </c>
      <c r="AW457">
        <f>IF(AND($E457=TRUE,$C457="GKP"),AS457,"")</f>
        <v/>
      </c>
      <c r="AX457">
        <f>IF(AND($E457=TRUE,$C457="DEF"),AS457,"")</f>
        <v/>
      </c>
      <c r="AY457">
        <f>IF(AND($E457=TRUE,$C457="MID"),AS457,"")</f>
        <v/>
      </c>
      <c r="AZ457">
        <f>IF(AND($E457=TRUE,$C457="FWD"),AS457,"")</f>
        <v/>
      </c>
      <c r="BA457" t="n">
        <v>2</v>
      </c>
      <c r="BB457" t="n">
        <v>2</v>
      </c>
      <c r="BC457" t="n">
        <v>1</v>
      </c>
      <c r="BD457" t="n">
        <v>5</v>
      </c>
    </row>
    <row r="458">
      <c r="A458" t="inlineStr">
        <is>
          <t>Ashley Phillips</t>
        </is>
      </c>
      <c r="B458" t="inlineStr">
        <is>
          <t>TOT</t>
        </is>
      </c>
      <c r="C458" t="inlineStr">
        <is>
          <t>DEF</t>
        </is>
      </c>
      <c r="D458" t="inlineStr">
        <is>
          <t>DEF</t>
        </is>
      </c>
      <c r="E458" t="b">
        <v>1</v>
      </c>
      <c r="F458" s="2" t="n">
        <v>4.5</v>
      </c>
      <c r="G458" t="inlineStr">
        <is>
          <t>a</t>
        </is>
      </c>
      <c r="I458" s="2" t="n">
        <v>0</v>
      </c>
      <c r="J458" t="n">
        <v>0</v>
      </c>
      <c r="K458" s="3" t="n">
        <v>0</v>
      </c>
      <c r="L458" t="inlineStr">
        <is>
          <t>flat</t>
        </is>
      </c>
      <c r="M458" s="4" t="n">
        <v>0</v>
      </c>
      <c r="N458" t="inlineStr">
        <is>
          <t>Solio</t>
        </is>
      </c>
      <c r="O458" s="5" t="n">
        <v>85</v>
      </c>
      <c r="P458" t="b">
        <v>0</v>
      </c>
      <c r="Q458" s="5">
        <f>IF(N(O458)&lt;=0,0,MIN(Assumptions!$B$15,N(M458)/N(O458)))</f>
        <v/>
      </c>
      <c r="R458" s="4" t="n">
        <v>0.286</v>
      </c>
      <c r="S458" s="3" t="n"/>
      <c r="T458" t="inlineStr"/>
      <c r="U458" s="3" t="n">
        <v>1</v>
      </c>
      <c r="V458" s="3" t="n"/>
      <c r="W458" s="3" t="n"/>
      <c r="X458" s="3" t="n"/>
      <c r="Y458" s="3" t="n"/>
      <c r="Z458" s="3" t="n">
        <v>0</v>
      </c>
      <c r="AA458" s="3" t="n"/>
      <c r="AB458" s="3" t="n">
        <v>0</v>
      </c>
      <c r="AC458" s="3" t="n">
        <v>2.5739</v>
      </c>
      <c r="AD458" s="3" t="n">
        <v>1.3096</v>
      </c>
      <c r="AE458" s="3" t="n">
        <v>-0.2045226422080557</v>
      </c>
      <c r="AF458" s="4" t="n">
        <v>0</v>
      </c>
      <c r="AG458" s="3" t="n">
        <v>0</v>
      </c>
      <c r="AH458" s="3" t="n">
        <v>0</v>
      </c>
      <c r="AI458" s="3" t="n">
        <v>0</v>
      </c>
      <c r="AJ458" s="3">
        <f>N(R458)*N(BC458)</f>
        <v/>
      </c>
      <c r="AK458" s="3" t="n">
        <v>0</v>
      </c>
      <c r="AL458" s="3" t="n">
        <v>0</v>
      </c>
      <c r="AM458" s="3" t="n">
        <v>-0.4230152821052008</v>
      </c>
      <c r="AN458" s="3" t="n">
        <v>-0.2045226422080557</v>
      </c>
      <c r="AO458" s="3">
        <f>SUM(AH458:AN458)</f>
        <v/>
      </c>
      <c r="AP458" s="5">
        <f>IF(OR(N(Q458)&lt;=0,N(BA458)=0),0,N(Q458)*IF(N(M458)/N(Q458)&gt;=60,N(BA458),1))</f>
        <v/>
      </c>
      <c r="AQ458" s="5">
        <f>N(Q458)*N(Z458)*N(BB458)</f>
        <v/>
      </c>
      <c r="AR458" s="5">
        <f>N(AF458)*(Assumptions!$B$13*N(BD458)-(1-Assumptions!$B$13)*Assumptions!$B$14)+N(AG458)</f>
        <v/>
      </c>
      <c r="AS458" s="5">
        <f>N(AO458)*N(M458)/90+N(AP458)+N(AQ458)+N(AR458)</f>
        <v/>
      </c>
      <c r="AT458" s="3">
        <f>IF(N(M458)&lt;=0,0,(N(AS458)-N(AR458))*90/N(M458))</f>
        <v/>
      </c>
      <c r="AU458" s="5">
        <f>IFERROR(AS458-VLOOKUP($C458,Assumptions!$A$36:$C$39,3,FALSE),"")</f>
        <v/>
      </c>
      <c r="AV458" s="3">
        <f>IFERROR(AU458/F458,"")</f>
        <v/>
      </c>
      <c r="AW458">
        <f>IF(AND($E458=TRUE,$C458="GKP"),AS458,"")</f>
        <v/>
      </c>
      <c r="AX458">
        <f>IF(AND($E458=TRUE,$C458="DEF"),AS458,"")</f>
        <v/>
      </c>
      <c r="AY458">
        <f>IF(AND($E458=TRUE,$C458="MID"),AS458,"")</f>
        <v/>
      </c>
      <c r="AZ458">
        <f>IF(AND($E458=TRUE,$C458="FWD"),AS458,"")</f>
        <v/>
      </c>
      <c r="BA458" t="n">
        <v>2</v>
      </c>
      <c r="BB458" t="n">
        <v>2</v>
      </c>
      <c r="BC458" t="n">
        <v>4</v>
      </c>
      <c r="BD458" t="n">
        <v>6</v>
      </c>
    </row>
    <row r="459">
      <c r="A459" t="inlineStr">
        <is>
          <t>Jesurun Rak-Sakyi</t>
        </is>
      </c>
      <c r="B459" t="inlineStr">
        <is>
          <t>CRY</t>
        </is>
      </c>
      <c r="C459" t="inlineStr">
        <is>
          <t>MID</t>
        </is>
      </c>
      <c r="D459" t="inlineStr">
        <is>
          <t>MID</t>
        </is>
      </c>
      <c r="E459" t="b">
        <v>1</v>
      </c>
      <c r="F459" s="2" t="n">
        <v>5</v>
      </c>
      <c r="G459" t="inlineStr">
        <is>
          <t>a</t>
        </is>
      </c>
      <c r="I459" s="2" t="n">
        <v>0</v>
      </c>
      <c r="J459" t="n">
        <v>0</v>
      </c>
      <c r="K459" s="3" t="n">
        <v>0</v>
      </c>
      <c r="L459" t="inlineStr">
        <is>
          <t>flat</t>
        </is>
      </c>
      <c r="M459" s="4" t="n">
        <v>0</v>
      </c>
      <c r="N459" t="inlineStr">
        <is>
          <t>Solio</t>
        </is>
      </c>
      <c r="O459" s="5" t="n">
        <v>85</v>
      </c>
      <c r="P459" t="b">
        <v>0</v>
      </c>
      <c r="Q459" s="5">
        <f>IF(N(O459)&lt;=0,0,MIN(Assumptions!$B$15,N(M459)/N(O459)))</f>
        <v/>
      </c>
      <c r="R459" s="4" t="n">
        <v>0.216</v>
      </c>
      <c r="S459" s="3" t="n"/>
      <c r="T459" t="inlineStr"/>
      <c r="U459" s="3" t="n">
        <v>1</v>
      </c>
      <c r="V459" s="3" t="n"/>
      <c r="W459" s="3" t="n"/>
      <c r="X459" s="3" t="n"/>
      <c r="Y459" s="3" t="n"/>
      <c r="Z459" s="3" t="n">
        <v>0</v>
      </c>
      <c r="AA459" s="3" t="n"/>
      <c r="AB459" s="3" t="n">
        <v>0</v>
      </c>
      <c r="AC459" s="3" t="n">
        <v>3.2035</v>
      </c>
      <c r="AD459" s="3" t="n">
        <v>1.5923</v>
      </c>
      <c r="AE459" s="3" t="n">
        <v>-0.2089903758753938</v>
      </c>
      <c r="AF459" s="4" t="n">
        <v>0</v>
      </c>
      <c r="AG459" s="3" t="n">
        <v>0</v>
      </c>
      <c r="AH459" s="3" t="n">
        <v>0</v>
      </c>
      <c r="AI459" s="3" t="n">
        <v>0</v>
      </c>
      <c r="AJ459" s="3">
        <f>N(R459)*N(BC459)</f>
        <v/>
      </c>
      <c r="AK459" s="3" t="n">
        <v>0</v>
      </c>
      <c r="AL459" s="3" t="n">
        <v>0</v>
      </c>
      <c r="AM459" s="3" t="n">
        <v>-0</v>
      </c>
      <c r="AN459" s="3" t="n">
        <v>-0.2089903758753938</v>
      </c>
      <c r="AO459" s="3">
        <f>SUM(AH459:AN459)</f>
        <v/>
      </c>
      <c r="AP459" s="5">
        <f>IF(OR(N(Q459)&lt;=0,N(BA459)=0),0,N(Q459)*IF(N(M459)/N(Q459)&gt;=60,N(BA459),1))</f>
        <v/>
      </c>
      <c r="AQ459" s="5">
        <f>N(Q459)*N(Z459)*N(BB459)</f>
        <v/>
      </c>
      <c r="AR459" s="5">
        <f>N(AF459)*(Assumptions!$B$13*N(BD459)-(1-Assumptions!$B$13)*Assumptions!$B$14)+N(AG459)</f>
        <v/>
      </c>
      <c r="AS459" s="5">
        <f>N(AO459)*N(M459)/90+N(AP459)+N(AQ459)+N(AR459)</f>
        <v/>
      </c>
      <c r="AT459" s="3">
        <f>IF(N(M459)&lt;=0,0,(N(AS459)-N(AR459))*90/N(M459))</f>
        <v/>
      </c>
      <c r="AU459" s="5">
        <f>IFERROR(AS459-VLOOKUP($C459,Assumptions!$A$36:$C$39,3,FALSE),"")</f>
        <v/>
      </c>
      <c r="AV459" s="3">
        <f>IFERROR(AU459/F459,"")</f>
        <v/>
      </c>
      <c r="AW459">
        <f>IF(AND($E459=TRUE,$C459="GKP"),AS459,"")</f>
        <v/>
      </c>
      <c r="AX459">
        <f>IF(AND($E459=TRUE,$C459="DEF"),AS459,"")</f>
        <v/>
      </c>
      <c r="AY459">
        <f>IF(AND($E459=TRUE,$C459="MID"),AS459,"")</f>
        <v/>
      </c>
      <c r="AZ459">
        <f>IF(AND($E459=TRUE,$C459="FWD"),AS459,"")</f>
        <v/>
      </c>
      <c r="BA459" t="n">
        <v>2</v>
      </c>
      <c r="BB459" t="n">
        <v>2</v>
      </c>
      <c r="BC459" t="n">
        <v>1</v>
      </c>
      <c r="BD459" t="n">
        <v>5</v>
      </c>
    </row>
    <row r="460">
      <c r="A460" t="inlineStr">
        <is>
          <t>Fábio Ferreira Vieira</t>
        </is>
      </c>
      <c r="B460" t="inlineStr">
        <is>
          <t>ARS</t>
        </is>
      </c>
      <c r="C460" t="inlineStr">
        <is>
          <t>MID</t>
        </is>
      </c>
      <c r="D460" t="inlineStr">
        <is>
          <t>MID</t>
        </is>
      </c>
      <c r="E460" t="b">
        <v>1</v>
      </c>
      <c r="F460" s="2" t="n">
        <v>5.5</v>
      </c>
      <c r="G460" t="inlineStr">
        <is>
          <t>a</t>
        </is>
      </c>
      <c r="I460" s="2" t="n">
        <v>0</v>
      </c>
      <c r="J460" t="n">
        <v>0</v>
      </c>
      <c r="K460" s="3" t="n">
        <v>0</v>
      </c>
      <c r="L460" t="inlineStr">
        <is>
          <t>flat</t>
        </is>
      </c>
      <c r="M460" s="4" t="n">
        <v>0</v>
      </c>
      <c r="N460" t="inlineStr">
        <is>
          <t>Solio</t>
        </is>
      </c>
      <c r="O460" s="5" t="n">
        <v>85</v>
      </c>
      <c r="P460" t="b">
        <v>0</v>
      </c>
      <c r="Q460" s="5">
        <f>IF(N(O460)&lt;=0,0,MIN(Assumptions!$B$15,N(M460)/N(O460)))</f>
        <v/>
      </c>
      <c r="R460" s="4" t="n">
        <v>0.391</v>
      </c>
      <c r="S460" s="3" t="n"/>
      <c r="T460" t="inlineStr"/>
      <c r="U460" s="3" t="n">
        <v>1</v>
      </c>
      <c r="V460" s="3" t="n"/>
      <c r="W460" s="3" t="n"/>
      <c r="X460" s="3" t="n"/>
      <c r="Y460" s="3" t="n"/>
      <c r="Z460" s="3" t="n">
        <v>0</v>
      </c>
      <c r="AA460" s="3" t="n"/>
      <c r="AB460" s="3" t="n">
        <v>0</v>
      </c>
      <c r="AC460" s="3" t="n">
        <v>2.067</v>
      </c>
      <c r="AD460" s="3" t="n">
        <v>0.9838</v>
      </c>
      <c r="AE460" s="3" t="n">
        <v>-0.2011774725996978</v>
      </c>
      <c r="AF460" s="4" t="n">
        <v>0</v>
      </c>
      <c r="AG460" s="3" t="n">
        <v>0</v>
      </c>
      <c r="AH460" s="3" t="n">
        <v>0</v>
      </c>
      <c r="AI460" s="3" t="n">
        <v>0</v>
      </c>
      <c r="AJ460" s="3">
        <f>N(R460)*N(BC460)</f>
        <v/>
      </c>
      <c r="AK460" s="3" t="n">
        <v>0</v>
      </c>
      <c r="AL460" s="3" t="n">
        <v>0</v>
      </c>
      <c r="AM460" s="3" t="n">
        <v>-0</v>
      </c>
      <c r="AN460" s="3" t="n">
        <v>-0.2011774725996978</v>
      </c>
      <c r="AO460" s="3">
        <f>SUM(AH460:AN460)</f>
        <v/>
      </c>
      <c r="AP460" s="5">
        <f>IF(OR(N(Q460)&lt;=0,N(BA460)=0),0,N(Q460)*IF(N(M460)/N(Q460)&gt;=60,N(BA460),1))</f>
        <v/>
      </c>
      <c r="AQ460" s="5">
        <f>N(Q460)*N(Z460)*N(BB460)</f>
        <v/>
      </c>
      <c r="AR460" s="5">
        <f>N(AF460)*(Assumptions!$B$13*N(BD460)-(1-Assumptions!$B$13)*Assumptions!$B$14)+N(AG460)</f>
        <v/>
      </c>
      <c r="AS460" s="5">
        <f>N(AO460)*N(M460)/90+N(AP460)+N(AQ460)+N(AR460)</f>
        <v/>
      </c>
      <c r="AT460" s="3">
        <f>IF(N(M460)&lt;=0,0,(N(AS460)-N(AR460))*90/N(M460))</f>
        <v/>
      </c>
      <c r="AU460" s="5">
        <f>IFERROR(AS460-VLOOKUP($C460,Assumptions!$A$36:$C$39,3,FALSE),"")</f>
        <v/>
      </c>
      <c r="AV460" s="3">
        <f>IFERROR(AU460/F460,"")</f>
        <v/>
      </c>
      <c r="AW460">
        <f>IF(AND($E460=TRUE,$C460="GKP"),AS460,"")</f>
        <v/>
      </c>
      <c r="AX460">
        <f>IF(AND($E460=TRUE,$C460="DEF"),AS460,"")</f>
        <v/>
      </c>
      <c r="AY460">
        <f>IF(AND($E460=TRUE,$C460="MID"),AS460,"")</f>
        <v/>
      </c>
      <c r="AZ460">
        <f>IF(AND($E460=TRUE,$C460="FWD"),AS460,"")</f>
        <v/>
      </c>
      <c r="BA460" t="n">
        <v>2</v>
      </c>
      <c r="BB460" t="n">
        <v>2</v>
      </c>
      <c r="BC460" t="n">
        <v>1</v>
      </c>
      <c r="BD460" t="n">
        <v>5</v>
      </c>
    </row>
    <row r="461">
      <c r="A461" t="inlineStr">
        <is>
          <t>James Milner</t>
        </is>
      </c>
      <c r="D461" t="inlineStr">
        <is>
          <t>MID</t>
        </is>
      </c>
      <c r="E461" t="b">
        <v>0</v>
      </c>
      <c r="F461" s="2" t="n"/>
      <c r="I461" s="2" t="n">
        <v>778</v>
      </c>
      <c r="K461" s="3" t="n"/>
      <c r="M461" s="4" t="n">
        <v>778</v>
      </c>
      <c r="N461" t="inlineStr">
        <is>
          <t>25/26 actual</t>
        </is>
      </c>
      <c r="O461" s="5" t="n">
        <v>76.09999999999999</v>
      </c>
      <c r="P461" t="b">
        <v>1</v>
      </c>
      <c r="Q461" s="5">
        <f>IF(N(O461)&lt;=0,0,MIN(Assumptions!$B$15,N(M461)/N(O461)))</f>
        <v/>
      </c>
      <c r="R461" s="4" t="n"/>
      <c r="S461" s="3" t="n">
        <v>0.0247</v>
      </c>
      <c r="T461" t="inlineStr">
        <is>
          <t>adjusted xGOT</t>
        </is>
      </c>
      <c r="U461" s="3" t="n">
        <v>0.223</v>
      </c>
      <c r="V461" s="3" t="n">
        <v>0.931</v>
      </c>
      <c r="W461" s="3" t="n">
        <v>1.9</v>
      </c>
      <c r="X461" s="3" t="n">
        <v>0.07580000000000001</v>
      </c>
      <c r="Y461" s="3" t="n">
        <v>8.965</v>
      </c>
      <c r="Z461" s="3" t="n">
        <v>0</v>
      </c>
      <c r="AA461" s="3" t="n">
        <v>0</v>
      </c>
      <c r="AB461" s="3" t="n">
        <v>27</v>
      </c>
      <c r="AC461" s="3" t="n"/>
      <c r="AD461" s="3" t="n"/>
      <c r="AE461" s="3" t="n"/>
      <c r="AF461" s="4" t="n">
        <v>0</v>
      </c>
      <c r="AG461" s="3" t="n">
        <v>0</v>
      </c>
      <c r="AH461" s="3" t="n">
        <v>0</v>
      </c>
      <c r="AI461" s="3" t="n">
        <v>0</v>
      </c>
      <c r="AJ461" s="3">
        <f>N(R461)*N(BC461)</f>
        <v/>
      </c>
      <c r="AK461" s="3" t="n">
        <v>0</v>
      </c>
      <c r="AL461" s="3" t="n">
        <v>0</v>
      </c>
      <c r="AM461" s="3" t="n">
        <v>0</v>
      </c>
      <c r="AN461" s="3" t="n">
        <v>0</v>
      </c>
      <c r="AO461" s="3">
        <f>SUM(AH461:AN461)</f>
        <v/>
      </c>
      <c r="AP461" s="5">
        <f>IF(OR(N(Q461)&lt;=0,N(BA461)=0),0,N(Q461)*IF(N(M461)/N(Q461)&gt;=60,N(BA461),1))</f>
        <v/>
      </c>
      <c r="AQ461" s="5">
        <f>N(Q461)*N(Z461)*N(BB461)</f>
        <v/>
      </c>
      <c r="AR461" s="5">
        <f>N(AF461)*(Assumptions!$B$13*N(BD461)-(1-Assumptions!$B$13)*Assumptions!$B$14)+N(AG461)</f>
        <v/>
      </c>
      <c r="AS461" s="5">
        <f>N(AO461)*N(M461)/90+N(AP461)+N(AQ461)+N(AR461)</f>
        <v/>
      </c>
      <c r="AT461" s="3">
        <f>IF(N(M461)&lt;=0,0,(N(AS461)-N(AR461))*90/N(M461))</f>
        <v/>
      </c>
      <c r="AU461" s="5">
        <f>IFERROR(AS461-VLOOKUP($C461,Assumptions!$A$36:$C$39,3,FALSE),"")</f>
        <v/>
      </c>
      <c r="AV461" s="3">
        <f>IFERROR(AU461/F461,"")</f>
        <v/>
      </c>
      <c r="AW461">
        <f>IF(AND($E461=TRUE,$C461="GKP"),AS461,"")</f>
        <v/>
      </c>
      <c r="AX461">
        <f>IF(AND($E461=TRUE,$C461="DEF"),AS461,"")</f>
        <v/>
      </c>
      <c r="AY461">
        <f>IF(AND($E461=TRUE,$C461="MID"),AS461,"")</f>
        <v/>
      </c>
      <c r="AZ461">
        <f>IF(AND($E461=TRUE,$C461="FWD"),AS461,"")</f>
        <v/>
      </c>
      <c r="BA461" t="n">
        <v>0</v>
      </c>
      <c r="BB461" t="n">
        <v>0</v>
      </c>
      <c r="BC461" t="n">
        <v>0</v>
      </c>
      <c r="BD461" t="n">
        <v>0</v>
      </c>
    </row>
    <row r="462">
      <c r="A462" t="inlineStr">
        <is>
          <t>Ashley Barnes</t>
        </is>
      </c>
      <c r="D462" t="inlineStr">
        <is>
          <t>FWD</t>
        </is>
      </c>
      <c r="E462" t="b">
        <v>0</v>
      </c>
      <c r="F462" s="2" t="n"/>
      <c r="I462" s="2" t="n">
        <v>40</v>
      </c>
      <c r="K462" s="3" t="n"/>
      <c r="M462" s="4" t="n">
        <v>40</v>
      </c>
      <c r="N462" t="inlineStr">
        <is>
          <t>25/26 actual</t>
        </is>
      </c>
      <c r="O462" s="5" t="n">
        <v>85</v>
      </c>
      <c r="P462" t="b">
        <v>1</v>
      </c>
      <c r="Q462" s="5">
        <f>IF(N(O462)&lt;=0,0,MIN(Assumptions!$B$15,N(M462)/N(O462)))</f>
        <v/>
      </c>
      <c r="R462" s="4" t="n"/>
      <c r="S462" s="3" t="n">
        <v>0.5738</v>
      </c>
      <c r="T462" t="inlineStr">
        <is>
          <t>adjusted xGOT</t>
        </is>
      </c>
      <c r="U462" s="3" t="n">
        <v>1</v>
      </c>
      <c r="V462" s="3" t="n">
        <v>1.018</v>
      </c>
      <c r="W462" s="3" t="n">
        <v>0.2</v>
      </c>
      <c r="X462" s="3" t="n">
        <v>0</v>
      </c>
      <c r="Y462" s="3" t="n">
        <v>4.778</v>
      </c>
      <c r="Z462" s="3" t="n">
        <v>0</v>
      </c>
      <c r="AA462" s="3" t="n">
        <v>0</v>
      </c>
      <c r="AB462" s="3" t="n">
        <v>7</v>
      </c>
      <c r="AC462" s="3" t="n"/>
      <c r="AD462" s="3" t="n"/>
      <c r="AE462" s="3" t="n"/>
      <c r="AF462" s="4" t="n">
        <v>0</v>
      </c>
      <c r="AG462" s="3" t="n">
        <v>0</v>
      </c>
      <c r="AH462" s="3" t="n">
        <v>0</v>
      </c>
      <c r="AI462" s="3" t="n">
        <v>0</v>
      </c>
      <c r="AJ462" s="3">
        <f>N(R462)*N(BC462)</f>
        <v/>
      </c>
      <c r="AK462" s="3" t="n">
        <v>0</v>
      </c>
      <c r="AL462" s="3" t="n">
        <v>0</v>
      </c>
      <c r="AM462" s="3" t="n">
        <v>0</v>
      </c>
      <c r="AN462" s="3" t="n">
        <v>0</v>
      </c>
      <c r="AO462" s="3">
        <f>SUM(AH462:AN462)</f>
        <v/>
      </c>
      <c r="AP462" s="5">
        <f>IF(OR(N(Q462)&lt;=0,N(BA462)=0),0,N(Q462)*IF(N(M462)/N(Q462)&gt;=60,N(BA462),1))</f>
        <v/>
      </c>
      <c r="AQ462" s="5">
        <f>N(Q462)*N(Z462)*N(BB462)</f>
        <v/>
      </c>
      <c r="AR462" s="5">
        <f>N(AF462)*(Assumptions!$B$13*N(BD462)-(1-Assumptions!$B$13)*Assumptions!$B$14)+N(AG462)</f>
        <v/>
      </c>
      <c r="AS462" s="5">
        <f>N(AO462)*N(M462)/90+N(AP462)+N(AQ462)+N(AR462)</f>
        <v/>
      </c>
      <c r="AT462" s="3">
        <f>IF(N(M462)&lt;=0,0,(N(AS462)-N(AR462))*90/N(M462))</f>
        <v/>
      </c>
      <c r="AU462" s="5">
        <f>IFERROR(AS462-VLOOKUP($C462,Assumptions!$A$36:$C$39,3,FALSE),"")</f>
        <v/>
      </c>
      <c r="AV462" s="3">
        <f>IFERROR(AU462/F462,"")</f>
        <v/>
      </c>
      <c r="AW462">
        <f>IF(AND($E462=TRUE,$C462="GKP"),AS462,"")</f>
        <v/>
      </c>
      <c r="AX462">
        <f>IF(AND($E462=TRUE,$C462="DEF"),AS462,"")</f>
        <v/>
      </c>
      <c r="AY462">
        <f>IF(AND($E462=TRUE,$C462="MID"),AS462,"")</f>
        <v/>
      </c>
      <c r="AZ462">
        <f>IF(AND($E462=TRUE,$C462="FWD"),AS462,"")</f>
        <v/>
      </c>
      <c r="BA462" t="n">
        <v>0</v>
      </c>
      <c r="BB462" t="n">
        <v>0</v>
      </c>
      <c r="BC462" t="n">
        <v>0</v>
      </c>
      <c r="BD462" t="n">
        <v>0</v>
      </c>
    </row>
    <row r="463">
      <c r="A463" t="inlineStr">
        <is>
          <t>David Button</t>
        </is>
      </c>
      <c r="B463" t="inlineStr">
        <is>
          <t>IPS</t>
        </is>
      </c>
      <c r="C463" t="inlineStr">
        <is>
          <t>GKP</t>
        </is>
      </c>
      <c r="E463" t="b">
        <v>1</v>
      </c>
      <c r="F463" s="2" t="n">
        <v>4</v>
      </c>
      <c r="G463" t="inlineStr">
        <is>
          <t>a</t>
        </is>
      </c>
      <c r="I463" s="2" t="n"/>
      <c r="K463" s="3" t="n">
        <v>0</v>
      </c>
      <c r="L463" t="inlineStr">
        <is>
          <t>flat</t>
        </is>
      </c>
      <c r="M463" s="4" t="n">
        <v>0</v>
      </c>
      <c r="N463" t="inlineStr">
        <is>
          <t>Solio</t>
        </is>
      </c>
      <c r="O463" s="5" t="n">
        <v>85</v>
      </c>
      <c r="P463" t="b">
        <v>0</v>
      </c>
      <c r="Q463" s="5">
        <f>IF(N(O463)&lt;=0,0,MIN(Assumptions!$B$15,N(M463)/N(O463)))</f>
        <v/>
      </c>
      <c r="R463" s="4" t="n">
        <v>0.17</v>
      </c>
      <c r="S463" s="3" t="n"/>
      <c r="T463" t="inlineStr"/>
      <c r="U463" s="3" t="n">
        <v>1</v>
      </c>
      <c r="V463" s="3" t="n"/>
      <c r="W463" s="3" t="n"/>
      <c r="X463" s="3" t="n"/>
      <c r="Y463" s="3" t="n">
        <v>0</v>
      </c>
      <c r="Z463" s="3" t="n">
        <v>0</v>
      </c>
      <c r="AA463" s="3" t="n"/>
      <c r="AB463" s="3" t="n"/>
      <c r="AC463" s="3" t="n">
        <v>3.5741</v>
      </c>
      <c r="AD463" s="3" t="n">
        <v>1.8319</v>
      </c>
      <c r="AE463" s="3" t="n">
        <v>-0.0763216474948735</v>
      </c>
      <c r="AF463" s="4" t="n">
        <v>0</v>
      </c>
      <c r="AG463" s="3" t="n">
        <v>0</v>
      </c>
      <c r="AH463" s="3" t="n">
        <v>0</v>
      </c>
      <c r="AI463" s="3" t="n">
        <v>0</v>
      </c>
      <c r="AJ463" s="3">
        <f>N(R463)*N(BC463)</f>
        <v/>
      </c>
      <c r="AK463" s="3" t="n">
        <v>0</v>
      </c>
      <c r="AL463" s="3" t="n">
        <v>0.8565116974562608</v>
      </c>
      <c r="AM463" s="3" t="n">
        <v>-0.6723587286814016</v>
      </c>
      <c r="AN463" s="3" t="n">
        <v>-0.0763216474948735</v>
      </c>
      <c r="AO463" s="3">
        <f>SUM(AH463:AN463)</f>
        <v/>
      </c>
      <c r="AP463" s="5">
        <f>IF(OR(N(Q463)&lt;=0,N(BA463)=0),0,N(Q463)*IF(N(M463)/N(Q463)&gt;=60,N(BA463),1))</f>
        <v/>
      </c>
      <c r="AQ463" s="5">
        <f>N(Q463)*N(Z463)*N(BB463)</f>
        <v/>
      </c>
      <c r="AR463" s="5">
        <f>N(AF463)*(Assumptions!$B$13*N(BD463)-(1-Assumptions!$B$13)*Assumptions!$B$14)+N(AG463)</f>
        <v/>
      </c>
      <c r="AS463" s="5">
        <f>N(AO463)*N(M463)/90+N(AP463)+N(AQ463)+N(AR463)</f>
        <v/>
      </c>
      <c r="AT463" s="3">
        <f>IF(N(M463)&lt;=0,0,(N(AS463)-N(AR463))*90/N(M463))</f>
        <v/>
      </c>
      <c r="AU463" s="5">
        <f>IFERROR(AS463-VLOOKUP($C463,Assumptions!$A$36:$C$39,3,FALSE),"")</f>
        <v/>
      </c>
      <c r="AV463" s="3">
        <f>IFERROR(AU463/F463,"")</f>
        <v/>
      </c>
      <c r="AW463">
        <f>IF(AND($E463=TRUE,$C463="GKP"),AS463,"")</f>
        <v/>
      </c>
      <c r="AX463">
        <f>IF(AND($E463=TRUE,$C463="DEF"),AS463,"")</f>
        <v/>
      </c>
      <c r="AY463">
        <f>IF(AND($E463=TRUE,$C463="MID"),AS463,"")</f>
        <v/>
      </c>
      <c r="AZ463">
        <f>IF(AND($E463=TRUE,$C463="FWD"),AS463,"")</f>
        <v/>
      </c>
      <c r="BA463" t="n">
        <v>2</v>
      </c>
      <c r="BB463" t="n">
        <v>0</v>
      </c>
      <c r="BC463" t="n">
        <v>4</v>
      </c>
      <c r="BD463" t="n">
        <v>10</v>
      </c>
    </row>
    <row r="464">
      <c r="A464" t="inlineStr">
        <is>
          <t>Nathaniel Clyne</t>
        </is>
      </c>
      <c r="D464" t="inlineStr">
        <is>
          <t>DEF</t>
        </is>
      </c>
      <c r="E464" t="b">
        <v>0</v>
      </c>
      <c r="F464" s="2" t="n"/>
      <c r="I464" s="2" t="n">
        <v>596</v>
      </c>
      <c r="K464" s="3" t="n"/>
      <c r="M464" s="4" t="n">
        <v>596</v>
      </c>
      <c r="N464" t="inlineStr">
        <is>
          <t>25/26 actual</t>
        </is>
      </c>
      <c r="O464" s="5" t="n">
        <v>72</v>
      </c>
      <c r="P464" t="b">
        <v>1</v>
      </c>
      <c r="Q464" s="5">
        <f>IF(N(O464)&lt;=0,0,MIN(Assumptions!$B$15,N(M464)/N(O464)))</f>
        <v/>
      </c>
      <c r="R464" s="4" t="n"/>
      <c r="S464" s="3" t="n">
        <v>0.0599</v>
      </c>
      <c r="T464" t="inlineStr">
        <is>
          <t>adjusted xGOT</t>
        </is>
      </c>
      <c r="U464" s="3" t="n">
        <v>1</v>
      </c>
      <c r="V464" s="3" t="n">
        <v>0.924</v>
      </c>
      <c r="W464" s="3" t="n">
        <v>0.7</v>
      </c>
      <c r="X464" s="3" t="n">
        <v>0.1019</v>
      </c>
      <c r="Y464" s="3" t="n">
        <v>7.647</v>
      </c>
      <c r="Z464" s="3" t="n">
        <v>0</v>
      </c>
      <c r="AA464" s="3" t="n">
        <v>0.302</v>
      </c>
      <c r="AB464" s="3" t="n">
        <v>16</v>
      </c>
      <c r="AC464" s="3" t="n"/>
      <c r="AD464" s="3" t="n"/>
      <c r="AE464" s="3" t="n"/>
      <c r="AF464" s="4" t="n">
        <v>0</v>
      </c>
      <c r="AG464" s="3" t="n">
        <v>0</v>
      </c>
      <c r="AH464" s="3" t="n">
        <v>0</v>
      </c>
      <c r="AI464" s="3" t="n">
        <v>0</v>
      </c>
      <c r="AJ464" s="3">
        <f>N(R464)*N(BC464)</f>
        <v/>
      </c>
      <c r="AK464" s="3" t="n">
        <v>0</v>
      </c>
      <c r="AL464" s="3" t="n">
        <v>0</v>
      </c>
      <c r="AM464" s="3" t="n">
        <v>0</v>
      </c>
      <c r="AN464" s="3" t="n">
        <v>0</v>
      </c>
      <c r="AO464" s="3">
        <f>SUM(AH464:AN464)</f>
        <v/>
      </c>
      <c r="AP464" s="5">
        <f>IF(OR(N(Q464)&lt;=0,N(BA464)=0),0,N(Q464)*IF(N(M464)/N(Q464)&gt;=60,N(BA464),1))</f>
        <v/>
      </c>
      <c r="AQ464" s="5">
        <f>N(Q464)*N(Z464)*N(BB464)</f>
        <v/>
      </c>
      <c r="AR464" s="5">
        <f>N(AF464)*(Assumptions!$B$13*N(BD464)-(1-Assumptions!$B$13)*Assumptions!$B$14)+N(AG464)</f>
        <v/>
      </c>
      <c r="AS464" s="5">
        <f>N(AO464)*N(M464)/90+N(AP464)+N(AQ464)+N(AR464)</f>
        <v/>
      </c>
      <c r="AT464" s="3">
        <f>IF(N(M464)&lt;=0,0,(N(AS464)-N(AR464))*90/N(M464))</f>
        <v/>
      </c>
      <c r="AU464" s="5">
        <f>IFERROR(AS464-VLOOKUP($C464,Assumptions!$A$36:$C$39,3,FALSE),"")</f>
        <v/>
      </c>
      <c r="AV464" s="3">
        <f>IFERROR(AU464/F464,"")</f>
        <v/>
      </c>
      <c r="AW464">
        <f>IF(AND($E464=TRUE,$C464="GKP"),AS464,"")</f>
        <v/>
      </c>
      <c r="AX464">
        <f>IF(AND($E464=TRUE,$C464="DEF"),AS464,"")</f>
        <v/>
      </c>
      <c r="AY464">
        <f>IF(AND($E464=TRUE,$C464="MID"),AS464,"")</f>
        <v/>
      </c>
      <c r="AZ464">
        <f>IF(AND($E464=TRUE,$C464="FWD"),AS464,"")</f>
        <v/>
      </c>
      <c r="BA464" t="n">
        <v>0</v>
      </c>
      <c r="BB464" t="n">
        <v>0</v>
      </c>
      <c r="BC464" t="n">
        <v>0</v>
      </c>
      <c r="BD464" t="n">
        <v>0</v>
      </c>
    </row>
    <row r="465">
      <c r="A465" t="inlineStr">
        <is>
          <t>Kyle Walker</t>
        </is>
      </c>
      <c r="D465" t="inlineStr">
        <is>
          <t>DEF</t>
        </is>
      </c>
      <c r="E465" t="b">
        <v>0</v>
      </c>
      <c r="F465" s="2" t="n"/>
      <c r="I465" s="2" t="n">
        <v>3097</v>
      </c>
      <c r="K465" s="3" t="n"/>
      <c r="M465" s="4" t="n">
        <v>3097</v>
      </c>
      <c r="N465" t="inlineStr">
        <is>
          <t>25/26 actual</t>
        </is>
      </c>
      <c r="O465" s="5" t="n">
        <v>88.2</v>
      </c>
      <c r="P465" t="b">
        <v>1</v>
      </c>
      <c r="Q465" s="5">
        <f>IF(N(O465)&lt;=0,0,MIN(Assumptions!$B$15,N(M465)/N(O465)))</f>
        <v/>
      </c>
      <c r="R465" s="4" t="n"/>
      <c r="S465" s="3" t="n">
        <v>0.004</v>
      </c>
      <c r="T465" t="inlineStr">
        <is>
          <t>adjusted xGOT</t>
        </is>
      </c>
      <c r="U465" s="3" t="n">
        <v>1</v>
      </c>
      <c r="V465" s="3" t="n">
        <v>0.916</v>
      </c>
      <c r="W465" s="3" t="n">
        <v>1.1</v>
      </c>
      <c r="X465" s="3" t="n">
        <v>0.0484</v>
      </c>
      <c r="Y465" s="3" t="n">
        <v>6.452</v>
      </c>
      <c r="Z465" s="3" t="n">
        <v>0</v>
      </c>
      <c r="AA465" s="3" t="n">
        <v>0.0872</v>
      </c>
      <c r="AB465" s="3" t="n">
        <v>70</v>
      </c>
      <c r="AC465" s="3" t="n"/>
      <c r="AD465" s="3" t="n"/>
      <c r="AE465" s="3" t="n"/>
      <c r="AF465" s="4" t="n">
        <v>0</v>
      </c>
      <c r="AG465" s="3" t="n">
        <v>0</v>
      </c>
      <c r="AH465" s="3" t="n">
        <v>0</v>
      </c>
      <c r="AI465" s="3" t="n">
        <v>0</v>
      </c>
      <c r="AJ465" s="3">
        <f>N(R465)*N(BC465)</f>
        <v/>
      </c>
      <c r="AK465" s="3" t="n">
        <v>0</v>
      </c>
      <c r="AL465" s="3" t="n">
        <v>0</v>
      </c>
      <c r="AM465" s="3" t="n">
        <v>0</v>
      </c>
      <c r="AN465" s="3" t="n">
        <v>0</v>
      </c>
      <c r="AO465" s="3">
        <f>SUM(AH465:AN465)</f>
        <v/>
      </c>
      <c r="AP465" s="5">
        <f>IF(OR(N(Q465)&lt;=0,N(BA465)=0),0,N(Q465)*IF(N(M465)/N(Q465)&gt;=60,N(BA465),1))</f>
        <v/>
      </c>
      <c r="AQ465" s="5">
        <f>N(Q465)*N(Z465)*N(BB465)</f>
        <v/>
      </c>
      <c r="AR465" s="5">
        <f>N(AF465)*(Assumptions!$B$13*N(BD465)-(1-Assumptions!$B$13)*Assumptions!$B$14)+N(AG465)</f>
        <v/>
      </c>
      <c r="AS465" s="5">
        <f>N(AO465)*N(M465)/90+N(AP465)+N(AQ465)+N(AR465)</f>
        <v/>
      </c>
      <c r="AT465" s="3">
        <f>IF(N(M465)&lt;=0,0,(N(AS465)-N(AR465))*90/N(M465))</f>
        <v/>
      </c>
      <c r="AU465" s="5">
        <f>IFERROR(AS465-VLOOKUP($C465,Assumptions!$A$36:$C$39,3,FALSE),"")</f>
        <v/>
      </c>
      <c r="AV465" s="3">
        <f>IFERROR(AU465/F465,"")</f>
        <v/>
      </c>
      <c r="AW465">
        <f>IF(AND($E465=TRUE,$C465="GKP"),AS465,"")</f>
        <v/>
      </c>
      <c r="AX465">
        <f>IF(AND($E465=TRUE,$C465="DEF"),AS465,"")</f>
        <v/>
      </c>
      <c r="AY465">
        <f>IF(AND($E465=TRUE,$C465="MID"),AS465,"")</f>
        <v/>
      </c>
      <c r="AZ465">
        <f>IF(AND($E465=TRUE,$C465="FWD"),AS465,"")</f>
        <v/>
      </c>
      <c r="BA465" t="n">
        <v>0</v>
      </c>
      <c r="BB465" t="n">
        <v>0</v>
      </c>
      <c r="BC465" t="n">
        <v>0</v>
      </c>
      <c r="BD465" t="n">
        <v>0</v>
      </c>
    </row>
    <row r="466">
      <c r="A466" t="inlineStr">
        <is>
          <t>Séamus Coleman</t>
        </is>
      </c>
      <c r="D466" t="inlineStr">
        <is>
          <t>DEF</t>
        </is>
      </c>
      <c r="E466" t="b">
        <v>0</v>
      </c>
      <c r="F466" s="2" t="n"/>
      <c r="I466" s="2" t="n">
        <v>20</v>
      </c>
      <c r="K466" s="3" t="n"/>
      <c r="M466" s="4" t="n">
        <v>20</v>
      </c>
      <c r="N466" t="inlineStr">
        <is>
          <t>25/26 actual</t>
        </is>
      </c>
      <c r="O466" s="5" t="n">
        <v>9</v>
      </c>
      <c r="P466" t="b">
        <v>1</v>
      </c>
      <c r="Q466" s="5">
        <f>IF(N(O466)&lt;=0,0,MIN(Assumptions!$B$15,N(M466)/N(O466)))</f>
        <v/>
      </c>
      <c r="R466" s="4" t="n"/>
      <c r="S466" s="3" t="n">
        <v>0</v>
      </c>
      <c r="T466" t="inlineStr">
        <is>
          <t>adjusted xGOT</t>
        </is>
      </c>
      <c r="U466" s="3" t="n">
        <v>1</v>
      </c>
      <c r="V466" s="3" t="n">
        <v>0.93</v>
      </c>
      <c r="W466" s="3" t="n">
        <v>0.9</v>
      </c>
      <c r="X466" s="3" t="n">
        <v>0.1706</v>
      </c>
      <c r="Y466" s="3" t="n">
        <v>7.731</v>
      </c>
      <c r="Z466" s="3" t="n">
        <v>0</v>
      </c>
      <c r="AA466" s="3" t="n">
        <v>0</v>
      </c>
      <c r="AB466" s="3" t="n">
        <v>5</v>
      </c>
      <c r="AC466" s="3" t="n"/>
      <c r="AD466" s="3" t="n"/>
      <c r="AE466" s="3" t="n"/>
      <c r="AF466" s="4" t="n">
        <v>0</v>
      </c>
      <c r="AG466" s="3" t="n">
        <v>0</v>
      </c>
      <c r="AH466" s="3" t="n">
        <v>0</v>
      </c>
      <c r="AI466" s="3" t="n">
        <v>0</v>
      </c>
      <c r="AJ466" s="3">
        <f>N(R466)*N(BC466)</f>
        <v/>
      </c>
      <c r="AK466" s="3" t="n">
        <v>0</v>
      </c>
      <c r="AL466" s="3" t="n">
        <v>0</v>
      </c>
      <c r="AM466" s="3" t="n">
        <v>0</v>
      </c>
      <c r="AN466" s="3" t="n">
        <v>0</v>
      </c>
      <c r="AO466" s="3">
        <f>SUM(AH466:AN466)</f>
        <v/>
      </c>
      <c r="AP466" s="5">
        <f>IF(OR(N(Q466)&lt;=0,N(BA466)=0),0,N(Q466)*IF(N(M466)/N(Q466)&gt;=60,N(BA466),1))</f>
        <v/>
      </c>
      <c r="AQ466" s="5">
        <f>N(Q466)*N(Z466)*N(BB466)</f>
        <v/>
      </c>
      <c r="AR466" s="5">
        <f>N(AF466)*(Assumptions!$B$13*N(BD466)-(1-Assumptions!$B$13)*Assumptions!$B$14)+N(AG466)</f>
        <v/>
      </c>
      <c r="AS466" s="5">
        <f>N(AO466)*N(M466)/90+N(AP466)+N(AQ466)+N(AR466)</f>
        <v/>
      </c>
      <c r="AT466" s="3">
        <f>IF(N(M466)&lt;=0,0,(N(AS466)-N(AR466))*90/N(M466))</f>
        <v/>
      </c>
      <c r="AU466" s="5">
        <f>IFERROR(AS466-VLOOKUP($C466,Assumptions!$A$36:$C$39,3,FALSE),"")</f>
        <v/>
      </c>
      <c r="AV466" s="3">
        <f>IFERROR(AU466/F466,"")</f>
        <v/>
      </c>
      <c r="AW466">
        <f>IF(AND($E466=TRUE,$C466="GKP"),AS466,"")</f>
        <v/>
      </c>
      <c r="AX466">
        <f>IF(AND($E466=TRUE,$C466="DEF"),AS466,"")</f>
        <v/>
      </c>
      <c r="AY466">
        <f>IF(AND($E466=TRUE,$C466="MID"),AS466,"")</f>
        <v/>
      </c>
      <c r="AZ466">
        <f>IF(AND($E466=TRUE,$C466="FWD"),AS466,"")</f>
        <v/>
      </c>
      <c r="BA466" t="n">
        <v>0</v>
      </c>
      <c r="BB466" t="n">
        <v>0</v>
      </c>
      <c r="BC466" t="n">
        <v>0</v>
      </c>
      <c r="BD466" t="n">
        <v>0</v>
      </c>
    </row>
    <row r="467">
      <c r="A467" t="inlineStr">
        <is>
          <t>Casemiro</t>
        </is>
      </c>
      <c r="D467" t="inlineStr">
        <is>
          <t>MID</t>
        </is>
      </c>
      <c r="E467" t="b">
        <v>0</v>
      </c>
      <c r="F467" s="2" t="n"/>
      <c r="I467" s="2" t="n">
        <v>2588</v>
      </c>
      <c r="K467" s="3" t="n"/>
      <c r="M467" s="4" t="n">
        <v>2588</v>
      </c>
      <c r="N467" t="inlineStr">
        <is>
          <t>25/26 actual</t>
        </is>
      </c>
      <c r="O467" s="5" t="n">
        <v>77.7</v>
      </c>
      <c r="P467" t="b">
        <v>1</v>
      </c>
      <c r="Q467" s="5">
        <f>IF(N(O467)&lt;=0,0,MIN(Assumptions!$B$15,N(M467)/N(O467)))</f>
        <v/>
      </c>
      <c r="R467" s="4" t="n"/>
      <c r="S467" s="3" t="n">
        <v>0.1734</v>
      </c>
      <c r="T467" t="inlineStr">
        <is>
          <t>adjusted xGOT</t>
        </is>
      </c>
      <c r="U467" s="3" t="n">
        <v>1</v>
      </c>
      <c r="V467" s="3" t="n">
        <v>0.916</v>
      </c>
      <c r="W467" s="3" t="n">
        <v>14.4</v>
      </c>
      <c r="X467" s="3" t="n">
        <v>0.1105</v>
      </c>
      <c r="Y467" s="3" t="n">
        <v>11.571</v>
      </c>
      <c r="Z467" s="3" t="n">
        <v>0</v>
      </c>
      <c r="AA467" s="3" t="n">
        <v>0.6955</v>
      </c>
      <c r="AB467" s="3" t="n">
        <v>63</v>
      </c>
      <c r="AC467" s="3" t="n"/>
      <c r="AD467" s="3" t="n"/>
      <c r="AE467" s="3" t="n"/>
      <c r="AF467" s="4" t="n">
        <v>0</v>
      </c>
      <c r="AG467" s="3" t="n">
        <v>0</v>
      </c>
      <c r="AH467" s="3" t="n">
        <v>0</v>
      </c>
      <c r="AI467" s="3" t="n">
        <v>0</v>
      </c>
      <c r="AJ467" s="3">
        <f>N(R467)*N(BC467)</f>
        <v/>
      </c>
      <c r="AK467" s="3" t="n">
        <v>0</v>
      </c>
      <c r="AL467" s="3" t="n">
        <v>0</v>
      </c>
      <c r="AM467" s="3" t="n">
        <v>0</v>
      </c>
      <c r="AN467" s="3" t="n">
        <v>0</v>
      </c>
      <c r="AO467" s="3">
        <f>SUM(AH467:AN467)</f>
        <v/>
      </c>
      <c r="AP467" s="5">
        <f>IF(OR(N(Q467)&lt;=0,N(BA467)=0),0,N(Q467)*IF(N(M467)/N(Q467)&gt;=60,N(BA467),1))</f>
        <v/>
      </c>
      <c r="AQ467" s="5">
        <f>N(Q467)*N(Z467)*N(BB467)</f>
        <v/>
      </c>
      <c r="AR467" s="5">
        <f>N(AF467)*(Assumptions!$B$13*N(BD467)-(1-Assumptions!$B$13)*Assumptions!$B$14)+N(AG467)</f>
        <v/>
      </c>
      <c r="AS467" s="5">
        <f>N(AO467)*N(M467)/90+N(AP467)+N(AQ467)+N(AR467)</f>
        <v/>
      </c>
      <c r="AT467" s="3">
        <f>IF(N(M467)&lt;=0,0,(N(AS467)-N(AR467))*90/N(M467))</f>
        <v/>
      </c>
      <c r="AU467" s="5">
        <f>IFERROR(AS467-VLOOKUP($C467,Assumptions!$A$36:$C$39,3,FALSE),"")</f>
        <v/>
      </c>
      <c r="AV467" s="3">
        <f>IFERROR(AU467/F467,"")</f>
        <v/>
      </c>
      <c r="AW467">
        <f>IF(AND($E467=TRUE,$C467="GKP"),AS467,"")</f>
        <v/>
      </c>
      <c r="AX467">
        <f>IF(AND($E467=TRUE,$C467="DEF"),AS467,"")</f>
        <v/>
      </c>
      <c r="AY467">
        <f>IF(AND($E467=TRUE,$C467="MID"),AS467,"")</f>
        <v/>
      </c>
      <c r="AZ467">
        <f>IF(AND($E467=TRUE,$C467="FWD"),AS467,"")</f>
        <v/>
      </c>
      <c r="BA467" t="n">
        <v>0</v>
      </c>
      <c r="BB467" t="n">
        <v>0</v>
      </c>
      <c r="BC467" t="n">
        <v>0</v>
      </c>
      <c r="BD467" t="n">
        <v>0</v>
      </c>
    </row>
    <row r="468">
      <c r="A468" t="inlineStr">
        <is>
          <t>Kieran Trippier</t>
        </is>
      </c>
      <c r="D468" t="inlineStr">
        <is>
          <t>DEF</t>
        </is>
      </c>
      <c r="E468" t="b">
        <v>0</v>
      </c>
      <c r="F468" s="2" t="n"/>
      <c r="I468" s="2" t="n">
        <v>1592</v>
      </c>
      <c r="K468" s="3" t="n"/>
      <c r="M468" s="4" t="n">
        <v>1592</v>
      </c>
      <c r="N468" t="inlineStr">
        <is>
          <t>25/26 actual</t>
        </is>
      </c>
      <c r="O468" s="5" t="n">
        <v>84.3</v>
      </c>
      <c r="P468" t="b">
        <v>1</v>
      </c>
      <c r="Q468" s="5">
        <f>IF(N(O468)&lt;=0,0,MIN(Assumptions!$B$15,N(M468)/N(O468)))</f>
        <v/>
      </c>
      <c r="R468" s="4" t="n"/>
      <c r="S468" s="3" t="n">
        <v>0.0047</v>
      </c>
      <c r="T468" t="inlineStr">
        <is>
          <t>adjusted xGOT</t>
        </is>
      </c>
      <c r="U468" s="3" t="n">
        <v>1</v>
      </c>
      <c r="V468" s="3" t="n">
        <v>1.052</v>
      </c>
      <c r="W468" s="3" t="n">
        <v>1.7</v>
      </c>
      <c r="X468" s="3" t="n">
        <v>0.1029</v>
      </c>
      <c r="Y468" s="3" t="n">
        <v>5.6</v>
      </c>
      <c r="Z468" s="3" t="n">
        <v>0</v>
      </c>
      <c r="AA468" s="3" t="n">
        <v>0.1131</v>
      </c>
      <c r="AB468" s="3" t="n">
        <v>39</v>
      </c>
      <c r="AC468" s="3" t="n"/>
      <c r="AD468" s="3" t="n"/>
      <c r="AE468" s="3" t="n"/>
      <c r="AF468" s="4" t="n">
        <v>0</v>
      </c>
      <c r="AG468" s="3" t="n">
        <v>0</v>
      </c>
      <c r="AH468" s="3" t="n">
        <v>0</v>
      </c>
      <c r="AI468" s="3" t="n">
        <v>0</v>
      </c>
      <c r="AJ468" s="3">
        <f>N(R468)*N(BC468)</f>
        <v/>
      </c>
      <c r="AK468" s="3" t="n">
        <v>0</v>
      </c>
      <c r="AL468" s="3" t="n">
        <v>0</v>
      </c>
      <c r="AM468" s="3" t="n">
        <v>0</v>
      </c>
      <c r="AN468" s="3" t="n">
        <v>0</v>
      </c>
      <c r="AO468" s="3">
        <f>SUM(AH468:AN468)</f>
        <v/>
      </c>
      <c r="AP468" s="5">
        <f>IF(OR(N(Q468)&lt;=0,N(BA468)=0),0,N(Q468)*IF(N(M468)/N(Q468)&gt;=60,N(BA468),1))</f>
        <v/>
      </c>
      <c r="AQ468" s="5">
        <f>N(Q468)*N(Z468)*N(BB468)</f>
        <v/>
      </c>
      <c r="AR468" s="5">
        <f>N(AF468)*(Assumptions!$B$13*N(BD468)-(1-Assumptions!$B$13)*Assumptions!$B$14)+N(AG468)</f>
        <v/>
      </c>
      <c r="AS468" s="5">
        <f>N(AO468)*N(M468)/90+N(AP468)+N(AQ468)+N(AR468)</f>
        <v/>
      </c>
      <c r="AT468" s="3">
        <f>IF(N(M468)&lt;=0,0,(N(AS468)-N(AR468))*90/N(M468))</f>
        <v/>
      </c>
      <c r="AU468" s="5">
        <f>IFERROR(AS468-VLOOKUP($C468,Assumptions!$A$36:$C$39,3,FALSE),"")</f>
        <v/>
      </c>
      <c r="AV468" s="3">
        <f>IFERROR(AU468/F468,"")</f>
        <v/>
      </c>
      <c r="AW468">
        <f>IF(AND($E468=TRUE,$C468="GKP"),AS468,"")</f>
        <v/>
      </c>
      <c r="AX468">
        <f>IF(AND($E468=TRUE,$C468="DEF"),AS468,"")</f>
        <v/>
      </c>
      <c r="AY468">
        <f>IF(AND($E468=TRUE,$C468="MID"),AS468,"")</f>
        <v/>
      </c>
      <c r="AZ468">
        <f>IF(AND($E468=TRUE,$C468="FWD"),AS468,"")</f>
        <v/>
      </c>
      <c r="BA468" t="n">
        <v>0</v>
      </c>
      <c r="BB468" t="n">
        <v>0</v>
      </c>
      <c r="BC468" t="n">
        <v>0</v>
      </c>
      <c r="BD468" t="n">
        <v>0</v>
      </c>
    </row>
    <row r="469">
      <c r="A469" t="inlineStr">
        <is>
          <t>Dan Bentley</t>
        </is>
      </c>
      <c r="D469" t="inlineStr">
        <is>
          <t>GKP</t>
        </is>
      </c>
      <c r="E469" t="b">
        <v>0</v>
      </c>
      <c r="F469" s="2" t="n"/>
      <c r="I469" s="2" t="n">
        <v>270</v>
      </c>
      <c r="K469" s="3" t="n"/>
      <c r="M469" s="4" t="n">
        <v>270</v>
      </c>
      <c r="N469" t="inlineStr">
        <is>
          <t>25/26 actual</t>
        </is>
      </c>
      <c r="O469" s="5" t="n">
        <v>90</v>
      </c>
      <c r="P469" t="b">
        <v>1</v>
      </c>
      <c r="Q469" s="5">
        <f>IF(N(O469)&lt;=0,0,MIN(Assumptions!$B$15,N(M469)/N(O469)))</f>
        <v/>
      </c>
      <c r="R469" s="4" t="n"/>
      <c r="S469" s="3" t="n">
        <v>0</v>
      </c>
      <c r="T469" t="inlineStr">
        <is>
          <t>blended xG</t>
        </is>
      </c>
      <c r="U469" s="3" t="n">
        <v>1</v>
      </c>
      <c r="V469" s="3" t="n">
        <v>1</v>
      </c>
      <c r="W469" s="3" t="n">
        <v>0</v>
      </c>
      <c r="X469" s="3" t="n">
        <v>0</v>
      </c>
      <c r="Y469" s="3" t="n">
        <v>0</v>
      </c>
      <c r="Z469" s="3" t="n">
        <v>0</v>
      </c>
      <c r="AA469" s="3" t="n">
        <v>0</v>
      </c>
      <c r="AB469" s="3" t="n">
        <v>6</v>
      </c>
      <c r="AC469" s="3" t="n"/>
      <c r="AD469" s="3" t="n"/>
      <c r="AE469" s="3" t="n"/>
      <c r="AF469" s="4" t="n">
        <v>0</v>
      </c>
      <c r="AG469" s="3" t="n">
        <v>0</v>
      </c>
      <c r="AH469" s="3" t="n">
        <v>0</v>
      </c>
      <c r="AI469" s="3" t="n">
        <v>0</v>
      </c>
      <c r="AJ469" s="3">
        <f>N(R469)*N(BC469)</f>
        <v/>
      </c>
      <c r="AK469" s="3" t="n">
        <v>0</v>
      </c>
      <c r="AL469" s="3" t="n">
        <v>0</v>
      </c>
      <c r="AM469" s="3" t="n">
        <v>0</v>
      </c>
      <c r="AN469" s="3" t="n">
        <v>0</v>
      </c>
      <c r="AO469" s="3">
        <f>SUM(AH469:AN469)</f>
        <v/>
      </c>
      <c r="AP469" s="5">
        <f>IF(OR(N(Q469)&lt;=0,N(BA469)=0),0,N(Q469)*IF(N(M469)/N(Q469)&gt;=60,N(BA469),1))</f>
        <v/>
      </c>
      <c r="AQ469" s="5">
        <f>N(Q469)*N(Z469)*N(BB469)</f>
        <v/>
      </c>
      <c r="AR469" s="5">
        <f>N(AF469)*(Assumptions!$B$13*N(BD469)-(1-Assumptions!$B$13)*Assumptions!$B$14)+N(AG469)</f>
        <v/>
      </c>
      <c r="AS469" s="5">
        <f>N(AO469)*N(M469)/90+N(AP469)+N(AQ469)+N(AR469)</f>
        <v/>
      </c>
      <c r="AT469" s="3">
        <f>IF(N(M469)&lt;=0,0,(N(AS469)-N(AR469))*90/N(M469))</f>
        <v/>
      </c>
      <c r="AU469" s="5">
        <f>IFERROR(AS469-VLOOKUP($C469,Assumptions!$A$36:$C$39,3,FALSE),"")</f>
        <v/>
      </c>
      <c r="AV469" s="3">
        <f>IFERROR(AU469/F469,"")</f>
        <v/>
      </c>
      <c r="AW469">
        <f>IF(AND($E469=TRUE,$C469="GKP"),AS469,"")</f>
        <v/>
      </c>
      <c r="AX469">
        <f>IF(AND($E469=TRUE,$C469="DEF"),AS469,"")</f>
        <v/>
      </c>
      <c r="AY469">
        <f>IF(AND($E469=TRUE,$C469="MID"),AS469,"")</f>
        <v/>
      </c>
      <c r="AZ469">
        <f>IF(AND($E469=TRUE,$C469="FWD"),AS469,"")</f>
        <v/>
      </c>
      <c r="BA469" t="n">
        <v>0</v>
      </c>
      <c r="BB469" t="n">
        <v>0</v>
      </c>
      <c r="BC469" t="n">
        <v>0</v>
      </c>
      <c r="BD469" t="n">
        <v>0</v>
      </c>
    </row>
    <row r="470">
      <c r="A470" t="inlineStr">
        <is>
          <t>Jake Bidwell</t>
        </is>
      </c>
      <c r="B470" t="inlineStr">
        <is>
          <t>COV</t>
        </is>
      </c>
      <c r="C470" t="inlineStr">
        <is>
          <t>DEF</t>
        </is>
      </c>
      <c r="E470" t="b">
        <v>1</v>
      </c>
      <c r="F470" s="2" t="n">
        <v>4</v>
      </c>
      <c r="G470" t="inlineStr">
        <is>
          <t>a</t>
        </is>
      </c>
      <c r="I470" s="2" t="n"/>
      <c r="K470" s="3" t="n">
        <v>65</v>
      </c>
      <c r="L470" t="inlineStr">
        <is>
          <t>flat</t>
        </is>
      </c>
      <c r="M470" s="4" t="n">
        <v>65</v>
      </c>
      <c r="N470" t="inlineStr">
        <is>
          <t>Solio</t>
        </is>
      </c>
      <c r="O470" s="5" t="n">
        <v>85</v>
      </c>
      <c r="P470" t="b">
        <v>0</v>
      </c>
      <c r="Q470" s="5">
        <f>IF(N(O470)&lt;=0,0,MIN(Assumptions!$B$15,N(M470)/N(O470)))</f>
        <v/>
      </c>
      <c r="R470" s="4" t="n">
        <v>0.17</v>
      </c>
      <c r="S470" s="3" t="n"/>
      <c r="T470" t="inlineStr"/>
      <c r="U470" s="3" t="n">
        <v>1</v>
      </c>
      <c r="V470" s="3" t="n"/>
      <c r="W470" s="3" t="n"/>
      <c r="X470" s="3" t="n"/>
      <c r="Y470" s="3" t="n"/>
      <c r="Z470" s="3" t="n">
        <v>0</v>
      </c>
      <c r="AA470" s="3" t="n"/>
      <c r="AB470" s="3" t="n"/>
      <c r="AC470" s="3" t="n">
        <v>3.6194</v>
      </c>
      <c r="AD470" s="3" t="n">
        <v>1.8271</v>
      </c>
      <c r="AE470" s="3" t="n">
        <v>-0.2045226422080557</v>
      </c>
      <c r="AF470" s="4" t="n">
        <v>0</v>
      </c>
      <c r="AG470" s="3" t="n">
        <v>0</v>
      </c>
      <c r="AH470" s="3" t="n">
        <v>0</v>
      </c>
      <c r="AI470" s="3" t="n">
        <v>0</v>
      </c>
      <c r="AJ470" s="3">
        <f>N(R470)*N(BC470)</f>
        <v/>
      </c>
      <c r="AK470" s="3" t="n">
        <v>0</v>
      </c>
      <c r="AL470" s="3" t="n">
        <v>0</v>
      </c>
      <c r="AM470" s="3" t="n">
        <v>-0.670020548738316</v>
      </c>
      <c r="AN470" s="3" t="n">
        <v>-0.2045226422080557</v>
      </c>
      <c r="AO470" s="3">
        <f>SUM(AH470:AN470)</f>
        <v/>
      </c>
      <c r="AP470" s="5">
        <f>IF(OR(N(Q470)&lt;=0,N(BA470)=0),0,N(Q470)*IF(N(M470)/N(Q470)&gt;=60,N(BA470),1))</f>
        <v/>
      </c>
      <c r="AQ470" s="5">
        <f>N(Q470)*N(Z470)*N(BB470)</f>
        <v/>
      </c>
      <c r="AR470" s="5">
        <f>N(AF470)*(Assumptions!$B$13*N(BD470)-(1-Assumptions!$B$13)*Assumptions!$B$14)+N(AG470)</f>
        <v/>
      </c>
      <c r="AS470" s="5">
        <f>N(AO470)*N(M470)/90+N(AP470)+N(AQ470)+N(AR470)</f>
        <v/>
      </c>
      <c r="AT470" s="3">
        <f>IF(N(M470)&lt;=0,0,(N(AS470)-N(AR470))*90/N(M470))</f>
        <v/>
      </c>
      <c r="AU470" s="5">
        <f>IFERROR(AS470-VLOOKUP($C470,Assumptions!$A$36:$C$39,3,FALSE),"")</f>
        <v/>
      </c>
      <c r="AV470" s="3">
        <f>IFERROR(AU470/F470,"")</f>
        <v/>
      </c>
      <c r="AW470">
        <f>IF(AND($E470=TRUE,$C470="GKP"),AS470,"")</f>
        <v/>
      </c>
      <c r="AX470">
        <f>IF(AND($E470=TRUE,$C470="DEF"),AS470,"")</f>
        <v/>
      </c>
      <c r="AY470">
        <f>IF(AND($E470=TRUE,$C470="MID"),AS470,"")</f>
        <v/>
      </c>
      <c r="AZ470">
        <f>IF(AND($E470=TRUE,$C470="FWD"),AS470,"")</f>
        <v/>
      </c>
      <c r="BA470" t="n">
        <v>2</v>
      </c>
      <c r="BB470" t="n">
        <v>2</v>
      </c>
      <c r="BC470" t="n">
        <v>4</v>
      </c>
      <c r="BD470" t="n">
        <v>6</v>
      </c>
    </row>
    <row r="471">
      <c r="A471" t="inlineStr">
        <is>
          <t>Idrissa Gueye</t>
        </is>
      </c>
      <c r="D471" t="inlineStr">
        <is>
          <t>MID</t>
        </is>
      </c>
      <c r="E471" t="b">
        <v>0</v>
      </c>
      <c r="F471" s="2" t="n"/>
      <c r="I471" s="2" t="n">
        <v>2101</v>
      </c>
      <c r="K471" s="3" t="n"/>
      <c r="M471" s="4" t="n">
        <v>2101</v>
      </c>
      <c r="N471" t="inlineStr">
        <is>
          <t>25/26 actual</t>
        </is>
      </c>
      <c r="O471" s="5" t="n">
        <v>83.8</v>
      </c>
      <c r="P471" t="b">
        <v>1</v>
      </c>
      <c r="Q471" s="5">
        <f>IF(N(O471)&lt;=0,0,MIN(Assumptions!$B$15,N(M471)/N(O471)))</f>
        <v/>
      </c>
      <c r="R471" s="4" t="n"/>
      <c r="S471" s="3" t="n">
        <v>0.08790000000000001</v>
      </c>
      <c r="T471" t="inlineStr">
        <is>
          <t>adjusted xGOT</t>
        </is>
      </c>
      <c r="U471" s="3" t="n">
        <v>1</v>
      </c>
      <c r="V471" s="3" t="n">
        <v>1.03</v>
      </c>
      <c r="W471" s="3" t="n">
        <v>5.1</v>
      </c>
      <c r="X471" s="3" t="n">
        <v>0.0726</v>
      </c>
      <c r="Y471" s="3" t="n">
        <v>9.167</v>
      </c>
      <c r="Z471" s="3" t="n">
        <v>0</v>
      </c>
      <c r="AA471" s="3" t="n">
        <v>0.1713</v>
      </c>
      <c r="AB471" s="3" t="n">
        <v>49</v>
      </c>
      <c r="AC471" s="3" t="n"/>
      <c r="AD471" s="3" t="n"/>
      <c r="AE471" s="3" t="n"/>
      <c r="AF471" s="4" t="n">
        <v>0</v>
      </c>
      <c r="AG471" s="3" t="n">
        <v>0</v>
      </c>
      <c r="AH471" s="3" t="n">
        <v>0</v>
      </c>
      <c r="AI471" s="3" t="n">
        <v>0</v>
      </c>
      <c r="AJ471" s="3">
        <f>N(R471)*N(BC471)</f>
        <v/>
      </c>
      <c r="AK471" s="3" t="n">
        <v>0</v>
      </c>
      <c r="AL471" s="3" t="n">
        <v>0</v>
      </c>
      <c r="AM471" s="3" t="n">
        <v>0</v>
      </c>
      <c r="AN471" s="3" t="n">
        <v>0</v>
      </c>
      <c r="AO471" s="3">
        <f>SUM(AH471:AN471)</f>
        <v/>
      </c>
      <c r="AP471" s="5">
        <f>IF(OR(N(Q471)&lt;=0,N(BA471)=0),0,N(Q471)*IF(N(M471)/N(Q471)&gt;=60,N(BA471),1))</f>
        <v/>
      </c>
      <c r="AQ471" s="5">
        <f>N(Q471)*N(Z471)*N(BB471)</f>
        <v/>
      </c>
      <c r="AR471" s="5">
        <f>N(AF471)*(Assumptions!$B$13*N(BD471)-(1-Assumptions!$B$13)*Assumptions!$B$14)+N(AG471)</f>
        <v/>
      </c>
      <c r="AS471" s="5">
        <f>N(AO471)*N(M471)/90+N(AP471)+N(AQ471)+N(AR471)</f>
        <v/>
      </c>
      <c r="AT471" s="3">
        <f>IF(N(M471)&lt;=0,0,(N(AS471)-N(AR471))*90/N(M471))</f>
        <v/>
      </c>
      <c r="AU471" s="5">
        <f>IFERROR(AS471-VLOOKUP($C471,Assumptions!$A$36:$C$39,3,FALSE),"")</f>
        <v/>
      </c>
      <c r="AV471" s="3">
        <f>IFERROR(AU471/F471,"")</f>
        <v/>
      </c>
      <c r="AW471">
        <f>IF(AND($E471=TRUE,$C471="GKP"),AS471,"")</f>
        <v/>
      </c>
      <c r="AX471">
        <f>IF(AND($E471=TRUE,$C471="DEF"),AS471,"")</f>
        <v/>
      </c>
      <c r="AY471">
        <f>IF(AND($E471=TRUE,$C471="MID"),AS471,"")</f>
        <v/>
      </c>
      <c r="AZ471">
        <f>IF(AND($E471=TRUE,$C471="FWD"),AS471,"")</f>
        <v/>
      </c>
      <c r="BA471" t="n">
        <v>0</v>
      </c>
      <c r="BB471" t="n">
        <v>0</v>
      </c>
      <c r="BC471" t="n">
        <v>0</v>
      </c>
      <c r="BD471" t="n">
        <v>0</v>
      </c>
    </row>
    <row r="472">
      <c r="A472" t="inlineStr">
        <is>
          <t>Alphonse Areola</t>
        </is>
      </c>
      <c r="D472" t="inlineStr">
        <is>
          <t>GKP</t>
        </is>
      </c>
      <c r="E472" t="b">
        <v>0</v>
      </c>
      <c r="F472" s="2" t="n"/>
      <c r="I472" s="2" t="n">
        <v>1800</v>
      </c>
      <c r="K472" s="3" t="n"/>
      <c r="M472" s="4" t="n">
        <v>1800</v>
      </c>
      <c r="N472" t="inlineStr">
        <is>
          <t>25/26 actual</t>
        </is>
      </c>
      <c r="O472" s="5" t="n">
        <v>90</v>
      </c>
      <c r="P472" t="b">
        <v>1</v>
      </c>
      <c r="Q472" s="5">
        <f>IF(N(O472)&lt;=0,0,MIN(Assumptions!$B$15,N(M472)/N(O472)))</f>
        <v/>
      </c>
      <c r="R472" s="4" t="n"/>
      <c r="S472" s="3" t="n">
        <v>0</v>
      </c>
      <c r="T472" t="inlineStr">
        <is>
          <t>blended xG</t>
        </is>
      </c>
      <c r="U472" s="3" t="n">
        <v>1</v>
      </c>
      <c r="V472" s="3" t="n">
        <v>1</v>
      </c>
      <c r="W472" s="3" t="n">
        <v>0</v>
      </c>
      <c r="X472" s="3" t="n">
        <v>0.0011</v>
      </c>
      <c r="Y472" s="3" t="n">
        <v>0</v>
      </c>
      <c r="Z472" s="3" t="n">
        <v>0</v>
      </c>
      <c r="AA472" s="3" t="n">
        <v>0.1</v>
      </c>
      <c r="AB472" s="3" t="n">
        <v>40</v>
      </c>
      <c r="AC472" s="3" t="n"/>
      <c r="AD472" s="3" t="n"/>
      <c r="AE472" s="3" t="n"/>
      <c r="AF472" s="4" t="n">
        <v>0</v>
      </c>
      <c r="AG472" s="3" t="n">
        <v>0</v>
      </c>
      <c r="AH472" s="3" t="n">
        <v>0</v>
      </c>
      <c r="AI472" s="3" t="n">
        <v>0</v>
      </c>
      <c r="AJ472" s="3">
        <f>N(R472)*N(BC472)</f>
        <v/>
      </c>
      <c r="AK472" s="3" t="n">
        <v>0</v>
      </c>
      <c r="AL472" s="3" t="n">
        <v>0</v>
      </c>
      <c r="AM472" s="3" t="n">
        <v>0</v>
      </c>
      <c r="AN472" s="3" t="n">
        <v>0</v>
      </c>
      <c r="AO472" s="3">
        <f>SUM(AH472:AN472)</f>
        <v/>
      </c>
      <c r="AP472" s="5">
        <f>IF(OR(N(Q472)&lt;=0,N(BA472)=0),0,N(Q472)*IF(N(M472)/N(Q472)&gt;=60,N(BA472),1))</f>
        <v/>
      </c>
      <c r="AQ472" s="5">
        <f>N(Q472)*N(Z472)*N(BB472)</f>
        <v/>
      </c>
      <c r="AR472" s="5">
        <f>N(AF472)*(Assumptions!$B$13*N(BD472)-(1-Assumptions!$B$13)*Assumptions!$B$14)+N(AG472)</f>
        <v/>
      </c>
      <c r="AS472" s="5">
        <f>N(AO472)*N(M472)/90+N(AP472)+N(AQ472)+N(AR472)</f>
        <v/>
      </c>
      <c r="AT472" s="3">
        <f>IF(N(M472)&lt;=0,0,(N(AS472)-N(AR472))*90/N(M472))</f>
        <v/>
      </c>
      <c r="AU472" s="5">
        <f>IFERROR(AS472-VLOOKUP($C472,Assumptions!$A$36:$C$39,3,FALSE),"")</f>
        <v/>
      </c>
      <c r="AV472" s="3">
        <f>IFERROR(AU472/F472,"")</f>
        <v/>
      </c>
      <c r="AW472">
        <f>IF(AND($E472=TRUE,$C472="GKP"),AS472,"")</f>
        <v/>
      </c>
      <c r="AX472">
        <f>IF(AND($E472=TRUE,$C472="DEF"),AS472,"")</f>
        <v/>
      </c>
      <c r="AY472">
        <f>IF(AND($E472=TRUE,$C472="MID"),AS472,"")</f>
        <v/>
      </c>
      <c r="AZ472">
        <f>IF(AND($E472=TRUE,$C472="FWD"),AS472,"")</f>
        <v/>
      </c>
      <c r="BA472" t="n">
        <v>0</v>
      </c>
      <c r="BB472" t="n">
        <v>0</v>
      </c>
      <c r="BC472" t="n">
        <v>0</v>
      </c>
      <c r="BD472" t="n">
        <v>0</v>
      </c>
    </row>
    <row r="473">
      <c r="A473" t="inlineStr">
        <is>
          <t>Matt Doherty</t>
        </is>
      </c>
      <c r="D473" t="inlineStr">
        <is>
          <t>DEF</t>
        </is>
      </c>
      <c r="E473" t="b">
        <v>0</v>
      </c>
      <c r="F473" s="2" t="n"/>
      <c r="I473" s="2" t="n">
        <v>791</v>
      </c>
      <c r="K473" s="3" t="n"/>
      <c r="M473" s="4" t="n">
        <v>791</v>
      </c>
      <c r="N473" t="inlineStr">
        <is>
          <t>25/26 actual</t>
        </is>
      </c>
      <c r="O473" s="5" t="n">
        <v>71.5</v>
      </c>
      <c r="P473" t="b">
        <v>1</v>
      </c>
      <c r="Q473" s="5">
        <f>IF(N(O473)&lt;=0,0,MIN(Assumptions!$B$15,N(M473)/N(O473)))</f>
        <v/>
      </c>
      <c r="R473" s="4" t="n"/>
      <c r="S473" s="3" t="n">
        <v>0.0108</v>
      </c>
      <c r="T473" t="inlineStr">
        <is>
          <t>adjusted xGOT</t>
        </is>
      </c>
      <c r="U473" s="3" t="n">
        <v>1</v>
      </c>
      <c r="V473" s="3" t="n">
        <v>1.061</v>
      </c>
      <c r="W473" s="3" t="n">
        <v>2.8</v>
      </c>
      <c r="X473" s="3" t="n">
        <v>0.0197</v>
      </c>
      <c r="Y473" s="3" t="n">
        <v>7.618</v>
      </c>
      <c r="Z473" s="3" t="n">
        <v>0</v>
      </c>
      <c r="AA473" s="3" t="n">
        <v>0</v>
      </c>
      <c r="AB473" s="3" t="n">
        <v>19</v>
      </c>
      <c r="AC473" s="3" t="n"/>
      <c r="AD473" s="3" t="n"/>
      <c r="AE473" s="3" t="n"/>
      <c r="AF473" s="4" t="n">
        <v>0</v>
      </c>
      <c r="AG473" s="3" t="n">
        <v>0</v>
      </c>
      <c r="AH473" s="3" t="n">
        <v>0</v>
      </c>
      <c r="AI473" s="3" t="n">
        <v>0</v>
      </c>
      <c r="AJ473" s="3">
        <f>N(R473)*N(BC473)</f>
        <v/>
      </c>
      <c r="AK473" s="3" t="n">
        <v>0</v>
      </c>
      <c r="AL473" s="3" t="n">
        <v>0</v>
      </c>
      <c r="AM473" s="3" t="n">
        <v>0</v>
      </c>
      <c r="AN473" s="3" t="n">
        <v>0</v>
      </c>
      <c r="AO473" s="3">
        <f>SUM(AH473:AN473)</f>
        <v/>
      </c>
      <c r="AP473" s="5">
        <f>IF(OR(N(Q473)&lt;=0,N(BA473)=0),0,N(Q473)*IF(N(M473)/N(Q473)&gt;=60,N(BA473),1))</f>
        <v/>
      </c>
      <c r="AQ473" s="5">
        <f>N(Q473)*N(Z473)*N(BB473)</f>
        <v/>
      </c>
      <c r="AR473" s="5">
        <f>N(AF473)*(Assumptions!$B$13*N(BD473)-(1-Assumptions!$B$13)*Assumptions!$B$14)+N(AG473)</f>
        <v/>
      </c>
      <c r="AS473" s="5">
        <f>N(AO473)*N(M473)/90+N(AP473)+N(AQ473)+N(AR473)</f>
        <v/>
      </c>
      <c r="AT473" s="3">
        <f>IF(N(M473)&lt;=0,0,(N(AS473)-N(AR473))*90/N(M473))</f>
        <v/>
      </c>
      <c r="AU473" s="5">
        <f>IFERROR(AS473-VLOOKUP($C473,Assumptions!$A$36:$C$39,3,FALSE),"")</f>
        <v/>
      </c>
      <c r="AV473" s="3">
        <f>IFERROR(AU473/F473,"")</f>
        <v/>
      </c>
      <c r="AW473">
        <f>IF(AND($E473=TRUE,$C473="GKP"),AS473,"")</f>
        <v/>
      </c>
      <c r="AX473">
        <f>IF(AND($E473=TRUE,$C473="DEF"),AS473,"")</f>
        <v/>
      </c>
      <c r="AY473">
        <f>IF(AND($E473=TRUE,$C473="MID"),AS473,"")</f>
        <v/>
      </c>
      <c r="AZ473">
        <f>IF(AND($E473=TRUE,$C473="FWD"),AS473,"")</f>
        <v/>
      </c>
      <c r="BA473" t="n">
        <v>0</v>
      </c>
      <c r="BB473" t="n">
        <v>0</v>
      </c>
      <c r="BC473" t="n">
        <v>0</v>
      </c>
      <c r="BD473" t="n">
        <v>0</v>
      </c>
    </row>
    <row r="474">
      <c r="A474" t="inlineStr">
        <is>
          <t>Stefan Ortega</t>
        </is>
      </c>
      <c r="D474" t="inlineStr">
        <is>
          <t>GKP</t>
        </is>
      </c>
      <c r="E474" t="b">
        <v>0</v>
      </c>
      <c r="F474" s="2" t="n"/>
      <c r="I474" s="2" t="n">
        <v>270</v>
      </c>
      <c r="K474" s="3" t="n"/>
      <c r="M474" s="4" t="n">
        <v>270</v>
      </c>
      <c r="N474" t="inlineStr">
        <is>
          <t>25/26 actual</t>
        </is>
      </c>
      <c r="O474" s="5" t="n">
        <v>90</v>
      </c>
      <c r="P474" t="b">
        <v>1</v>
      </c>
      <c r="Q474" s="5">
        <f>IF(N(O474)&lt;=0,0,MIN(Assumptions!$B$15,N(M474)/N(O474)))</f>
        <v/>
      </c>
      <c r="R474" s="4" t="n"/>
      <c r="S474" s="3" t="n">
        <v>0</v>
      </c>
      <c r="T474" t="inlineStr">
        <is>
          <t>blended xG</t>
        </is>
      </c>
      <c r="U474" s="3" t="n">
        <v>1</v>
      </c>
      <c r="V474" s="3" t="n">
        <v>1</v>
      </c>
      <c r="W474" s="3" t="n">
        <v>0</v>
      </c>
      <c r="X474" s="3" t="n">
        <v>0</v>
      </c>
      <c r="Y474" s="3" t="n">
        <v>0</v>
      </c>
      <c r="Z474" s="3" t="n">
        <v>0</v>
      </c>
      <c r="AA474" s="3" t="n">
        <v>0</v>
      </c>
      <c r="AB474" s="3" t="n">
        <v>6</v>
      </c>
      <c r="AC474" s="3" t="n"/>
      <c r="AD474" s="3" t="n"/>
      <c r="AE474" s="3" t="n"/>
      <c r="AF474" s="4" t="n">
        <v>0</v>
      </c>
      <c r="AG474" s="3" t="n">
        <v>0</v>
      </c>
      <c r="AH474" s="3" t="n">
        <v>0</v>
      </c>
      <c r="AI474" s="3" t="n">
        <v>0</v>
      </c>
      <c r="AJ474" s="3">
        <f>N(R474)*N(BC474)</f>
        <v/>
      </c>
      <c r="AK474" s="3" t="n">
        <v>0</v>
      </c>
      <c r="AL474" s="3" t="n">
        <v>0</v>
      </c>
      <c r="AM474" s="3" t="n">
        <v>0</v>
      </c>
      <c r="AN474" s="3" t="n">
        <v>0</v>
      </c>
      <c r="AO474" s="3">
        <f>SUM(AH474:AN474)</f>
        <v/>
      </c>
      <c r="AP474" s="5">
        <f>IF(OR(N(Q474)&lt;=0,N(BA474)=0),0,N(Q474)*IF(N(M474)/N(Q474)&gt;=60,N(BA474),1))</f>
        <v/>
      </c>
      <c r="AQ474" s="5">
        <f>N(Q474)*N(Z474)*N(BB474)</f>
        <v/>
      </c>
      <c r="AR474" s="5">
        <f>N(AF474)*(Assumptions!$B$13*N(BD474)-(1-Assumptions!$B$13)*Assumptions!$B$14)+N(AG474)</f>
        <v/>
      </c>
      <c r="AS474" s="5">
        <f>N(AO474)*N(M474)/90+N(AP474)+N(AQ474)+N(AR474)</f>
        <v/>
      </c>
      <c r="AT474" s="3">
        <f>IF(N(M474)&lt;=0,0,(N(AS474)-N(AR474))*90/N(M474))</f>
        <v/>
      </c>
      <c r="AU474" s="5">
        <f>IFERROR(AS474-VLOOKUP($C474,Assumptions!$A$36:$C$39,3,FALSE),"")</f>
        <v/>
      </c>
      <c r="AV474" s="3">
        <f>IFERROR(AU474/F474,"")</f>
        <v/>
      </c>
      <c r="AW474">
        <f>IF(AND($E474=TRUE,$C474="GKP"),AS474,"")</f>
        <v/>
      </c>
      <c r="AX474">
        <f>IF(AND($E474=TRUE,$C474="DEF"),AS474,"")</f>
        <v/>
      </c>
      <c r="AY474">
        <f>IF(AND($E474=TRUE,$C474="MID"),AS474,"")</f>
        <v/>
      </c>
      <c r="AZ474">
        <f>IF(AND($E474=TRUE,$C474="FWD"),AS474,"")</f>
        <v/>
      </c>
      <c r="BA474" t="n">
        <v>0</v>
      </c>
      <c r="BB474" t="n">
        <v>0</v>
      </c>
      <c r="BC474" t="n">
        <v>0</v>
      </c>
      <c r="BD474" t="n">
        <v>0</v>
      </c>
    </row>
    <row r="475">
      <c r="A475" t="inlineStr">
        <is>
          <t>Niclas Füllkrug</t>
        </is>
      </c>
      <c r="D475" t="inlineStr">
        <is>
          <t>FWD</t>
        </is>
      </c>
      <c r="E475" t="b">
        <v>0</v>
      </c>
      <c r="F475" s="2" t="n"/>
      <c r="I475" s="2" t="n">
        <v>408</v>
      </c>
      <c r="K475" s="3" t="n"/>
      <c r="M475" s="4" t="n">
        <v>408</v>
      </c>
      <c r="N475" t="inlineStr">
        <is>
          <t>25/26 actual</t>
        </is>
      </c>
      <c r="O475" s="5" t="n">
        <v>69.59999999999999</v>
      </c>
      <c r="P475" t="b">
        <v>1</v>
      </c>
      <c r="Q475" s="5">
        <f>IF(N(O475)&lt;=0,0,MIN(Assumptions!$B$15,N(M475)/N(O475)))</f>
        <v/>
      </c>
      <c r="R475" s="4" t="n"/>
      <c r="S475" s="3" t="n">
        <v>0.2279</v>
      </c>
      <c r="T475" t="inlineStr">
        <is>
          <t>adjusted xGOT</t>
        </is>
      </c>
      <c r="U475" s="3" t="n">
        <v>1</v>
      </c>
      <c r="V475" s="3" t="n">
        <v>1.111</v>
      </c>
      <c r="W475" s="3" t="n">
        <v>3.1</v>
      </c>
      <c r="X475" s="3" t="n">
        <v>0.09909999999999999</v>
      </c>
      <c r="Y475" s="3" t="n">
        <v>4.579</v>
      </c>
      <c r="Z475" s="3" t="n">
        <v>0</v>
      </c>
      <c r="AA475" s="3" t="n">
        <v>0</v>
      </c>
      <c r="AB475" s="3" t="n">
        <v>12</v>
      </c>
      <c r="AC475" s="3" t="n"/>
      <c r="AD475" s="3" t="n"/>
      <c r="AE475" s="3" t="n"/>
      <c r="AF475" s="4" t="n">
        <v>0</v>
      </c>
      <c r="AG475" s="3" t="n">
        <v>0</v>
      </c>
      <c r="AH475" s="3" t="n">
        <v>0</v>
      </c>
      <c r="AI475" s="3" t="n">
        <v>0</v>
      </c>
      <c r="AJ475" s="3">
        <f>N(R475)*N(BC475)</f>
        <v/>
      </c>
      <c r="AK475" s="3" t="n">
        <v>0</v>
      </c>
      <c r="AL475" s="3" t="n">
        <v>0</v>
      </c>
      <c r="AM475" s="3" t="n">
        <v>0</v>
      </c>
      <c r="AN475" s="3" t="n">
        <v>0</v>
      </c>
      <c r="AO475" s="3">
        <f>SUM(AH475:AN475)</f>
        <v/>
      </c>
      <c r="AP475" s="5">
        <f>IF(OR(N(Q475)&lt;=0,N(BA475)=0),0,N(Q475)*IF(N(M475)/N(Q475)&gt;=60,N(BA475),1))</f>
        <v/>
      </c>
      <c r="AQ475" s="5">
        <f>N(Q475)*N(Z475)*N(BB475)</f>
        <v/>
      </c>
      <c r="AR475" s="5">
        <f>N(AF475)*(Assumptions!$B$13*N(BD475)-(1-Assumptions!$B$13)*Assumptions!$B$14)+N(AG475)</f>
        <v/>
      </c>
      <c r="AS475" s="5">
        <f>N(AO475)*N(M475)/90+N(AP475)+N(AQ475)+N(AR475)</f>
        <v/>
      </c>
      <c r="AT475" s="3">
        <f>IF(N(M475)&lt;=0,0,(N(AS475)-N(AR475))*90/N(M475))</f>
        <v/>
      </c>
      <c r="AU475" s="5">
        <f>IFERROR(AS475-VLOOKUP($C475,Assumptions!$A$36:$C$39,3,FALSE),"")</f>
        <v/>
      </c>
      <c r="AV475" s="3">
        <f>IFERROR(AU475/F475,"")</f>
        <v/>
      </c>
      <c r="AW475">
        <f>IF(AND($E475=TRUE,$C475="GKP"),AS475,"")</f>
        <v/>
      </c>
      <c r="AX475">
        <f>IF(AND($E475=TRUE,$C475="DEF"),AS475,"")</f>
        <v/>
      </c>
      <c r="AY475">
        <f>IF(AND($E475=TRUE,$C475="MID"),AS475,"")</f>
        <v/>
      </c>
      <c r="AZ475">
        <f>IF(AND($E475=TRUE,$C475="FWD"),AS475,"")</f>
        <v/>
      </c>
      <c r="BA475" t="n">
        <v>0</v>
      </c>
      <c r="BB475" t="n">
        <v>0</v>
      </c>
      <c r="BC475" t="n">
        <v>0</v>
      </c>
      <c r="BD475" t="n">
        <v>0</v>
      </c>
    </row>
    <row r="476">
      <c r="A476" t="inlineStr">
        <is>
          <t>Thomas Meunier</t>
        </is>
      </c>
      <c r="B476" t="inlineStr">
        <is>
          <t>SUN</t>
        </is>
      </c>
      <c r="C476" t="inlineStr">
        <is>
          <t>DEF</t>
        </is>
      </c>
      <c r="E476" t="b">
        <v>1</v>
      </c>
      <c r="F476" s="2" t="n">
        <v>4.5</v>
      </c>
      <c r="G476" t="inlineStr">
        <is>
          <t>a</t>
        </is>
      </c>
      <c r="I476" s="2" t="n"/>
      <c r="K476" s="3" t="n">
        <v>804</v>
      </c>
      <c r="L476" t="inlineStr">
        <is>
          <t>flat</t>
        </is>
      </c>
      <c r="M476" s="4" t="n">
        <v>804</v>
      </c>
      <c r="N476" t="inlineStr">
        <is>
          <t>Solio</t>
        </is>
      </c>
      <c r="O476" s="5" t="n">
        <v>85</v>
      </c>
      <c r="P476" t="b">
        <v>0</v>
      </c>
      <c r="Q476" s="5">
        <f>IF(N(O476)&lt;=0,0,MIN(Assumptions!$B$15,N(M476)/N(O476)))</f>
        <v/>
      </c>
      <c r="R476" s="4" t="n">
        <v>0.204</v>
      </c>
      <c r="S476" s="3" t="n"/>
      <c r="T476" t="inlineStr"/>
      <c r="U476" s="3" t="n">
        <v>1</v>
      </c>
      <c r="V476" s="3" t="n"/>
      <c r="W476" s="3" t="n"/>
      <c r="X476" s="3" t="n"/>
      <c r="Y476" s="3" t="n"/>
      <c r="Z476" s="3" t="n">
        <v>0</v>
      </c>
      <c r="AA476" s="3" t="n"/>
      <c r="AB476" s="3" t="n"/>
      <c r="AC476" s="3" t="n">
        <v>3.3348</v>
      </c>
      <c r="AD476" s="3" t="n">
        <v>1.6498</v>
      </c>
      <c r="AE476" s="3" t="n">
        <v>-0.2045226422080557</v>
      </c>
      <c r="AF476" s="4" t="n">
        <v>0</v>
      </c>
      <c r="AG476" s="3" t="n">
        <v>0</v>
      </c>
      <c r="AH476" s="3" t="n">
        <v>0</v>
      </c>
      <c r="AI476" s="3" t="n">
        <v>0</v>
      </c>
      <c r="AJ476" s="3">
        <f>N(R476)*N(BC476)</f>
        <v/>
      </c>
      <c r="AK476" s="3" t="n">
        <v>0</v>
      </c>
      <c r="AL476" s="3" t="n">
        <v>0</v>
      </c>
      <c r="AM476" s="3" t="n">
        <v>-0.5841244809045405</v>
      </c>
      <c r="AN476" s="3" t="n">
        <v>-0.2045226422080557</v>
      </c>
      <c r="AO476" s="3">
        <f>SUM(AH476:AN476)</f>
        <v/>
      </c>
      <c r="AP476" s="5">
        <f>IF(OR(N(Q476)&lt;=0,N(BA476)=0),0,N(Q476)*IF(N(M476)/N(Q476)&gt;=60,N(BA476),1))</f>
        <v/>
      </c>
      <c r="AQ476" s="5">
        <f>N(Q476)*N(Z476)*N(BB476)</f>
        <v/>
      </c>
      <c r="AR476" s="5">
        <f>N(AF476)*(Assumptions!$B$13*N(BD476)-(1-Assumptions!$B$13)*Assumptions!$B$14)+N(AG476)</f>
        <v/>
      </c>
      <c r="AS476" s="5">
        <f>N(AO476)*N(M476)/90+N(AP476)+N(AQ476)+N(AR476)</f>
        <v/>
      </c>
      <c r="AT476" s="3">
        <f>IF(N(M476)&lt;=0,0,(N(AS476)-N(AR476))*90/N(M476))</f>
        <v/>
      </c>
      <c r="AU476" s="5">
        <f>IFERROR(AS476-VLOOKUP($C476,Assumptions!$A$36:$C$39,3,FALSE),"")</f>
        <v/>
      </c>
      <c r="AV476" s="3">
        <f>IFERROR(AU476/F476,"")</f>
        <v/>
      </c>
      <c r="AW476">
        <f>IF(AND($E476=TRUE,$C476="GKP"),AS476,"")</f>
        <v/>
      </c>
      <c r="AX476">
        <f>IF(AND($E476=TRUE,$C476="DEF"),AS476,"")</f>
        <v/>
      </c>
      <c r="AY476">
        <f>IF(AND($E476=TRUE,$C476="MID"),AS476,"")</f>
        <v/>
      </c>
      <c r="AZ476">
        <f>IF(AND($E476=TRUE,$C476="FWD"),AS476,"")</f>
        <v/>
      </c>
      <c r="BA476" t="n">
        <v>2</v>
      </c>
      <c r="BB476" t="n">
        <v>2</v>
      </c>
      <c r="BC476" t="n">
        <v>4</v>
      </c>
      <c r="BD476" t="n">
        <v>6</v>
      </c>
    </row>
    <row r="477">
      <c r="A477" t="inlineStr">
        <is>
          <t>John Stones</t>
        </is>
      </c>
      <c r="D477" t="inlineStr">
        <is>
          <t>DEF</t>
        </is>
      </c>
      <c r="E477" t="b">
        <v>0</v>
      </c>
      <c r="F477" s="2" t="n"/>
      <c r="I477" s="2" t="n">
        <v>439</v>
      </c>
      <c r="K477" s="3" t="n"/>
      <c r="M477" s="4" t="n">
        <v>439</v>
      </c>
      <c r="N477" t="inlineStr">
        <is>
          <t>25/26 actual</t>
        </is>
      </c>
      <c r="O477" s="5" t="n">
        <v>79.59999999999999</v>
      </c>
      <c r="P477" t="b">
        <v>1</v>
      </c>
      <c r="Q477" s="5">
        <f>IF(N(O477)&lt;=0,0,MIN(Assumptions!$B$15,N(M477)/N(O477)))</f>
        <v/>
      </c>
      <c r="R477" s="4" t="n"/>
      <c r="S477" s="3" t="n">
        <v>0</v>
      </c>
      <c r="T477" t="inlineStr">
        <is>
          <t>adjusted xGOT</t>
        </is>
      </c>
      <c r="U477" s="3" t="n">
        <v>1</v>
      </c>
      <c r="V477" s="3" t="n">
        <v>1.001</v>
      </c>
      <c r="W477" s="3" t="n">
        <v>2.7</v>
      </c>
      <c r="X477" s="3" t="n">
        <v>0.0129</v>
      </c>
      <c r="Y477" s="3" t="n">
        <v>7.122</v>
      </c>
      <c r="Z477" s="3" t="n">
        <v>0</v>
      </c>
      <c r="AA477" s="3" t="n">
        <v>0</v>
      </c>
      <c r="AB477" s="3" t="n">
        <v>14</v>
      </c>
      <c r="AC477" s="3" t="n"/>
      <c r="AD477" s="3" t="n"/>
      <c r="AE477" s="3" t="n"/>
      <c r="AF477" s="4" t="n">
        <v>0</v>
      </c>
      <c r="AG477" s="3" t="n">
        <v>0</v>
      </c>
      <c r="AH477" s="3" t="n">
        <v>0</v>
      </c>
      <c r="AI477" s="3" t="n">
        <v>0</v>
      </c>
      <c r="AJ477" s="3">
        <f>N(R477)*N(BC477)</f>
        <v/>
      </c>
      <c r="AK477" s="3" t="n">
        <v>0</v>
      </c>
      <c r="AL477" s="3" t="n">
        <v>0</v>
      </c>
      <c r="AM477" s="3" t="n">
        <v>0</v>
      </c>
      <c r="AN477" s="3" t="n">
        <v>0</v>
      </c>
      <c r="AO477" s="3">
        <f>SUM(AH477:AN477)</f>
        <v/>
      </c>
      <c r="AP477" s="5">
        <f>IF(OR(N(Q477)&lt;=0,N(BA477)=0),0,N(Q477)*IF(N(M477)/N(Q477)&gt;=60,N(BA477),1))</f>
        <v/>
      </c>
      <c r="AQ477" s="5">
        <f>N(Q477)*N(Z477)*N(BB477)</f>
        <v/>
      </c>
      <c r="AR477" s="5">
        <f>N(AF477)*(Assumptions!$B$13*N(BD477)-(1-Assumptions!$B$13)*Assumptions!$B$14)+N(AG477)</f>
        <v/>
      </c>
      <c r="AS477" s="5">
        <f>N(AO477)*N(M477)/90+N(AP477)+N(AQ477)+N(AR477)</f>
        <v/>
      </c>
      <c r="AT477" s="3">
        <f>IF(N(M477)&lt;=0,0,(N(AS477)-N(AR477))*90/N(M477))</f>
        <v/>
      </c>
      <c r="AU477" s="5">
        <f>IFERROR(AS477-VLOOKUP($C477,Assumptions!$A$36:$C$39,3,FALSE),"")</f>
        <v/>
      </c>
      <c r="AV477" s="3">
        <f>IFERROR(AU477/F477,"")</f>
        <v/>
      </c>
      <c r="AW477">
        <f>IF(AND($E477=TRUE,$C477="GKP"),AS477,"")</f>
        <v/>
      </c>
      <c r="AX477">
        <f>IF(AND($E477=TRUE,$C477="DEF"),AS477,"")</f>
        <v/>
      </c>
      <c r="AY477">
        <f>IF(AND($E477=TRUE,$C477="MID"),AS477,"")</f>
        <v/>
      </c>
      <c r="AZ477">
        <f>IF(AND($E477=TRUE,$C477="FWD"),AS477,"")</f>
        <v/>
      </c>
      <c r="BA477" t="n">
        <v>0</v>
      </c>
      <c r="BB477" t="n">
        <v>0</v>
      </c>
      <c r="BC477" t="n">
        <v>0</v>
      </c>
      <c r="BD477" t="n">
        <v>0</v>
      </c>
    </row>
    <row r="478">
      <c r="A478" t="inlineStr">
        <is>
          <t>Jamaal Lascelles</t>
        </is>
      </c>
      <c r="D478" t="inlineStr">
        <is>
          <t>DEF</t>
        </is>
      </c>
      <c r="E478" t="b">
        <v>0</v>
      </c>
      <c r="F478" s="2" t="n"/>
      <c r="I478" s="2" t="n">
        <v>19</v>
      </c>
      <c r="K478" s="3" t="n"/>
      <c r="M478" s="4" t="n">
        <v>19</v>
      </c>
      <c r="N478" t="inlineStr">
        <is>
          <t>25/26 actual</t>
        </is>
      </c>
      <c r="O478" s="5" t="n">
        <v>85</v>
      </c>
      <c r="P478" t="b">
        <v>1</v>
      </c>
      <c r="Q478" s="5">
        <f>IF(N(O478)&lt;=0,0,MIN(Assumptions!$B$15,N(M478)/N(O478)))</f>
        <v/>
      </c>
      <c r="R478" s="4" t="n"/>
      <c r="S478" s="3" t="n">
        <v>0.18</v>
      </c>
      <c r="T478" t="inlineStr">
        <is>
          <t>adjusted xGOT</t>
        </is>
      </c>
      <c r="U478" s="3" t="n">
        <v>1</v>
      </c>
      <c r="V478" s="3" t="n">
        <v>0.945</v>
      </c>
      <c r="W478" s="3" t="n">
        <v>0.9</v>
      </c>
      <c r="X478" s="3" t="n"/>
      <c r="Y478" s="3" t="n">
        <v>8.096</v>
      </c>
      <c r="Z478" s="3" t="n">
        <v>0</v>
      </c>
      <c r="AA478" s="3" t="n">
        <v>0</v>
      </c>
      <c r="AB478" s="3" t="n">
        <v>2</v>
      </c>
      <c r="AC478" s="3" t="n"/>
      <c r="AD478" s="3" t="n"/>
      <c r="AE478" s="3" t="n"/>
      <c r="AF478" s="4" t="n">
        <v>0</v>
      </c>
      <c r="AG478" s="3" t="n">
        <v>0</v>
      </c>
      <c r="AH478" s="3" t="n">
        <v>0</v>
      </c>
      <c r="AI478" s="3" t="n">
        <v>0</v>
      </c>
      <c r="AJ478" s="3">
        <f>N(R478)*N(BC478)</f>
        <v/>
      </c>
      <c r="AK478" s="3" t="n">
        <v>0</v>
      </c>
      <c r="AL478" s="3" t="n">
        <v>0</v>
      </c>
      <c r="AM478" s="3" t="n">
        <v>0</v>
      </c>
      <c r="AN478" s="3" t="n">
        <v>0</v>
      </c>
      <c r="AO478" s="3">
        <f>SUM(AH478:AN478)</f>
        <v/>
      </c>
      <c r="AP478" s="5">
        <f>IF(OR(N(Q478)&lt;=0,N(BA478)=0),0,N(Q478)*IF(N(M478)/N(Q478)&gt;=60,N(BA478),1))</f>
        <v/>
      </c>
      <c r="AQ478" s="5">
        <f>N(Q478)*N(Z478)*N(BB478)</f>
        <v/>
      </c>
      <c r="AR478" s="5">
        <f>N(AF478)*(Assumptions!$B$13*N(BD478)-(1-Assumptions!$B$13)*Assumptions!$B$14)+N(AG478)</f>
        <v/>
      </c>
      <c r="AS478" s="5">
        <f>N(AO478)*N(M478)/90+N(AP478)+N(AQ478)+N(AR478)</f>
        <v/>
      </c>
      <c r="AT478" s="3">
        <f>IF(N(M478)&lt;=0,0,(N(AS478)-N(AR478))*90/N(M478))</f>
        <v/>
      </c>
      <c r="AU478" s="5">
        <f>IFERROR(AS478-VLOOKUP($C478,Assumptions!$A$36:$C$39,3,FALSE),"")</f>
        <v/>
      </c>
      <c r="AV478" s="3">
        <f>IFERROR(AU478/F478,"")</f>
        <v/>
      </c>
      <c r="AW478">
        <f>IF(AND($E478=TRUE,$C478="GKP"),AS478,"")</f>
        <v/>
      </c>
      <c r="AX478">
        <f>IF(AND($E478=TRUE,$C478="DEF"),AS478,"")</f>
        <v/>
      </c>
      <c r="AY478">
        <f>IF(AND($E478=TRUE,$C478="MID"),AS478,"")</f>
        <v/>
      </c>
      <c r="AZ478">
        <f>IF(AND($E478=TRUE,$C478="FWD"),AS478,"")</f>
        <v/>
      </c>
      <c r="BA478" t="n">
        <v>0</v>
      </c>
      <c r="BB478" t="n">
        <v>0</v>
      </c>
      <c r="BC478" t="n">
        <v>0</v>
      </c>
      <c r="BD478" t="n">
        <v>0</v>
      </c>
    </row>
    <row r="479">
      <c r="A479" t="inlineStr">
        <is>
          <t>James Ward-Prowse</t>
        </is>
      </c>
      <c r="D479" t="inlineStr">
        <is>
          <t>MID</t>
        </is>
      </c>
      <c r="E479" t="b">
        <v>0</v>
      </c>
      <c r="F479" s="2" t="n"/>
      <c r="I479" s="2" t="n">
        <v>1096</v>
      </c>
      <c r="K479" s="3" t="n"/>
      <c r="M479" s="4" t="n">
        <v>1096</v>
      </c>
      <c r="N479" t="inlineStr">
        <is>
          <t>25/26 actual</t>
        </is>
      </c>
      <c r="O479" s="5" t="n">
        <v>82.40000000000001</v>
      </c>
      <c r="P479" t="b">
        <v>1</v>
      </c>
      <c r="Q479" s="5">
        <f>IF(N(O479)&lt;=0,0,MIN(Assumptions!$B$15,N(M479)/N(O479)))</f>
        <v/>
      </c>
      <c r="R479" s="4" t="n"/>
      <c r="S479" s="3" t="n">
        <v>0.0232</v>
      </c>
      <c r="T479" t="inlineStr">
        <is>
          <t>adjusted xGOT</t>
        </is>
      </c>
      <c r="U479" s="3" t="n">
        <v>1</v>
      </c>
      <c r="V479" s="3" t="n">
        <v>1.177</v>
      </c>
      <c r="W479" s="3" t="n">
        <v>13.9</v>
      </c>
      <c r="X479" s="3" t="n">
        <v>0.2816</v>
      </c>
      <c r="Y479" s="3" t="n">
        <v>8.821999999999999</v>
      </c>
      <c r="Z479" s="3" t="n">
        <v>0</v>
      </c>
      <c r="AA479" s="3" t="n">
        <v>0</v>
      </c>
      <c r="AB479" s="3" t="n">
        <v>30</v>
      </c>
      <c r="AC479" s="3" t="n"/>
      <c r="AD479" s="3" t="n"/>
      <c r="AE479" s="3" t="n"/>
      <c r="AF479" s="4" t="n">
        <v>0</v>
      </c>
      <c r="AG479" s="3" t="n">
        <v>0</v>
      </c>
      <c r="AH479" s="3" t="n">
        <v>0</v>
      </c>
      <c r="AI479" s="3" t="n">
        <v>0</v>
      </c>
      <c r="AJ479" s="3">
        <f>N(R479)*N(BC479)</f>
        <v/>
      </c>
      <c r="AK479" s="3" t="n">
        <v>0</v>
      </c>
      <c r="AL479" s="3" t="n">
        <v>0</v>
      </c>
      <c r="AM479" s="3" t="n">
        <v>0</v>
      </c>
      <c r="AN479" s="3" t="n">
        <v>0</v>
      </c>
      <c r="AO479" s="3">
        <f>SUM(AH479:AN479)</f>
        <v/>
      </c>
      <c r="AP479" s="5">
        <f>IF(OR(N(Q479)&lt;=0,N(BA479)=0),0,N(Q479)*IF(N(M479)/N(Q479)&gt;=60,N(BA479),1))</f>
        <v/>
      </c>
      <c r="AQ479" s="5">
        <f>N(Q479)*N(Z479)*N(BB479)</f>
        <v/>
      </c>
      <c r="AR479" s="5">
        <f>N(AF479)*(Assumptions!$B$13*N(BD479)-(1-Assumptions!$B$13)*Assumptions!$B$14)+N(AG479)</f>
        <v/>
      </c>
      <c r="AS479" s="5">
        <f>N(AO479)*N(M479)/90+N(AP479)+N(AQ479)+N(AR479)</f>
        <v/>
      </c>
      <c r="AT479" s="3">
        <f>IF(N(M479)&lt;=0,0,(N(AS479)-N(AR479))*90/N(M479))</f>
        <v/>
      </c>
      <c r="AU479" s="5">
        <f>IFERROR(AS479-VLOOKUP($C479,Assumptions!$A$36:$C$39,3,FALSE),"")</f>
        <v/>
      </c>
      <c r="AV479" s="3">
        <f>IFERROR(AU479/F479,"")</f>
        <v/>
      </c>
      <c r="AW479">
        <f>IF(AND($E479=TRUE,$C479="GKP"),AS479,"")</f>
        <v/>
      </c>
      <c r="AX479">
        <f>IF(AND($E479=TRUE,$C479="DEF"),AS479,"")</f>
        <v/>
      </c>
      <c r="AY479">
        <f>IF(AND($E479=TRUE,$C479="MID"),AS479,"")</f>
        <v/>
      </c>
      <c r="AZ479">
        <f>IF(AND($E479=TRUE,$C479="FWD"),AS479,"")</f>
        <v/>
      </c>
      <c r="BA479" t="n">
        <v>0</v>
      </c>
      <c r="BB479" t="n">
        <v>0</v>
      </c>
      <c r="BC479" t="n">
        <v>0</v>
      </c>
      <c r="BD479" t="n">
        <v>0</v>
      </c>
    </row>
    <row r="480">
      <c r="A480" t="inlineStr">
        <is>
          <t>Matt Crooks</t>
        </is>
      </c>
      <c r="B480" t="inlineStr">
        <is>
          <t>HUL</t>
        </is>
      </c>
      <c r="C480" t="inlineStr">
        <is>
          <t>MID</t>
        </is>
      </c>
      <c r="E480" t="b">
        <v>1</v>
      </c>
      <c r="F480" s="2" t="n">
        <v>4.5</v>
      </c>
      <c r="G480" t="inlineStr">
        <is>
          <t>a</t>
        </is>
      </c>
      <c r="I480" s="2" t="n"/>
      <c r="K480" s="3" t="n">
        <v>1545</v>
      </c>
      <c r="L480" t="inlineStr">
        <is>
          <t>fade (losing his place)</t>
        </is>
      </c>
      <c r="M480" s="4" t="n">
        <v>1545</v>
      </c>
      <c r="N480" t="inlineStr">
        <is>
          <t>Solio</t>
        </is>
      </c>
      <c r="O480" s="5" t="n">
        <v>85</v>
      </c>
      <c r="P480" t="b">
        <v>0</v>
      </c>
      <c r="Q480" s="5">
        <f>IF(N(O480)&lt;=0,0,MIN(Assumptions!$B$15,N(M480)/N(O480)))</f>
        <v/>
      </c>
      <c r="R480" s="4" t="n">
        <v>0.143</v>
      </c>
      <c r="S480" s="3" t="n"/>
      <c r="T480" t="inlineStr"/>
      <c r="U480" s="3" t="n">
        <v>1</v>
      </c>
      <c r="V480" s="3" t="n"/>
      <c r="W480" s="3" t="n"/>
      <c r="X480" s="3" t="n"/>
      <c r="Y480" s="3" t="n"/>
      <c r="Z480" s="3" t="n">
        <v>0</v>
      </c>
      <c r="AA480" s="3" t="n"/>
      <c r="AB480" s="3" t="n"/>
      <c r="AC480" s="3" t="n">
        <v>3.9421</v>
      </c>
      <c r="AD480" s="3" t="n">
        <v>1.99</v>
      </c>
      <c r="AE480" s="3" t="n">
        <v>-0.2160434166173144</v>
      </c>
      <c r="AF480" s="4" t="n">
        <v>0</v>
      </c>
      <c r="AG480" s="3" t="n">
        <v>0</v>
      </c>
      <c r="AH480" s="3" t="n">
        <v>0</v>
      </c>
      <c r="AI480" s="3" t="n">
        <v>0</v>
      </c>
      <c r="AJ480" s="3">
        <f>N(R480)*N(BC480)</f>
        <v/>
      </c>
      <c r="AK480" s="3" t="n">
        <v>0</v>
      </c>
      <c r="AL480" s="3" t="n">
        <v>0</v>
      </c>
      <c r="AM480" s="3" t="n">
        <v>-0</v>
      </c>
      <c r="AN480" s="3" t="n">
        <v>-0.2160434166173144</v>
      </c>
      <c r="AO480" s="3">
        <f>SUM(AH480:AN480)</f>
        <v/>
      </c>
      <c r="AP480" s="5">
        <f>IF(OR(N(Q480)&lt;=0,N(BA480)=0),0,N(Q480)*IF(N(M480)/N(Q480)&gt;=60,N(BA480),1))</f>
        <v/>
      </c>
      <c r="AQ480" s="5">
        <f>N(Q480)*N(Z480)*N(BB480)</f>
        <v/>
      </c>
      <c r="AR480" s="5">
        <f>N(AF480)*(Assumptions!$B$13*N(BD480)-(1-Assumptions!$B$13)*Assumptions!$B$14)+N(AG480)</f>
        <v/>
      </c>
      <c r="AS480" s="5">
        <f>N(AO480)*N(M480)/90+N(AP480)+N(AQ480)+N(AR480)</f>
        <v/>
      </c>
      <c r="AT480" s="3">
        <f>IF(N(M480)&lt;=0,0,(N(AS480)-N(AR480))*90/N(M480))</f>
        <v/>
      </c>
      <c r="AU480" s="5">
        <f>IFERROR(AS480-VLOOKUP($C480,Assumptions!$A$36:$C$39,3,FALSE),"")</f>
        <v/>
      </c>
      <c r="AV480" s="3">
        <f>IFERROR(AU480/F480,"")</f>
        <v/>
      </c>
      <c r="AW480">
        <f>IF(AND($E480=TRUE,$C480="GKP"),AS480,"")</f>
        <v/>
      </c>
      <c r="AX480">
        <f>IF(AND($E480=TRUE,$C480="DEF"),AS480,"")</f>
        <v/>
      </c>
      <c r="AY480">
        <f>IF(AND($E480=TRUE,$C480="MID"),AS480,"")</f>
        <v/>
      </c>
      <c r="AZ480">
        <f>IF(AND($E480=TRUE,$C480="FWD"),AS480,"")</f>
        <v/>
      </c>
      <c r="BA480" t="n">
        <v>2</v>
      </c>
      <c r="BB480" t="n">
        <v>2</v>
      </c>
      <c r="BC480" t="n">
        <v>1</v>
      </c>
      <c r="BD480" t="n">
        <v>5</v>
      </c>
    </row>
    <row r="481">
      <c r="A481" t="inlineStr">
        <is>
          <t>Sam Johnstone</t>
        </is>
      </c>
      <c r="D481" t="inlineStr">
        <is>
          <t>GKP</t>
        </is>
      </c>
      <c r="E481" t="b">
        <v>0</v>
      </c>
      <c r="F481" s="2" t="n"/>
      <c r="I481" s="2" t="n">
        <v>1080</v>
      </c>
      <c r="K481" s="3" t="n"/>
      <c r="M481" s="4" t="n">
        <v>1080</v>
      </c>
      <c r="N481" t="inlineStr">
        <is>
          <t>25/26 actual</t>
        </is>
      </c>
      <c r="O481" s="5" t="n">
        <v>90</v>
      </c>
      <c r="P481" t="b">
        <v>1</v>
      </c>
      <c r="Q481" s="5">
        <f>IF(N(O481)&lt;=0,0,MIN(Assumptions!$B$15,N(M481)/N(O481)))</f>
        <v/>
      </c>
      <c r="R481" s="4" t="n"/>
      <c r="S481" s="3" t="n">
        <v>0</v>
      </c>
      <c r="T481" t="inlineStr">
        <is>
          <t>blended xG</t>
        </is>
      </c>
      <c r="U481" s="3" t="n">
        <v>1</v>
      </c>
      <c r="V481" s="3" t="n">
        <v>1</v>
      </c>
      <c r="W481" s="3" t="n">
        <v>0</v>
      </c>
      <c r="X481" s="3" t="n">
        <v>0</v>
      </c>
      <c r="Y481" s="3" t="n">
        <v>0</v>
      </c>
      <c r="Z481" s="3" t="n">
        <v>0</v>
      </c>
      <c r="AA481" s="3" t="n">
        <v>0</v>
      </c>
      <c r="AB481" s="3" t="n">
        <v>24</v>
      </c>
      <c r="AC481" s="3" t="n"/>
      <c r="AD481" s="3" t="n"/>
      <c r="AE481" s="3" t="n"/>
      <c r="AF481" s="4" t="n">
        <v>0</v>
      </c>
      <c r="AG481" s="3" t="n">
        <v>0</v>
      </c>
      <c r="AH481" s="3" t="n">
        <v>0</v>
      </c>
      <c r="AI481" s="3" t="n">
        <v>0</v>
      </c>
      <c r="AJ481" s="3">
        <f>N(R481)*N(BC481)</f>
        <v/>
      </c>
      <c r="AK481" s="3" t="n">
        <v>0</v>
      </c>
      <c r="AL481" s="3" t="n">
        <v>0</v>
      </c>
      <c r="AM481" s="3" t="n">
        <v>0</v>
      </c>
      <c r="AN481" s="3" t="n">
        <v>0</v>
      </c>
      <c r="AO481" s="3">
        <f>SUM(AH481:AN481)</f>
        <v/>
      </c>
      <c r="AP481" s="5">
        <f>IF(OR(N(Q481)&lt;=0,N(BA481)=0),0,N(Q481)*IF(N(M481)/N(Q481)&gt;=60,N(BA481),1))</f>
        <v/>
      </c>
      <c r="AQ481" s="5">
        <f>N(Q481)*N(Z481)*N(BB481)</f>
        <v/>
      </c>
      <c r="AR481" s="5">
        <f>N(AF481)*(Assumptions!$B$13*N(BD481)-(1-Assumptions!$B$13)*Assumptions!$B$14)+N(AG481)</f>
        <v/>
      </c>
      <c r="AS481" s="5">
        <f>N(AO481)*N(M481)/90+N(AP481)+N(AQ481)+N(AR481)</f>
        <v/>
      </c>
      <c r="AT481" s="3">
        <f>IF(N(M481)&lt;=0,0,(N(AS481)-N(AR481))*90/N(M481))</f>
        <v/>
      </c>
      <c r="AU481" s="5">
        <f>IFERROR(AS481-VLOOKUP($C481,Assumptions!$A$36:$C$39,3,FALSE),"")</f>
        <v/>
      </c>
      <c r="AV481" s="3">
        <f>IFERROR(AU481/F481,"")</f>
        <v/>
      </c>
      <c r="AW481">
        <f>IF(AND($E481=TRUE,$C481="GKP"),AS481,"")</f>
        <v/>
      </c>
      <c r="AX481">
        <f>IF(AND($E481=TRUE,$C481="DEF"),AS481,"")</f>
        <v/>
      </c>
      <c r="AY481">
        <f>IF(AND($E481=TRUE,$C481="MID"),AS481,"")</f>
        <v/>
      </c>
      <c r="AZ481">
        <f>IF(AND($E481=TRUE,$C481="FWD"),AS481,"")</f>
        <v/>
      </c>
      <c r="BA481" t="n">
        <v>0</v>
      </c>
      <c r="BB481" t="n">
        <v>0</v>
      </c>
      <c r="BC481" t="n">
        <v>0</v>
      </c>
      <c r="BD481" t="n">
        <v>0</v>
      </c>
    </row>
    <row r="482">
      <c r="A482" t="inlineStr">
        <is>
          <t>Raúl Jiménez</t>
        </is>
      </c>
      <c r="D482" t="inlineStr">
        <is>
          <t>FWD</t>
        </is>
      </c>
      <c r="E482" t="b">
        <v>0</v>
      </c>
      <c r="F482" s="2" t="n"/>
      <c r="I482" s="2" t="n">
        <v>2199</v>
      </c>
      <c r="K482" s="3" t="n"/>
      <c r="M482" s="4" t="n">
        <v>2199</v>
      </c>
      <c r="N482" t="inlineStr">
        <is>
          <t>25/26 actual</t>
        </is>
      </c>
      <c r="O482" s="5" t="n">
        <v>75.40000000000001</v>
      </c>
      <c r="P482" t="b">
        <v>1</v>
      </c>
      <c r="Q482" s="5">
        <f>IF(N(O482)&lt;=0,0,MIN(Assumptions!$B$15,N(M482)/N(O482)))</f>
        <v/>
      </c>
      <c r="R482" s="4" t="n"/>
      <c r="S482" s="3" t="n">
        <v>0.329</v>
      </c>
      <c r="T482" t="inlineStr">
        <is>
          <t>adjusted xGOT</t>
        </is>
      </c>
      <c r="U482" s="3" t="n">
        <v>0.747</v>
      </c>
      <c r="V482" s="3" t="n">
        <v>0.93</v>
      </c>
      <c r="W482" s="3" t="n">
        <v>31.5</v>
      </c>
      <c r="X482" s="3" t="n">
        <v>0.0796</v>
      </c>
      <c r="Y482" s="3" t="n">
        <v>5.281</v>
      </c>
      <c r="Z482" s="3" t="n">
        <v>0</v>
      </c>
      <c r="AA482" s="3" t="n">
        <v>0.3274</v>
      </c>
      <c r="AB482" s="3" t="n">
        <v>59</v>
      </c>
      <c r="AC482" s="3" t="n"/>
      <c r="AD482" s="3" t="n"/>
      <c r="AE482" s="3" t="n"/>
      <c r="AF482" s="4" t="n">
        <v>0</v>
      </c>
      <c r="AG482" s="3" t="n">
        <v>0</v>
      </c>
      <c r="AH482" s="3" t="n">
        <v>0</v>
      </c>
      <c r="AI482" s="3" t="n">
        <v>0</v>
      </c>
      <c r="AJ482" s="3">
        <f>N(R482)*N(BC482)</f>
        <v/>
      </c>
      <c r="AK482" s="3" t="n">
        <v>0</v>
      </c>
      <c r="AL482" s="3" t="n">
        <v>0</v>
      </c>
      <c r="AM482" s="3" t="n">
        <v>0</v>
      </c>
      <c r="AN482" s="3" t="n">
        <v>0</v>
      </c>
      <c r="AO482" s="3">
        <f>SUM(AH482:AN482)</f>
        <v/>
      </c>
      <c r="AP482" s="5">
        <f>IF(OR(N(Q482)&lt;=0,N(BA482)=0),0,N(Q482)*IF(N(M482)/N(Q482)&gt;=60,N(BA482),1))</f>
        <v/>
      </c>
      <c r="AQ482" s="5">
        <f>N(Q482)*N(Z482)*N(BB482)</f>
        <v/>
      </c>
      <c r="AR482" s="5">
        <f>N(AF482)*(Assumptions!$B$13*N(BD482)-(1-Assumptions!$B$13)*Assumptions!$B$14)+N(AG482)</f>
        <v/>
      </c>
      <c r="AS482" s="5">
        <f>N(AO482)*N(M482)/90+N(AP482)+N(AQ482)+N(AR482)</f>
        <v/>
      </c>
      <c r="AT482" s="3">
        <f>IF(N(M482)&lt;=0,0,(N(AS482)-N(AR482))*90/N(M482))</f>
        <v/>
      </c>
      <c r="AU482" s="5">
        <f>IFERROR(AS482-VLOOKUP($C482,Assumptions!$A$36:$C$39,3,FALSE),"")</f>
        <v/>
      </c>
      <c r="AV482" s="3">
        <f>IFERROR(AU482/F482,"")</f>
        <v/>
      </c>
      <c r="AW482">
        <f>IF(AND($E482=TRUE,$C482="GKP"),AS482,"")</f>
        <v/>
      </c>
      <c r="AX482">
        <f>IF(AND($E482=TRUE,$C482="DEF"),AS482,"")</f>
        <v/>
      </c>
      <c r="AY482">
        <f>IF(AND($E482=TRUE,$C482="MID"),AS482,"")</f>
        <v/>
      </c>
      <c r="AZ482">
        <f>IF(AND($E482=TRUE,$C482="FWD"),AS482,"")</f>
        <v/>
      </c>
      <c r="BA482" t="n">
        <v>0</v>
      </c>
      <c r="BB482" t="n">
        <v>0</v>
      </c>
      <c r="BC482" t="n">
        <v>0</v>
      </c>
      <c r="BD482" t="n">
        <v>0</v>
      </c>
    </row>
    <row r="483">
      <c r="A483" t="inlineStr">
        <is>
          <t>Jack Butland</t>
        </is>
      </c>
      <c r="B483" t="inlineStr">
        <is>
          <t>HUL</t>
        </is>
      </c>
      <c r="C483" t="inlineStr">
        <is>
          <t>GKP</t>
        </is>
      </c>
      <c r="E483" t="b">
        <v>1</v>
      </c>
      <c r="F483" s="2" t="n">
        <v>4.5</v>
      </c>
      <c r="G483" t="inlineStr">
        <is>
          <t>i</t>
        </is>
      </c>
      <c r="H483" t="inlineStr">
        <is>
          <t>Arm injury - Unknown return date</t>
        </is>
      </c>
      <c r="I483" s="2" t="n"/>
      <c r="K483" s="3" t="n">
        <v>35</v>
      </c>
      <c r="L483" t="inlineStr">
        <is>
          <t>flat</t>
        </is>
      </c>
      <c r="M483" s="4" t="n">
        <v>35</v>
      </c>
      <c r="N483" t="inlineStr">
        <is>
          <t>Solio</t>
        </is>
      </c>
      <c r="O483" s="5" t="n">
        <v>85</v>
      </c>
      <c r="P483" t="b">
        <v>0</v>
      </c>
      <c r="Q483" s="5">
        <f>IF(N(O483)&lt;=0,0,MIN(Assumptions!$B$15,N(M483)/N(O483)))</f>
        <v/>
      </c>
      <c r="R483" s="4" t="n">
        <v>0.143</v>
      </c>
      <c r="S483" s="3" t="n"/>
      <c r="T483" t="inlineStr"/>
      <c r="U483" s="3" t="n">
        <v>1</v>
      </c>
      <c r="V483" s="3" t="n"/>
      <c r="W483" s="3" t="n"/>
      <c r="X483" s="3" t="n"/>
      <c r="Y483" s="3" t="n">
        <v>0</v>
      </c>
      <c r="Z483" s="3" t="n">
        <v>0</v>
      </c>
      <c r="AA483" s="3" t="n"/>
      <c r="AB483" s="3" t="n"/>
      <c r="AC483" s="3" t="n">
        <v>3.9421</v>
      </c>
      <c r="AD483" s="3" t="n">
        <v>1.99</v>
      </c>
      <c r="AE483" s="3" t="n">
        <v>-0.0763216474948735</v>
      </c>
      <c r="AF483" s="4" t="n">
        <v>0</v>
      </c>
      <c r="AG483" s="3" t="n">
        <v>0.0434768840139444</v>
      </c>
      <c r="AH483" s="3" t="n">
        <v>0</v>
      </c>
      <c r="AI483" s="3" t="n">
        <v>0</v>
      </c>
      <c r="AJ483" s="3">
        <f>N(R483)*N(BC483)</f>
        <v/>
      </c>
      <c r="AK483" s="3" t="n">
        <v>0</v>
      </c>
      <c r="AL483" s="3" t="n">
        <v>0.979692031005534</v>
      </c>
      <c r="AM483" s="3" t="n">
        <v>-0.7496714098286652</v>
      </c>
      <c r="AN483" s="3" t="n">
        <v>-0.0763216474948735</v>
      </c>
      <c r="AO483" s="3">
        <f>SUM(AH483:AN483)</f>
        <v/>
      </c>
      <c r="AP483" s="5">
        <f>IF(OR(N(Q483)&lt;=0,N(BA483)=0),0,N(Q483)*IF(N(M483)/N(Q483)&gt;=60,N(BA483),1))</f>
        <v/>
      </c>
      <c r="AQ483" s="5">
        <f>N(Q483)*N(Z483)*N(BB483)</f>
        <v/>
      </c>
      <c r="AR483" s="5">
        <f>N(AF483)*(Assumptions!$B$13*N(BD483)-(1-Assumptions!$B$13)*Assumptions!$B$14)+N(AG483)</f>
        <v/>
      </c>
      <c r="AS483" s="5">
        <f>N(AO483)*N(M483)/90+N(AP483)+N(AQ483)+N(AR483)</f>
        <v/>
      </c>
      <c r="AT483" s="3">
        <f>IF(N(M483)&lt;=0,0,(N(AS483)-N(AR483))*90/N(M483))</f>
        <v/>
      </c>
      <c r="AU483" s="5">
        <f>IFERROR(AS483-VLOOKUP($C483,Assumptions!$A$36:$C$39,3,FALSE),"")</f>
        <v/>
      </c>
      <c r="AV483" s="3">
        <f>IFERROR(AU483/F483,"")</f>
        <v/>
      </c>
      <c r="AW483">
        <f>IF(AND($E483=TRUE,$C483="GKP"),AS483,"")</f>
        <v/>
      </c>
      <c r="AX483">
        <f>IF(AND($E483=TRUE,$C483="DEF"),AS483,"")</f>
        <v/>
      </c>
      <c r="AY483">
        <f>IF(AND($E483=TRUE,$C483="MID"),AS483,"")</f>
        <v/>
      </c>
      <c r="AZ483">
        <f>IF(AND($E483=TRUE,$C483="FWD"),AS483,"")</f>
        <v/>
      </c>
      <c r="BA483" t="n">
        <v>2</v>
      </c>
      <c r="BB483" t="n">
        <v>0</v>
      </c>
      <c r="BC483" t="n">
        <v>4</v>
      </c>
      <c r="BD483" t="n">
        <v>10</v>
      </c>
    </row>
    <row r="484">
      <c r="A484" t="inlineStr">
        <is>
          <t>Gerónimo Rulli</t>
        </is>
      </c>
      <c r="B484" t="inlineStr">
        <is>
          <t>MCI</t>
        </is>
      </c>
      <c r="C484" t="inlineStr">
        <is>
          <t>GKP</t>
        </is>
      </c>
      <c r="E484" t="b">
        <v>1</v>
      </c>
      <c r="F484" s="2" t="n">
        <v>5</v>
      </c>
      <c r="G484" t="inlineStr">
        <is>
          <t>a</t>
        </is>
      </c>
      <c r="I484" s="2" t="n"/>
      <c r="K484" s="3" t="n">
        <v>0</v>
      </c>
      <c r="L484" t="inlineStr">
        <is>
          <t>flat</t>
        </is>
      </c>
      <c r="M484" s="4" t="n">
        <v>0</v>
      </c>
      <c r="N484" t="inlineStr">
        <is>
          <t>Solio</t>
        </is>
      </c>
      <c r="O484" s="5" t="n">
        <v>85</v>
      </c>
      <c r="P484" t="b">
        <v>0</v>
      </c>
      <c r="Q484" s="5">
        <f>IF(N(O484)&lt;=0,0,MIN(Assumptions!$B$15,N(M484)/N(O484)))</f>
        <v/>
      </c>
      <c r="R484" s="4" t="n">
        <v>0.371</v>
      </c>
      <c r="S484" s="3" t="n"/>
      <c r="T484" t="inlineStr"/>
      <c r="U484" s="3" t="n">
        <v>1</v>
      </c>
      <c r="V484" s="3" t="n"/>
      <c r="W484" s="3" t="n"/>
      <c r="X484" s="3" t="n"/>
      <c r="Y484" s="3" t="n">
        <v>0</v>
      </c>
      <c r="Z484" s="3" t="n">
        <v>0</v>
      </c>
      <c r="AA484" s="3" t="n"/>
      <c r="AB484" s="3" t="n"/>
      <c r="AC484" s="3" t="n">
        <v>1.9737</v>
      </c>
      <c r="AD484" s="3" t="n">
        <v>1.0365</v>
      </c>
      <c r="AE484" s="3" t="n">
        <v>-0.0763216474948735</v>
      </c>
      <c r="AF484" s="4" t="n">
        <v>0</v>
      </c>
      <c r="AG484" s="3" t="n">
        <v>0</v>
      </c>
      <c r="AH484" s="3" t="n">
        <v>0</v>
      </c>
      <c r="AI484" s="3" t="n">
        <v>0</v>
      </c>
      <c r="AJ484" s="3">
        <f>N(R484)*N(BC484)</f>
        <v/>
      </c>
      <c r="AK484" s="3" t="n">
        <v>0</v>
      </c>
      <c r="AL484" s="3" t="n">
        <v>0.3320553475083804</v>
      </c>
      <c r="AM484" s="3" t="n">
        <v>-0.2997019479071323</v>
      </c>
      <c r="AN484" s="3" t="n">
        <v>-0.0763216474948735</v>
      </c>
      <c r="AO484" s="3">
        <f>SUM(AH484:AN484)</f>
        <v/>
      </c>
      <c r="AP484" s="5">
        <f>IF(OR(N(Q484)&lt;=0,N(BA484)=0),0,N(Q484)*IF(N(M484)/N(Q484)&gt;=60,N(BA484),1))</f>
        <v/>
      </c>
      <c r="AQ484" s="5">
        <f>N(Q484)*N(Z484)*N(BB484)</f>
        <v/>
      </c>
      <c r="AR484" s="5">
        <f>N(AF484)*(Assumptions!$B$13*N(BD484)-(1-Assumptions!$B$13)*Assumptions!$B$14)+N(AG484)</f>
        <v/>
      </c>
      <c r="AS484" s="5">
        <f>N(AO484)*N(M484)/90+N(AP484)+N(AQ484)+N(AR484)</f>
        <v/>
      </c>
      <c r="AT484" s="3">
        <f>IF(N(M484)&lt;=0,0,(N(AS484)-N(AR484))*90/N(M484))</f>
        <v/>
      </c>
      <c r="AU484" s="5">
        <f>IFERROR(AS484-VLOOKUP($C484,Assumptions!$A$36:$C$39,3,FALSE),"")</f>
        <v/>
      </c>
      <c r="AV484" s="3">
        <f>IFERROR(AU484/F484,"")</f>
        <v/>
      </c>
      <c r="AW484">
        <f>IF(AND($E484=TRUE,$C484="GKP"),AS484,"")</f>
        <v/>
      </c>
      <c r="AX484">
        <f>IF(AND($E484=TRUE,$C484="DEF"),AS484,"")</f>
        <v/>
      </c>
      <c r="AY484">
        <f>IF(AND($E484=TRUE,$C484="MID"),AS484,"")</f>
        <v/>
      </c>
      <c r="AZ484">
        <f>IF(AND($E484=TRUE,$C484="FWD"),AS484,"")</f>
        <v/>
      </c>
      <c r="BA484" t="n">
        <v>2</v>
      </c>
      <c r="BB484" t="n">
        <v>0</v>
      </c>
      <c r="BC484" t="n">
        <v>4</v>
      </c>
      <c r="BD484" t="n">
        <v>10</v>
      </c>
    </row>
    <row r="485">
      <c r="A485" t="inlineStr">
        <is>
          <t>Angus Gunn</t>
        </is>
      </c>
      <c r="D485" t="inlineStr">
        <is>
          <t>GKP</t>
        </is>
      </c>
      <c r="E485" t="b">
        <v>0</v>
      </c>
      <c r="F485" s="2" t="n"/>
      <c r="I485" s="2" t="n">
        <v>45</v>
      </c>
      <c r="K485" s="3" t="n"/>
      <c r="M485" s="4" t="n">
        <v>45</v>
      </c>
      <c r="N485" t="inlineStr">
        <is>
          <t>25/26 actual</t>
        </is>
      </c>
      <c r="O485" s="5" t="n">
        <v>85</v>
      </c>
      <c r="P485" t="b">
        <v>1</v>
      </c>
      <c r="Q485" s="5">
        <f>IF(N(O485)&lt;=0,0,MIN(Assumptions!$B$15,N(M485)/N(O485)))</f>
        <v/>
      </c>
      <c r="R485" s="4" t="n"/>
      <c r="S485" s="3" t="n">
        <v>0</v>
      </c>
      <c r="T485" t="inlineStr">
        <is>
          <t>blended xG</t>
        </is>
      </c>
      <c r="U485" s="3" t="n">
        <v>1</v>
      </c>
      <c r="V485" s="3" t="n">
        <v>1</v>
      </c>
      <c r="W485" s="3" t="n">
        <v>0</v>
      </c>
      <c r="X485" s="3" t="n">
        <v>0</v>
      </c>
      <c r="Y485" s="3" t="n">
        <v>0</v>
      </c>
      <c r="Z485" s="3" t="n">
        <v>0</v>
      </c>
      <c r="AA485" s="3" t="n">
        <v>0</v>
      </c>
      <c r="AB485" s="3" t="n">
        <v>1</v>
      </c>
      <c r="AC485" s="3" t="n"/>
      <c r="AD485" s="3" t="n"/>
      <c r="AE485" s="3" t="n"/>
      <c r="AF485" s="4" t="n">
        <v>0</v>
      </c>
      <c r="AG485" s="3" t="n">
        <v>0</v>
      </c>
      <c r="AH485" s="3" t="n">
        <v>0</v>
      </c>
      <c r="AI485" s="3" t="n">
        <v>0</v>
      </c>
      <c r="AJ485" s="3">
        <f>N(R485)*N(BC485)</f>
        <v/>
      </c>
      <c r="AK485" s="3" t="n">
        <v>0</v>
      </c>
      <c r="AL485" s="3" t="n">
        <v>0</v>
      </c>
      <c r="AM485" s="3" t="n">
        <v>0</v>
      </c>
      <c r="AN485" s="3" t="n">
        <v>0</v>
      </c>
      <c r="AO485" s="3">
        <f>SUM(AH485:AN485)</f>
        <v/>
      </c>
      <c r="AP485" s="5">
        <f>IF(OR(N(Q485)&lt;=0,N(BA485)=0),0,N(Q485)*IF(N(M485)/N(Q485)&gt;=60,N(BA485),1))</f>
        <v/>
      </c>
      <c r="AQ485" s="5">
        <f>N(Q485)*N(Z485)*N(BB485)</f>
        <v/>
      </c>
      <c r="AR485" s="5">
        <f>N(AF485)*(Assumptions!$B$13*N(BD485)-(1-Assumptions!$B$13)*Assumptions!$B$14)+N(AG485)</f>
        <v/>
      </c>
      <c r="AS485" s="5">
        <f>N(AO485)*N(M485)/90+N(AP485)+N(AQ485)+N(AR485)</f>
        <v/>
      </c>
      <c r="AT485" s="3">
        <f>IF(N(M485)&lt;=0,0,(N(AS485)-N(AR485))*90/N(M485))</f>
        <v/>
      </c>
      <c r="AU485" s="5">
        <f>IFERROR(AS485-VLOOKUP($C485,Assumptions!$A$36:$C$39,3,FALSE),"")</f>
        <v/>
      </c>
      <c r="AV485" s="3">
        <f>IFERROR(AU485/F485,"")</f>
        <v/>
      </c>
      <c r="AW485">
        <f>IF(AND($E485=TRUE,$C485="GKP"),AS485,"")</f>
        <v/>
      </c>
      <c r="AX485">
        <f>IF(AND($E485=TRUE,$C485="DEF"),AS485,"")</f>
        <v/>
      </c>
      <c r="AY485">
        <f>IF(AND($E485=TRUE,$C485="MID"),AS485,"")</f>
        <v/>
      </c>
      <c r="AZ485">
        <f>IF(AND($E485=TRUE,$C485="FWD"),AS485,"")</f>
        <v/>
      </c>
      <c r="BA485" t="n">
        <v>0</v>
      </c>
      <c r="BB485" t="n">
        <v>0</v>
      </c>
      <c r="BC485" t="n">
        <v>0</v>
      </c>
      <c r="BD485" t="n">
        <v>0</v>
      </c>
    </row>
    <row r="486">
      <c r="A486" t="inlineStr">
        <is>
          <t>John Egan</t>
        </is>
      </c>
      <c r="B486" t="inlineStr">
        <is>
          <t>HUL</t>
        </is>
      </c>
      <c r="C486" t="inlineStr">
        <is>
          <t>DEF</t>
        </is>
      </c>
      <c r="E486" t="b">
        <v>1</v>
      </c>
      <c r="F486" s="2" t="n">
        <v>4</v>
      </c>
      <c r="G486" t="inlineStr">
        <is>
          <t>a</t>
        </is>
      </c>
      <c r="I486" s="2" t="n"/>
      <c r="K486" s="3" t="n">
        <v>3015</v>
      </c>
      <c r="L486" t="inlineStr">
        <is>
          <t>flat</t>
        </is>
      </c>
      <c r="M486" s="4" t="n">
        <v>3015</v>
      </c>
      <c r="N486" t="inlineStr">
        <is>
          <t>Solio</t>
        </is>
      </c>
      <c r="O486" s="5" t="n">
        <v>85</v>
      </c>
      <c r="P486" t="b">
        <v>0</v>
      </c>
      <c r="Q486" s="5">
        <f>IF(N(O486)&lt;=0,0,MIN(Assumptions!$B$15,N(M486)/N(O486)))</f>
        <v/>
      </c>
      <c r="R486" s="4" t="n">
        <v>0.143</v>
      </c>
      <c r="S486" s="3" t="n"/>
      <c r="T486" t="inlineStr"/>
      <c r="U486" s="3" t="n">
        <v>1</v>
      </c>
      <c r="V486" s="3" t="n"/>
      <c r="W486" s="3" t="n"/>
      <c r="X486" s="3" t="n"/>
      <c r="Y486" s="3" t="n"/>
      <c r="Z486" s="3" t="n">
        <v>0</v>
      </c>
      <c r="AA486" s="3" t="n"/>
      <c r="AB486" s="3" t="n"/>
      <c r="AC486" s="3" t="n">
        <v>3.9421</v>
      </c>
      <c r="AD486" s="3" t="n">
        <v>1.99</v>
      </c>
      <c r="AE486" s="3" t="n">
        <v>-0.2269719386373797</v>
      </c>
      <c r="AF486" s="4" t="n">
        <v>0</v>
      </c>
      <c r="AG486" s="3" t="n">
        <v>0</v>
      </c>
      <c r="AH486" s="3" t="n">
        <v>0</v>
      </c>
      <c r="AI486" s="3" t="n">
        <v>0</v>
      </c>
      <c r="AJ486" s="3">
        <f>N(R486)*N(BC486)</f>
        <v/>
      </c>
      <c r="AK486" s="3" t="n">
        <v>0</v>
      </c>
      <c r="AL486" s="3" t="n">
        <v>0</v>
      </c>
      <c r="AM486" s="3" t="n">
        <v>-0.7496714098286652</v>
      </c>
      <c r="AN486" s="3" t="n">
        <v>-0.2269719386373797</v>
      </c>
      <c r="AO486" s="3">
        <f>SUM(AH486:AN486)</f>
        <v/>
      </c>
      <c r="AP486" s="5">
        <f>IF(OR(N(Q486)&lt;=0,N(BA486)=0),0,N(Q486)*IF(N(M486)/N(Q486)&gt;=60,N(BA486),1))</f>
        <v/>
      </c>
      <c r="AQ486" s="5">
        <f>N(Q486)*N(Z486)*N(BB486)</f>
        <v/>
      </c>
      <c r="AR486" s="5">
        <f>N(AF486)*(Assumptions!$B$13*N(BD486)-(1-Assumptions!$B$13)*Assumptions!$B$14)+N(AG486)</f>
        <v/>
      </c>
      <c r="AS486" s="5">
        <f>N(AO486)*N(M486)/90+N(AP486)+N(AQ486)+N(AR486)</f>
        <v/>
      </c>
      <c r="AT486" s="3">
        <f>IF(N(M486)&lt;=0,0,(N(AS486)-N(AR486))*90/N(M486))</f>
        <v/>
      </c>
      <c r="AU486" s="5">
        <f>IFERROR(AS486-VLOOKUP($C486,Assumptions!$A$36:$C$39,3,FALSE),"")</f>
        <v/>
      </c>
      <c r="AV486" s="3">
        <f>IFERROR(AU486/F486,"")</f>
        <v/>
      </c>
      <c r="AW486">
        <f>IF(AND($E486=TRUE,$C486="GKP"),AS486,"")</f>
        <v/>
      </c>
      <c r="AX486">
        <f>IF(AND($E486=TRUE,$C486="DEF"),AS486,"")</f>
        <v/>
      </c>
      <c r="AY486">
        <f>IF(AND($E486=TRUE,$C486="MID"),AS486,"")</f>
        <v/>
      </c>
      <c r="AZ486">
        <f>IF(AND($E486=TRUE,$C486="FWD"),AS486,"")</f>
        <v/>
      </c>
      <c r="BA486" t="n">
        <v>2</v>
      </c>
      <c r="BB486" t="n">
        <v>2</v>
      </c>
      <c r="BC486" t="n">
        <v>4</v>
      </c>
      <c r="BD486" t="n">
        <v>6</v>
      </c>
    </row>
    <row r="487">
      <c r="A487" t="inlineStr">
        <is>
          <t>Christian Walton</t>
        </is>
      </c>
      <c r="B487" t="inlineStr">
        <is>
          <t>IPS</t>
        </is>
      </c>
      <c r="C487" t="inlineStr">
        <is>
          <t>GKP</t>
        </is>
      </c>
      <c r="E487" t="b">
        <v>1</v>
      </c>
      <c r="F487" s="2" t="n">
        <v>4.5</v>
      </c>
      <c r="G487" t="inlineStr">
        <is>
          <t>a</t>
        </is>
      </c>
      <c r="I487" s="2" t="n"/>
      <c r="K487" s="3" t="n">
        <v>35</v>
      </c>
      <c r="L487" t="inlineStr">
        <is>
          <t>flat</t>
        </is>
      </c>
      <c r="M487" s="4" t="n">
        <v>35</v>
      </c>
      <c r="N487" t="inlineStr">
        <is>
          <t>Solio</t>
        </is>
      </c>
      <c r="O487" s="5" t="n">
        <v>85</v>
      </c>
      <c r="P487" t="b">
        <v>0</v>
      </c>
      <c r="Q487" s="5">
        <f>IF(N(O487)&lt;=0,0,MIN(Assumptions!$B$15,N(M487)/N(O487)))</f>
        <v/>
      </c>
      <c r="R487" s="4" t="n">
        <v>0.17</v>
      </c>
      <c r="S487" s="3" t="n"/>
      <c r="T487" t="inlineStr"/>
      <c r="U487" s="3" t="n">
        <v>1</v>
      </c>
      <c r="V487" s="3" t="n"/>
      <c r="W487" s="3" t="n"/>
      <c r="X487" s="3" t="n"/>
      <c r="Y487" s="3" t="n">
        <v>0</v>
      </c>
      <c r="Z487" s="3" t="n">
        <v>0</v>
      </c>
      <c r="AA487" s="3" t="n"/>
      <c r="AB487" s="3" t="n"/>
      <c r="AC487" s="3" t="n">
        <v>3.5741</v>
      </c>
      <c r="AD487" s="3" t="n">
        <v>1.8319</v>
      </c>
      <c r="AE487" s="3" t="n">
        <v>-0.0610683923216705</v>
      </c>
      <c r="AF487" s="4" t="n">
        <v>0</v>
      </c>
      <c r="AG487" s="3" t="n">
        <v>0.0400226050740512</v>
      </c>
      <c r="AH487" s="3" t="n">
        <v>0</v>
      </c>
      <c r="AI487" s="3" t="n">
        <v>0</v>
      </c>
      <c r="AJ487" s="3">
        <f>N(R487)*N(BC487)</f>
        <v/>
      </c>
      <c r="AK487" s="3" t="n">
        <v>0</v>
      </c>
      <c r="AL487" s="3" t="n">
        <v>0.8565116974562608</v>
      </c>
      <c r="AM487" s="3" t="n">
        <v>-0.6723587286814016</v>
      </c>
      <c r="AN487" s="3" t="n">
        <v>-0.0610683923216705</v>
      </c>
      <c r="AO487" s="3">
        <f>SUM(AH487:AN487)</f>
        <v/>
      </c>
      <c r="AP487" s="5">
        <f>IF(OR(N(Q487)&lt;=0,N(BA487)=0),0,N(Q487)*IF(N(M487)/N(Q487)&gt;=60,N(BA487),1))</f>
        <v/>
      </c>
      <c r="AQ487" s="5">
        <f>N(Q487)*N(Z487)*N(BB487)</f>
        <v/>
      </c>
      <c r="AR487" s="5">
        <f>N(AF487)*(Assumptions!$B$13*N(BD487)-(1-Assumptions!$B$13)*Assumptions!$B$14)+N(AG487)</f>
        <v/>
      </c>
      <c r="AS487" s="5">
        <f>N(AO487)*N(M487)/90+N(AP487)+N(AQ487)+N(AR487)</f>
        <v/>
      </c>
      <c r="AT487" s="3">
        <f>IF(N(M487)&lt;=0,0,(N(AS487)-N(AR487))*90/N(M487))</f>
        <v/>
      </c>
      <c r="AU487" s="5">
        <f>IFERROR(AS487-VLOOKUP($C487,Assumptions!$A$36:$C$39,3,FALSE),"")</f>
        <v/>
      </c>
      <c r="AV487" s="3">
        <f>IFERROR(AU487/F487,"")</f>
        <v/>
      </c>
      <c r="AW487">
        <f>IF(AND($E487=TRUE,$C487="GKP"),AS487,"")</f>
        <v/>
      </c>
      <c r="AX487">
        <f>IF(AND($E487=TRUE,$C487="DEF"),AS487,"")</f>
        <v/>
      </c>
      <c r="AY487">
        <f>IF(AND($E487=TRUE,$C487="MID"),AS487,"")</f>
        <v/>
      </c>
      <c r="AZ487">
        <f>IF(AND($E487=TRUE,$C487="FWD"),AS487,"")</f>
        <v/>
      </c>
      <c r="BA487" t="n">
        <v>2</v>
      </c>
      <c r="BB487" t="n">
        <v>0</v>
      </c>
      <c r="BC487" t="n">
        <v>4</v>
      </c>
      <c r="BD487" t="n">
        <v>10</v>
      </c>
    </row>
    <row r="488">
      <c r="A488" t="inlineStr">
        <is>
          <t>Solly March</t>
        </is>
      </c>
      <c r="D488" t="inlineStr">
        <is>
          <t>MID</t>
        </is>
      </c>
      <c r="E488" t="b">
        <v>0</v>
      </c>
      <c r="F488" s="2" t="n"/>
      <c r="I488" s="2" t="n">
        <v>38</v>
      </c>
      <c r="K488" s="3" t="n"/>
      <c r="M488" s="4" t="n">
        <v>38</v>
      </c>
      <c r="N488" t="inlineStr">
        <is>
          <t>25/26 actual</t>
        </is>
      </c>
      <c r="O488" s="5" t="n">
        <v>85</v>
      </c>
      <c r="P488" t="b">
        <v>1</v>
      </c>
      <c r="Q488" s="5">
        <f>IF(N(O488)&lt;=0,0,MIN(Assumptions!$B$15,N(M488)/N(O488)))</f>
        <v/>
      </c>
      <c r="R488" s="4" t="n"/>
      <c r="S488" s="3" t="n">
        <v>0.1066</v>
      </c>
      <c r="T488" t="inlineStr">
        <is>
          <t>adjusted xGOT</t>
        </is>
      </c>
      <c r="U488" s="3" t="n">
        <v>1</v>
      </c>
      <c r="V488" s="3" t="n">
        <v>1.131</v>
      </c>
      <c r="W488" s="3" t="n">
        <v>9.199999999999999</v>
      </c>
      <c r="X488" s="3" t="n">
        <v>0</v>
      </c>
      <c r="Y488" s="3" t="n">
        <v>8.741</v>
      </c>
      <c r="Z488" s="3" t="n">
        <v>0</v>
      </c>
      <c r="AA488" s="3" t="n">
        <v>0</v>
      </c>
      <c r="AB488" s="3" t="n">
        <v>4</v>
      </c>
      <c r="AC488" s="3" t="n"/>
      <c r="AD488" s="3" t="n"/>
      <c r="AE488" s="3" t="n"/>
      <c r="AF488" s="4" t="n">
        <v>0</v>
      </c>
      <c r="AG488" s="3" t="n">
        <v>0</v>
      </c>
      <c r="AH488" s="3" t="n">
        <v>0</v>
      </c>
      <c r="AI488" s="3" t="n">
        <v>0</v>
      </c>
      <c r="AJ488" s="3">
        <f>N(R488)*N(BC488)</f>
        <v/>
      </c>
      <c r="AK488" s="3" t="n">
        <v>0</v>
      </c>
      <c r="AL488" s="3" t="n">
        <v>0</v>
      </c>
      <c r="AM488" s="3" t="n">
        <v>0</v>
      </c>
      <c r="AN488" s="3" t="n">
        <v>0</v>
      </c>
      <c r="AO488" s="3">
        <f>SUM(AH488:AN488)</f>
        <v/>
      </c>
      <c r="AP488" s="5">
        <f>IF(OR(N(Q488)&lt;=0,N(BA488)=0),0,N(Q488)*IF(N(M488)/N(Q488)&gt;=60,N(BA488),1))</f>
        <v/>
      </c>
      <c r="AQ488" s="5">
        <f>N(Q488)*N(Z488)*N(BB488)</f>
        <v/>
      </c>
      <c r="AR488" s="5">
        <f>N(AF488)*(Assumptions!$B$13*N(BD488)-(1-Assumptions!$B$13)*Assumptions!$B$14)+N(AG488)</f>
        <v/>
      </c>
      <c r="AS488" s="5">
        <f>N(AO488)*N(M488)/90+N(AP488)+N(AQ488)+N(AR488)</f>
        <v/>
      </c>
      <c r="AT488" s="3">
        <f>IF(N(M488)&lt;=0,0,(N(AS488)-N(AR488))*90/N(M488))</f>
        <v/>
      </c>
      <c r="AU488" s="5">
        <f>IFERROR(AS488-VLOOKUP($C488,Assumptions!$A$36:$C$39,3,FALSE),"")</f>
        <v/>
      </c>
      <c r="AV488" s="3">
        <f>IFERROR(AU488/F488,"")</f>
        <v/>
      </c>
      <c r="AW488">
        <f>IF(AND($E488=TRUE,$C488="GKP"),AS488,"")</f>
        <v/>
      </c>
      <c r="AX488">
        <f>IF(AND($E488=TRUE,$C488="DEF"),AS488,"")</f>
        <v/>
      </c>
      <c r="AY488">
        <f>IF(AND($E488=TRUE,$C488="MID"),AS488,"")</f>
        <v/>
      </c>
      <c r="AZ488">
        <f>IF(AND($E488=TRUE,$C488="FWD"),AS488,"")</f>
        <v/>
      </c>
      <c r="BA488" t="n">
        <v>0</v>
      </c>
      <c r="BB488" t="n">
        <v>0</v>
      </c>
      <c r="BC488" t="n">
        <v>0</v>
      </c>
      <c r="BD488" t="n">
        <v>0</v>
      </c>
    </row>
    <row r="489">
      <c r="A489" t="inlineStr">
        <is>
          <t>Bertrand Traoré</t>
        </is>
      </c>
      <c r="D489" t="inlineStr">
        <is>
          <t>MID</t>
        </is>
      </c>
      <c r="E489" t="b">
        <v>0</v>
      </c>
      <c r="F489" s="2" t="n"/>
      <c r="I489" s="2" t="n">
        <v>638</v>
      </c>
      <c r="K489" s="3" t="n"/>
      <c r="M489" s="4" t="n">
        <v>638</v>
      </c>
      <c r="N489" t="inlineStr">
        <is>
          <t>25/26 actual</t>
        </is>
      </c>
      <c r="O489" s="5" t="n">
        <v>64</v>
      </c>
      <c r="P489" t="b">
        <v>1</v>
      </c>
      <c r="Q489" s="5">
        <f>IF(N(O489)&lt;=0,0,MIN(Assumptions!$B$15,N(M489)/N(O489)))</f>
        <v/>
      </c>
      <c r="R489" s="4" t="n"/>
      <c r="S489" s="3" t="n">
        <v>0.0814</v>
      </c>
      <c r="T489" t="inlineStr">
        <is>
          <t>adjusted xGOT</t>
        </is>
      </c>
      <c r="U489" s="3" t="n">
        <v>1</v>
      </c>
      <c r="V489" s="3" t="n">
        <v>1.203</v>
      </c>
      <c r="W489" s="3" t="n">
        <v>1.2</v>
      </c>
      <c r="X489" s="3" t="n">
        <v>0.1395</v>
      </c>
      <c r="Y489" s="3" t="n">
        <v>7.22</v>
      </c>
      <c r="Z489" s="3" t="n">
        <v>0</v>
      </c>
      <c r="AA489" s="3" t="n">
        <v>0.1411</v>
      </c>
      <c r="AB489" s="3" t="n">
        <v>19</v>
      </c>
      <c r="AC489" s="3" t="n"/>
      <c r="AD489" s="3" t="n"/>
      <c r="AE489" s="3" t="n"/>
      <c r="AF489" s="4" t="n">
        <v>0</v>
      </c>
      <c r="AG489" s="3" t="n">
        <v>0</v>
      </c>
      <c r="AH489" s="3" t="n">
        <v>0</v>
      </c>
      <c r="AI489" s="3" t="n">
        <v>0</v>
      </c>
      <c r="AJ489" s="3">
        <f>N(R489)*N(BC489)</f>
        <v/>
      </c>
      <c r="AK489" s="3" t="n">
        <v>0</v>
      </c>
      <c r="AL489" s="3" t="n">
        <v>0</v>
      </c>
      <c r="AM489" s="3" t="n">
        <v>0</v>
      </c>
      <c r="AN489" s="3" t="n">
        <v>0</v>
      </c>
      <c r="AO489" s="3">
        <f>SUM(AH489:AN489)</f>
        <v/>
      </c>
      <c r="AP489" s="5">
        <f>IF(OR(N(Q489)&lt;=0,N(BA489)=0),0,N(Q489)*IF(N(M489)/N(Q489)&gt;=60,N(BA489),1))</f>
        <v/>
      </c>
      <c r="AQ489" s="5">
        <f>N(Q489)*N(Z489)*N(BB489)</f>
        <v/>
      </c>
      <c r="AR489" s="5">
        <f>N(AF489)*(Assumptions!$B$13*N(BD489)-(1-Assumptions!$B$13)*Assumptions!$B$14)+N(AG489)</f>
        <v/>
      </c>
      <c r="AS489" s="5">
        <f>N(AO489)*N(M489)/90+N(AP489)+N(AQ489)+N(AR489)</f>
        <v/>
      </c>
      <c r="AT489" s="3">
        <f>IF(N(M489)&lt;=0,0,(N(AS489)-N(AR489))*90/N(M489))</f>
        <v/>
      </c>
      <c r="AU489" s="5">
        <f>IFERROR(AS489-VLOOKUP($C489,Assumptions!$A$36:$C$39,3,FALSE),"")</f>
        <v/>
      </c>
      <c r="AV489" s="3">
        <f>IFERROR(AU489/F489,"")</f>
        <v/>
      </c>
      <c r="AW489">
        <f>IF(AND($E489=TRUE,$C489="GKP"),AS489,"")</f>
        <v/>
      </c>
      <c r="AX489">
        <f>IF(AND($E489=TRUE,$C489="DEF"),AS489,"")</f>
        <v/>
      </c>
      <c r="AY489">
        <f>IF(AND($E489=TRUE,$C489="MID"),AS489,"")</f>
        <v/>
      </c>
      <c r="AZ489">
        <f>IF(AND($E489=TRUE,$C489="FWD"),AS489,"")</f>
        <v/>
      </c>
      <c r="BA489" t="n">
        <v>0</v>
      </c>
      <c r="BB489" t="n">
        <v>0</v>
      </c>
      <c r="BC489" t="n">
        <v>0</v>
      </c>
      <c r="BD489" t="n">
        <v>0</v>
      </c>
    </row>
    <row r="490">
      <c r="A490" t="inlineStr">
        <is>
          <t>Ben Wilson</t>
        </is>
      </c>
      <c r="B490" t="inlineStr">
        <is>
          <t>COV</t>
        </is>
      </c>
      <c r="C490" t="inlineStr">
        <is>
          <t>GKP</t>
        </is>
      </c>
      <c r="E490" t="b">
        <v>1</v>
      </c>
      <c r="F490" s="2" t="n">
        <v>4.5</v>
      </c>
      <c r="G490" t="inlineStr">
        <is>
          <t>a</t>
        </is>
      </c>
      <c r="I490" s="2" t="n"/>
      <c r="K490" s="3" t="n">
        <v>35</v>
      </c>
      <c r="L490" t="inlineStr">
        <is>
          <t>flat</t>
        </is>
      </c>
      <c r="M490" s="4" t="n">
        <v>35</v>
      </c>
      <c r="N490" t="inlineStr">
        <is>
          <t>Solio</t>
        </is>
      </c>
      <c r="O490" s="5" t="n">
        <v>85</v>
      </c>
      <c r="P490" t="b">
        <v>0</v>
      </c>
      <c r="Q490" s="5">
        <f>IF(N(O490)&lt;=0,0,MIN(Assumptions!$B$15,N(M490)/N(O490)))</f>
        <v/>
      </c>
      <c r="R490" s="4" t="n">
        <v>0.17</v>
      </c>
      <c r="S490" s="3" t="n"/>
      <c r="T490" t="inlineStr"/>
      <c r="U490" s="3" t="n">
        <v>1</v>
      </c>
      <c r="V490" s="3" t="n"/>
      <c r="W490" s="3" t="n"/>
      <c r="X490" s="3" t="n"/>
      <c r="Y490" s="3" t="n">
        <v>0</v>
      </c>
      <c r="Z490" s="3" t="n">
        <v>0</v>
      </c>
      <c r="AA490" s="3" t="n"/>
      <c r="AB490" s="3" t="n"/>
      <c r="AC490" s="3" t="n">
        <v>3.6194</v>
      </c>
      <c r="AD490" s="3" t="n">
        <v>1.8271</v>
      </c>
      <c r="AE490" s="3" t="n">
        <v>-0.0763216474948735</v>
      </c>
      <c r="AF490" s="4" t="n">
        <v>0</v>
      </c>
      <c r="AG490" s="3" t="n">
        <v>0.0399179647999067</v>
      </c>
      <c r="AH490" s="3" t="n">
        <v>0</v>
      </c>
      <c r="AI490" s="3" t="n">
        <v>0</v>
      </c>
      <c r="AJ490" s="3">
        <f>N(R490)*N(BC490)</f>
        <v/>
      </c>
      <c r="AK490" s="3" t="n">
        <v>0</v>
      </c>
      <c r="AL490" s="3" t="n">
        <v>0.8716770173844571</v>
      </c>
      <c r="AM490" s="3" t="n">
        <v>-0.670020548738316</v>
      </c>
      <c r="AN490" s="3" t="n">
        <v>-0.0763216474948735</v>
      </c>
      <c r="AO490" s="3">
        <f>SUM(AH490:AN490)</f>
        <v/>
      </c>
      <c r="AP490" s="5">
        <f>IF(OR(N(Q490)&lt;=0,N(BA490)=0),0,N(Q490)*IF(N(M490)/N(Q490)&gt;=60,N(BA490),1))</f>
        <v/>
      </c>
      <c r="AQ490" s="5">
        <f>N(Q490)*N(Z490)*N(BB490)</f>
        <v/>
      </c>
      <c r="AR490" s="5">
        <f>N(AF490)*(Assumptions!$B$13*N(BD490)-(1-Assumptions!$B$13)*Assumptions!$B$14)+N(AG490)</f>
        <v/>
      </c>
      <c r="AS490" s="5">
        <f>N(AO490)*N(M490)/90+N(AP490)+N(AQ490)+N(AR490)</f>
        <v/>
      </c>
      <c r="AT490" s="3">
        <f>IF(N(M490)&lt;=0,0,(N(AS490)-N(AR490))*90/N(M490))</f>
        <v/>
      </c>
      <c r="AU490" s="5">
        <f>IFERROR(AS490-VLOOKUP($C490,Assumptions!$A$36:$C$39,3,FALSE),"")</f>
        <v/>
      </c>
      <c r="AV490" s="3">
        <f>IFERROR(AU490/F490,"")</f>
        <v/>
      </c>
      <c r="AW490">
        <f>IF(AND($E490=TRUE,$C490="GKP"),AS490,"")</f>
        <v/>
      </c>
      <c r="AX490">
        <f>IF(AND($E490=TRUE,$C490="DEF"),AS490,"")</f>
        <v/>
      </c>
      <c r="AY490">
        <f>IF(AND($E490=TRUE,$C490="MID"),AS490,"")</f>
        <v/>
      </c>
      <c r="AZ490">
        <f>IF(AND($E490=TRUE,$C490="FWD"),AS490,"")</f>
        <v/>
      </c>
      <c r="BA490" t="n">
        <v>2</v>
      </c>
      <c r="BB490" t="n">
        <v>0</v>
      </c>
      <c r="BC490" t="n">
        <v>4</v>
      </c>
      <c r="BD490" t="n">
        <v>10</v>
      </c>
    </row>
    <row r="491">
      <c r="A491" t="inlineStr">
        <is>
          <t>Joël Veltman</t>
        </is>
      </c>
      <c r="D491" t="inlineStr">
        <is>
          <t>DEF</t>
        </is>
      </c>
      <c r="E491" t="b">
        <v>0</v>
      </c>
      <c r="F491" s="2" t="n"/>
      <c r="I491" s="2" t="n">
        <v>1050</v>
      </c>
      <c r="K491" s="3" t="n"/>
      <c r="M491" s="4" t="n">
        <v>1050</v>
      </c>
      <c r="N491" t="inlineStr">
        <is>
          <t>25/26 actual</t>
        </is>
      </c>
      <c r="O491" s="5" t="n">
        <v>83.09999999999999</v>
      </c>
      <c r="P491" t="b">
        <v>1</v>
      </c>
      <c r="Q491" s="5">
        <f>IF(N(O491)&lt;=0,0,MIN(Assumptions!$B$15,N(M491)/N(O491)))</f>
        <v/>
      </c>
      <c r="R491" s="4" t="n"/>
      <c r="S491" s="3" t="n">
        <v>0.0961</v>
      </c>
      <c r="T491" t="inlineStr">
        <is>
          <t>adjusted xGOT</t>
        </is>
      </c>
      <c r="U491" s="3" t="n">
        <v>1</v>
      </c>
      <c r="V491" s="3" t="n">
        <v>0.975</v>
      </c>
      <c r="W491" s="3" t="n">
        <v>3.8</v>
      </c>
      <c r="X491" s="3" t="n">
        <v>0.0216</v>
      </c>
      <c r="Y491" s="3" t="n">
        <v>8.173999999999999</v>
      </c>
      <c r="Z491" s="3" t="n">
        <v>0</v>
      </c>
      <c r="AA491" s="3" t="n">
        <v>0</v>
      </c>
      <c r="AB491" s="3" t="n">
        <v>33</v>
      </c>
      <c r="AC491" s="3" t="n"/>
      <c r="AD491" s="3" t="n"/>
      <c r="AE491" s="3" t="n"/>
      <c r="AF491" s="4" t="n">
        <v>0</v>
      </c>
      <c r="AG491" s="3" t="n">
        <v>0</v>
      </c>
      <c r="AH491" s="3" t="n">
        <v>0</v>
      </c>
      <c r="AI491" s="3" t="n">
        <v>0</v>
      </c>
      <c r="AJ491" s="3">
        <f>N(R491)*N(BC491)</f>
        <v/>
      </c>
      <c r="AK491" s="3" t="n">
        <v>0</v>
      </c>
      <c r="AL491" s="3" t="n">
        <v>0</v>
      </c>
      <c r="AM491" s="3" t="n">
        <v>0</v>
      </c>
      <c r="AN491" s="3" t="n">
        <v>0</v>
      </c>
      <c r="AO491" s="3">
        <f>SUM(AH491:AN491)</f>
        <v/>
      </c>
      <c r="AP491" s="5">
        <f>IF(OR(N(Q491)&lt;=0,N(BA491)=0),0,N(Q491)*IF(N(M491)/N(Q491)&gt;=60,N(BA491),1))</f>
        <v/>
      </c>
      <c r="AQ491" s="5">
        <f>N(Q491)*N(Z491)*N(BB491)</f>
        <v/>
      </c>
      <c r="AR491" s="5">
        <f>N(AF491)*(Assumptions!$B$13*N(BD491)-(1-Assumptions!$B$13)*Assumptions!$B$14)+N(AG491)</f>
        <v/>
      </c>
      <c r="AS491" s="5">
        <f>N(AO491)*N(M491)/90+N(AP491)+N(AQ491)+N(AR491)</f>
        <v/>
      </c>
      <c r="AT491" s="3">
        <f>IF(N(M491)&lt;=0,0,(N(AS491)-N(AR491))*90/N(M491))</f>
        <v/>
      </c>
      <c r="AU491" s="5">
        <f>IFERROR(AS491-VLOOKUP($C491,Assumptions!$A$36:$C$39,3,FALSE),"")</f>
        <v/>
      </c>
      <c r="AV491" s="3">
        <f>IFERROR(AU491/F491,"")</f>
        <v/>
      </c>
      <c r="AW491">
        <f>IF(AND($E491=TRUE,$C491="GKP"),AS491,"")</f>
        <v/>
      </c>
      <c r="AX491">
        <f>IF(AND($E491=TRUE,$C491="DEF"),AS491,"")</f>
        <v/>
      </c>
      <c r="AY491">
        <f>IF(AND($E491=TRUE,$C491="MID"),AS491,"")</f>
        <v/>
      </c>
      <c r="AZ491">
        <f>IF(AND($E491=TRUE,$C491="FWD"),AS491,"")</f>
        <v/>
      </c>
      <c r="BA491" t="n">
        <v>0</v>
      </c>
      <c r="BB491" t="n">
        <v>0</v>
      </c>
      <c r="BC491" t="n">
        <v>0</v>
      </c>
      <c r="BD491" t="n">
        <v>0</v>
      </c>
    </row>
    <row r="492">
      <c r="A492" t="inlineStr">
        <is>
          <t>Emil Krafth</t>
        </is>
      </c>
      <c r="D492" t="inlineStr">
        <is>
          <t>DEF</t>
        </is>
      </c>
      <c r="E492" t="b">
        <v>0</v>
      </c>
      <c r="F492" s="2" t="n"/>
      <c r="I492" s="2" t="n">
        <v>45</v>
      </c>
      <c r="K492" s="3" t="n"/>
      <c r="M492" s="4" t="n">
        <v>45</v>
      </c>
      <c r="N492" t="inlineStr">
        <is>
          <t>25/26 actual</t>
        </is>
      </c>
      <c r="O492" s="5" t="n">
        <v>45</v>
      </c>
      <c r="P492" t="b">
        <v>1</v>
      </c>
      <c r="Q492" s="5">
        <f>IF(N(O492)&lt;=0,0,MIN(Assumptions!$B$15,N(M492)/N(O492)))</f>
        <v/>
      </c>
      <c r="R492" s="4" t="n"/>
      <c r="S492" s="3" t="n">
        <v>0</v>
      </c>
      <c r="T492" t="inlineStr">
        <is>
          <t>adjusted xGOT</t>
        </is>
      </c>
      <c r="U492" s="3" t="n">
        <v>1</v>
      </c>
      <c r="V492" s="3" t="n">
        <v>0.971</v>
      </c>
      <c r="W492" s="3" t="n">
        <v>0.2</v>
      </c>
      <c r="X492" s="3" t="n">
        <v>0</v>
      </c>
      <c r="Y492" s="3" t="n">
        <v>7.351</v>
      </c>
      <c r="Z492" s="3" t="n">
        <v>0</v>
      </c>
      <c r="AA492" s="3" t="n">
        <v>0</v>
      </c>
      <c r="AB492" s="3" t="n">
        <v>1</v>
      </c>
      <c r="AC492" s="3" t="n"/>
      <c r="AD492" s="3" t="n"/>
      <c r="AE492" s="3" t="n"/>
      <c r="AF492" s="4" t="n">
        <v>0</v>
      </c>
      <c r="AG492" s="3" t="n">
        <v>0</v>
      </c>
      <c r="AH492" s="3" t="n">
        <v>0</v>
      </c>
      <c r="AI492" s="3" t="n">
        <v>0</v>
      </c>
      <c r="AJ492" s="3">
        <f>N(R492)*N(BC492)</f>
        <v/>
      </c>
      <c r="AK492" s="3" t="n">
        <v>0</v>
      </c>
      <c r="AL492" s="3" t="n">
        <v>0</v>
      </c>
      <c r="AM492" s="3" t="n">
        <v>0</v>
      </c>
      <c r="AN492" s="3" t="n">
        <v>0</v>
      </c>
      <c r="AO492" s="3">
        <f>SUM(AH492:AN492)</f>
        <v/>
      </c>
      <c r="AP492" s="5">
        <f>IF(OR(N(Q492)&lt;=0,N(BA492)=0),0,N(Q492)*IF(N(M492)/N(Q492)&gt;=60,N(BA492),1))</f>
        <v/>
      </c>
      <c r="AQ492" s="5">
        <f>N(Q492)*N(Z492)*N(BB492)</f>
        <v/>
      </c>
      <c r="AR492" s="5">
        <f>N(AF492)*(Assumptions!$B$13*N(BD492)-(1-Assumptions!$B$13)*Assumptions!$B$14)+N(AG492)</f>
        <v/>
      </c>
      <c r="AS492" s="5">
        <f>N(AO492)*N(M492)/90+N(AP492)+N(AQ492)+N(AR492)</f>
        <v/>
      </c>
      <c r="AT492" s="3">
        <f>IF(N(M492)&lt;=0,0,(N(AS492)-N(AR492))*90/N(M492))</f>
        <v/>
      </c>
      <c r="AU492" s="5">
        <f>IFERROR(AS492-VLOOKUP($C492,Assumptions!$A$36:$C$39,3,FALSE),"")</f>
        <v/>
      </c>
      <c r="AV492" s="3">
        <f>IFERROR(AU492/F492,"")</f>
        <v/>
      </c>
      <c r="AW492">
        <f>IF(AND($E492=TRUE,$C492="GKP"),AS492,"")</f>
        <v/>
      </c>
      <c r="AX492">
        <f>IF(AND($E492=TRUE,$C492="DEF"),AS492,"")</f>
        <v/>
      </c>
      <c r="AY492">
        <f>IF(AND($E492=TRUE,$C492="MID"),AS492,"")</f>
        <v/>
      </c>
      <c r="AZ492">
        <f>IF(AND($E492=TRUE,$C492="FWD"),AS492,"")</f>
        <v/>
      </c>
      <c r="BA492" t="n">
        <v>0</v>
      </c>
      <c r="BB492" t="n">
        <v>0</v>
      </c>
      <c r="BC492" t="n">
        <v>0</v>
      </c>
      <c r="BD492" t="n">
        <v>0</v>
      </c>
    </row>
    <row r="493">
      <c r="A493" t="inlineStr">
        <is>
          <t>Alex Palmer</t>
        </is>
      </c>
      <c r="B493" t="inlineStr">
        <is>
          <t>IPS</t>
        </is>
      </c>
      <c r="C493" t="inlineStr">
        <is>
          <t>GKP</t>
        </is>
      </c>
      <c r="E493" t="b">
        <v>1</v>
      </c>
      <c r="F493" s="2" t="n">
        <v>4</v>
      </c>
      <c r="G493" t="inlineStr">
        <is>
          <t>a</t>
        </is>
      </c>
      <c r="I493" s="2" t="n"/>
      <c r="K493" s="3" t="n">
        <v>34</v>
      </c>
      <c r="L493" t="inlineStr">
        <is>
          <t>flat</t>
        </is>
      </c>
      <c r="M493" s="4" t="n">
        <v>34</v>
      </c>
      <c r="N493" t="inlineStr">
        <is>
          <t>Solio</t>
        </is>
      </c>
      <c r="O493" s="5" t="n">
        <v>85</v>
      </c>
      <c r="P493" t="b">
        <v>0</v>
      </c>
      <c r="Q493" s="5">
        <f>IF(N(O493)&lt;=0,0,MIN(Assumptions!$B$15,N(M493)/N(O493)))</f>
        <v/>
      </c>
      <c r="R493" s="4" t="n">
        <v>0.17</v>
      </c>
      <c r="S493" s="3" t="n"/>
      <c r="T493" t="inlineStr"/>
      <c r="U493" s="3" t="n">
        <v>1</v>
      </c>
      <c r="V493" s="3" t="n"/>
      <c r="W493" s="3" t="n"/>
      <c r="X493" s="3" t="n"/>
      <c r="Y493" s="3" t="n">
        <v>0</v>
      </c>
      <c r="Z493" s="3" t="n">
        <v>0</v>
      </c>
      <c r="AA493" s="3" t="n"/>
      <c r="AB493" s="3" t="n"/>
      <c r="AC493" s="3" t="n">
        <v>3.5741</v>
      </c>
      <c r="AD493" s="3" t="n">
        <v>1.8319</v>
      </c>
      <c r="AE493" s="3" t="n">
        <v>-0.102699169652838</v>
      </c>
      <c r="AF493" s="4" t="n">
        <v>0</v>
      </c>
      <c r="AG493" s="3" t="n">
        <v>0.0388791020719355</v>
      </c>
      <c r="AH493" s="3" t="n">
        <v>0</v>
      </c>
      <c r="AI493" s="3" t="n">
        <v>0</v>
      </c>
      <c r="AJ493" s="3">
        <f>N(R493)*N(BC493)</f>
        <v/>
      </c>
      <c r="AK493" s="3" t="n">
        <v>0</v>
      </c>
      <c r="AL493" s="3" t="n">
        <v>0.8565116974562608</v>
      </c>
      <c r="AM493" s="3" t="n">
        <v>-0.6723587286814016</v>
      </c>
      <c r="AN493" s="3" t="n">
        <v>-0.102699169652838</v>
      </c>
      <c r="AO493" s="3">
        <f>SUM(AH493:AN493)</f>
        <v/>
      </c>
      <c r="AP493" s="5">
        <f>IF(OR(N(Q493)&lt;=0,N(BA493)=0),0,N(Q493)*IF(N(M493)/N(Q493)&gt;=60,N(BA493),1))</f>
        <v/>
      </c>
      <c r="AQ493" s="5">
        <f>N(Q493)*N(Z493)*N(BB493)</f>
        <v/>
      </c>
      <c r="AR493" s="5">
        <f>N(AF493)*(Assumptions!$B$13*N(BD493)-(1-Assumptions!$B$13)*Assumptions!$B$14)+N(AG493)</f>
        <v/>
      </c>
      <c r="AS493" s="5">
        <f>N(AO493)*N(M493)/90+N(AP493)+N(AQ493)+N(AR493)</f>
        <v/>
      </c>
      <c r="AT493" s="3">
        <f>IF(N(M493)&lt;=0,0,(N(AS493)-N(AR493))*90/N(M493))</f>
        <v/>
      </c>
      <c r="AU493" s="5">
        <f>IFERROR(AS493-VLOOKUP($C493,Assumptions!$A$36:$C$39,3,FALSE),"")</f>
        <v/>
      </c>
      <c r="AV493" s="3">
        <f>IFERROR(AU493/F493,"")</f>
        <v/>
      </c>
      <c r="AW493">
        <f>IF(AND($E493=TRUE,$C493="GKP"),AS493,"")</f>
        <v/>
      </c>
      <c r="AX493">
        <f>IF(AND($E493=TRUE,$C493="DEF"),AS493,"")</f>
        <v/>
      </c>
      <c r="AY493">
        <f>IF(AND($E493=TRUE,$C493="MID"),AS493,"")</f>
        <v/>
      </c>
      <c r="AZ493">
        <f>IF(AND($E493=TRUE,$C493="FWD"),AS493,"")</f>
        <v/>
      </c>
      <c r="BA493" t="n">
        <v>2</v>
      </c>
      <c r="BB493" t="n">
        <v>0</v>
      </c>
      <c r="BC493" t="n">
        <v>4</v>
      </c>
      <c r="BD493" t="n">
        <v>10</v>
      </c>
    </row>
    <row r="494">
      <c r="A494" t="inlineStr">
        <is>
          <t>Sam Byram</t>
        </is>
      </c>
      <c r="D494" t="inlineStr">
        <is>
          <t>DEF</t>
        </is>
      </c>
      <c r="E494" t="b">
        <v>0</v>
      </c>
      <c r="F494" s="2" t="n"/>
      <c r="I494" s="2" t="n">
        <v>8</v>
      </c>
      <c r="K494" s="3" t="n"/>
      <c r="M494" s="4" t="n">
        <v>8</v>
      </c>
      <c r="N494" t="inlineStr">
        <is>
          <t>25/26 actual</t>
        </is>
      </c>
      <c r="O494" s="5" t="n">
        <v>85</v>
      </c>
      <c r="P494" t="b">
        <v>1</v>
      </c>
      <c r="Q494" s="5">
        <f>IF(N(O494)&lt;=0,0,MIN(Assumptions!$B$15,N(M494)/N(O494)))</f>
        <v/>
      </c>
      <c r="R494" s="4" t="n"/>
      <c r="S494" s="3" t="n">
        <v>0</v>
      </c>
      <c r="T494" t="inlineStr">
        <is>
          <t>blended xG</t>
        </is>
      </c>
      <c r="U494" s="3" t="n">
        <v>1</v>
      </c>
      <c r="V494" s="3" t="n">
        <v>1</v>
      </c>
      <c r="W494" s="3" t="n">
        <v>0</v>
      </c>
      <c r="X494" s="3" t="n">
        <v>0</v>
      </c>
      <c r="Y494" s="3" t="n">
        <v>7.971</v>
      </c>
      <c r="Z494" s="3" t="n">
        <v>0</v>
      </c>
      <c r="AA494" s="3" t="n">
        <v>0</v>
      </c>
      <c r="AB494" s="3" t="n">
        <v>2</v>
      </c>
      <c r="AC494" s="3" t="n"/>
      <c r="AD494" s="3" t="n"/>
      <c r="AE494" s="3" t="n"/>
      <c r="AF494" s="4" t="n">
        <v>0</v>
      </c>
      <c r="AG494" s="3" t="n">
        <v>0</v>
      </c>
      <c r="AH494" s="3" t="n">
        <v>0</v>
      </c>
      <c r="AI494" s="3" t="n">
        <v>0</v>
      </c>
      <c r="AJ494" s="3">
        <f>N(R494)*N(BC494)</f>
        <v/>
      </c>
      <c r="AK494" s="3" t="n">
        <v>0</v>
      </c>
      <c r="AL494" s="3" t="n">
        <v>0</v>
      </c>
      <c r="AM494" s="3" t="n">
        <v>0</v>
      </c>
      <c r="AN494" s="3" t="n">
        <v>0</v>
      </c>
      <c r="AO494" s="3">
        <f>SUM(AH494:AN494)</f>
        <v/>
      </c>
      <c r="AP494" s="5">
        <f>IF(OR(N(Q494)&lt;=0,N(BA494)=0),0,N(Q494)*IF(N(M494)/N(Q494)&gt;=60,N(BA494),1))</f>
        <v/>
      </c>
      <c r="AQ494" s="5">
        <f>N(Q494)*N(Z494)*N(BB494)</f>
        <v/>
      </c>
      <c r="AR494" s="5">
        <f>N(AF494)*(Assumptions!$B$13*N(BD494)-(1-Assumptions!$B$13)*Assumptions!$B$14)+N(AG494)</f>
        <v/>
      </c>
      <c r="AS494" s="5">
        <f>N(AO494)*N(M494)/90+N(AP494)+N(AQ494)+N(AR494)</f>
        <v/>
      </c>
      <c r="AT494" s="3">
        <f>IF(N(M494)&lt;=0,0,(N(AS494)-N(AR494))*90/N(M494))</f>
        <v/>
      </c>
      <c r="AU494" s="5">
        <f>IFERROR(AS494-VLOOKUP($C494,Assumptions!$A$36:$C$39,3,FALSE),"")</f>
        <v/>
      </c>
      <c r="AV494" s="3">
        <f>IFERROR(AU494/F494,"")</f>
        <v/>
      </c>
      <c r="AW494">
        <f>IF(AND($E494=TRUE,$C494="GKP"),AS494,"")</f>
        <v/>
      </c>
      <c r="AX494">
        <f>IF(AND($E494=TRUE,$C494="DEF"),AS494,"")</f>
        <v/>
      </c>
      <c r="AY494">
        <f>IF(AND($E494=TRUE,$C494="MID"),AS494,"")</f>
        <v/>
      </c>
      <c r="AZ494">
        <f>IF(AND($E494=TRUE,$C494="FWD"),AS494,"")</f>
        <v/>
      </c>
      <c r="BA494" t="n">
        <v>0</v>
      </c>
      <c r="BB494" t="n">
        <v>0</v>
      </c>
      <c r="BC494" t="n">
        <v>0</v>
      </c>
      <c r="BD494" t="n">
        <v>0</v>
      </c>
    </row>
    <row r="495">
      <c r="A495" t="inlineStr">
        <is>
          <t>Leandro Trossard</t>
        </is>
      </c>
      <c r="D495" t="inlineStr">
        <is>
          <t>MID</t>
        </is>
      </c>
      <c r="E495" t="b">
        <v>0</v>
      </c>
      <c r="F495" s="2" t="n"/>
      <c r="I495" s="2" t="n">
        <v>2006</v>
      </c>
      <c r="K495" s="3" t="n"/>
      <c r="M495" s="4" t="n">
        <v>2006</v>
      </c>
      <c r="N495" t="inlineStr">
        <is>
          <t>25/26 actual</t>
        </is>
      </c>
      <c r="O495" s="5" t="n">
        <v>81.2</v>
      </c>
      <c r="P495" t="b">
        <v>1</v>
      </c>
      <c r="Q495" s="5">
        <f>IF(N(O495)&lt;=0,0,MIN(Assumptions!$B$15,N(M495)/N(O495)))</f>
        <v/>
      </c>
      <c r="R495" s="4" t="n"/>
      <c r="S495" s="3" t="n">
        <v>0.2556</v>
      </c>
      <c r="T495" t="inlineStr">
        <is>
          <t>adjusted xGOT</t>
        </is>
      </c>
      <c r="U495" s="3" t="n">
        <v>1</v>
      </c>
      <c r="V495" s="3" t="n">
        <v>1.017</v>
      </c>
      <c r="W495" s="3" t="n">
        <v>27</v>
      </c>
      <c r="X495" s="3" t="n">
        <v>0.2238</v>
      </c>
      <c r="Y495" s="3" t="n">
        <v>6.678</v>
      </c>
      <c r="Z495" s="3" t="n">
        <v>0</v>
      </c>
      <c r="AA495" s="3" t="n">
        <v>0.4935</v>
      </c>
      <c r="AB495" s="3" t="n">
        <v>51</v>
      </c>
      <c r="AC495" s="3" t="n"/>
      <c r="AD495" s="3" t="n"/>
      <c r="AE495" s="3" t="n"/>
      <c r="AF495" s="4" t="n">
        <v>0</v>
      </c>
      <c r="AG495" s="3" t="n">
        <v>0</v>
      </c>
      <c r="AH495" s="3" t="n">
        <v>0</v>
      </c>
      <c r="AI495" s="3" t="n">
        <v>0</v>
      </c>
      <c r="AJ495" s="3">
        <f>N(R495)*N(BC495)</f>
        <v/>
      </c>
      <c r="AK495" s="3" t="n">
        <v>0</v>
      </c>
      <c r="AL495" s="3" t="n">
        <v>0</v>
      </c>
      <c r="AM495" s="3" t="n">
        <v>0</v>
      </c>
      <c r="AN495" s="3" t="n">
        <v>0</v>
      </c>
      <c r="AO495" s="3">
        <f>SUM(AH495:AN495)</f>
        <v/>
      </c>
      <c r="AP495" s="5">
        <f>IF(OR(N(Q495)&lt;=0,N(BA495)=0),0,N(Q495)*IF(N(M495)/N(Q495)&gt;=60,N(BA495),1))</f>
        <v/>
      </c>
      <c r="AQ495" s="5">
        <f>N(Q495)*N(Z495)*N(BB495)</f>
        <v/>
      </c>
      <c r="AR495" s="5">
        <f>N(AF495)*(Assumptions!$B$13*N(BD495)-(1-Assumptions!$B$13)*Assumptions!$B$14)+N(AG495)</f>
        <v/>
      </c>
      <c r="AS495" s="5">
        <f>N(AO495)*N(M495)/90+N(AP495)+N(AQ495)+N(AR495)</f>
        <v/>
      </c>
      <c r="AT495" s="3">
        <f>IF(N(M495)&lt;=0,0,(N(AS495)-N(AR495))*90/N(M495))</f>
        <v/>
      </c>
      <c r="AU495" s="5">
        <f>IFERROR(AS495-VLOOKUP($C495,Assumptions!$A$36:$C$39,3,FALSE),"")</f>
        <v/>
      </c>
      <c r="AV495" s="3">
        <f>IFERROR(AU495/F495,"")</f>
        <v/>
      </c>
      <c r="AW495">
        <f>IF(AND($E495=TRUE,$C495="GKP"),AS495,"")</f>
        <v/>
      </c>
      <c r="AX495">
        <f>IF(AND($E495=TRUE,$C495="DEF"),AS495,"")</f>
        <v/>
      </c>
      <c r="AY495">
        <f>IF(AND($E495=TRUE,$C495="MID"),AS495,"")</f>
        <v/>
      </c>
      <c r="AZ495">
        <f>IF(AND($E495=TRUE,$C495="FWD"),AS495,"")</f>
        <v/>
      </c>
      <c r="BA495" t="n">
        <v>0</v>
      </c>
      <c r="BB495" t="n">
        <v>0</v>
      </c>
      <c r="BC495" t="n">
        <v>0</v>
      </c>
      <c r="BD495" t="n">
        <v>0</v>
      </c>
    </row>
    <row r="496">
      <c r="A496" t="inlineStr">
        <is>
          <t>Mohamed Salah</t>
        </is>
      </c>
      <c r="D496" t="inlineStr">
        <is>
          <t>MID</t>
        </is>
      </c>
      <c r="E496" t="b">
        <v>0</v>
      </c>
      <c r="F496" s="2" t="n"/>
      <c r="I496" s="2" t="n">
        <v>2148</v>
      </c>
      <c r="K496" s="3" t="n"/>
      <c r="M496" s="4" t="n">
        <v>2148</v>
      </c>
      <c r="N496" t="inlineStr">
        <is>
          <t>25/26 actual</t>
        </is>
      </c>
      <c r="O496" s="5" t="n">
        <v>86.7</v>
      </c>
      <c r="P496" t="b">
        <v>1</v>
      </c>
      <c r="Q496" s="5">
        <f>IF(N(O496)&lt;=0,0,MIN(Assumptions!$B$15,N(M496)/N(O496)))</f>
        <v/>
      </c>
      <c r="R496" s="4" t="n"/>
      <c r="S496" s="3" t="n">
        <v>0.3051</v>
      </c>
      <c r="T496" t="inlineStr">
        <is>
          <t>adjusted xGOT</t>
        </is>
      </c>
      <c r="U496" s="3" t="n">
        <v>0.914</v>
      </c>
      <c r="V496" s="3" t="n">
        <v>0.968</v>
      </c>
      <c r="W496" s="3" t="n">
        <v>74.8</v>
      </c>
      <c r="X496" s="3" t="n">
        <v>0.2693</v>
      </c>
      <c r="Y496" s="3" t="n">
        <v>5.582</v>
      </c>
      <c r="Z496" s="3" t="n">
        <v>0</v>
      </c>
      <c r="AA496" s="3" t="n">
        <v>0.5447</v>
      </c>
      <c r="AB496" s="3" t="n">
        <v>50</v>
      </c>
      <c r="AC496" s="3" t="n"/>
      <c r="AD496" s="3" t="n"/>
      <c r="AE496" s="3" t="n"/>
      <c r="AF496" s="4" t="n">
        <v>0</v>
      </c>
      <c r="AG496" s="3" t="n">
        <v>0</v>
      </c>
      <c r="AH496" s="3" t="n">
        <v>0</v>
      </c>
      <c r="AI496" s="3" t="n">
        <v>0</v>
      </c>
      <c r="AJ496" s="3">
        <f>N(R496)*N(BC496)</f>
        <v/>
      </c>
      <c r="AK496" s="3" t="n">
        <v>0</v>
      </c>
      <c r="AL496" s="3" t="n">
        <v>0</v>
      </c>
      <c r="AM496" s="3" t="n">
        <v>0</v>
      </c>
      <c r="AN496" s="3" t="n">
        <v>0</v>
      </c>
      <c r="AO496" s="3">
        <f>SUM(AH496:AN496)</f>
        <v/>
      </c>
      <c r="AP496" s="5">
        <f>IF(OR(N(Q496)&lt;=0,N(BA496)=0),0,N(Q496)*IF(N(M496)/N(Q496)&gt;=60,N(BA496),1))</f>
        <v/>
      </c>
      <c r="AQ496" s="5">
        <f>N(Q496)*N(Z496)*N(BB496)</f>
        <v/>
      </c>
      <c r="AR496" s="5">
        <f>N(AF496)*(Assumptions!$B$13*N(BD496)-(1-Assumptions!$B$13)*Assumptions!$B$14)+N(AG496)</f>
        <v/>
      </c>
      <c r="AS496" s="5">
        <f>N(AO496)*N(M496)/90+N(AP496)+N(AQ496)+N(AR496)</f>
        <v/>
      </c>
      <c r="AT496" s="3">
        <f>IF(N(M496)&lt;=0,0,(N(AS496)-N(AR496))*90/N(M496))</f>
        <v/>
      </c>
      <c r="AU496" s="5">
        <f>IFERROR(AS496-VLOOKUP($C496,Assumptions!$A$36:$C$39,3,FALSE),"")</f>
        <v/>
      </c>
      <c r="AV496" s="3">
        <f>IFERROR(AU496/F496,"")</f>
        <v/>
      </c>
      <c r="AW496">
        <f>IF(AND($E496=TRUE,$C496="GKP"),AS496,"")</f>
        <v/>
      </c>
      <c r="AX496">
        <f>IF(AND($E496=TRUE,$C496="DEF"),AS496,"")</f>
        <v/>
      </c>
      <c r="AY496">
        <f>IF(AND($E496=TRUE,$C496="MID"),AS496,"")</f>
        <v/>
      </c>
      <c r="AZ496">
        <f>IF(AND($E496=TRUE,$C496="FWD"),AS496,"")</f>
        <v/>
      </c>
      <c r="BA496" t="n">
        <v>0</v>
      </c>
      <c r="BB496" t="n">
        <v>0</v>
      </c>
      <c r="BC496" t="n">
        <v>0</v>
      </c>
      <c r="BD496" t="n">
        <v>0</v>
      </c>
    </row>
    <row r="497">
      <c r="A497" t="inlineStr">
        <is>
          <t>Patrick Roberts</t>
        </is>
      </c>
      <c r="D497" t="inlineStr">
        <is>
          <t>MID</t>
        </is>
      </c>
      <c r="E497" t="b">
        <v>0</v>
      </c>
      <c r="F497" s="2" t="n"/>
      <c r="I497" s="2" t="n">
        <v>27</v>
      </c>
      <c r="K497" s="3" t="n"/>
      <c r="M497" s="4" t="n">
        <v>27</v>
      </c>
      <c r="N497" t="inlineStr">
        <is>
          <t>25/26 actual</t>
        </is>
      </c>
      <c r="O497" s="5" t="n">
        <v>85</v>
      </c>
      <c r="P497" t="b">
        <v>1</v>
      </c>
      <c r="Q497" s="5">
        <f>IF(N(O497)&lt;=0,0,MIN(Assumptions!$B$15,N(M497)/N(O497)))</f>
        <v/>
      </c>
      <c r="R497" s="4" t="n"/>
      <c r="S497" s="3" t="n">
        <v>0.1</v>
      </c>
      <c r="T497" t="inlineStr">
        <is>
          <t>adjusted xGOT</t>
        </is>
      </c>
      <c r="U497" s="3" t="n">
        <v>1</v>
      </c>
      <c r="V497" s="3" t="n">
        <v>0.996</v>
      </c>
      <c r="W497" s="3" t="n">
        <v>0</v>
      </c>
      <c r="X497" s="3" t="n">
        <v>0</v>
      </c>
      <c r="Y497" s="3" t="n">
        <v>8.387</v>
      </c>
      <c r="Z497" s="3" t="n">
        <v>0</v>
      </c>
      <c r="AA497" s="3" t="n">
        <v>0</v>
      </c>
      <c r="AB497" s="3" t="n">
        <v>1</v>
      </c>
      <c r="AC497" s="3" t="n"/>
      <c r="AD497" s="3" t="n"/>
      <c r="AE497" s="3" t="n"/>
      <c r="AF497" s="4" t="n">
        <v>0</v>
      </c>
      <c r="AG497" s="3" t="n">
        <v>0</v>
      </c>
      <c r="AH497" s="3" t="n">
        <v>0</v>
      </c>
      <c r="AI497" s="3" t="n">
        <v>0</v>
      </c>
      <c r="AJ497" s="3">
        <f>N(R497)*N(BC497)</f>
        <v/>
      </c>
      <c r="AK497" s="3" t="n">
        <v>0</v>
      </c>
      <c r="AL497" s="3" t="n">
        <v>0</v>
      </c>
      <c r="AM497" s="3" t="n">
        <v>0</v>
      </c>
      <c r="AN497" s="3" t="n">
        <v>0</v>
      </c>
      <c r="AO497" s="3">
        <f>SUM(AH497:AN497)</f>
        <v/>
      </c>
      <c r="AP497" s="5">
        <f>IF(OR(N(Q497)&lt;=0,N(BA497)=0),0,N(Q497)*IF(N(M497)/N(Q497)&gt;=60,N(BA497),1))</f>
        <v/>
      </c>
      <c r="AQ497" s="5">
        <f>N(Q497)*N(Z497)*N(BB497)</f>
        <v/>
      </c>
      <c r="AR497" s="5">
        <f>N(AF497)*(Assumptions!$B$13*N(BD497)-(1-Assumptions!$B$13)*Assumptions!$B$14)+N(AG497)</f>
        <v/>
      </c>
      <c r="AS497" s="5">
        <f>N(AO497)*N(M497)/90+N(AP497)+N(AQ497)+N(AR497)</f>
        <v/>
      </c>
      <c r="AT497" s="3">
        <f>IF(N(M497)&lt;=0,0,(N(AS497)-N(AR497))*90/N(M497))</f>
        <v/>
      </c>
      <c r="AU497" s="5">
        <f>IFERROR(AS497-VLOOKUP($C497,Assumptions!$A$36:$C$39,3,FALSE),"")</f>
        <v/>
      </c>
      <c r="AV497" s="3">
        <f>IFERROR(AU497/F497,"")</f>
        <v/>
      </c>
      <c r="AW497">
        <f>IF(AND($E497=TRUE,$C497="GKP"),AS497,"")</f>
        <v/>
      </c>
      <c r="AX497">
        <f>IF(AND($E497=TRUE,$C497="DEF"),AS497,"")</f>
        <v/>
      </c>
      <c r="AY497">
        <f>IF(AND($E497=TRUE,$C497="MID"),AS497,"")</f>
        <v/>
      </c>
      <c r="AZ497">
        <f>IF(AND($E497=TRUE,$C497="FWD"),AS497,"")</f>
        <v/>
      </c>
      <c r="BA497" t="n">
        <v>0</v>
      </c>
      <c r="BB497" t="n">
        <v>0</v>
      </c>
      <c r="BC497" t="n">
        <v>0</v>
      </c>
      <c r="BD497" t="n">
        <v>0</v>
      </c>
    </row>
    <row r="498">
      <c r="A498" t="inlineStr">
        <is>
          <t>Nathan Aké</t>
        </is>
      </c>
      <c r="D498" t="inlineStr">
        <is>
          <t>DEF</t>
        </is>
      </c>
      <c r="E498" t="b">
        <v>0</v>
      </c>
      <c r="F498" s="2" t="n"/>
      <c r="I498" s="2" t="n">
        <v>688</v>
      </c>
      <c r="K498" s="3" t="n"/>
      <c r="M498" s="4" t="n">
        <v>688</v>
      </c>
      <c r="N498" t="inlineStr">
        <is>
          <t>25/26 actual</t>
        </is>
      </c>
      <c r="O498" s="5" t="n">
        <v>84.7</v>
      </c>
      <c r="P498" t="b">
        <v>1</v>
      </c>
      <c r="Q498" s="5">
        <f>IF(N(O498)&lt;=0,0,MIN(Assumptions!$B$15,N(M498)/N(O498)))</f>
        <v/>
      </c>
      <c r="R498" s="4" t="n"/>
      <c r="S498" s="3" t="n">
        <v>0.0793</v>
      </c>
      <c r="T498" t="inlineStr">
        <is>
          <t>adjusted xGOT</t>
        </is>
      </c>
      <c r="U498" s="3" t="n">
        <v>1</v>
      </c>
      <c r="V498" s="3" t="n">
        <v>0.841</v>
      </c>
      <c r="W498" s="3" t="n">
        <v>5</v>
      </c>
      <c r="X498" s="3" t="n">
        <v>0.0931</v>
      </c>
      <c r="Y498" s="3" t="n">
        <v>6.88</v>
      </c>
      <c r="Z498" s="3" t="n">
        <v>0</v>
      </c>
      <c r="AA498" s="3" t="n">
        <v>0</v>
      </c>
      <c r="AB498" s="3" t="n">
        <v>25</v>
      </c>
      <c r="AC498" s="3" t="n"/>
      <c r="AD498" s="3" t="n"/>
      <c r="AE498" s="3" t="n"/>
      <c r="AF498" s="4" t="n">
        <v>0</v>
      </c>
      <c r="AG498" s="3" t="n">
        <v>0</v>
      </c>
      <c r="AH498" s="3" t="n">
        <v>0</v>
      </c>
      <c r="AI498" s="3" t="n">
        <v>0</v>
      </c>
      <c r="AJ498" s="3">
        <f>N(R498)*N(BC498)</f>
        <v/>
      </c>
      <c r="AK498" s="3" t="n">
        <v>0</v>
      </c>
      <c r="AL498" s="3" t="n">
        <v>0</v>
      </c>
      <c r="AM498" s="3" t="n">
        <v>0</v>
      </c>
      <c r="AN498" s="3" t="n">
        <v>0</v>
      </c>
      <c r="AO498" s="3">
        <f>SUM(AH498:AN498)</f>
        <v/>
      </c>
      <c r="AP498" s="5">
        <f>IF(OR(N(Q498)&lt;=0,N(BA498)=0),0,N(Q498)*IF(N(M498)/N(Q498)&gt;=60,N(BA498),1))</f>
        <v/>
      </c>
      <c r="AQ498" s="5">
        <f>N(Q498)*N(Z498)*N(BB498)</f>
        <v/>
      </c>
      <c r="AR498" s="5">
        <f>N(AF498)*(Assumptions!$B$13*N(BD498)-(1-Assumptions!$B$13)*Assumptions!$B$14)+N(AG498)</f>
        <v/>
      </c>
      <c r="AS498" s="5">
        <f>N(AO498)*N(M498)/90+N(AP498)+N(AQ498)+N(AR498)</f>
        <v/>
      </c>
      <c r="AT498" s="3">
        <f>IF(N(M498)&lt;=0,0,(N(AS498)-N(AR498))*90/N(M498))</f>
        <v/>
      </c>
      <c r="AU498" s="5">
        <f>IFERROR(AS498-VLOOKUP($C498,Assumptions!$A$36:$C$39,3,FALSE),"")</f>
        <v/>
      </c>
      <c r="AV498" s="3">
        <f>IFERROR(AU498/F498,"")</f>
        <v/>
      </c>
      <c r="AW498">
        <f>IF(AND($E498=TRUE,$C498="GKP"),AS498,"")</f>
        <v/>
      </c>
      <c r="AX498">
        <f>IF(AND($E498=TRUE,$C498="DEF"),AS498,"")</f>
        <v/>
      </c>
      <c r="AY498">
        <f>IF(AND($E498=TRUE,$C498="MID"),AS498,"")</f>
        <v/>
      </c>
      <c r="AZ498">
        <f>IF(AND($E498=TRUE,$C498="FWD"),AS498,"")</f>
        <v/>
      </c>
      <c r="BA498" t="n">
        <v>0</v>
      </c>
      <c r="BB498" t="n">
        <v>0</v>
      </c>
      <c r="BC498" t="n">
        <v>0</v>
      </c>
      <c r="BD498" t="n">
        <v>0</v>
      </c>
    </row>
    <row r="499">
      <c r="A499" t="inlineStr">
        <is>
          <t>Semi Ajayi</t>
        </is>
      </c>
      <c r="B499" t="inlineStr">
        <is>
          <t>HUL</t>
        </is>
      </c>
      <c r="C499" t="inlineStr">
        <is>
          <t>DEF</t>
        </is>
      </c>
      <c r="E499" t="b">
        <v>1</v>
      </c>
      <c r="F499" s="2" t="n">
        <v>4</v>
      </c>
      <c r="G499" t="inlineStr">
        <is>
          <t>a</t>
        </is>
      </c>
      <c r="I499" s="2" t="n"/>
      <c r="K499" s="3" t="n">
        <v>1824</v>
      </c>
      <c r="L499" t="inlineStr">
        <is>
          <t>fade (losing his place)</t>
        </is>
      </c>
      <c r="M499" s="4" t="n">
        <v>1824</v>
      </c>
      <c r="N499" t="inlineStr">
        <is>
          <t>Solio</t>
        </is>
      </c>
      <c r="O499" s="5" t="n">
        <v>85</v>
      </c>
      <c r="P499" t="b">
        <v>0</v>
      </c>
      <c r="Q499" s="5">
        <f>IF(N(O499)&lt;=0,0,MIN(Assumptions!$B$15,N(M499)/N(O499)))</f>
        <v/>
      </c>
      <c r="R499" s="4" t="n">
        <v>0.143</v>
      </c>
      <c r="S499" s="3" t="n"/>
      <c r="T499" t="inlineStr"/>
      <c r="U499" s="3" t="n">
        <v>1</v>
      </c>
      <c r="V499" s="3" t="n"/>
      <c r="W499" s="3" t="n"/>
      <c r="X499" s="3" t="n"/>
      <c r="Y499" s="3" t="n"/>
      <c r="Z499" s="3" t="n">
        <v>0</v>
      </c>
      <c r="AA499" s="3" t="n"/>
      <c r="AB499" s="3" t="n"/>
      <c r="AC499" s="3" t="n">
        <v>3.9421</v>
      </c>
      <c r="AD499" s="3" t="n">
        <v>1.99</v>
      </c>
      <c r="AE499" s="3" t="n">
        <v>-0.2045226422080557</v>
      </c>
      <c r="AF499" s="4" t="n">
        <v>0</v>
      </c>
      <c r="AG499" s="3" t="n">
        <v>0</v>
      </c>
      <c r="AH499" s="3" t="n">
        <v>0</v>
      </c>
      <c r="AI499" s="3" t="n">
        <v>0</v>
      </c>
      <c r="AJ499" s="3">
        <f>N(R499)*N(BC499)</f>
        <v/>
      </c>
      <c r="AK499" s="3" t="n">
        <v>0</v>
      </c>
      <c r="AL499" s="3" t="n">
        <v>0</v>
      </c>
      <c r="AM499" s="3" t="n">
        <v>-0.7496714098286652</v>
      </c>
      <c r="AN499" s="3" t="n">
        <v>-0.2045226422080557</v>
      </c>
      <c r="AO499" s="3">
        <f>SUM(AH499:AN499)</f>
        <v/>
      </c>
      <c r="AP499" s="5">
        <f>IF(OR(N(Q499)&lt;=0,N(BA499)=0),0,N(Q499)*IF(N(M499)/N(Q499)&gt;=60,N(BA499),1))</f>
        <v/>
      </c>
      <c r="AQ499" s="5">
        <f>N(Q499)*N(Z499)*N(BB499)</f>
        <v/>
      </c>
      <c r="AR499" s="5">
        <f>N(AF499)*(Assumptions!$B$13*N(BD499)-(1-Assumptions!$B$13)*Assumptions!$B$14)+N(AG499)</f>
        <v/>
      </c>
      <c r="AS499" s="5">
        <f>N(AO499)*N(M499)/90+N(AP499)+N(AQ499)+N(AR499)</f>
        <v/>
      </c>
      <c r="AT499" s="3">
        <f>IF(N(M499)&lt;=0,0,(N(AS499)-N(AR499))*90/N(M499))</f>
        <v/>
      </c>
      <c r="AU499" s="5">
        <f>IFERROR(AS499-VLOOKUP($C499,Assumptions!$A$36:$C$39,3,FALSE),"")</f>
        <v/>
      </c>
      <c r="AV499" s="3">
        <f>IFERROR(AU499/F499,"")</f>
        <v/>
      </c>
      <c r="AW499">
        <f>IF(AND($E499=TRUE,$C499="GKP"),AS499,"")</f>
        <v/>
      </c>
      <c r="AX499">
        <f>IF(AND($E499=TRUE,$C499="DEF"),AS499,"")</f>
        <v/>
      </c>
      <c r="AY499">
        <f>IF(AND($E499=TRUE,$C499="MID"),AS499,"")</f>
        <v/>
      </c>
      <c r="AZ499">
        <f>IF(AND($E499=TRUE,$C499="FWD"),AS499,"")</f>
        <v/>
      </c>
      <c r="BA499" t="n">
        <v>2</v>
      </c>
      <c r="BB499" t="n">
        <v>2</v>
      </c>
      <c r="BC499" t="n">
        <v>4</v>
      </c>
      <c r="BD499" t="n">
        <v>6</v>
      </c>
    </row>
    <row r="500">
      <c r="A500" t="inlineStr">
        <is>
          <t>Chuba Akpom</t>
        </is>
      </c>
      <c r="B500" t="inlineStr">
        <is>
          <t>IPS</t>
        </is>
      </c>
      <c r="C500" t="inlineStr">
        <is>
          <t>FWD</t>
        </is>
      </c>
      <c r="E500" t="b">
        <v>1</v>
      </c>
      <c r="F500" s="2" t="n">
        <v>5</v>
      </c>
      <c r="G500" t="inlineStr">
        <is>
          <t>a</t>
        </is>
      </c>
      <c r="I500" s="2" t="n"/>
      <c r="K500" s="3" t="n">
        <v>220</v>
      </c>
      <c r="L500" t="inlineStr">
        <is>
          <t>flat</t>
        </is>
      </c>
      <c r="M500" s="4" t="n">
        <v>220</v>
      </c>
      <c r="N500" t="inlineStr">
        <is>
          <t>Solio</t>
        </is>
      </c>
      <c r="O500" s="5" t="n">
        <v>85</v>
      </c>
      <c r="P500" t="b">
        <v>0</v>
      </c>
      <c r="Q500" s="5">
        <f>IF(N(O500)&lt;=0,0,MIN(Assumptions!$B$15,N(M500)/N(O500)))</f>
        <v/>
      </c>
      <c r="R500" s="4" t="n">
        <v>0.17</v>
      </c>
      <c r="S500" s="3" t="n"/>
      <c r="T500" t="inlineStr"/>
      <c r="U500" s="3" t="n">
        <v>1</v>
      </c>
      <c r="V500" s="3" t="n"/>
      <c r="W500" s="3" t="n"/>
      <c r="X500" s="3" t="n"/>
      <c r="Y500" s="3" t="n"/>
      <c r="Z500" s="3" t="n">
        <v>0</v>
      </c>
      <c r="AA500" s="3" t="n"/>
      <c r="AB500" s="3" t="n"/>
      <c r="AC500" s="3" t="n">
        <v>3.5741</v>
      </c>
      <c r="AD500" s="3" t="n">
        <v>1.8319</v>
      </c>
      <c r="AE500" s="3" t="n">
        <v>-0.174691292596322</v>
      </c>
      <c r="AF500" s="4" t="n">
        <v>0</v>
      </c>
      <c r="AG500" s="3" t="n">
        <v>0</v>
      </c>
      <c r="AH500" s="3" t="n">
        <v>0</v>
      </c>
      <c r="AI500" s="3" t="n">
        <v>0</v>
      </c>
      <c r="AJ500" s="3">
        <f>N(R500)*N(BC500)</f>
        <v/>
      </c>
      <c r="AK500" s="3" t="n">
        <v>0</v>
      </c>
      <c r="AL500" s="3" t="n">
        <v>0</v>
      </c>
      <c r="AM500" s="3" t="n">
        <v>-0</v>
      </c>
      <c r="AN500" s="3" t="n">
        <v>-0.174691292596322</v>
      </c>
      <c r="AO500" s="3">
        <f>SUM(AH500:AN500)</f>
        <v/>
      </c>
      <c r="AP500" s="5">
        <f>IF(OR(N(Q500)&lt;=0,N(BA500)=0),0,N(Q500)*IF(N(M500)/N(Q500)&gt;=60,N(BA500),1))</f>
        <v/>
      </c>
      <c r="AQ500" s="5">
        <f>N(Q500)*N(Z500)*N(BB500)</f>
        <v/>
      </c>
      <c r="AR500" s="5">
        <f>N(AF500)*(Assumptions!$B$13*N(BD500)-(1-Assumptions!$B$13)*Assumptions!$B$14)+N(AG500)</f>
        <v/>
      </c>
      <c r="AS500" s="5">
        <f>N(AO500)*N(M500)/90+N(AP500)+N(AQ500)+N(AR500)</f>
        <v/>
      </c>
      <c r="AT500" s="3">
        <f>IF(N(M500)&lt;=0,0,(N(AS500)-N(AR500))*90/N(M500))</f>
        <v/>
      </c>
      <c r="AU500" s="5">
        <f>IFERROR(AS500-VLOOKUP($C500,Assumptions!$A$36:$C$39,3,FALSE),"")</f>
        <v/>
      </c>
      <c r="AV500" s="3">
        <f>IFERROR(AU500/F500,"")</f>
        <v/>
      </c>
      <c r="AW500">
        <f>IF(AND($E500=TRUE,$C500="GKP"),AS500,"")</f>
        <v/>
      </c>
      <c r="AX500">
        <f>IF(AND($E500=TRUE,$C500="DEF"),AS500,"")</f>
        <v/>
      </c>
      <c r="AY500">
        <f>IF(AND($E500=TRUE,$C500="MID"),AS500,"")</f>
        <v/>
      </c>
      <c r="AZ500">
        <f>IF(AND($E500=TRUE,$C500="FWD"),AS500,"")</f>
        <v/>
      </c>
      <c r="BA500" t="n">
        <v>2</v>
      </c>
      <c r="BB500" t="n">
        <v>2</v>
      </c>
      <c r="BC500" t="n">
        <v>0</v>
      </c>
      <c r="BD500" t="n">
        <v>4</v>
      </c>
    </row>
    <row r="501">
      <c r="A501" t="inlineStr">
        <is>
          <t>José Sá</t>
        </is>
      </c>
      <c r="D501" t="inlineStr">
        <is>
          <t>GKP</t>
        </is>
      </c>
      <c r="E501" t="b">
        <v>0</v>
      </c>
      <c r="F501" s="2" t="n"/>
      <c r="I501" s="2" t="n">
        <v>2070</v>
      </c>
      <c r="K501" s="3" t="n"/>
      <c r="M501" s="4" t="n">
        <v>2070</v>
      </c>
      <c r="N501" t="inlineStr">
        <is>
          <t>25/26 actual</t>
        </is>
      </c>
      <c r="O501" s="5" t="n">
        <v>90</v>
      </c>
      <c r="P501" t="b">
        <v>1</v>
      </c>
      <c r="Q501" s="5">
        <f>IF(N(O501)&lt;=0,0,MIN(Assumptions!$B$15,N(M501)/N(O501)))</f>
        <v/>
      </c>
      <c r="R501" s="4" t="n"/>
      <c r="S501" s="3" t="n">
        <v>0</v>
      </c>
      <c r="T501" t="inlineStr">
        <is>
          <t>blended xG</t>
        </is>
      </c>
      <c r="U501" s="3" t="n">
        <v>1</v>
      </c>
      <c r="V501" s="3" t="n">
        <v>1</v>
      </c>
      <c r="W501" s="3" t="n">
        <v>0</v>
      </c>
      <c r="X501" s="3" t="n">
        <v>0.0036</v>
      </c>
      <c r="Y501" s="3" t="n">
        <v>0</v>
      </c>
      <c r="Z501" s="3" t="n">
        <v>0</v>
      </c>
      <c r="AA501" s="3" t="n">
        <v>0.3478</v>
      </c>
      <c r="AB501" s="3" t="n">
        <v>46</v>
      </c>
      <c r="AC501" s="3" t="n"/>
      <c r="AD501" s="3" t="n"/>
      <c r="AE501" s="3" t="n"/>
      <c r="AF501" s="4" t="n">
        <v>0</v>
      </c>
      <c r="AG501" s="3" t="n">
        <v>0</v>
      </c>
      <c r="AH501" s="3" t="n">
        <v>0</v>
      </c>
      <c r="AI501" s="3" t="n">
        <v>0</v>
      </c>
      <c r="AJ501" s="3">
        <f>N(R501)*N(BC501)</f>
        <v/>
      </c>
      <c r="AK501" s="3" t="n">
        <v>0</v>
      </c>
      <c r="AL501" s="3" t="n">
        <v>0</v>
      </c>
      <c r="AM501" s="3" t="n">
        <v>0</v>
      </c>
      <c r="AN501" s="3" t="n">
        <v>0</v>
      </c>
      <c r="AO501" s="3">
        <f>SUM(AH501:AN501)</f>
        <v/>
      </c>
      <c r="AP501" s="5">
        <f>IF(OR(N(Q501)&lt;=0,N(BA501)=0),0,N(Q501)*IF(N(M501)/N(Q501)&gt;=60,N(BA501),1))</f>
        <v/>
      </c>
      <c r="AQ501" s="5">
        <f>N(Q501)*N(Z501)*N(BB501)</f>
        <v/>
      </c>
      <c r="AR501" s="5">
        <f>N(AF501)*(Assumptions!$B$13*N(BD501)-(1-Assumptions!$B$13)*Assumptions!$B$14)+N(AG501)</f>
        <v/>
      </c>
      <c r="AS501" s="5">
        <f>N(AO501)*N(M501)/90+N(AP501)+N(AQ501)+N(AR501)</f>
        <v/>
      </c>
      <c r="AT501" s="3">
        <f>IF(N(M501)&lt;=0,0,(N(AS501)-N(AR501))*90/N(M501))</f>
        <v/>
      </c>
      <c r="AU501" s="5">
        <f>IFERROR(AS501-VLOOKUP($C501,Assumptions!$A$36:$C$39,3,FALSE),"")</f>
        <v/>
      </c>
      <c r="AV501" s="3">
        <f>IFERROR(AU501/F501,"")</f>
        <v/>
      </c>
      <c r="AW501">
        <f>IF(AND($E501=TRUE,$C501="GKP"),AS501,"")</f>
        <v/>
      </c>
      <c r="AX501">
        <f>IF(AND($E501=TRUE,$C501="DEF"),AS501,"")</f>
        <v/>
      </c>
      <c r="AY501">
        <f>IF(AND($E501=TRUE,$C501="MID"),AS501,"")</f>
        <v/>
      </c>
      <c r="AZ501">
        <f>IF(AND($E501=TRUE,$C501="FWD"),AS501,"")</f>
        <v/>
      </c>
      <c r="BA501" t="n">
        <v>0</v>
      </c>
      <c r="BB501" t="n">
        <v>0</v>
      </c>
      <c r="BC501" t="n">
        <v>0</v>
      </c>
      <c r="BD501" t="n">
        <v>0</v>
      </c>
    </row>
    <row r="502">
      <c r="A502" t="inlineStr">
        <is>
          <t>Wes Burns</t>
        </is>
      </c>
      <c r="B502" t="inlineStr">
        <is>
          <t>IPS</t>
        </is>
      </c>
      <c r="C502" t="inlineStr">
        <is>
          <t>MID</t>
        </is>
      </c>
      <c r="E502" t="b">
        <v>1</v>
      </c>
      <c r="F502" s="2" t="n">
        <v>5</v>
      </c>
      <c r="G502" t="inlineStr">
        <is>
          <t>u</t>
        </is>
      </c>
      <c r="H502" t="inlineStr">
        <is>
          <t>Has joined Leicester City permanently</t>
        </is>
      </c>
      <c r="I502" s="2" t="n"/>
      <c r="K502" s="3" t="n"/>
      <c r="M502" s="4" t="n"/>
      <c r="N502" t="inlineStr"/>
      <c r="O502" s="5" t="n">
        <v>85</v>
      </c>
      <c r="P502" t="b">
        <v>0</v>
      </c>
      <c r="Q502" s="5">
        <f>IF(N(O502)&lt;=0,0,MIN(Assumptions!$B$15,N(M502)/N(O502)))</f>
        <v/>
      </c>
      <c r="R502" s="4" t="n">
        <v>0.17</v>
      </c>
      <c r="S502" s="3" t="n"/>
      <c r="T502" t="inlineStr"/>
      <c r="U502" s="3" t="n">
        <v>1</v>
      </c>
      <c r="V502" s="3" t="n"/>
      <c r="W502" s="3" t="n"/>
      <c r="X502" s="3" t="n"/>
      <c r="Y502" s="3" t="n"/>
      <c r="Z502" s="3" t="n">
        <v>0</v>
      </c>
      <c r="AA502" s="3" t="n"/>
      <c r="AB502" s="3" t="n"/>
      <c r="AC502" s="3" t="n">
        <v>3.5741</v>
      </c>
      <c r="AD502" s="3" t="n">
        <v>1.8319</v>
      </c>
      <c r="AE502" s="3" t="n">
        <v>-0.1877909124188637</v>
      </c>
      <c r="AF502" s="4" t="n">
        <v>0</v>
      </c>
      <c r="AG502" s="3" t="n">
        <v>0</v>
      </c>
      <c r="AH502" s="3" t="n">
        <v>0</v>
      </c>
      <c r="AI502" s="3" t="n">
        <v>0</v>
      </c>
      <c r="AJ502" s="3">
        <f>N(R502)*N(BC502)</f>
        <v/>
      </c>
      <c r="AK502" s="3" t="n">
        <v>0</v>
      </c>
      <c r="AL502" s="3" t="n">
        <v>0</v>
      </c>
      <c r="AM502" s="3" t="n">
        <v>-0</v>
      </c>
      <c r="AN502" s="3" t="n">
        <v>-0.1877909124188637</v>
      </c>
      <c r="AO502" s="3">
        <f>SUM(AH502:AN502)</f>
        <v/>
      </c>
      <c r="AP502" s="5">
        <f>IF(OR(N(Q502)&lt;=0,N(BA502)=0),0,N(Q502)*IF(N(M502)/N(Q502)&gt;=60,N(BA502),1))</f>
        <v/>
      </c>
      <c r="AQ502" s="5">
        <f>N(Q502)*N(Z502)*N(BB502)</f>
        <v/>
      </c>
      <c r="AR502" s="5">
        <f>N(AF502)*(Assumptions!$B$13*N(BD502)-(1-Assumptions!$B$13)*Assumptions!$B$14)+N(AG502)</f>
        <v/>
      </c>
      <c r="AS502" s="5">
        <f>N(AO502)*N(M502)/90+N(AP502)+N(AQ502)+N(AR502)</f>
        <v/>
      </c>
      <c r="AT502" s="3">
        <f>IF(N(M502)&lt;=0,0,(N(AS502)-N(AR502))*90/N(M502))</f>
        <v/>
      </c>
      <c r="AU502" s="5">
        <f>IFERROR(AS502-VLOOKUP($C502,Assumptions!$A$36:$C$39,3,FALSE),"")</f>
        <v/>
      </c>
      <c r="AV502" s="3">
        <f>IFERROR(AU502/F502,"")</f>
        <v/>
      </c>
      <c r="AW502">
        <f>IF(AND($E502=TRUE,$C502="GKP"),AS502,"")</f>
        <v/>
      </c>
      <c r="AX502">
        <f>IF(AND($E502=TRUE,$C502="DEF"),AS502,"")</f>
        <v/>
      </c>
      <c r="AY502">
        <f>IF(AND($E502=TRUE,$C502="MID"),AS502,"")</f>
        <v/>
      </c>
      <c r="AZ502">
        <f>IF(AND($E502=TRUE,$C502="FWD"),AS502,"")</f>
        <v/>
      </c>
      <c r="BA502" t="n">
        <v>2</v>
      </c>
      <c r="BB502" t="n">
        <v>2</v>
      </c>
      <c r="BC502" t="n">
        <v>1</v>
      </c>
      <c r="BD502" t="n">
        <v>5</v>
      </c>
    </row>
    <row r="503">
      <c r="A503" t="inlineStr">
        <is>
          <t>João Palhinha</t>
        </is>
      </c>
      <c r="D503" t="inlineStr">
        <is>
          <t>MID</t>
        </is>
      </c>
      <c r="E503" t="b">
        <v>0</v>
      </c>
      <c r="F503" s="2" t="n"/>
      <c r="I503" s="2" t="n">
        <v>2197</v>
      </c>
      <c r="K503" s="3" t="n"/>
      <c r="M503" s="4" t="n">
        <v>2197</v>
      </c>
      <c r="N503" t="inlineStr">
        <is>
          <t>25/26 actual</t>
        </is>
      </c>
      <c r="O503" s="5" t="n">
        <v>84.2</v>
      </c>
      <c r="P503" t="b">
        <v>1</v>
      </c>
      <c r="Q503" s="5">
        <f>IF(N(O503)&lt;=0,0,MIN(Assumptions!$B$15,N(M503)/N(O503)))</f>
        <v/>
      </c>
      <c r="R503" s="4" t="n"/>
      <c r="S503" s="3" t="n">
        <v>0.121</v>
      </c>
      <c r="T503" t="inlineStr">
        <is>
          <t>adjusted xGOT</t>
        </is>
      </c>
      <c r="U503" s="3" t="n">
        <v>1</v>
      </c>
      <c r="V503" s="3" t="n">
        <v>1.086</v>
      </c>
      <c r="W503" s="3" t="n">
        <v>9</v>
      </c>
      <c r="X503" s="3" t="n">
        <v>0.0315</v>
      </c>
      <c r="Y503" s="3" t="n">
        <v>11.454</v>
      </c>
      <c r="Z503" s="3" t="n">
        <v>0</v>
      </c>
      <c r="AA503" s="3" t="n">
        <v>0.7374000000000001</v>
      </c>
      <c r="AB503" s="3" t="n">
        <v>54</v>
      </c>
      <c r="AC503" s="3" t="n"/>
      <c r="AD503" s="3" t="n"/>
      <c r="AE503" s="3" t="n"/>
      <c r="AF503" s="4" t="n">
        <v>0</v>
      </c>
      <c r="AG503" s="3" t="n">
        <v>0</v>
      </c>
      <c r="AH503" s="3" t="n">
        <v>0</v>
      </c>
      <c r="AI503" s="3" t="n">
        <v>0</v>
      </c>
      <c r="AJ503" s="3">
        <f>N(R503)*N(BC503)</f>
        <v/>
      </c>
      <c r="AK503" s="3" t="n">
        <v>0</v>
      </c>
      <c r="AL503" s="3" t="n">
        <v>0</v>
      </c>
      <c r="AM503" s="3" t="n">
        <v>0</v>
      </c>
      <c r="AN503" s="3" t="n">
        <v>0</v>
      </c>
      <c r="AO503" s="3">
        <f>SUM(AH503:AN503)</f>
        <v/>
      </c>
      <c r="AP503" s="5">
        <f>IF(OR(N(Q503)&lt;=0,N(BA503)=0),0,N(Q503)*IF(N(M503)/N(Q503)&gt;=60,N(BA503),1))</f>
        <v/>
      </c>
      <c r="AQ503" s="5">
        <f>N(Q503)*N(Z503)*N(BB503)</f>
        <v/>
      </c>
      <c r="AR503" s="5">
        <f>N(AF503)*(Assumptions!$B$13*N(BD503)-(1-Assumptions!$B$13)*Assumptions!$B$14)+N(AG503)</f>
        <v/>
      </c>
      <c r="AS503" s="5">
        <f>N(AO503)*N(M503)/90+N(AP503)+N(AQ503)+N(AR503)</f>
        <v/>
      </c>
      <c r="AT503" s="3">
        <f>IF(N(M503)&lt;=0,0,(N(AS503)-N(AR503))*90/N(M503))</f>
        <v/>
      </c>
      <c r="AU503" s="5">
        <f>IFERROR(AS503-VLOOKUP($C503,Assumptions!$A$36:$C$39,3,FALSE),"")</f>
        <v/>
      </c>
      <c r="AV503" s="3">
        <f>IFERROR(AU503/F503,"")</f>
        <v/>
      </c>
      <c r="AW503">
        <f>IF(AND($E503=TRUE,$C503="GKP"),AS503,"")</f>
        <v/>
      </c>
      <c r="AX503">
        <f>IF(AND($E503=TRUE,$C503="DEF"),AS503,"")</f>
        <v/>
      </c>
      <c r="AY503">
        <f>IF(AND($E503=TRUE,$C503="MID"),AS503,"")</f>
        <v/>
      </c>
      <c r="AZ503">
        <f>IF(AND($E503=TRUE,$C503="FWD"),AS503,"")</f>
        <v/>
      </c>
      <c r="BA503" t="n">
        <v>0</v>
      </c>
      <c r="BB503" t="n">
        <v>0</v>
      </c>
      <c r="BC503" t="n">
        <v>0</v>
      </c>
      <c r="BD503" t="n">
        <v>0</v>
      </c>
    </row>
    <row r="504">
      <c r="A504" t="inlineStr">
        <is>
          <t>Adam Armstrong</t>
        </is>
      </c>
      <c r="D504" t="inlineStr">
        <is>
          <t>FWD</t>
        </is>
      </c>
      <c r="E504" t="b">
        <v>0</v>
      </c>
      <c r="F504" s="2" t="n"/>
      <c r="I504" s="2" t="n">
        <v>1146</v>
      </c>
      <c r="K504" s="3" t="n"/>
      <c r="M504" s="4" t="n">
        <v>1146</v>
      </c>
      <c r="N504" t="inlineStr">
        <is>
          <t>25/26 actual</t>
        </is>
      </c>
      <c r="O504" s="5" t="n">
        <v>81.5</v>
      </c>
      <c r="P504" t="b">
        <v>1</v>
      </c>
      <c r="Q504" s="5">
        <f>IF(N(O504)&lt;=0,0,MIN(Assumptions!$B$15,N(M504)/N(O504)))</f>
        <v/>
      </c>
      <c r="R504" s="4" t="n"/>
      <c r="S504" s="3" t="n">
        <v>0.1403</v>
      </c>
      <c r="T504" t="inlineStr">
        <is>
          <t>adjusted xGOT</t>
        </is>
      </c>
      <c r="U504" s="3" t="n">
        <v>0.729</v>
      </c>
      <c r="V504" s="3" t="n">
        <v>0.884</v>
      </c>
      <c r="W504" s="3" t="n">
        <v>8.300000000000001</v>
      </c>
      <c r="X504" s="3" t="n">
        <v>0.1179</v>
      </c>
      <c r="Y504" s="3" t="n">
        <v>3.644</v>
      </c>
      <c r="Z504" s="3" t="n">
        <v>0</v>
      </c>
      <c r="AA504" s="3" t="n">
        <v>0.0785</v>
      </c>
      <c r="AB504" s="3" t="n">
        <v>27</v>
      </c>
      <c r="AC504" s="3" t="n"/>
      <c r="AD504" s="3" t="n"/>
      <c r="AE504" s="3" t="n"/>
      <c r="AF504" s="4" t="n">
        <v>0</v>
      </c>
      <c r="AG504" s="3" t="n">
        <v>0</v>
      </c>
      <c r="AH504" s="3" t="n">
        <v>0</v>
      </c>
      <c r="AI504" s="3" t="n">
        <v>0</v>
      </c>
      <c r="AJ504" s="3">
        <f>N(R504)*N(BC504)</f>
        <v/>
      </c>
      <c r="AK504" s="3" t="n">
        <v>0</v>
      </c>
      <c r="AL504" s="3" t="n">
        <v>0</v>
      </c>
      <c r="AM504" s="3" t="n">
        <v>0</v>
      </c>
      <c r="AN504" s="3" t="n">
        <v>0</v>
      </c>
      <c r="AO504" s="3">
        <f>SUM(AH504:AN504)</f>
        <v/>
      </c>
      <c r="AP504" s="5">
        <f>IF(OR(N(Q504)&lt;=0,N(BA504)=0),0,N(Q504)*IF(N(M504)/N(Q504)&gt;=60,N(BA504),1))</f>
        <v/>
      </c>
      <c r="AQ504" s="5">
        <f>N(Q504)*N(Z504)*N(BB504)</f>
        <v/>
      </c>
      <c r="AR504" s="5">
        <f>N(AF504)*(Assumptions!$B$13*N(BD504)-(1-Assumptions!$B$13)*Assumptions!$B$14)+N(AG504)</f>
        <v/>
      </c>
      <c r="AS504" s="5">
        <f>N(AO504)*N(M504)/90+N(AP504)+N(AQ504)+N(AR504)</f>
        <v/>
      </c>
      <c r="AT504" s="3">
        <f>IF(N(M504)&lt;=0,0,(N(AS504)-N(AR504))*90/N(M504))</f>
        <v/>
      </c>
      <c r="AU504" s="5">
        <f>IFERROR(AS504-VLOOKUP($C504,Assumptions!$A$36:$C$39,3,FALSE),"")</f>
        <v/>
      </c>
      <c r="AV504" s="3">
        <f>IFERROR(AU504/F504,"")</f>
        <v/>
      </c>
      <c r="AW504">
        <f>IF(AND($E504=TRUE,$C504="GKP"),AS504,"")</f>
        <v/>
      </c>
      <c r="AX504">
        <f>IF(AND($E504=TRUE,$C504="DEF"),AS504,"")</f>
        <v/>
      </c>
      <c r="AY504">
        <f>IF(AND($E504=TRUE,$C504="MID"),AS504,"")</f>
        <v/>
      </c>
      <c r="AZ504">
        <f>IF(AND($E504=TRUE,$C504="FWD"),AS504,"")</f>
        <v/>
      </c>
      <c r="BA504" t="n">
        <v>0</v>
      </c>
      <c r="BB504" t="n">
        <v>0</v>
      </c>
      <c r="BC504" t="n">
        <v>0</v>
      </c>
      <c r="BD504" t="n">
        <v>0</v>
      </c>
    </row>
    <row r="505">
      <c r="A505" t="inlineStr">
        <is>
          <t>Kyle Walker-Peters</t>
        </is>
      </c>
      <c r="D505" t="inlineStr">
        <is>
          <t>DEF</t>
        </is>
      </c>
      <c r="E505" t="b">
        <v>0</v>
      </c>
      <c r="F505" s="2" t="n"/>
      <c r="I505" s="2" t="n">
        <v>1380</v>
      </c>
      <c r="K505" s="3" t="n"/>
      <c r="M505" s="4" t="n">
        <v>1380</v>
      </c>
      <c r="N505" t="inlineStr">
        <is>
          <t>25/26 actual</t>
        </is>
      </c>
      <c r="O505" s="5" t="n">
        <v>84.7</v>
      </c>
      <c r="P505" t="b">
        <v>1</v>
      </c>
      <c r="Q505" s="5">
        <f>IF(N(O505)&lt;=0,0,MIN(Assumptions!$B$15,N(M505)/N(O505)))</f>
        <v/>
      </c>
      <c r="R505" s="4" t="n"/>
      <c r="S505" s="3" t="n">
        <v>0.07530000000000001</v>
      </c>
      <c r="T505" t="inlineStr">
        <is>
          <t>adjusted xGOT</t>
        </is>
      </c>
      <c r="U505" s="3" t="n">
        <v>1</v>
      </c>
      <c r="V505" s="3" t="n">
        <v>1.022</v>
      </c>
      <c r="W505" s="3" t="n">
        <v>3.1</v>
      </c>
      <c r="X505" s="3" t="n">
        <v>0.0233</v>
      </c>
      <c r="Y505" s="3" t="n">
        <v>6.627</v>
      </c>
      <c r="Z505" s="3" t="n">
        <v>0</v>
      </c>
      <c r="AA505" s="3" t="n">
        <v>0</v>
      </c>
      <c r="AB505" s="3" t="n">
        <v>37</v>
      </c>
      <c r="AC505" s="3" t="n"/>
      <c r="AD505" s="3" t="n"/>
      <c r="AE505" s="3" t="n"/>
      <c r="AF505" s="4" t="n">
        <v>0</v>
      </c>
      <c r="AG505" s="3" t="n">
        <v>0</v>
      </c>
      <c r="AH505" s="3" t="n">
        <v>0</v>
      </c>
      <c r="AI505" s="3" t="n">
        <v>0</v>
      </c>
      <c r="AJ505" s="3">
        <f>N(R505)*N(BC505)</f>
        <v/>
      </c>
      <c r="AK505" s="3" t="n">
        <v>0</v>
      </c>
      <c r="AL505" s="3" t="n">
        <v>0</v>
      </c>
      <c r="AM505" s="3" t="n">
        <v>0</v>
      </c>
      <c r="AN505" s="3" t="n">
        <v>0</v>
      </c>
      <c r="AO505" s="3">
        <f>SUM(AH505:AN505)</f>
        <v/>
      </c>
      <c r="AP505" s="5">
        <f>IF(OR(N(Q505)&lt;=0,N(BA505)=0),0,N(Q505)*IF(N(M505)/N(Q505)&gt;=60,N(BA505),1))</f>
        <v/>
      </c>
      <c r="AQ505" s="5">
        <f>N(Q505)*N(Z505)*N(BB505)</f>
        <v/>
      </c>
      <c r="AR505" s="5">
        <f>N(AF505)*(Assumptions!$B$13*N(BD505)-(1-Assumptions!$B$13)*Assumptions!$B$14)+N(AG505)</f>
        <v/>
      </c>
      <c r="AS505" s="5">
        <f>N(AO505)*N(M505)/90+N(AP505)+N(AQ505)+N(AR505)</f>
        <v/>
      </c>
      <c r="AT505" s="3">
        <f>IF(N(M505)&lt;=0,0,(N(AS505)-N(AR505))*90/N(M505))</f>
        <v/>
      </c>
      <c r="AU505" s="5">
        <f>IFERROR(AS505-VLOOKUP($C505,Assumptions!$A$36:$C$39,3,FALSE),"")</f>
        <v/>
      </c>
      <c r="AV505" s="3">
        <f>IFERROR(AU505/F505,"")</f>
        <v/>
      </c>
      <c r="AW505">
        <f>IF(AND($E505=TRUE,$C505="GKP"),AS505,"")</f>
        <v/>
      </c>
      <c r="AX505">
        <f>IF(AND($E505=TRUE,$C505="DEF"),AS505,"")</f>
        <v/>
      </c>
      <c r="AY505">
        <f>IF(AND($E505=TRUE,$C505="MID"),AS505,"")</f>
        <v/>
      </c>
      <c r="AZ505">
        <f>IF(AND($E505=TRUE,$C505="FWD"),AS505,"")</f>
        <v/>
      </c>
      <c r="BA505" t="n">
        <v>0</v>
      </c>
      <c r="BB505" t="n">
        <v>0</v>
      </c>
      <c r="BC505" t="n">
        <v>0</v>
      </c>
      <c r="BD505" t="n">
        <v>0</v>
      </c>
    </row>
    <row r="506">
      <c r="A506" t="inlineStr">
        <is>
          <t>Adama Traoré</t>
        </is>
      </c>
      <c r="D506" t="inlineStr">
        <is>
          <t>MID</t>
        </is>
      </c>
      <c r="E506" t="b">
        <v>0</v>
      </c>
      <c r="F506" s="2" t="n"/>
      <c r="I506" s="2" t="n">
        <v>377</v>
      </c>
      <c r="K506" s="3" t="n"/>
      <c r="M506" s="4" t="n">
        <v>377</v>
      </c>
      <c r="N506" t="inlineStr">
        <is>
          <t>25/26 actual</t>
        </is>
      </c>
      <c r="O506" s="5" t="n">
        <v>75</v>
      </c>
      <c r="P506" t="b">
        <v>1</v>
      </c>
      <c r="Q506" s="5">
        <f>IF(N(O506)&lt;=0,0,MIN(Assumptions!$B$15,N(M506)/N(O506)))</f>
        <v/>
      </c>
      <c r="R506" s="4" t="n"/>
      <c r="S506" s="3" t="n">
        <v>0.1671</v>
      </c>
      <c r="T506" t="inlineStr">
        <is>
          <t>adjusted xGOT</t>
        </is>
      </c>
      <c r="U506" s="3" t="n">
        <v>1</v>
      </c>
      <c r="V506" s="3" t="n">
        <v>1.015</v>
      </c>
      <c r="W506" s="3" t="n">
        <v>7.7</v>
      </c>
      <c r="X506" s="3" t="n">
        <v>0.099</v>
      </c>
      <c r="Y506" s="3" t="n">
        <v>7.113</v>
      </c>
      <c r="Z506" s="3" t="n">
        <v>0</v>
      </c>
      <c r="AA506" s="3" t="n">
        <v>0</v>
      </c>
      <c r="AB506" s="3" t="n">
        <v>26</v>
      </c>
      <c r="AC506" s="3" t="n"/>
      <c r="AD506" s="3" t="n"/>
      <c r="AE506" s="3" t="n"/>
      <c r="AF506" s="4" t="n">
        <v>0</v>
      </c>
      <c r="AG506" s="3" t="n">
        <v>0</v>
      </c>
      <c r="AH506" s="3" t="n">
        <v>0</v>
      </c>
      <c r="AI506" s="3" t="n">
        <v>0</v>
      </c>
      <c r="AJ506" s="3">
        <f>N(R506)*N(BC506)</f>
        <v/>
      </c>
      <c r="AK506" s="3" t="n">
        <v>0</v>
      </c>
      <c r="AL506" s="3" t="n">
        <v>0</v>
      </c>
      <c r="AM506" s="3" t="n">
        <v>0</v>
      </c>
      <c r="AN506" s="3" t="n">
        <v>0</v>
      </c>
      <c r="AO506" s="3">
        <f>SUM(AH506:AN506)</f>
        <v/>
      </c>
      <c r="AP506" s="5">
        <f>IF(OR(N(Q506)&lt;=0,N(BA506)=0),0,N(Q506)*IF(N(M506)/N(Q506)&gt;=60,N(BA506),1))</f>
        <v/>
      </c>
      <c r="AQ506" s="5">
        <f>N(Q506)*N(Z506)*N(BB506)</f>
        <v/>
      </c>
      <c r="AR506" s="5">
        <f>N(AF506)*(Assumptions!$B$13*N(BD506)-(1-Assumptions!$B$13)*Assumptions!$B$14)+N(AG506)</f>
        <v/>
      </c>
      <c r="AS506" s="5">
        <f>N(AO506)*N(M506)/90+N(AP506)+N(AQ506)+N(AR506)</f>
        <v/>
      </c>
      <c r="AT506" s="3">
        <f>IF(N(M506)&lt;=0,0,(N(AS506)-N(AR506))*90/N(M506))</f>
        <v/>
      </c>
      <c r="AU506" s="5">
        <f>IFERROR(AS506-VLOOKUP($C506,Assumptions!$A$36:$C$39,3,FALSE),"")</f>
        <v/>
      </c>
      <c r="AV506" s="3">
        <f>IFERROR(AU506/F506,"")</f>
        <v/>
      </c>
      <c r="AW506">
        <f>IF(AND($E506=TRUE,$C506="GKP"),AS506,"")</f>
        <v/>
      </c>
      <c r="AX506">
        <f>IF(AND($E506=TRUE,$C506="DEF"),AS506,"")</f>
        <v/>
      </c>
      <c r="AY506">
        <f>IF(AND($E506=TRUE,$C506="MID"),AS506,"")</f>
        <v/>
      </c>
      <c r="AZ506">
        <f>IF(AND($E506=TRUE,$C506="FWD"),AS506,"")</f>
        <v/>
      </c>
      <c r="BA506" t="n">
        <v>0</v>
      </c>
      <c r="BB506" t="n">
        <v>0</v>
      </c>
      <c r="BC506" t="n">
        <v>0</v>
      </c>
      <c r="BD506" t="n">
        <v>0</v>
      </c>
    </row>
    <row r="507">
      <c r="A507" t="inlineStr">
        <is>
          <t>Paddy McNair</t>
        </is>
      </c>
      <c r="B507" t="inlineStr">
        <is>
          <t>HUL</t>
        </is>
      </c>
      <c r="C507" t="inlineStr">
        <is>
          <t>DEF</t>
        </is>
      </c>
      <c r="E507" t="b">
        <v>1</v>
      </c>
      <c r="F507" s="2" t="n">
        <v>4</v>
      </c>
      <c r="G507" t="inlineStr">
        <is>
          <t>a</t>
        </is>
      </c>
      <c r="I507" s="2" t="n"/>
      <c r="K507" s="3" t="n">
        <v>103</v>
      </c>
      <c r="L507" t="inlineStr">
        <is>
          <t>flat</t>
        </is>
      </c>
      <c r="M507" s="4" t="n">
        <v>103</v>
      </c>
      <c r="N507" t="inlineStr">
        <is>
          <t>Solio</t>
        </is>
      </c>
      <c r="O507" s="5" t="n">
        <v>85</v>
      </c>
      <c r="P507" t="b">
        <v>0</v>
      </c>
      <c r="Q507" s="5">
        <f>IF(N(O507)&lt;=0,0,MIN(Assumptions!$B$15,N(M507)/N(O507)))</f>
        <v/>
      </c>
      <c r="R507" s="4" t="n">
        <v>0.143</v>
      </c>
      <c r="S507" s="3" t="n"/>
      <c r="T507" t="inlineStr"/>
      <c r="U507" s="3" t="n">
        <v>1</v>
      </c>
      <c r="V507" s="3" t="n"/>
      <c r="W507" s="3" t="n"/>
      <c r="X507" s="3" t="n"/>
      <c r="Y507" s="3" t="n"/>
      <c r="Z507" s="3" t="n">
        <v>0</v>
      </c>
      <c r="AA507" s="3" t="n"/>
      <c r="AB507" s="3" t="n"/>
      <c r="AC507" s="3" t="n">
        <v>3.9421</v>
      </c>
      <c r="AD507" s="3" t="n">
        <v>1.99</v>
      </c>
      <c r="AE507" s="3" t="n">
        <v>-0.2045226422080557</v>
      </c>
      <c r="AF507" s="4" t="n">
        <v>0</v>
      </c>
      <c r="AG507" s="3" t="n">
        <v>0</v>
      </c>
      <c r="AH507" s="3" t="n">
        <v>0</v>
      </c>
      <c r="AI507" s="3" t="n">
        <v>0</v>
      </c>
      <c r="AJ507" s="3">
        <f>N(R507)*N(BC507)</f>
        <v/>
      </c>
      <c r="AK507" s="3" t="n">
        <v>0</v>
      </c>
      <c r="AL507" s="3" t="n">
        <v>0</v>
      </c>
      <c r="AM507" s="3" t="n">
        <v>-0.7496714098286652</v>
      </c>
      <c r="AN507" s="3" t="n">
        <v>-0.2045226422080557</v>
      </c>
      <c r="AO507" s="3">
        <f>SUM(AH507:AN507)</f>
        <v/>
      </c>
      <c r="AP507" s="5">
        <f>IF(OR(N(Q507)&lt;=0,N(BA507)=0),0,N(Q507)*IF(N(M507)/N(Q507)&gt;=60,N(BA507),1))</f>
        <v/>
      </c>
      <c r="AQ507" s="5">
        <f>N(Q507)*N(Z507)*N(BB507)</f>
        <v/>
      </c>
      <c r="AR507" s="5">
        <f>N(AF507)*(Assumptions!$B$13*N(BD507)-(1-Assumptions!$B$13)*Assumptions!$B$14)+N(AG507)</f>
        <v/>
      </c>
      <c r="AS507" s="5">
        <f>N(AO507)*N(M507)/90+N(AP507)+N(AQ507)+N(AR507)</f>
        <v/>
      </c>
      <c r="AT507" s="3">
        <f>IF(N(M507)&lt;=0,0,(N(AS507)-N(AR507))*90/N(M507))</f>
        <v/>
      </c>
      <c r="AU507" s="5">
        <f>IFERROR(AS507-VLOOKUP($C507,Assumptions!$A$36:$C$39,3,FALSE),"")</f>
        <v/>
      </c>
      <c r="AV507" s="3">
        <f>IFERROR(AU507/F507,"")</f>
        <v/>
      </c>
      <c r="AW507">
        <f>IF(AND($E507=TRUE,$C507="GKP"),AS507,"")</f>
        <v/>
      </c>
      <c r="AX507">
        <f>IF(AND($E507=TRUE,$C507="DEF"),AS507,"")</f>
        <v/>
      </c>
      <c r="AY507">
        <f>IF(AND($E507=TRUE,$C507="MID"),AS507,"")</f>
        <v/>
      </c>
      <c r="AZ507">
        <f>IF(AND($E507=TRUE,$C507="FWD"),AS507,"")</f>
        <v/>
      </c>
      <c r="BA507" t="n">
        <v>2</v>
      </c>
      <c r="BB507" t="n">
        <v>2</v>
      </c>
      <c r="BC507" t="n">
        <v>4</v>
      </c>
      <c r="BD507" t="n">
        <v>6</v>
      </c>
    </row>
    <row r="508">
      <c r="A508" t="inlineStr">
        <is>
          <t>Bernardo Silva</t>
        </is>
      </c>
      <c r="D508" t="inlineStr">
        <is>
          <t>MID</t>
        </is>
      </c>
      <c r="E508" t="b">
        <v>0</v>
      </c>
      <c r="F508" s="2" t="n"/>
      <c r="I508" s="2" t="n">
        <v>2886</v>
      </c>
      <c r="K508" s="3" t="n"/>
      <c r="M508" s="4" t="n">
        <v>2886</v>
      </c>
      <c r="N508" t="inlineStr">
        <is>
          <t>25/26 actual</t>
        </is>
      </c>
      <c r="O508" s="5" t="n">
        <v>81.8</v>
      </c>
      <c r="P508" t="b">
        <v>1</v>
      </c>
      <c r="Q508" s="5">
        <f>IF(N(O508)&lt;=0,0,MIN(Assumptions!$B$15,N(M508)/N(O508)))</f>
        <v/>
      </c>
      <c r="R508" s="4" t="n"/>
      <c r="S508" s="3" t="n">
        <v>0.0934</v>
      </c>
      <c r="T508" t="inlineStr">
        <is>
          <t>adjusted xGOT</t>
        </is>
      </c>
      <c r="U508" s="3" t="n">
        <v>1</v>
      </c>
      <c r="V508" s="3" t="n">
        <v>1.105</v>
      </c>
      <c r="W508" s="3" t="n">
        <v>12.2</v>
      </c>
      <c r="X508" s="3" t="n">
        <v>0.1647</v>
      </c>
      <c r="Y508" s="3" t="n">
        <v>8.291</v>
      </c>
      <c r="Z508" s="3" t="n">
        <v>0</v>
      </c>
      <c r="AA508" s="3" t="n">
        <v>0.1247</v>
      </c>
      <c r="AB508" s="3" t="n">
        <v>69</v>
      </c>
      <c r="AC508" s="3" t="n"/>
      <c r="AD508" s="3" t="n"/>
      <c r="AE508" s="3" t="n"/>
      <c r="AF508" s="4" t="n">
        <v>0</v>
      </c>
      <c r="AG508" s="3" t="n">
        <v>0</v>
      </c>
      <c r="AH508" s="3" t="n">
        <v>0</v>
      </c>
      <c r="AI508" s="3" t="n">
        <v>0</v>
      </c>
      <c r="AJ508" s="3">
        <f>N(R508)*N(BC508)</f>
        <v/>
      </c>
      <c r="AK508" s="3" t="n">
        <v>0</v>
      </c>
      <c r="AL508" s="3" t="n">
        <v>0</v>
      </c>
      <c r="AM508" s="3" t="n">
        <v>0</v>
      </c>
      <c r="AN508" s="3" t="n">
        <v>0</v>
      </c>
      <c r="AO508" s="3">
        <f>SUM(AH508:AN508)</f>
        <v/>
      </c>
      <c r="AP508" s="5">
        <f>IF(OR(N(Q508)&lt;=0,N(BA508)=0),0,N(Q508)*IF(N(M508)/N(Q508)&gt;=60,N(BA508),1))</f>
        <v/>
      </c>
      <c r="AQ508" s="5">
        <f>N(Q508)*N(Z508)*N(BB508)</f>
        <v/>
      </c>
      <c r="AR508" s="5">
        <f>N(AF508)*(Assumptions!$B$13*N(BD508)-(1-Assumptions!$B$13)*Assumptions!$B$14)+N(AG508)</f>
        <v/>
      </c>
      <c r="AS508" s="5">
        <f>N(AO508)*N(M508)/90+N(AP508)+N(AQ508)+N(AR508)</f>
        <v/>
      </c>
      <c r="AT508" s="3">
        <f>IF(N(M508)&lt;=0,0,(N(AS508)-N(AR508))*90/N(M508))</f>
        <v/>
      </c>
      <c r="AU508" s="5">
        <f>IFERROR(AS508-VLOOKUP($C508,Assumptions!$A$36:$C$39,3,FALSE),"")</f>
        <v/>
      </c>
      <c r="AV508" s="3">
        <f>IFERROR(AU508/F508,"")</f>
        <v/>
      </c>
      <c r="AW508">
        <f>IF(AND($E508=TRUE,$C508="GKP"),AS508,"")</f>
        <v/>
      </c>
      <c r="AX508">
        <f>IF(AND($E508=TRUE,$C508="DEF"),AS508,"")</f>
        <v/>
      </c>
      <c r="AY508">
        <f>IF(AND($E508=TRUE,$C508="MID"),AS508,"")</f>
        <v/>
      </c>
      <c r="AZ508">
        <f>IF(AND($E508=TRUE,$C508="FWD"),AS508,"")</f>
        <v/>
      </c>
      <c r="BA508" t="n">
        <v>0</v>
      </c>
      <c r="BB508" t="n">
        <v>0</v>
      </c>
      <c r="BC508" t="n">
        <v>0</v>
      </c>
      <c r="BD508" t="n">
        <v>0</v>
      </c>
    </row>
    <row r="509">
      <c r="A509" t="inlineStr">
        <is>
          <t>Dillon Phillips</t>
        </is>
      </c>
      <c r="B509" t="inlineStr">
        <is>
          <t>HUL</t>
        </is>
      </c>
      <c r="C509" t="inlineStr">
        <is>
          <t>GKP</t>
        </is>
      </c>
      <c r="E509" t="b">
        <v>1</v>
      </c>
      <c r="F509" s="2" t="n">
        <v>4</v>
      </c>
      <c r="G509" t="inlineStr">
        <is>
          <t>a</t>
        </is>
      </c>
      <c r="I509" s="2" t="n"/>
      <c r="K509" s="3" t="n">
        <v>0</v>
      </c>
      <c r="L509" t="inlineStr">
        <is>
          <t>flat</t>
        </is>
      </c>
      <c r="M509" s="4" t="n">
        <v>0</v>
      </c>
      <c r="N509" t="inlineStr">
        <is>
          <t>Solio</t>
        </is>
      </c>
      <c r="O509" s="5" t="n">
        <v>85</v>
      </c>
      <c r="P509" t="b">
        <v>0</v>
      </c>
      <c r="Q509" s="5">
        <f>IF(N(O509)&lt;=0,0,MIN(Assumptions!$B$15,N(M509)/N(O509)))</f>
        <v/>
      </c>
      <c r="R509" s="4" t="n">
        <v>0.143</v>
      </c>
      <c r="S509" s="3" t="n"/>
      <c r="T509" t="inlineStr"/>
      <c r="U509" s="3" t="n">
        <v>1</v>
      </c>
      <c r="V509" s="3" t="n"/>
      <c r="W509" s="3" t="n"/>
      <c r="X509" s="3" t="n"/>
      <c r="Y509" s="3" t="n">
        <v>0</v>
      </c>
      <c r="Z509" s="3" t="n">
        <v>0</v>
      </c>
      <c r="AA509" s="3" t="n"/>
      <c r="AB509" s="3" t="n"/>
      <c r="AC509" s="3" t="n">
        <v>3.9421</v>
      </c>
      <c r="AD509" s="3" t="n">
        <v>1.99</v>
      </c>
      <c r="AE509" s="3" t="n">
        <v>-0.0763216474948735</v>
      </c>
      <c r="AF509" s="4" t="n">
        <v>0</v>
      </c>
      <c r="AG509" s="3" t="n">
        <v>0</v>
      </c>
      <c r="AH509" s="3" t="n">
        <v>0</v>
      </c>
      <c r="AI509" s="3" t="n">
        <v>0</v>
      </c>
      <c r="AJ509" s="3">
        <f>N(R509)*N(BC509)</f>
        <v/>
      </c>
      <c r="AK509" s="3" t="n">
        <v>0</v>
      </c>
      <c r="AL509" s="3" t="n">
        <v>0.979692031005534</v>
      </c>
      <c r="AM509" s="3" t="n">
        <v>-0.7496714098286652</v>
      </c>
      <c r="AN509" s="3" t="n">
        <v>-0.0763216474948735</v>
      </c>
      <c r="AO509" s="3">
        <f>SUM(AH509:AN509)</f>
        <v/>
      </c>
      <c r="AP509" s="5">
        <f>IF(OR(N(Q509)&lt;=0,N(BA509)=0),0,N(Q509)*IF(N(M509)/N(Q509)&gt;=60,N(BA509),1))</f>
        <v/>
      </c>
      <c r="AQ509" s="5">
        <f>N(Q509)*N(Z509)*N(BB509)</f>
        <v/>
      </c>
      <c r="AR509" s="5">
        <f>N(AF509)*(Assumptions!$B$13*N(BD509)-(1-Assumptions!$B$13)*Assumptions!$B$14)+N(AG509)</f>
        <v/>
      </c>
      <c r="AS509" s="5">
        <f>N(AO509)*N(M509)/90+N(AP509)+N(AQ509)+N(AR509)</f>
        <v/>
      </c>
      <c r="AT509" s="3">
        <f>IF(N(M509)&lt;=0,0,(N(AS509)-N(AR509))*90/N(M509))</f>
        <v/>
      </c>
      <c r="AU509" s="5">
        <f>IFERROR(AS509-VLOOKUP($C509,Assumptions!$A$36:$C$39,3,FALSE),"")</f>
        <v/>
      </c>
      <c r="AV509" s="3">
        <f>IFERROR(AU509/F509,"")</f>
        <v/>
      </c>
      <c r="AW509">
        <f>IF(AND($E509=TRUE,$C509="GKP"),AS509,"")</f>
        <v/>
      </c>
      <c r="AX509">
        <f>IF(AND($E509=TRUE,$C509="DEF"),AS509,"")</f>
        <v/>
      </c>
      <c r="AY509">
        <f>IF(AND($E509=TRUE,$C509="MID"),AS509,"")</f>
        <v/>
      </c>
      <c r="AZ509">
        <f>IF(AND($E509=TRUE,$C509="FWD"),AS509,"")</f>
        <v/>
      </c>
      <c r="BA509" t="n">
        <v>2</v>
      </c>
      <c r="BB509" t="n">
        <v>0</v>
      </c>
      <c r="BC509" t="n">
        <v>4</v>
      </c>
      <c r="BD509" t="n">
        <v>10</v>
      </c>
    </row>
    <row r="510">
      <c r="A510" t="inlineStr">
        <is>
          <t>Josh Laurent</t>
        </is>
      </c>
      <c r="D510" t="inlineStr">
        <is>
          <t>MID</t>
        </is>
      </c>
      <c r="E510" t="b">
        <v>0</v>
      </c>
      <c r="F510" s="2" t="n"/>
      <c r="I510" s="2" t="n">
        <v>1759</v>
      </c>
      <c r="K510" s="3" t="n"/>
      <c r="M510" s="4" t="n">
        <v>1759</v>
      </c>
      <c r="N510" t="inlineStr">
        <is>
          <t>25/26 actual</t>
        </is>
      </c>
      <c r="O510" s="5" t="n">
        <v>81.40000000000001</v>
      </c>
      <c r="P510" t="b">
        <v>1</v>
      </c>
      <c r="Q510" s="5">
        <f>IF(N(O510)&lt;=0,0,MIN(Assumptions!$B$15,N(M510)/N(O510)))</f>
        <v/>
      </c>
      <c r="R510" s="4" t="n"/>
      <c r="S510" s="3" t="n">
        <v>0.0457</v>
      </c>
      <c r="T510" t="inlineStr">
        <is>
          <t>adjusted xGOT</t>
        </is>
      </c>
      <c r="U510" s="3" t="n">
        <v>1</v>
      </c>
      <c r="V510" s="3" t="n">
        <v>1.026</v>
      </c>
      <c r="W510" s="3" t="n">
        <v>0.9</v>
      </c>
      <c r="X510" s="3" t="n">
        <v>0.0376</v>
      </c>
      <c r="Y510" s="3" t="n">
        <v>9.27</v>
      </c>
      <c r="Z510" s="3" t="n">
        <v>0</v>
      </c>
      <c r="AA510" s="3" t="n">
        <v>0.0512</v>
      </c>
      <c r="AB510" s="3" t="n">
        <v>49</v>
      </c>
      <c r="AC510" s="3" t="n"/>
      <c r="AD510" s="3" t="n"/>
      <c r="AE510" s="3" t="n"/>
      <c r="AF510" s="4" t="n">
        <v>0</v>
      </c>
      <c r="AG510" s="3" t="n">
        <v>0</v>
      </c>
      <c r="AH510" s="3" t="n">
        <v>0</v>
      </c>
      <c r="AI510" s="3" t="n">
        <v>0</v>
      </c>
      <c r="AJ510" s="3">
        <f>N(R510)*N(BC510)</f>
        <v/>
      </c>
      <c r="AK510" s="3" t="n">
        <v>0</v>
      </c>
      <c r="AL510" s="3" t="n">
        <v>0</v>
      </c>
      <c r="AM510" s="3" t="n">
        <v>0</v>
      </c>
      <c r="AN510" s="3" t="n">
        <v>0</v>
      </c>
      <c r="AO510" s="3">
        <f>SUM(AH510:AN510)</f>
        <v/>
      </c>
      <c r="AP510" s="5">
        <f>IF(OR(N(Q510)&lt;=0,N(BA510)=0),0,N(Q510)*IF(N(M510)/N(Q510)&gt;=60,N(BA510),1))</f>
        <v/>
      </c>
      <c r="AQ510" s="5">
        <f>N(Q510)*N(Z510)*N(BB510)</f>
        <v/>
      </c>
      <c r="AR510" s="5">
        <f>N(AF510)*(Assumptions!$B$13*N(BD510)-(1-Assumptions!$B$13)*Assumptions!$B$14)+N(AG510)</f>
        <v/>
      </c>
      <c r="AS510" s="5">
        <f>N(AO510)*N(M510)/90+N(AP510)+N(AQ510)+N(AR510)</f>
        <v/>
      </c>
      <c r="AT510" s="3">
        <f>IF(N(M510)&lt;=0,0,(N(AS510)-N(AR510))*90/N(M510))</f>
        <v/>
      </c>
      <c r="AU510" s="5">
        <f>IFERROR(AS510-VLOOKUP($C510,Assumptions!$A$36:$C$39,3,FALSE),"")</f>
        <v/>
      </c>
      <c r="AV510" s="3">
        <f>IFERROR(AU510/F510,"")</f>
        <v/>
      </c>
      <c r="AW510">
        <f>IF(AND($E510=TRUE,$C510="GKP"),AS510,"")</f>
        <v/>
      </c>
      <c r="AX510">
        <f>IF(AND($E510=TRUE,$C510="DEF"),AS510,"")</f>
        <v/>
      </c>
      <c r="AY510">
        <f>IF(AND($E510=TRUE,$C510="MID"),AS510,"")</f>
        <v/>
      </c>
      <c r="AZ510">
        <f>IF(AND($E510=TRUE,$C510="FWD"),AS510,"")</f>
        <v/>
      </c>
      <c r="BA510" t="n">
        <v>0</v>
      </c>
      <c r="BB510" t="n">
        <v>0</v>
      </c>
      <c r="BC510" t="n">
        <v>0</v>
      </c>
      <c r="BD510" t="n">
        <v>0</v>
      </c>
    </row>
    <row r="511">
      <c r="A511" t="inlineStr">
        <is>
          <t>Matt Grimes</t>
        </is>
      </c>
      <c r="B511" t="inlineStr">
        <is>
          <t>COV</t>
        </is>
      </c>
      <c r="C511" t="inlineStr">
        <is>
          <t>MID</t>
        </is>
      </c>
      <c r="E511" t="b">
        <v>1</v>
      </c>
      <c r="F511" s="2" t="n">
        <v>5</v>
      </c>
      <c r="G511" t="inlineStr">
        <is>
          <t>a</t>
        </is>
      </c>
      <c r="I511" s="2" t="n"/>
      <c r="K511" s="3" t="n">
        <v>2668</v>
      </c>
      <c r="L511" t="inlineStr">
        <is>
          <t>flat</t>
        </is>
      </c>
      <c r="M511" s="4" t="n">
        <v>2668</v>
      </c>
      <c r="N511" t="inlineStr">
        <is>
          <t>Solio</t>
        </is>
      </c>
      <c r="O511" s="5" t="n">
        <v>85</v>
      </c>
      <c r="P511" t="b">
        <v>0</v>
      </c>
      <c r="Q511" s="5">
        <f>IF(N(O511)&lt;=0,0,MIN(Assumptions!$B$15,N(M511)/N(O511)))</f>
        <v/>
      </c>
      <c r="R511" s="4" t="n">
        <v>0.17</v>
      </c>
      <c r="S511" s="3" t="n"/>
      <c r="T511" t="inlineStr"/>
      <c r="U511" s="3" t="n">
        <v>1</v>
      </c>
      <c r="V511" s="3" t="n"/>
      <c r="W511" s="3" t="n"/>
      <c r="X511" s="3" t="n"/>
      <c r="Y511" s="3" t="n"/>
      <c r="Z511" s="3" t="n">
        <v>0</v>
      </c>
      <c r="AA511" s="3" t="n"/>
      <c r="AB511" s="3" t="n"/>
      <c r="AC511" s="3" t="n">
        <v>3.6194</v>
      </c>
      <c r="AD511" s="3" t="n">
        <v>1.8271</v>
      </c>
      <c r="AE511" s="3" t="n">
        <v>-0.2160434166173144</v>
      </c>
      <c r="AF511" s="4" t="n">
        <v>0.4588591229925738</v>
      </c>
      <c r="AG511" s="3" t="n">
        <v>0</v>
      </c>
      <c r="AH511" s="3" t="n">
        <v>0</v>
      </c>
      <c r="AI511" s="3" t="n">
        <v>0</v>
      </c>
      <c r="AJ511" s="3">
        <f>N(R511)*N(BC511)</f>
        <v/>
      </c>
      <c r="AK511" s="3" t="n">
        <v>0</v>
      </c>
      <c r="AL511" s="3" t="n">
        <v>0</v>
      </c>
      <c r="AM511" s="3" t="n">
        <v>-0</v>
      </c>
      <c r="AN511" s="3" t="n">
        <v>-0.2160434166173144</v>
      </c>
      <c r="AO511" s="3">
        <f>SUM(AH511:AN511)</f>
        <v/>
      </c>
      <c r="AP511" s="5">
        <f>IF(OR(N(Q511)&lt;=0,N(BA511)=0),0,N(Q511)*IF(N(M511)/N(Q511)&gt;=60,N(BA511),1))</f>
        <v/>
      </c>
      <c r="AQ511" s="5">
        <f>N(Q511)*N(Z511)*N(BB511)</f>
        <v/>
      </c>
      <c r="AR511" s="5">
        <f>N(AF511)*(Assumptions!$B$13*N(BD511)-(1-Assumptions!$B$13)*Assumptions!$B$14)+N(AG511)</f>
        <v/>
      </c>
      <c r="AS511" s="5">
        <f>N(AO511)*N(M511)/90+N(AP511)+N(AQ511)+N(AR511)</f>
        <v/>
      </c>
      <c r="AT511" s="3">
        <f>IF(N(M511)&lt;=0,0,(N(AS511)-N(AR511))*90/N(M511))</f>
        <v/>
      </c>
      <c r="AU511" s="5">
        <f>IFERROR(AS511-VLOOKUP($C511,Assumptions!$A$36:$C$39,3,FALSE),"")</f>
        <v/>
      </c>
      <c r="AV511" s="3">
        <f>IFERROR(AU511/F511,"")</f>
        <v/>
      </c>
      <c r="AW511">
        <f>IF(AND($E511=TRUE,$C511="GKP"),AS511,"")</f>
        <v/>
      </c>
      <c r="AX511">
        <f>IF(AND($E511=TRUE,$C511="DEF"),AS511,"")</f>
        <v/>
      </c>
      <c r="AY511">
        <f>IF(AND($E511=TRUE,$C511="MID"),AS511,"")</f>
        <v/>
      </c>
      <c r="AZ511">
        <f>IF(AND($E511=TRUE,$C511="FWD"),AS511,"")</f>
        <v/>
      </c>
      <c r="BA511" t="n">
        <v>2</v>
      </c>
      <c r="BB511" t="n">
        <v>2</v>
      </c>
      <c r="BC511" t="n">
        <v>1</v>
      </c>
      <c r="BD511" t="n">
        <v>5</v>
      </c>
    </row>
    <row r="512">
      <c r="A512" t="inlineStr">
        <is>
          <t>Oli McBurnie</t>
        </is>
      </c>
      <c r="B512" t="inlineStr">
        <is>
          <t>HUL</t>
        </is>
      </c>
      <c r="C512" t="inlineStr">
        <is>
          <t>FWD</t>
        </is>
      </c>
      <c r="E512" t="b">
        <v>1</v>
      </c>
      <c r="F512" s="2" t="n">
        <v>5.5</v>
      </c>
      <c r="G512" t="inlineStr">
        <is>
          <t>a</t>
        </is>
      </c>
      <c r="I512" s="2" t="n"/>
      <c r="K512" s="3" t="n">
        <v>3260</v>
      </c>
      <c r="L512" t="inlineStr">
        <is>
          <t>flat</t>
        </is>
      </c>
      <c r="M512" s="4" t="n">
        <v>3260</v>
      </c>
      <c r="N512" t="inlineStr">
        <is>
          <t>Solio</t>
        </is>
      </c>
      <c r="O512" s="5" t="n">
        <v>85</v>
      </c>
      <c r="P512" t="b">
        <v>0</v>
      </c>
      <c r="Q512" s="5">
        <f>IF(N(O512)&lt;=0,0,MIN(Assumptions!$B$15,N(M512)/N(O512)))</f>
        <v/>
      </c>
      <c r="R512" s="4" t="n">
        <v>0.143</v>
      </c>
      <c r="S512" s="3" t="n"/>
      <c r="T512" t="inlineStr"/>
      <c r="U512" s="3" t="n">
        <v>1</v>
      </c>
      <c r="V512" s="3" t="n"/>
      <c r="W512" s="3" t="n"/>
      <c r="X512" s="3" t="n"/>
      <c r="Y512" s="3" t="n"/>
      <c r="Z512" s="3" t="n">
        <v>0</v>
      </c>
      <c r="AA512" s="3" t="n"/>
      <c r="AB512" s="3" t="n"/>
      <c r="AC512" s="3" t="n">
        <v>3.9421</v>
      </c>
      <c r="AD512" s="3" t="n">
        <v>1.99</v>
      </c>
      <c r="AE512" s="3" t="n">
        <v>-0.1872839882939133</v>
      </c>
      <c r="AF512" s="4" t="n">
        <v>2.576470200796949</v>
      </c>
      <c r="AG512" s="3" t="n">
        <v>0</v>
      </c>
      <c r="AH512" s="3" t="n">
        <v>0</v>
      </c>
      <c r="AI512" s="3" t="n">
        <v>0</v>
      </c>
      <c r="AJ512" s="3">
        <f>N(R512)*N(BC512)</f>
        <v/>
      </c>
      <c r="AK512" s="3" t="n">
        <v>0</v>
      </c>
      <c r="AL512" s="3" t="n">
        <v>0</v>
      </c>
      <c r="AM512" s="3" t="n">
        <v>-0</v>
      </c>
      <c r="AN512" s="3" t="n">
        <v>-0.1872839882939133</v>
      </c>
      <c r="AO512" s="3">
        <f>SUM(AH512:AN512)</f>
        <v/>
      </c>
      <c r="AP512" s="5">
        <f>IF(OR(N(Q512)&lt;=0,N(BA512)=0),0,N(Q512)*IF(N(M512)/N(Q512)&gt;=60,N(BA512),1))</f>
        <v/>
      </c>
      <c r="AQ512" s="5">
        <f>N(Q512)*N(Z512)*N(BB512)</f>
        <v/>
      </c>
      <c r="AR512" s="5">
        <f>N(AF512)*(Assumptions!$B$13*N(BD512)-(1-Assumptions!$B$13)*Assumptions!$B$14)+N(AG512)</f>
        <v/>
      </c>
      <c r="AS512" s="5">
        <f>N(AO512)*N(M512)/90+N(AP512)+N(AQ512)+N(AR512)</f>
        <v/>
      </c>
      <c r="AT512" s="3">
        <f>IF(N(M512)&lt;=0,0,(N(AS512)-N(AR512))*90/N(M512))</f>
        <v/>
      </c>
      <c r="AU512" s="5">
        <f>IFERROR(AS512-VLOOKUP($C512,Assumptions!$A$36:$C$39,3,FALSE),"")</f>
        <v/>
      </c>
      <c r="AV512" s="3">
        <f>IFERROR(AU512/F512,"")</f>
        <v/>
      </c>
      <c r="AW512">
        <f>IF(AND($E512=TRUE,$C512="GKP"),AS512,"")</f>
        <v/>
      </c>
      <c r="AX512">
        <f>IF(AND($E512=TRUE,$C512="DEF"),AS512,"")</f>
        <v/>
      </c>
      <c r="AY512">
        <f>IF(AND($E512=TRUE,$C512="MID"),AS512,"")</f>
        <v/>
      </c>
      <c r="AZ512">
        <f>IF(AND($E512=TRUE,$C512="FWD"),AS512,"")</f>
        <v/>
      </c>
      <c r="BA512" t="n">
        <v>2</v>
      </c>
      <c r="BB512" t="n">
        <v>2</v>
      </c>
      <c r="BC512" t="n">
        <v>0</v>
      </c>
      <c r="BD512" t="n">
        <v>4</v>
      </c>
    </row>
    <row r="513">
      <c r="A513" t="inlineStr">
        <is>
          <t>Kieran Dowell</t>
        </is>
      </c>
      <c r="B513" t="inlineStr">
        <is>
          <t>HUL</t>
        </is>
      </c>
      <c r="C513" t="inlineStr">
        <is>
          <t>MID</t>
        </is>
      </c>
      <c r="E513" t="b">
        <v>1</v>
      </c>
      <c r="F513" s="2" t="n">
        <v>4.5</v>
      </c>
      <c r="G513" t="inlineStr">
        <is>
          <t>a</t>
        </is>
      </c>
      <c r="I513" s="2" t="n"/>
      <c r="K513" s="3" t="n">
        <v>51</v>
      </c>
      <c r="L513" t="inlineStr">
        <is>
          <t>flat</t>
        </is>
      </c>
      <c r="M513" s="4" t="n">
        <v>51</v>
      </c>
      <c r="N513" t="inlineStr">
        <is>
          <t>Solio</t>
        </is>
      </c>
      <c r="O513" s="5" t="n">
        <v>85</v>
      </c>
      <c r="P513" t="b">
        <v>0</v>
      </c>
      <c r="Q513" s="5">
        <f>IF(N(O513)&lt;=0,0,MIN(Assumptions!$B$15,N(M513)/N(O513)))</f>
        <v/>
      </c>
      <c r="R513" s="4" t="n">
        <v>0.143</v>
      </c>
      <c r="S513" s="3" t="n"/>
      <c r="T513" t="inlineStr"/>
      <c r="U513" s="3" t="n">
        <v>1</v>
      </c>
      <c r="V513" s="3" t="n"/>
      <c r="W513" s="3" t="n"/>
      <c r="X513" s="3" t="n"/>
      <c r="Y513" s="3" t="n"/>
      <c r="Z513" s="3" t="n">
        <v>0</v>
      </c>
      <c r="AA513" s="3" t="n"/>
      <c r="AB513" s="3" t="n"/>
      <c r="AC513" s="3" t="n">
        <v>3.9421</v>
      </c>
      <c r="AD513" s="3" t="n">
        <v>1.99</v>
      </c>
      <c r="AE513" s="3" t="n">
        <v>-0.2160434166173144</v>
      </c>
      <c r="AF513" s="4" t="n">
        <v>0</v>
      </c>
      <c r="AG513" s="3" t="n">
        <v>0</v>
      </c>
      <c r="AH513" s="3" t="n">
        <v>0</v>
      </c>
      <c r="AI513" s="3" t="n">
        <v>0</v>
      </c>
      <c r="AJ513" s="3">
        <f>N(R513)*N(BC513)</f>
        <v/>
      </c>
      <c r="AK513" s="3" t="n">
        <v>0</v>
      </c>
      <c r="AL513" s="3" t="n">
        <v>0</v>
      </c>
      <c r="AM513" s="3" t="n">
        <v>-0</v>
      </c>
      <c r="AN513" s="3" t="n">
        <v>-0.2160434166173144</v>
      </c>
      <c r="AO513" s="3">
        <f>SUM(AH513:AN513)</f>
        <v/>
      </c>
      <c r="AP513" s="5">
        <f>IF(OR(N(Q513)&lt;=0,N(BA513)=0),0,N(Q513)*IF(N(M513)/N(Q513)&gt;=60,N(BA513),1))</f>
        <v/>
      </c>
      <c r="AQ513" s="5">
        <f>N(Q513)*N(Z513)*N(BB513)</f>
        <v/>
      </c>
      <c r="AR513" s="5">
        <f>N(AF513)*(Assumptions!$B$13*N(BD513)-(1-Assumptions!$B$13)*Assumptions!$B$14)+N(AG513)</f>
        <v/>
      </c>
      <c r="AS513" s="5">
        <f>N(AO513)*N(M513)/90+N(AP513)+N(AQ513)+N(AR513)</f>
        <v/>
      </c>
      <c r="AT513" s="3">
        <f>IF(N(M513)&lt;=0,0,(N(AS513)-N(AR513))*90/N(M513))</f>
        <v/>
      </c>
      <c r="AU513" s="5">
        <f>IFERROR(AS513-VLOOKUP($C513,Assumptions!$A$36:$C$39,3,FALSE),"")</f>
        <v/>
      </c>
      <c r="AV513" s="3">
        <f>IFERROR(AU513/F513,"")</f>
        <v/>
      </c>
      <c r="AW513">
        <f>IF(AND($E513=TRUE,$C513="GKP"),AS513,"")</f>
        <v/>
      </c>
      <c r="AX513">
        <f>IF(AND($E513=TRUE,$C513="DEF"),AS513,"")</f>
        <v/>
      </c>
      <c r="AY513">
        <f>IF(AND($E513=TRUE,$C513="MID"),AS513,"")</f>
        <v/>
      </c>
      <c r="AZ513">
        <f>IF(AND($E513=TRUE,$C513="FWD"),AS513,"")</f>
        <v/>
      </c>
      <c r="BA513" t="n">
        <v>2</v>
      </c>
      <c r="BB513" t="n">
        <v>2</v>
      </c>
      <c r="BC513" t="n">
        <v>1</v>
      </c>
      <c r="BD513" t="n">
        <v>5</v>
      </c>
    </row>
    <row r="514">
      <c r="A514" t="inlineStr">
        <is>
          <t>Sam Szmodics</t>
        </is>
      </c>
      <c r="B514" t="inlineStr">
        <is>
          <t>IPS</t>
        </is>
      </c>
      <c r="C514" t="inlineStr">
        <is>
          <t>MID</t>
        </is>
      </c>
      <c r="E514" t="b">
        <v>1</v>
      </c>
      <c r="F514" s="2" t="n">
        <v>5</v>
      </c>
      <c r="G514" t="inlineStr">
        <is>
          <t>a</t>
        </is>
      </c>
      <c r="I514" s="2" t="n"/>
      <c r="K514" s="3" t="n">
        <v>0</v>
      </c>
      <c r="L514" t="inlineStr">
        <is>
          <t>flat</t>
        </is>
      </c>
      <c r="M514" s="4" t="n">
        <v>0</v>
      </c>
      <c r="N514" t="inlineStr">
        <is>
          <t>Solio</t>
        </is>
      </c>
      <c r="O514" s="5" t="n">
        <v>85</v>
      </c>
      <c r="P514" t="b">
        <v>0</v>
      </c>
      <c r="Q514" s="5">
        <f>IF(N(O514)&lt;=0,0,MIN(Assumptions!$B$15,N(M514)/N(O514)))</f>
        <v/>
      </c>
      <c r="R514" s="4" t="n">
        <v>0.17</v>
      </c>
      <c r="S514" s="3" t="n"/>
      <c r="T514" t="inlineStr"/>
      <c r="U514" s="3" t="n">
        <v>1</v>
      </c>
      <c r="V514" s="3" t="n"/>
      <c r="W514" s="3" t="n"/>
      <c r="X514" s="3" t="n"/>
      <c r="Y514" s="3" t="n"/>
      <c r="Z514" s="3" t="n">
        <v>0</v>
      </c>
      <c r="AA514" s="3" t="n"/>
      <c r="AB514" s="3" t="n"/>
      <c r="AC514" s="3" t="n">
        <v>3.5741</v>
      </c>
      <c r="AD514" s="3" t="n">
        <v>1.8319</v>
      </c>
      <c r="AE514" s="3" t="n">
        <v>-0.2110210456103259</v>
      </c>
      <c r="AF514" s="4" t="n">
        <v>0</v>
      </c>
      <c r="AG514" s="3" t="n">
        <v>0</v>
      </c>
      <c r="AH514" s="3" t="n">
        <v>0</v>
      </c>
      <c r="AI514" s="3" t="n">
        <v>0</v>
      </c>
      <c r="AJ514" s="3">
        <f>N(R514)*N(BC514)</f>
        <v/>
      </c>
      <c r="AK514" s="3" t="n">
        <v>0</v>
      </c>
      <c r="AL514" s="3" t="n">
        <v>0</v>
      </c>
      <c r="AM514" s="3" t="n">
        <v>-0</v>
      </c>
      <c r="AN514" s="3" t="n">
        <v>-0.2110210456103259</v>
      </c>
      <c r="AO514" s="3">
        <f>SUM(AH514:AN514)</f>
        <v/>
      </c>
      <c r="AP514" s="5">
        <f>IF(OR(N(Q514)&lt;=0,N(BA514)=0),0,N(Q514)*IF(N(M514)/N(Q514)&gt;=60,N(BA514),1))</f>
        <v/>
      </c>
      <c r="AQ514" s="5">
        <f>N(Q514)*N(Z514)*N(BB514)</f>
        <v/>
      </c>
      <c r="AR514" s="5">
        <f>N(AF514)*(Assumptions!$B$13*N(BD514)-(1-Assumptions!$B$13)*Assumptions!$B$14)+N(AG514)</f>
        <v/>
      </c>
      <c r="AS514" s="5">
        <f>N(AO514)*N(M514)/90+N(AP514)+N(AQ514)+N(AR514)</f>
        <v/>
      </c>
      <c r="AT514" s="3">
        <f>IF(N(M514)&lt;=0,0,(N(AS514)-N(AR514))*90/N(M514))</f>
        <v/>
      </c>
      <c r="AU514" s="5">
        <f>IFERROR(AS514-VLOOKUP($C514,Assumptions!$A$36:$C$39,3,FALSE),"")</f>
        <v/>
      </c>
      <c r="AV514" s="3">
        <f>IFERROR(AU514/F514,"")</f>
        <v/>
      </c>
      <c r="AW514">
        <f>IF(AND($E514=TRUE,$C514="GKP"),AS514,"")</f>
        <v/>
      </c>
      <c r="AX514">
        <f>IF(AND($E514=TRUE,$C514="DEF"),AS514,"")</f>
        <v/>
      </c>
      <c r="AY514">
        <f>IF(AND($E514=TRUE,$C514="MID"),AS514,"")</f>
        <v/>
      </c>
      <c r="AZ514">
        <f>IF(AND($E514=TRUE,$C514="FWD"),AS514,"")</f>
        <v/>
      </c>
      <c r="BA514" t="n">
        <v>2</v>
      </c>
      <c r="BB514" t="n">
        <v>2</v>
      </c>
      <c r="BC514" t="n">
        <v>1</v>
      </c>
      <c r="BD514" t="n">
        <v>5</v>
      </c>
    </row>
    <row r="515">
      <c r="A515" t="inlineStr">
        <is>
          <t>Josh Cullen</t>
        </is>
      </c>
      <c r="D515" t="inlineStr">
        <is>
          <t>MID</t>
        </is>
      </c>
      <c r="E515" t="b">
        <v>0</v>
      </c>
      <c r="F515" s="2" t="n"/>
      <c r="I515" s="2" t="n">
        <v>1519</v>
      </c>
      <c r="K515" s="3" t="n"/>
      <c r="M515" s="4" t="n">
        <v>1519</v>
      </c>
      <c r="N515" t="inlineStr">
        <is>
          <t>25/26 actual</t>
        </is>
      </c>
      <c r="O515" s="5" t="n">
        <v>84.09999999999999</v>
      </c>
      <c r="P515" t="b">
        <v>1</v>
      </c>
      <c r="Q515" s="5">
        <f>IF(N(O515)&lt;=0,0,MIN(Assumptions!$B$15,N(M515)/N(O515)))</f>
        <v/>
      </c>
      <c r="R515" s="4" t="n"/>
      <c r="S515" s="3" t="n">
        <v>0.0643</v>
      </c>
      <c r="T515" t="inlineStr">
        <is>
          <t>adjusted xGOT</t>
        </is>
      </c>
      <c r="U515" s="3" t="n">
        <v>1</v>
      </c>
      <c r="V515" s="3" t="n">
        <v>1.154</v>
      </c>
      <c r="W515" s="3" t="n">
        <v>1.5</v>
      </c>
      <c r="X515" s="3" t="n">
        <v>0.1076</v>
      </c>
      <c r="Y515" s="3" t="n">
        <v>9.738</v>
      </c>
      <c r="Z515" s="3" t="n">
        <v>0</v>
      </c>
      <c r="AA515" s="3" t="n">
        <v>0.4147</v>
      </c>
      <c r="AB515" s="3" t="n">
        <v>35</v>
      </c>
      <c r="AC515" s="3" t="n"/>
      <c r="AD515" s="3" t="n"/>
      <c r="AE515" s="3" t="n"/>
      <c r="AF515" s="4" t="n">
        <v>0</v>
      </c>
      <c r="AG515" s="3" t="n">
        <v>0</v>
      </c>
      <c r="AH515" s="3" t="n">
        <v>0</v>
      </c>
      <c r="AI515" s="3" t="n">
        <v>0</v>
      </c>
      <c r="AJ515" s="3">
        <f>N(R515)*N(BC515)</f>
        <v/>
      </c>
      <c r="AK515" s="3" t="n">
        <v>0</v>
      </c>
      <c r="AL515" s="3" t="n">
        <v>0</v>
      </c>
      <c r="AM515" s="3" t="n">
        <v>0</v>
      </c>
      <c r="AN515" s="3" t="n">
        <v>0</v>
      </c>
      <c r="AO515" s="3">
        <f>SUM(AH515:AN515)</f>
        <v/>
      </c>
      <c r="AP515" s="5">
        <f>IF(OR(N(Q515)&lt;=0,N(BA515)=0),0,N(Q515)*IF(N(M515)/N(Q515)&gt;=60,N(BA515),1))</f>
        <v/>
      </c>
      <c r="AQ515" s="5">
        <f>N(Q515)*N(Z515)*N(BB515)</f>
        <v/>
      </c>
      <c r="AR515" s="5">
        <f>N(AF515)*(Assumptions!$B$13*N(BD515)-(1-Assumptions!$B$13)*Assumptions!$B$14)+N(AG515)</f>
        <v/>
      </c>
      <c r="AS515" s="5">
        <f>N(AO515)*N(M515)/90+N(AP515)+N(AQ515)+N(AR515)</f>
        <v/>
      </c>
      <c r="AT515" s="3">
        <f>IF(N(M515)&lt;=0,0,(N(AS515)-N(AR515))*90/N(M515))</f>
        <v/>
      </c>
      <c r="AU515" s="5">
        <f>IFERROR(AS515-VLOOKUP($C515,Assumptions!$A$36:$C$39,3,FALSE),"")</f>
        <v/>
      </c>
      <c r="AV515" s="3">
        <f>IFERROR(AU515/F515,"")</f>
        <v/>
      </c>
      <c r="AW515">
        <f>IF(AND($E515=TRUE,$C515="GKP"),AS515,"")</f>
        <v/>
      </c>
      <c r="AX515">
        <f>IF(AND($E515=TRUE,$C515="DEF"),AS515,"")</f>
        <v/>
      </c>
      <c r="AY515">
        <f>IF(AND($E515=TRUE,$C515="MID"),AS515,"")</f>
        <v/>
      </c>
      <c r="AZ515">
        <f>IF(AND($E515=TRUE,$C515="FWD"),AS515,"")</f>
        <v/>
      </c>
      <c r="BA515" t="n">
        <v>0</v>
      </c>
      <c r="BB515" t="n">
        <v>0</v>
      </c>
      <c r="BC515" t="n">
        <v>0</v>
      </c>
      <c r="BD515" t="n">
        <v>0</v>
      </c>
    </row>
    <row r="516">
      <c r="A516" t="inlineStr">
        <is>
          <t>Jay Dasilva</t>
        </is>
      </c>
      <c r="B516" t="inlineStr">
        <is>
          <t>COV</t>
        </is>
      </c>
      <c r="C516" t="inlineStr">
        <is>
          <t>DEF</t>
        </is>
      </c>
      <c r="E516" t="b">
        <v>1</v>
      </c>
      <c r="F516" s="2" t="n">
        <v>4</v>
      </c>
      <c r="G516" t="inlineStr">
        <is>
          <t>a</t>
        </is>
      </c>
      <c r="I516" s="2" t="n"/>
      <c r="K516" s="3" t="n">
        <v>2992</v>
      </c>
      <c r="L516" t="inlineStr">
        <is>
          <t>flat</t>
        </is>
      </c>
      <c r="M516" s="4" t="n">
        <v>2992</v>
      </c>
      <c r="N516" t="inlineStr">
        <is>
          <t>Solio</t>
        </is>
      </c>
      <c r="O516" s="5" t="n">
        <v>85</v>
      </c>
      <c r="P516" t="b">
        <v>0</v>
      </c>
      <c r="Q516" s="5">
        <f>IF(N(O516)&lt;=0,0,MIN(Assumptions!$B$15,N(M516)/N(O516)))</f>
        <v/>
      </c>
      <c r="R516" s="4" t="n">
        <v>0.17</v>
      </c>
      <c r="S516" s="3" t="n"/>
      <c r="T516" t="inlineStr"/>
      <c r="U516" s="3" t="n">
        <v>1</v>
      </c>
      <c r="V516" s="3" t="n"/>
      <c r="W516" s="3" t="n"/>
      <c r="X516" s="3" t="n"/>
      <c r="Y516" s="3" t="n"/>
      <c r="Z516" s="3" t="n">
        <v>0</v>
      </c>
      <c r="AA516" s="3" t="n"/>
      <c r="AB516" s="3" t="n"/>
      <c r="AC516" s="3" t="n">
        <v>3.6194</v>
      </c>
      <c r="AD516" s="3" t="n">
        <v>1.8271</v>
      </c>
      <c r="AE516" s="3" t="n">
        <v>-0.2045226422080557</v>
      </c>
      <c r="AF516" s="4" t="n">
        <v>0</v>
      </c>
      <c r="AG516" s="3" t="n">
        <v>0</v>
      </c>
      <c r="AH516" s="3" t="n">
        <v>0</v>
      </c>
      <c r="AI516" s="3" t="n">
        <v>0</v>
      </c>
      <c r="AJ516" s="3">
        <f>N(R516)*N(BC516)</f>
        <v/>
      </c>
      <c r="AK516" s="3" t="n">
        <v>0</v>
      </c>
      <c r="AL516" s="3" t="n">
        <v>0</v>
      </c>
      <c r="AM516" s="3" t="n">
        <v>-0.670020548738316</v>
      </c>
      <c r="AN516" s="3" t="n">
        <v>-0.2045226422080557</v>
      </c>
      <c r="AO516" s="3">
        <f>SUM(AH516:AN516)</f>
        <v/>
      </c>
      <c r="AP516" s="5">
        <f>IF(OR(N(Q516)&lt;=0,N(BA516)=0),0,N(Q516)*IF(N(M516)/N(Q516)&gt;=60,N(BA516),1))</f>
        <v/>
      </c>
      <c r="AQ516" s="5">
        <f>N(Q516)*N(Z516)*N(BB516)</f>
        <v/>
      </c>
      <c r="AR516" s="5">
        <f>N(AF516)*(Assumptions!$B$13*N(BD516)-(1-Assumptions!$B$13)*Assumptions!$B$14)+N(AG516)</f>
        <v/>
      </c>
      <c r="AS516" s="5">
        <f>N(AO516)*N(M516)/90+N(AP516)+N(AQ516)+N(AR516)</f>
        <v/>
      </c>
      <c r="AT516" s="3">
        <f>IF(N(M516)&lt;=0,0,(N(AS516)-N(AR516))*90/N(M516))</f>
        <v/>
      </c>
      <c r="AU516" s="5">
        <f>IFERROR(AS516-VLOOKUP($C516,Assumptions!$A$36:$C$39,3,FALSE),"")</f>
        <v/>
      </c>
      <c r="AV516" s="3">
        <f>IFERROR(AU516/F516,"")</f>
        <v/>
      </c>
      <c r="AW516">
        <f>IF(AND($E516=TRUE,$C516="GKP"),AS516,"")</f>
        <v/>
      </c>
      <c r="AX516">
        <f>IF(AND($E516=TRUE,$C516="DEF"),AS516,"")</f>
        <v/>
      </c>
      <c r="AY516">
        <f>IF(AND($E516=TRUE,$C516="MID"),AS516,"")</f>
        <v/>
      </c>
      <c r="AZ516">
        <f>IF(AND($E516=TRUE,$C516="FWD"),AS516,"")</f>
        <v/>
      </c>
      <c r="BA516" t="n">
        <v>2</v>
      </c>
      <c r="BB516" t="n">
        <v>2</v>
      </c>
      <c r="BC516" t="n">
        <v>4</v>
      </c>
      <c r="BD516" t="n">
        <v>6</v>
      </c>
    </row>
    <row r="517">
      <c r="A517" t="inlineStr">
        <is>
          <t>Marcus Edwards</t>
        </is>
      </c>
      <c r="D517" t="inlineStr">
        <is>
          <t>MID</t>
        </is>
      </c>
      <c r="E517" t="b">
        <v>0</v>
      </c>
      <c r="F517" s="2" t="n"/>
      <c r="I517" s="2" t="n">
        <v>1064</v>
      </c>
      <c r="K517" s="3" t="n"/>
      <c r="M517" s="4" t="n">
        <v>1064</v>
      </c>
      <c r="N517" t="inlineStr">
        <is>
          <t>25/26 actual</t>
        </is>
      </c>
      <c r="O517" s="5" t="n">
        <v>79.40000000000001</v>
      </c>
      <c r="P517" t="b">
        <v>1</v>
      </c>
      <c r="Q517" s="5">
        <f>IF(N(O517)&lt;=0,0,MIN(Assumptions!$B$15,N(M517)/N(O517)))</f>
        <v/>
      </c>
      <c r="R517" s="4" t="n"/>
      <c r="S517" s="3" t="n">
        <v>0.1195</v>
      </c>
      <c r="T517" t="inlineStr">
        <is>
          <t>adjusted xGOT</t>
        </is>
      </c>
      <c r="U517" s="3" t="n">
        <v>1</v>
      </c>
      <c r="V517" s="3" t="n">
        <v>0.948</v>
      </c>
      <c r="W517" s="3" t="n">
        <v>1.5</v>
      </c>
      <c r="X517" s="3" t="n">
        <v>0.2154</v>
      </c>
      <c r="Y517" s="3" t="n">
        <v>6.865</v>
      </c>
      <c r="Z517" s="3" t="n">
        <v>0</v>
      </c>
      <c r="AA517" s="3" t="n">
        <v>0.1692</v>
      </c>
      <c r="AB517" s="3" t="n">
        <v>34</v>
      </c>
      <c r="AC517" s="3" t="n"/>
      <c r="AD517" s="3" t="n"/>
      <c r="AE517" s="3" t="n"/>
      <c r="AF517" s="4" t="n">
        <v>0</v>
      </c>
      <c r="AG517" s="3" t="n">
        <v>0</v>
      </c>
      <c r="AH517" s="3" t="n">
        <v>0</v>
      </c>
      <c r="AI517" s="3" t="n">
        <v>0</v>
      </c>
      <c r="AJ517" s="3">
        <f>N(R517)*N(BC517)</f>
        <v/>
      </c>
      <c r="AK517" s="3" t="n">
        <v>0</v>
      </c>
      <c r="AL517" s="3" t="n">
        <v>0</v>
      </c>
      <c r="AM517" s="3" t="n">
        <v>0</v>
      </c>
      <c r="AN517" s="3" t="n">
        <v>0</v>
      </c>
      <c r="AO517" s="3">
        <f>SUM(AH517:AN517)</f>
        <v/>
      </c>
      <c r="AP517" s="5">
        <f>IF(OR(N(Q517)&lt;=0,N(BA517)=0),0,N(Q517)*IF(N(M517)/N(Q517)&gt;=60,N(BA517),1))</f>
        <v/>
      </c>
      <c r="AQ517" s="5">
        <f>N(Q517)*N(Z517)*N(BB517)</f>
        <v/>
      </c>
      <c r="AR517" s="5">
        <f>N(AF517)*(Assumptions!$B$13*N(BD517)-(1-Assumptions!$B$13)*Assumptions!$B$14)+N(AG517)</f>
        <v/>
      </c>
      <c r="AS517" s="5">
        <f>N(AO517)*N(M517)/90+N(AP517)+N(AQ517)+N(AR517)</f>
        <v/>
      </c>
      <c r="AT517" s="3">
        <f>IF(N(M517)&lt;=0,0,(N(AS517)-N(AR517))*90/N(M517))</f>
        <v/>
      </c>
      <c r="AU517" s="5">
        <f>IFERROR(AS517-VLOOKUP($C517,Assumptions!$A$36:$C$39,3,FALSE),"")</f>
        <v/>
      </c>
      <c r="AV517" s="3">
        <f>IFERROR(AU517/F517,"")</f>
        <v/>
      </c>
      <c r="AW517">
        <f>IF(AND($E517=TRUE,$C517="GKP"),AS517,"")</f>
        <v/>
      </c>
      <c r="AX517">
        <f>IF(AND($E517=TRUE,$C517="DEF"),AS517,"")</f>
        <v/>
      </c>
      <c r="AY517">
        <f>IF(AND($E517=TRUE,$C517="MID"),AS517,"")</f>
        <v/>
      </c>
      <c r="AZ517">
        <f>IF(AND($E517=TRUE,$C517="FWD"),AS517,"")</f>
        <v/>
      </c>
      <c r="BA517" t="n">
        <v>0</v>
      </c>
      <c r="BB517" t="n">
        <v>0</v>
      </c>
      <c r="BC517" t="n">
        <v>0</v>
      </c>
      <c r="BD517" t="n">
        <v>0</v>
      </c>
    </row>
    <row r="518">
      <c r="A518" t="inlineStr">
        <is>
          <t>Haji Wright</t>
        </is>
      </c>
      <c r="B518" t="inlineStr">
        <is>
          <t>COV</t>
        </is>
      </c>
      <c r="C518" t="inlineStr">
        <is>
          <t>FWD</t>
        </is>
      </c>
      <c r="E518" t="b">
        <v>1</v>
      </c>
      <c r="F518" s="2" t="n">
        <v>5.5</v>
      </c>
      <c r="G518" t="inlineStr">
        <is>
          <t>a</t>
        </is>
      </c>
      <c r="I518" s="2" t="n"/>
      <c r="K518" s="3" t="n">
        <v>2656</v>
      </c>
      <c r="L518" t="inlineStr">
        <is>
          <t>ramp-up (injury / late WC return)</t>
        </is>
      </c>
      <c r="M518" s="4" t="n">
        <v>2656</v>
      </c>
      <c r="N518" t="inlineStr">
        <is>
          <t>Solio</t>
        </is>
      </c>
      <c r="O518" s="5" t="n">
        <v>85</v>
      </c>
      <c r="P518" t="b">
        <v>0</v>
      </c>
      <c r="Q518" s="5">
        <f>IF(N(O518)&lt;=0,0,MIN(Assumptions!$B$15,N(M518)/N(O518)))</f>
        <v/>
      </c>
      <c r="R518" s="4" t="n">
        <v>0.17</v>
      </c>
      <c r="S518" s="3" t="n"/>
      <c r="T518" t="inlineStr"/>
      <c r="U518" s="3" t="n">
        <v>1</v>
      </c>
      <c r="V518" s="3" t="n"/>
      <c r="W518" s="3" t="n"/>
      <c r="X518" s="3" t="n"/>
      <c r="Y518" s="3" t="n"/>
      <c r="Z518" s="3" t="n">
        <v>0</v>
      </c>
      <c r="AA518" s="3" t="n"/>
      <c r="AB518" s="3" t="n"/>
      <c r="AC518" s="3" t="n">
        <v>3.6194</v>
      </c>
      <c r="AD518" s="3" t="n">
        <v>1.8271</v>
      </c>
      <c r="AE518" s="3" t="n">
        <v>-0.174691292596322</v>
      </c>
      <c r="AF518" s="4" t="n">
        <v>2.593943915640668</v>
      </c>
      <c r="AG518" s="3" t="n">
        <v>0</v>
      </c>
      <c r="AH518" s="3" t="n">
        <v>0</v>
      </c>
      <c r="AI518" s="3" t="n">
        <v>0</v>
      </c>
      <c r="AJ518" s="3">
        <f>N(R518)*N(BC518)</f>
        <v/>
      </c>
      <c r="AK518" s="3" t="n">
        <v>0</v>
      </c>
      <c r="AL518" s="3" t="n">
        <v>0</v>
      </c>
      <c r="AM518" s="3" t="n">
        <v>-0</v>
      </c>
      <c r="AN518" s="3" t="n">
        <v>-0.174691292596322</v>
      </c>
      <c r="AO518" s="3">
        <f>SUM(AH518:AN518)</f>
        <v/>
      </c>
      <c r="AP518" s="5">
        <f>IF(OR(N(Q518)&lt;=0,N(BA518)=0),0,N(Q518)*IF(N(M518)/N(Q518)&gt;=60,N(BA518),1))</f>
        <v/>
      </c>
      <c r="AQ518" s="5">
        <f>N(Q518)*N(Z518)*N(BB518)</f>
        <v/>
      </c>
      <c r="AR518" s="5">
        <f>N(AF518)*(Assumptions!$B$13*N(BD518)-(1-Assumptions!$B$13)*Assumptions!$B$14)+N(AG518)</f>
        <v/>
      </c>
      <c r="AS518" s="5">
        <f>N(AO518)*N(M518)/90+N(AP518)+N(AQ518)+N(AR518)</f>
        <v/>
      </c>
      <c r="AT518" s="3">
        <f>IF(N(M518)&lt;=0,0,(N(AS518)-N(AR518))*90/N(M518))</f>
        <v/>
      </c>
      <c r="AU518" s="5">
        <f>IFERROR(AS518-VLOOKUP($C518,Assumptions!$A$36:$C$39,3,FALSE),"")</f>
        <v/>
      </c>
      <c r="AV518" s="3">
        <f>IFERROR(AU518/F518,"")</f>
        <v/>
      </c>
      <c r="AW518">
        <f>IF(AND($E518=TRUE,$C518="GKP"),AS518,"")</f>
        <v/>
      </c>
      <c r="AX518">
        <f>IF(AND($E518=TRUE,$C518="DEF"),AS518,"")</f>
        <v/>
      </c>
      <c r="AY518">
        <f>IF(AND($E518=TRUE,$C518="MID"),AS518,"")</f>
        <v/>
      </c>
      <c r="AZ518">
        <f>IF(AND($E518=TRUE,$C518="FWD"),AS518,"")</f>
        <v/>
      </c>
      <c r="BA518" t="n">
        <v>2</v>
      </c>
      <c r="BB518" t="n">
        <v>2</v>
      </c>
      <c r="BC518" t="n">
        <v>0</v>
      </c>
      <c r="BD518" t="n">
        <v>4</v>
      </c>
    </row>
    <row r="519">
      <c r="A519" t="inlineStr">
        <is>
          <t>Darnell Furlong</t>
        </is>
      </c>
      <c r="B519" t="inlineStr">
        <is>
          <t>IPS</t>
        </is>
      </c>
      <c r="C519" t="inlineStr">
        <is>
          <t>DEF</t>
        </is>
      </c>
      <c r="E519" t="b">
        <v>1</v>
      </c>
      <c r="F519" s="2" t="n">
        <v>4</v>
      </c>
      <c r="G519" t="inlineStr">
        <is>
          <t>a</t>
        </is>
      </c>
      <c r="I519" s="2" t="n"/>
      <c r="K519" s="3" t="n">
        <v>2775</v>
      </c>
      <c r="L519" t="inlineStr">
        <is>
          <t>flat</t>
        </is>
      </c>
      <c r="M519" s="4" t="n">
        <v>2775</v>
      </c>
      <c r="N519" t="inlineStr">
        <is>
          <t>Solio</t>
        </is>
      </c>
      <c r="O519" s="5" t="n">
        <v>85</v>
      </c>
      <c r="P519" t="b">
        <v>0</v>
      </c>
      <c r="Q519" s="5">
        <f>IF(N(O519)&lt;=0,0,MIN(Assumptions!$B$15,N(M519)/N(O519)))</f>
        <v/>
      </c>
      <c r="R519" s="4" t="n">
        <v>0.17</v>
      </c>
      <c r="S519" s="3" t="n"/>
      <c r="T519" t="inlineStr"/>
      <c r="U519" s="3" t="n">
        <v>1</v>
      </c>
      <c r="V519" s="3" t="n"/>
      <c r="W519" s="3" t="n"/>
      <c r="X519" s="3" t="n"/>
      <c r="Y519" s="3" t="n"/>
      <c r="Z519" s="3" t="n">
        <v>0</v>
      </c>
      <c r="AA519" s="3" t="n"/>
      <c r="AB519" s="3" t="n"/>
      <c r="AC519" s="3" t="n">
        <v>3.5741</v>
      </c>
      <c r="AD519" s="3" t="n">
        <v>1.8319</v>
      </c>
      <c r="AE519" s="3" t="n">
        <v>-0.2045226422080557</v>
      </c>
      <c r="AF519" s="4" t="n">
        <v>0</v>
      </c>
      <c r="AG519" s="3" t="n">
        <v>0</v>
      </c>
      <c r="AH519" s="3" t="n">
        <v>0</v>
      </c>
      <c r="AI519" s="3" t="n">
        <v>0</v>
      </c>
      <c r="AJ519" s="3">
        <f>N(R519)*N(BC519)</f>
        <v/>
      </c>
      <c r="AK519" s="3" t="n">
        <v>0</v>
      </c>
      <c r="AL519" s="3" t="n">
        <v>0</v>
      </c>
      <c r="AM519" s="3" t="n">
        <v>-0.6723587286814016</v>
      </c>
      <c r="AN519" s="3" t="n">
        <v>-0.2045226422080557</v>
      </c>
      <c r="AO519" s="3">
        <f>SUM(AH519:AN519)</f>
        <v/>
      </c>
      <c r="AP519" s="5">
        <f>IF(OR(N(Q519)&lt;=0,N(BA519)=0),0,N(Q519)*IF(N(M519)/N(Q519)&gt;=60,N(BA519),1))</f>
        <v/>
      </c>
      <c r="AQ519" s="5">
        <f>N(Q519)*N(Z519)*N(BB519)</f>
        <v/>
      </c>
      <c r="AR519" s="5">
        <f>N(AF519)*(Assumptions!$B$13*N(BD519)-(1-Assumptions!$B$13)*Assumptions!$B$14)+N(AG519)</f>
        <v/>
      </c>
      <c r="AS519" s="5">
        <f>N(AO519)*N(M519)/90+N(AP519)+N(AQ519)+N(AR519)</f>
        <v/>
      </c>
      <c r="AT519" s="3">
        <f>IF(N(M519)&lt;=0,0,(N(AS519)-N(AR519))*90/N(M519))</f>
        <v/>
      </c>
      <c r="AU519" s="5">
        <f>IFERROR(AS519-VLOOKUP($C519,Assumptions!$A$36:$C$39,3,FALSE),"")</f>
        <v/>
      </c>
      <c r="AV519" s="3">
        <f>IFERROR(AU519/F519,"")</f>
        <v/>
      </c>
      <c r="AW519">
        <f>IF(AND($E519=TRUE,$C519="GKP"),AS519,"")</f>
        <v/>
      </c>
      <c r="AX519">
        <f>IF(AND($E519=TRUE,$C519="DEF"),AS519,"")</f>
        <v/>
      </c>
      <c r="AY519">
        <f>IF(AND($E519=TRUE,$C519="MID"),AS519,"")</f>
        <v/>
      </c>
      <c r="AZ519">
        <f>IF(AND($E519=TRUE,$C519="FWD"),AS519,"")</f>
        <v/>
      </c>
      <c r="BA519" t="n">
        <v>2</v>
      </c>
      <c r="BB519" t="n">
        <v>2</v>
      </c>
      <c r="BC519" t="n">
        <v>4</v>
      </c>
      <c r="BD519" t="n">
        <v>6</v>
      </c>
    </row>
    <row r="520">
      <c r="A520" t="inlineStr">
        <is>
          <t>Jarrod Bowen</t>
        </is>
      </c>
      <c r="D520" t="inlineStr">
        <is>
          <t>FWD</t>
        </is>
      </c>
      <c r="E520" t="b">
        <v>0</v>
      </c>
      <c r="F520" s="2" t="n"/>
      <c r="I520" s="2" t="n">
        <v>3405</v>
      </c>
      <c r="K520" s="3" t="n"/>
      <c r="M520" s="4" t="n">
        <v>3405</v>
      </c>
      <c r="N520" t="inlineStr">
        <is>
          <t>25/26 actual</t>
        </is>
      </c>
      <c r="O520" s="5" t="n">
        <v>89.59999999999999</v>
      </c>
      <c r="P520" t="b">
        <v>1</v>
      </c>
      <c r="Q520" s="5">
        <f>IF(N(O520)&lt;=0,0,MIN(Assumptions!$B$15,N(M520)/N(O520)))</f>
        <v/>
      </c>
      <c r="R520" s="4" t="n"/>
      <c r="S520" s="3" t="n">
        <v>0.1842</v>
      </c>
      <c r="T520" t="inlineStr">
        <is>
          <t>adjusted xGOT</t>
        </is>
      </c>
      <c r="U520" s="3" t="n">
        <v>0.908</v>
      </c>
      <c r="V520" s="3" t="n">
        <v>1.063</v>
      </c>
      <c r="W520" s="3" t="n">
        <v>37.2</v>
      </c>
      <c r="X520" s="3" t="n">
        <v>0.2229</v>
      </c>
      <c r="Y520" s="3" t="n">
        <v>6.966</v>
      </c>
      <c r="Z520" s="3" t="n">
        <v>0</v>
      </c>
      <c r="AA520" s="3" t="n">
        <v>0.7401</v>
      </c>
      <c r="AB520" s="3" t="n">
        <v>76</v>
      </c>
      <c r="AC520" s="3" t="n"/>
      <c r="AD520" s="3" t="n"/>
      <c r="AE520" s="3" t="n"/>
      <c r="AF520" s="4" t="n">
        <v>0</v>
      </c>
      <c r="AG520" s="3" t="n">
        <v>0</v>
      </c>
      <c r="AH520" s="3" t="n">
        <v>0</v>
      </c>
      <c r="AI520" s="3" t="n">
        <v>0</v>
      </c>
      <c r="AJ520" s="3">
        <f>N(R520)*N(BC520)</f>
        <v/>
      </c>
      <c r="AK520" s="3" t="n">
        <v>0</v>
      </c>
      <c r="AL520" s="3" t="n">
        <v>0</v>
      </c>
      <c r="AM520" s="3" t="n">
        <v>0</v>
      </c>
      <c r="AN520" s="3" t="n">
        <v>0</v>
      </c>
      <c r="AO520" s="3">
        <f>SUM(AH520:AN520)</f>
        <v/>
      </c>
      <c r="AP520" s="5">
        <f>IF(OR(N(Q520)&lt;=0,N(BA520)=0),0,N(Q520)*IF(N(M520)/N(Q520)&gt;=60,N(BA520),1))</f>
        <v/>
      </c>
      <c r="AQ520" s="5">
        <f>N(Q520)*N(Z520)*N(BB520)</f>
        <v/>
      </c>
      <c r="AR520" s="5">
        <f>N(AF520)*(Assumptions!$B$13*N(BD520)-(1-Assumptions!$B$13)*Assumptions!$B$14)+N(AG520)</f>
        <v/>
      </c>
      <c r="AS520" s="5">
        <f>N(AO520)*N(M520)/90+N(AP520)+N(AQ520)+N(AR520)</f>
        <v/>
      </c>
      <c r="AT520" s="3">
        <f>IF(N(M520)&lt;=0,0,(N(AS520)-N(AR520))*90/N(M520))</f>
        <v/>
      </c>
      <c r="AU520" s="5">
        <f>IFERROR(AS520-VLOOKUP($C520,Assumptions!$A$36:$C$39,3,FALSE),"")</f>
        <v/>
      </c>
      <c r="AV520" s="3">
        <f>IFERROR(AU520/F520,"")</f>
        <v/>
      </c>
      <c r="AW520">
        <f>IF(AND($E520=TRUE,$C520="GKP"),AS520,"")</f>
        <v/>
      </c>
      <c r="AX520">
        <f>IF(AND($E520=TRUE,$C520="DEF"),AS520,"")</f>
        <v/>
      </c>
      <c r="AY520">
        <f>IF(AND($E520=TRUE,$C520="MID"),AS520,"")</f>
        <v/>
      </c>
      <c r="AZ520">
        <f>IF(AND($E520=TRUE,$C520="FWD"),AS520,"")</f>
        <v/>
      </c>
      <c r="BA520" t="n">
        <v>0</v>
      </c>
      <c r="BB520" t="n">
        <v>0</v>
      </c>
      <c r="BC520" t="n">
        <v>0</v>
      </c>
      <c r="BD520" t="n">
        <v>0</v>
      </c>
    </row>
    <row r="521">
      <c r="A521" t="inlineStr">
        <is>
          <t>Marc Cucurella</t>
        </is>
      </c>
      <c r="D521" t="inlineStr">
        <is>
          <t>DEF</t>
        </is>
      </c>
      <c r="E521" t="b">
        <v>0</v>
      </c>
      <c r="F521" s="2" t="n"/>
      <c r="I521" s="2" t="n">
        <v>2710</v>
      </c>
      <c r="K521" s="3" t="n"/>
      <c r="M521" s="4" t="n">
        <v>2710</v>
      </c>
      <c r="N521" t="inlineStr">
        <is>
          <t>25/26 actual</t>
        </is>
      </c>
      <c r="O521" s="5" t="n">
        <v>84</v>
      </c>
      <c r="P521" t="b">
        <v>1</v>
      </c>
      <c r="Q521" s="5">
        <f>IF(N(O521)&lt;=0,0,MIN(Assumptions!$B$15,N(M521)/N(O521)))</f>
        <v/>
      </c>
      <c r="R521" s="4" t="n"/>
      <c r="S521" s="3" t="n">
        <v>0.081</v>
      </c>
      <c r="T521" t="inlineStr">
        <is>
          <t>adjusted xGOT</t>
        </is>
      </c>
      <c r="U521" s="3" t="n">
        <v>1</v>
      </c>
      <c r="V521" s="3" t="n">
        <v>1.043</v>
      </c>
      <c r="W521" s="3" t="n">
        <v>6.7</v>
      </c>
      <c r="X521" s="3" t="n">
        <v>0.1508</v>
      </c>
      <c r="Y521" s="3" t="n">
        <v>6.396</v>
      </c>
      <c r="Z521" s="3" t="n">
        <v>0</v>
      </c>
      <c r="AA521" s="3" t="n">
        <v>0.1328</v>
      </c>
      <c r="AB521" s="3" t="n">
        <v>63</v>
      </c>
      <c r="AC521" s="3" t="n"/>
      <c r="AD521" s="3" t="n"/>
      <c r="AE521" s="3" t="n"/>
      <c r="AF521" s="4" t="n">
        <v>0</v>
      </c>
      <c r="AG521" s="3" t="n">
        <v>0</v>
      </c>
      <c r="AH521" s="3" t="n">
        <v>0</v>
      </c>
      <c r="AI521" s="3" t="n">
        <v>0</v>
      </c>
      <c r="AJ521" s="3">
        <f>N(R521)*N(BC521)</f>
        <v/>
      </c>
      <c r="AK521" s="3" t="n">
        <v>0</v>
      </c>
      <c r="AL521" s="3" t="n">
        <v>0</v>
      </c>
      <c r="AM521" s="3" t="n">
        <v>0</v>
      </c>
      <c r="AN521" s="3" t="n">
        <v>0</v>
      </c>
      <c r="AO521" s="3">
        <f>SUM(AH521:AN521)</f>
        <v/>
      </c>
      <c r="AP521" s="5">
        <f>IF(OR(N(Q521)&lt;=0,N(BA521)=0),0,N(Q521)*IF(N(M521)/N(Q521)&gt;=60,N(BA521),1))</f>
        <v/>
      </c>
      <c r="AQ521" s="5">
        <f>N(Q521)*N(Z521)*N(BB521)</f>
        <v/>
      </c>
      <c r="AR521" s="5">
        <f>N(AF521)*(Assumptions!$B$13*N(BD521)-(1-Assumptions!$B$13)*Assumptions!$B$14)+N(AG521)</f>
        <v/>
      </c>
      <c r="AS521" s="5">
        <f>N(AO521)*N(M521)/90+N(AP521)+N(AQ521)+N(AR521)</f>
        <v/>
      </c>
      <c r="AT521" s="3">
        <f>IF(N(M521)&lt;=0,0,(N(AS521)-N(AR521))*90/N(M521))</f>
        <v/>
      </c>
      <c r="AU521" s="5">
        <f>IFERROR(AS521-VLOOKUP($C521,Assumptions!$A$36:$C$39,3,FALSE),"")</f>
        <v/>
      </c>
      <c r="AV521" s="3">
        <f>IFERROR(AU521/F521,"")</f>
        <v/>
      </c>
      <c r="AW521">
        <f>IF(AND($E521=TRUE,$C521="GKP"),AS521,"")</f>
        <v/>
      </c>
      <c r="AX521">
        <f>IF(AND($E521=TRUE,$C521="DEF"),AS521,"")</f>
        <v/>
      </c>
      <c r="AY521">
        <f>IF(AND($E521=TRUE,$C521="MID"),AS521,"")</f>
        <v/>
      </c>
      <c r="AZ521">
        <f>IF(AND($E521=TRUE,$C521="FWD"),AS521,"")</f>
        <v/>
      </c>
      <c r="BA521" t="n">
        <v>0</v>
      </c>
      <c r="BB521" t="n">
        <v>0</v>
      </c>
      <c r="BC521" t="n">
        <v>0</v>
      </c>
      <c r="BD521" t="n">
        <v>0</v>
      </c>
    </row>
    <row r="522">
      <c r="A522" t="inlineStr">
        <is>
          <t>Jacob Bruun Larsen</t>
        </is>
      </c>
      <c r="D522" t="inlineStr">
        <is>
          <t>MID</t>
        </is>
      </c>
      <c r="E522" t="b">
        <v>0</v>
      </c>
      <c r="F522" s="2" t="n"/>
      <c r="I522" s="2" t="n">
        <v>1023</v>
      </c>
      <c r="K522" s="3" t="n"/>
      <c r="M522" s="4" t="n">
        <v>1023</v>
      </c>
      <c r="N522" t="inlineStr">
        <is>
          <t>25/26 actual</t>
        </is>
      </c>
      <c r="O522" s="5" t="n">
        <v>67.09999999999999</v>
      </c>
      <c r="P522" t="b">
        <v>1</v>
      </c>
      <c r="Q522" s="5">
        <f>IF(N(O522)&lt;=0,0,MIN(Assumptions!$B$15,N(M522)/N(O522)))</f>
        <v/>
      </c>
      <c r="R522" s="4" t="n"/>
      <c r="S522" s="3" t="n">
        <v>0.1169</v>
      </c>
      <c r="T522" t="inlineStr">
        <is>
          <t>adjusted xGOT</t>
        </is>
      </c>
      <c r="U522" s="3" t="n">
        <v>1</v>
      </c>
      <c r="V522" s="3" t="n">
        <v>0.97</v>
      </c>
      <c r="W522" s="3" t="n">
        <v>6</v>
      </c>
      <c r="X522" s="3" t="n">
        <v>0.1213</v>
      </c>
      <c r="Y522" s="3" t="n">
        <v>6.831</v>
      </c>
      <c r="Z522" s="3" t="n">
        <v>0</v>
      </c>
      <c r="AA522" s="3" t="n">
        <v>0</v>
      </c>
      <c r="AB522" s="3" t="n">
        <v>35</v>
      </c>
      <c r="AC522" s="3" t="n"/>
      <c r="AD522" s="3" t="n"/>
      <c r="AE522" s="3" t="n"/>
      <c r="AF522" s="4" t="n">
        <v>0</v>
      </c>
      <c r="AG522" s="3" t="n">
        <v>0</v>
      </c>
      <c r="AH522" s="3" t="n">
        <v>0</v>
      </c>
      <c r="AI522" s="3" t="n">
        <v>0</v>
      </c>
      <c r="AJ522" s="3">
        <f>N(R522)*N(BC522)</f>
        <v/>
      </c>
      <c r="AK522" s="3" t="n">
        <v>0</v>
      </c>
      <c r="AL522" s="3" t="n">
        <v>0</v>
      </c>
      <c r="AM522" s="3" t="n">
        <v>0</v>
      </c>
      <c r="AN522" s="3" t="n">
        <v>0</v>
      </c>
      <c r="AO522" s="3">
        <f>SUM(AH522:AN522)</f>
        <v/>
      </c>
      <c r="AP522" s="5">
        <f>IF(OR(N(Q522)&lt;=0,N(BA522)=0),0,N(Q522)*IF(N(M522)/N(Q522)&gt;=60,N(BA522),1))</f>
        <v/>
      </c>
      <c r="AQ522" s="5">
        <f>N(Q522)*N(Z522)*N(BB522)</f>
        <v/>
      </c>
      <c r="AR522" s="5">
        <f>N(AF522)*(Assumptions!$B$13*N(BD522)-(1-Assumptions!$B$13)*Assumptions!$B$14)+N(AG522)</f>
        <v/>
      </c>
      <c r="AS522" s="5">
        <f>N(AO522)*N(M522)/90+N(AP522)+N(AQ522)+N(AR522)</f>
        <v/>
      </c>
      <c r="AT522" s="3">
        <f>IF(N(M522)&lt;=0,0,(N(AS522)-N(AR522))*90/N(M522))</f>
        <v/>
      </c>
      <c r="AU522" s="5">
        <f>IFERROR(AS522-VLOOKUP($C522,Assumptions!$A$36:$C$39,3,FALSE),"")</f>
        <v/>
      </c>
      <c r="AV522" s="3">
        <f>IFERROR(AU522/F522,"")</f>
        <v/>
      </c>
      <c r="AW522">
        <f>IF(AND($E522=TRUE,$C522="GKP"),AS522,"")</f>
        <v/>
      </c>
      <c r="AX522">
        <f>IF(AND($E522=TRUE,$C522="DEF"),AS522,"")</f>
        <v/>
      </c>
      <c r="AY522">
        <f>IF(AND($E522=TRUE,$C522="MID"),AS522,"")</f>
        <v/>
      </c>
      <c r="AZ522">
        <f>IF(AND($E522=TRUE,$C522="FWD"),AS522,"")</f>
        <v/>
      </c>
      <c r="BA522" t="n">
        <v>0</v>
      </c>
      <c r="BB522" t="n">
        <v>0</v>
      </c>
      <c r="BC522" t="n">
        <v>0</v>
      </c>
      <c r="BD522" t="n">
        <v>0</v>
      </c>
    </row>
    <row r="523">
      <c r="A523" t="inlineStr">
        <is>
          <t>Axel Tuanzebe</t>
        </is>
      </c>
      <c r="D523" t="inlineStr">
        <is>
          <t>DEF</t>
        </is>
      </c>
      <c r="E523" t="b">
        <v>0</v>
      </c>
      <c r="F523" s="2" t="n"/>
      <c r="I523" s="2" t="n">
        <v>1202</v>
      </c>
      <c r="K523" s="3" t="n"/>
      <c r="M523" s="4" t="n">
        <v>1202</v>
      </c>
      <c r="N523" t="inlineStr">
        <is>
          <t>25/26 actual</t>
        </is>
      </c>
      <c r="O523" s="5" t="n">
        <v>85.8</v>
      </c>
      <c r="P523" t="b">
        <v>1</v>
      </c>
      <c r="Q523" s="5">
        <f>IF(N(O523)&lt;=0,0,MIN(Assumptions!$B$15,N(M523)/N(O523)))</f>
        <v/>
      </c>
      <c r="R523" s="4" t="n"/>
      <c r="S523" s="3" t="n">
        <v>0.0461</v>
      </c>
      <c r="T523" t="inlineStr">
        <is>
          <t>adjusted xGOT</t>
        </is>
      </c>
      <c r="U523" s="3" t="n">
        <v>1</v>
      </c>
      <c r="V523" s="3" t="n">
        <v>1.009</v>
      </c>
      <c r="W523" s="3" t="n">
        <v>0.8</v>
      </c>
      <c r="X523" s="3" t="n">
        <v>0</v>
      </c>
      <c r="Y523" s="3" t="n">
        <v>8.502000000000001</v>
      </c>
      <c r="Z523" s="3" t="n">
        <v>0</v>
      </c>
      <c r="AA523" s="3" t="n">
        <v>0</v>
      </c>
      <c r="AB523" s="3" t="n">
        <v>27</v>
      </c>
      <c r="AC523" s="3" t="n"/>
      <c r="AD523" s="3" t="n"/>
      <c r="AE523" s="3" t="n"/>
      <c r="AF523" s="4" t="n">
        <v>0</v>
      </c>
      <c r="AG523" s="3" t="n">
        <v>0</v>
      </c>
      <c r="AH523" s="3" t="n">
        <v>0</v>
      </c>
      <c r="AI523" s="3" t="n">
        <v>0</v>
      </c>
      <c r="AJ523" s="3">
        <f>N(R523)*N(BC523)</f>
        <v/>
      </c>
      <c r="AK523" s="3" t="n">
        <v>0</v>
      </c>
      <c r="AL523" s="3" t="n">
        <v>0</v>
      </c>
      <c r="AM523" s="3" t="n">
        <v>0</v>
      </c>
      <c r="AN523" s="3" t="n">
        <v>0</v>
      </c>
      <c r="AO523" s="3">
        <f>SUM(AH523:AN523)</f>
        <v/>
      </c>
      <c r="AP523" s="5">
        <f>IF(OR(N(Q523)&lt;=0,N(BA523)=0),0,N(Q523)*IF(N(M523)/N(Q523)&gt;=60,N(BA523),1))</f>
        <v/>
      </c>
      <c r="AQ523" s="5">
        <f>N(Q523)*N(Z523)*N(BB523)</f>
        <v/>
      </c>
      <c r="AR523" s="5">
        <f>N(AF523)*(Assumptions!$B$13*N(BD523)-(1-Assumptions!$B$13)*Assumptions!$B$14)+N(AG523)</f>
        <v/>
      </c>
      <c r="AS523" s="5">
        <f>N(AO523)*N(M523)/90+N(AP523)+N(AQ523)+N(AR523)</f>
        <v/>
      </c>
      <c r="AT523" s="3">
        <f>IF(N(M523)&lt;=0,0,(N(AS523)-N(AR523))*90/N(M523))</f>
        <v/>
      </c>
      <c r="AU523" s="5">
        <f>IFERROR(AS523-VLOOKUP($C523,Assumptions!$A$36:$C$39,3,FALSE),"")</f>
        <v/>
      </c>
      <c r="AV523" s="3">
        <f>IFERROR(AU523/F523,"")</f>
        <v/>
      </c>
      <c r="AW523">
        <f>IF(AND($E523=TRUE,$C523="GKP"),AS523,"")</f>
        <v/>
      </c>
      <c r="AX523">
        <f>IF(AND($E523=TRUE,$C523="DEF"),AS523,"")</f>
        <v/>
      </c>
      <c r="AY523">
        <f>IF(AND($E523=TRUE,$C523="MID"),AS523,"")</f>
        <v/>
      </c>
      <c r="AZ523">
        <f>IF(AND($E523=TRUE,$C523="FWD"),AS523,"")</f>
        <v/>
      </c>
      <c r="BA523" t="n">
        <v>0</v>
      </c>
      <c r="BB523" t="n">
        <v>0</v>
      </c>
      <c r="BC523" t="n">
        <v>0</v>
      </c>
      <c r="BD523" t="n">
        <v>0</v>
      </c>
    </row>
    <row r="524">
      <c r="A524" t="inlineStr">
        <is>
          <t>Cédric Kipré</t>
        </is>
      </c>
      <c r="B524" t="inlineStr">
        <is>
          <t>IPS</t>
        </is>
      </c>
      <c r="C524" t="inlineStr">
        <is>
          <t>DEF</t>
        </is>
      </c>
      <c r="E524" t="b">
        <v>1</v>
      </c>
      <c r="F524" s="2" t="n">
        <v>4</v>
      </c>
      <c r="G524" t="inlineStr">
        <is>
          <t>a</t>
        </is>
      </c>
      <c r="I524" s="2" t="n"/>
      <c r="K524" s="3" t="n">
        <v>193</v>
      </c>
      <c r="L524" t="inlineStr">
        <is>
          <t>flat</t>
        </is>
      </c>
      <c r="M524" s="4" t="n">
        <v>193</v>
      </c>
      <c r="N524" t="inlineStr">
        <is>
          <t>Solio</t>
        </is>
      </c>
      <c r="O524" s="5" t="n">
        <v>85</v>
      </c>
      <c r="P524" t="b">
        <v>0</v>
      </c>
      <c r="Q524" s="5">
        <f>IF(N(O524)&lt;=0,0,MIN(Assumptions!$B$15,N(M524)/N(O524)))</f>
        <v/>
      </c>
      <c r="R524" s="4" t="n">
        <v>0.17</v>
      </c>
      <c r="S524" s="3" t="n"/>
      <c r="T524" t="inlineStr"/>
      <c r="U524" s="3" t="n">
        <v>1</v>
      </c>
      <c r="V524" s="3" t="n"/>
      <c r="W524" s="3" t="n"/>
      <c r="X524" s="3" t="n"/>
      <c r="Y524" s="3" t="n"/>
      <c r="Z524" s="3" t="n">
        <v>0</v>
      </c>
      <c r="AA524" s="3" t="n"/>
      <c r="AB524" s="3" t="n"/>
      <c r="AC524" s="3" t="n">
        <v>3.5741</v>
      </c>
      <c r="AD524" s="3" t="n">
        <v>1.8319</v>
      </c>
      <c r="AE524" s="3" t="n">
        <v>-0.2045226422080557</v>
      </c>
      <c r="AF524" s="4" t="n">
        <v>0</v>
      </c>
      <c r="AG524" s="3" t="n">
        <v>0</v>
      </c>
      <c r="AH524" s="3" t="n">
        <v>0</v>
      </c>
      <c r="AI524" s="3" t="n">
        <v>0</v>
      </c>
      <c r="AJ524" s="3">
        <f>N(R524)*N(BC524)</f>
        <v/>
      </c>
      <c r="AK524" s="3" t="n">
        <v>0</v>
      </c>
      <c r="AL524" s="3" t="n">
        <v>0</v>
      </c>
      <c r="AM524" s="3" t="n">
        <v>-0.6723587286814016</v>
      </c>
      <c r="AN524" s="3" t="n">
        <v>-0.2045226422080557</v>
      </c>
      <c r="AO524" s="3">
        <f>SUM(AH524:AN524)</f>
        <v/>
      </c>
      <c r="AP524" s="5">
        <f>IF(OR(N(Q524)&lt;=0,N(BA524)=0),0,N(Q524)*IF(N(M524)/N(Q524)&gt;=60,N(BA524),1))</f>
        <v/>
      </c>
      <c r="AQ524" s="5">
        <f>N(Q524)*N(Z524)*N(BB524)</f>
        <v/>
      </c>
      <c r="AR524" s="5">
        <f>N(AF524)*(Assumptions!$B$13*N(BD524)-(1-Assumptions!$B$13)*Assumptions!$B$14)+N(AG524)</f>
        <v/>
      </c>
      <c r="AS524" s="5">
        <f>N(AO524)*N(M524)/90+N(AP524)+N(AQ524)+N(AR524)</f>
        <v/>
      </c>
      <c r="AT524" s="3">
        <f>IF(N(M524)&lt;=0,0,(N(AS524)-N(AR524))*90/N(M524))</f>
        <v/>
      </c>
      <c r="AU524" s="5">
        <f>IFERROR(AS524-VLOOKUP($C524,Assumptions!$A$36:$C$39,3,FALSE),"")</f>
        <v/>
      </c>
      <c r="AV524" s="3">
        <f>IFERROR(AU524/F524,"")</f>
        <v/>
      </c>
      <c r="AW524">
        <f>IF(AND($E524=TRUE,$C524="GKP"),AS524,"")</f>
        <v/>
      </c>
      <c r="AX524">
        <f>IF(AND($E524=TRUE,$C524="DEF"),AS524,"")</f>
        <v/>
      </c>
      <c r="AY524">
        <f>IF(AND($E524=TRUE,$C524="MID"),AS524,"")</f>
        <v/>
      </c>
      <c r="AZ524">
        <f>IF(AND($E524=TRUE,$C524="FWD"),AS524,"")</f>
        <v/>
      </c>
      <c r="BA524" t="n">
        <v>2</v>
      </c>
      <c r="BB524" t="n">
        <v>2</v>
      </c>
      <c r="BC524" t="n">
        <v>4</v>
      </c>
      <c r="BD524" t="n">
        <v>6</v>
      </c>
    </row>
    <row r="525">
      <c r="A525" t="inlineStr">
        <is>
          <t>Hwang Hee-Chan</t>
        </is>
      </c>
      <c r="D525" t="inlineStr">
        <is>
          <t>MID</t>
        </is>
      </c>
      <c r="E525" t="b">
        <v>0</v>
      </c>
      <c r="F525" s="2" t="n"/>
      <c r="I525" s="2" t="n">
        <v>1452</v>
      </c>
      <c r="K525" s="3" t="n"/>
      <c r="M525" s="4" t="n">
        <v>1452</v>
      </c>
      <c r="N525" t="inlineStr">
        <is>
          <t>25/26 actual</t>
        </is>
      </c>
      <c r="O525" s="5" t="n">
        <v>72.8</v>
      </c>
      <c r="P525" t="b">
        <v>1</v>
      </c>
      <c r="Q525" s="5">
        <f>IF(N(O525)&lt;=0,0,MIN(Assumptions!$B$15,N(M525)/N(O525)))</f>
        <v/>
      </c>
      <c r="R525" s="4" t="n"/>
      <c r="S525" s="3" t="n">
        <v>0.1012</v>
      </c>
      <c r="T525" t="inlineStr">
        <is>
          <t>adjusted xGOT</t>
        </is>
      </c>
      <c r="U525" s="3" t="n">
        <v>0.714</v>
      </c>
      <c r="V525" s="3" t="n">
        <v>0.965</v>
      </c>
      <c r="W525" s="3" t="n">
        <v>13.7</v>
      </c>
      <c r="X525" s="3" t="n">
        <v>0.1166</v>
      </c>
      <c r="Y525" s="3" t="n">
        <v>6.862</v>
      </c>
      <c r="Z525" s="3" t="n">
        <v>0</v>
      </c>
      <c r="AA525" s="3" t="n">
        <v>0</v>
      </c>
      <c r="AB525" s="3" t="n">
        <v>41</v>
      </c>
      <c r="AC525" s="3" t="n"/>
      <c r="AD525" s="3" t="n"/>
      <c r="AE525" s="3" t="n"/>
      <c r="AF525" s="4" t="n">
        <v>0</v>
      </c>
      <c r="AG525" s="3" t="n">
        <v>0</v>
      </c>
      <c r="AH525" s="3" t="n">
        <v>0</v>
      </c>
      <c r="AI525" s="3" t="n">
        <v>0</v>
      </c>
      <c r="AJ525" s="3">
        <f>N(R525)*N(BC525)</f>
        <v/>
      </c>
      <c r="AK525" s="3" t="n">
        <v>0</v>
      </c>
      <c r="AL525" s="3" t="n">
        <v>0</v>
      </c>
      <c r="AM525" s="3" t="n">
        <v>0</v>
      </c>
      <c r="AN525" s="3" t="n">
        <v>0</v>
      </c>
      <c r="AO525" s="3">
        <f>SUM(AH525:AN525)</f>
        <v/>
      </c>
      <c r="AP525" s="5">
        <f>IF(OR(N(Q525)&lt;=0,N(BA525)=0),0,N(Q525)*IF(N(M525)/N(Q525)&gt;=60,N(BA525),1))</f>
        <v/>
      </c>
      <c r="AQ525" s="5">
        <f>N(Q525)*N(Z525)*N(BB525)</f>
        <v/>
      </c>
      <c r="AR525" s="5">
        <f>N(AF525)*(Assumptions!$B$13*N(BD525)-(1-Assumptions!$B$13)*Assumptions!$B$14)+N(AG525)</f>
        <v/>
      </c>
      <c r="AS525" s="5">
        <f>N(AO525)*N(M525)/90+N(AP525)+N(AQ525)+N(AR525)</f>
        <v/>
      </c>
      <c r="AT525" s="3">
        <f>IF(N(M525)&lt;=0,0,(N(AS525)-N(AR525))*90/N(M525))</f>
        <v/>
      </c>
      <c r="AU525" s="5">
        <f>IFERROR(AS525-VLOOKUP($C525,Assumptions!$A$36:$C$39,3,FALSE),"")</f>
        <v/>
      </c>
      <c r="AV525" s="3">
        <f>IFERROR(AU525/F525,"")</f>
        <v/>
      </c>
      <c r="AW525">
        <f>IF(AND($E525=TRUE,$C525="GKP"),AS525,"")</f>
        <v/>
      </c>
      <c r="AX525">
        <f>IF(AND($E525=TRUE,$C525="DEF"),AS525,"")</f>
        <v/>
      </c>
      <c r="AY525">
        <f>IF(AND($E525=TRUE,$C525="MID"),AS525,"")</f>
        <v/>
      </c>
      <c r="AZ525">
        <f>IF(AND($E525=TRUE,$C525="FWD"),AS525,"")</f>
        <v/>
      </c>
      <c r="BA525" t="n">
        <v>0</v>
      </c>
      <c r="BB525" t="n">
        <v>0</v>
      </c>
      <c r="BC525" t="n">
        <v>0</v>
      </c>
      <c r="BD525" t="n">
        <v>0</v>
      </c>
    </row>
    <row r="526">
      <c r="A526" t="inlineStr">
        <is>
          <t>Lewie Coyle</t>
        </is>
      </c>
      <c r="B526" t="inlineStr">
        <is>
          <t>HUL</t>
        </is>
      </c>
      <c r="C526" t="inlineStr">
        <is>
          <t>DEF</t>
        </is>
      </c>
      <c r="E526" t="b">
        <v>1</v>
      </c>
      <c r="F526" s="2" t="n">
        <v>4</v>
      </c>
      <c r="G526" t="inlineStr">
        <is>
          <t>a</t>
        </is>
      </c>
      <c r="I526" s="2" t="n"/>
      <c r="K526" s="3" t="n">
        <v>2833</v>
      </c>
      <c r="L526" t="inlineStr">
        <is>
          <t>flat</t>
        </is>
      </c>
      <c r="M526" s="4" t="n">
        <v>2833</v>
      </c>
      <c r="N526" t="inlineStr">
        <is>
          <t>Solio</t>
        </is>
      </c>
      <c r="O526" s="5" t="n">
        <v>85</v>
      </c>
      <c r="P526" t="b">
        <v>0</v>
      </c>
      <c r="Q526" s="5">
        <f>IF(N(O526)&lt;=0,0,MIN(Assumptions!$B$15,N(M526)/N(O526)))</f>
        <v/>
      </c>
      <c r="R526" s="4" t="n">
        <v>0.143</v>
      </c>
      <c r="S526" s="3" t="n"/>
      <c r="T526" t="inlineStr"/>
      <c r="U526" s="3" t="n">
        <v>1</v>
      </c>
      <c r="V526" s="3" t="n"/>
      <c r="W526" s="3" t="n"/>
      <c r="X526" s="3" t="n"/>
      <c r="Y526" s="3" t="n"/>
      <c r="Z526" s="3" t="n">
        <v>0</v>
      </c>
      <c r="AA526" s="3" t="n"/>
      <c r="AB526" s="3" t="n"/>
      <c r="AC526" s="3" t="n">
        <v>3.9421</v>
      </c>
      <c r="AD526" s="3" t="n">
        <v>1.99</v>
      </c>
      <c r="AE526" s="3" t="n">
        <v>-0.2045226422080557</v>
      </c>
      <c r="AF526" s="4" t="n">
        <v>0</v>
      </c>
      <c r="AG526" s="3" t="n">
        <v>0</v>
      </c>
      <c r="AH526" s="3" t="n">
        <v>0</v>
      </c>
      <c r="AI526" s="3" t="n">
        <v>0</v>
      </c>
      <c r="AJ526" s="3">
        <f>N(R526)*N(BC526)</f>
        <v/>
      </c>
      <c r="AK526" s="3" t="n">
        <v>0</v>
      </c>
      <c r="AL526" s="3" t="n">
        <v>0</v>
      </c>
      <c r="AM526" s="3" t="n">
        <v>-0.7496714098286652</v>
      </c>
      <c r="AN526" s="3" t="n">
        <v>-0.2045226422080557</v>
      </c>
      <c r="AO526" s="3">
        <f>SUM(AH526:AN526)</f>
        <v/>
      </c>
      <c r="AP526" s="5">
        <f>IF(OR(N(Q526)&lt;=0,N(BA526)=0),0,N(Q526)*IF(N(M526)/N(Q526)&gt;=60,N(BA526),1))</f>
        <v/>
      </c>
      <c r="AQ526" s="5">
        <f>N(Q526)*N(Z526)*N(BB526)</f>
        <v/>
      </c>
      <c r="AR526" s="5">
        <f>N(AF526)*(Assumptions!$B$13*N(BD526)-(1-Assumptions!$B$13)*Assumptions!$B$14)+N(AG526)</f>
        <v/>
      </c>
      <c r="AS526" s="5">
        <f>N(AO526)*N(M526)/90+N(AP526)+N(AQ526)+N(AR526)</f>
        <v/>
      </c>
      <c r="AT526" s="3">
        <f>IF(N(M526)&lt;=0,0,(N(AS526)-N(AR526))*90/N(M526))</f>
        <v/>
      </c>
      <c r="AU526" s="5">
        <f>IFERROR(AS526-VLOOKUP($C526,Assumptions!$A$36:$C$39,3,FALSE),"")</f>
        <v/>
      </c>
      <c r="AV526" s="3">
        <f>IFERROR(AU526/F526,"")</f>
        <v/>
      </c>
      <c r="AW526">
        <f>IF(AND($E526=TRUE,$C526="GKP"),AS526,"")</f>
        <v/>
      </c>
      <c r="AX526">
        <f>IF(AND($E526=TRUE,$C526="DEF"),AS526,"")</f>
        <v/>
      </c>
      <c r="AY526">
        <f>IF(AND($E526=TRUE,$C526="MID"),AS526,"")</f>
        <v/>
      </c>
      <c r="AZ526">
        <f>IF(AND($E526=TRUE,$C526="FWD"),AS526,"")</f>
        <v/>
      </c>
      <c r="BA526" t="n">
        <v>2</v>
      </c>
      <c r="BB526" t="n">
        <v>2</v>
      </c>
      <c r="BC526" t="n">
        <v>4</v>
      </c>
      <c r="BD526" t="n">
        <v>6</v>
      </c>
    </row>
    <row r="527">
      <c r="A527" t="inlineStr">
        <is>
          <t>Gustavo Hamer</t>
        </is>
      </c>
      <c r="B527" t="inlineStr">
        <is>
          <t>COV</t>
        </is>
      </c>
      <c r="C527" t="inlineStr">
        <is>
          <t>MID</t>
        </is>
      </c>
      <c r="E527" t="b">
        <v>1</v>
      </c>
      <c r="F527" s="2" t="n">
        <v>5.5</v>
      </c>
      <c r="G527" t="inlineStr">
        <is>
          <t>a</t>
        </is>
      </c>
      <c r="I527" s="2" t="n"/>
      <c r="K527" s="3" t="n">
        <v>1476</v>
      </c>
      <c r="L527" t="inlineStr">
        <is>
          <t>flat</t>
        </is>
      </c>
      <c r="M527" s="4" t="n">
        <v>1476</v>
      </c>
      <c r="N527" t="inlineStr">
        <is>
          <t>Solio</t>
        </is>
      </c>
      <c r="O527" s="5" t="n">
        <v>85</v>
      </c>
      <c r="P527" t="b">
        <v>0</v>
      </c>
      <c r="Q527" s="5">
        <f>IF(N(O527)&lt;=0,0,MIN(Assumptions!$B$15,N(M527)/N(O527)))</f>
        <v/>
      </c>
      <c r="R527" s="4" t="n">
        <v>0.17</v>
      </c>
      <c r="S527" s="3" t="n"/>
      <c r="T527" t="inlineStr"/>
      <c r="U527" s="3" t="n">
        <v>1</v>
      </c>
      <c r="V527" s="3" t="n"/>
      <c r="W527" s="3" t="n"/>
      <c r="X527" s="3" t="n"/>
      <c r="Y527" s="3" t="n"/>
      <c r="Z527" s="3" t="n">
        <v>0</v>
      </c>
      <c r="AA527" s="3" t="n"/>
      <c r="AB527" s="3" t="n"/>
      <c r="AC527" s="3" t="n">
        <v>3.6194</v>
      </c>
      <c r="AD527" s="3" t="n">
        <v>1.8271</v>
      </c>
      <c r="AE527" s="3" t="n">
        <v>-0.2514028985066805</v>
      </c>
      <c r="AF527" s="4" t="n">
        <v>0</v>
      </c>
      <c r="AG527" s="3" t="n">
        <v>0</v>
      </c>
      <c r="AH527" s="3" t="n">
        <v>0</v>
      </c>
      <c r="AI527" s="3" t="n">
        <v>0</v>
      </c>
      <c r="AJ527" s="3">
        <f>N(R527)*N(BC527)</f>
        <v/>
      </c>
      <c r="AK527" s="3" t="n">
        <v>0</v>
      </c>
      <c r="AL527" s="3" t="n">
        <v>0</v>
      </c>
      <c r="AM527" s="3" t="n">
        <v>-0</v>
      </c>
      <c r="AN527" s="3" t="n">
        <v>-0.2514028985066805</v>
      </c>
      <c r="AO527" s="3">
        <f>SUM(AH527:AN527)</f>
        <v/>
      </c>
      <c r="AP527" s="5">
        <f>IF(OR(N(Q527)&lt;=0,N(BA527)=0),0,N(Q527)*IF(N(M527)/N(Q527)&gt;=60,N(BA527),1))</f>
        <v/>
      </c>
      <c r="AQ527" s="5">
        <f>N(Q527)*N(Z527)*N(BB527)</f>
        <v/>
      </c>
      <c r="AR527" s="5">
        <f>N(AF527)*(Assumptions!$B$13*N(BD527)-(1-Assumptions!$B$13)*Assumptions!$B$14)+N(AG527)</f>
        <v/>
      </c>
      <c r="AS527" s="5">
        <f>N(AO527)*N(M527)/90+N(AP527)+N(AQ527)+N(AR527)</f>
        <v/>
      </c>
      <c r="AT527" s="3">
        <f>IF(N(M527)&lt;=0,0,(N(AS527)-N(AR527))*90/N(M527))</f>
        <v/>
      </c>
      <c r="AU527" s="5">
        <f>IFERROR(AS527-VLOOKUP($C527,Assumptions!$A$36:$C$39,3,FALSE),"")</f>
        <v/>
      </c>
      <c r="AV527" s="3">
        <f>IFERROR(AU527/F527,"")</f>
        <v/>
      </c>
      <c r="AW527">
        <f>IF(AND($E527=TRUE,$C527="GKP"),AS527,"")</f>
        <v/>
      </c>
      <c r="AX527">
        <f>IF(AND($E527=TRUE,$C527="DEF"),AS527,"")</f>
        <v/>
      </c>
      <c r="AY527">
        <f>IF(AND($E527=TRUE,$C527="MID"),AS527,"")</f>
        <v/>
      </c>
      <c r="AZ527">
        <f>IF(AND($E527=TRUE,$C527="FWD"),AS527,"")</f>
        <v/>
      </c>
      <c r="BA527" t="n">
        <v>2</v>
      </c>
      <c r="BB527" t="n">
        <v>2</v>
      </c>
      <c r="BC527" t="n">
        <v>1</v>
      </c>
      <c r="BD527" t="n">
        <v>5</v>
      </c>
    </row>
    <row r="528">
      <c r="A528" t="inlineStr">
        <is>
          <t>Guido Rodríguez</t>
        </is>
      </c>
      <c r="D528" t="inlineStr">
        <is>
          <t>MID</t>
        </is>
      </c>
      <c r="E528" t="b">
        <v>0</v>
      </c>
      <c r="F528" s="2" t="n"/>
      <c r="I528" s="2" t="n">
        <v>177</v>
      </c>
      <c r="K528" s="3" t="n"/>
      <c r="M528" s="4" t="n">
        <v>177</v>
      </c>
      <c r="N528" t="inlineStr">
        <is>
          <t>25/26 actual</t>
        </is>
      </c>
      <c r="O528" s="5" t="n">
        <v>66.5</v>
      </c>
      <c r="P528" t="b">
        <v>1</v>
      </c>
      <c r="Q528" s="5">
        <f>IF(N(O528)&lt;=0,0,MIN(Assumptions!$B$15,N(M528)/N(O528)))</f>
        <v/>
      </c>
      <c r="R528" s="4" t="n"/>
      <c r="S528" s="3" t="n">
        <v>0.0147</v>
      </c>
      <c r="T528" t="inlineStr">
        <is>
          <t>adjusted xGOT</t>
        </is>
      </c>
      <c r="U528" s="3" t="n">
        <v>1</v>
      </c>
      <c r="V528" s="3" t="n">
        <v>0.97</v>
      </c>
      <c r="W528" s="3" t="n">
        <v>0.2</v>
      </c>
      <c r="X528" s="3" t="n">
        <v>0</v>
      </c>
      <c r="Y528" s="3" t="n">
        <v>8.407999999999999</v>
      </c>
      <c r="Z528" s="3" t="n">
        <v>0</v>
      </c>
      <c r="AA528" s="3" t="n">
        <v>0</v>
      </c>
      <c r="AB528" s="3" t="n">
        <v>8</v>
      </c>
      <c r="AC528" s="3" t="n"/>
      <c r="AD528" s="3" t="n"/>
      <c r="AE528" s="3" t="n"/>
      <c r="AF528" s="4" t="n">
        <v>0</v>
      </c>
      <c r="AG528" s="3" t="n">
        <v>0</v>
      </c>
      <c r="AH528" s="3" t="n">
        <v>0</v>
      </c>
      <c r="AI528" s="3" t="n">
        <v>0</v>
      </c>
      <c r="AJ528" s="3">
        <f>N(R528)*N(BC528)</f>
        <v/>
      </c>
      <c r="AK528" s="3" t="n">
        <v>0</v>
      </c>
      <c r="AL528" s="3" t="n">
        <v>0</v>
      </c>
      <c r="AM528" s="3" t="n">
        <v>0</v>
      </c>
      <c r="AN528" s="3" t="n">
        <v>0</v>
      </c>
      <c r="AO528" s="3">
        <f>SUM(AH528:AN528)</f>
        <v/>
      </c>
      <c r="AP528" s="5">
        <f>IF(OR(N(Q528)&lt;=0,N(BA528)=0),0,N(Q528)*IF(N(M528)/N(Q528)&gt;=60,N(BA528),1))</f>
        <v/>
      </c>
      <c r="AQ528" s="5">
        <f>N(Q528)*N(Z528)*N(BB528)</f>
        <v/>
      </c>
      <c r="AR528" s="5">
        <f>N(AF528)*(Assumptions!$B$13*N(BD528)-(1-Assumptions!$B$13)*Assumptions!$B$14)+N(AG528)</f>
        <v/>
      </c>
      <c r="AS528" s="5">
        <f>N(AO528)*N(M528)/90+N(AP528)+N(AQ528)+N(AR528)</f>
        <v/>
      </c>
      <c r="AT528" s="3">
        <f>IF(N(M528)&lt;=0,0,(N(AS528)-N(AR528))*90/N(M528))</f>
        <v/>
      </c>
      <c r="AU528" s="5">
        <f>IFERROR(AS528-VLOOKUP($C528,Assumptions!$A$36:$C$39,3,FALSE),"")</f>
        <v/>
      </c>
      <c r="AV528" s="3">
        <f>IFERROR(AU528/F528,"")</f>
        <v/>
      </c>
      <c r="AW528">
        <f>IF(AND($E528=TRUE,$C528="GKP"),AS528,"")</f>
        <v/>
      </c>
      <c r="AX528">
        <f>IF(AND($E528=TRUE,$C528="DEF"),AS528,"")</f>
        <v/>
      </c>
      <c r="AY528">
        <f>IF(AND($E528=TRUE,$C528="MID"),AS528,"")</f>
        <v/>
      </c>
      <c r="AZ528">
        <f>IF(AND($E528=TRUE,$C528="FWD"),AS528,"")</f>
        <v/>
      </c>
      <c r="BA528" t="n">
        <v>0</v>
      </c>
      <c r="BB528" t="n">
        <v>0</v>
      </c>
      <c r="BC528" t="n">
        <v>0</v>
      </c>
      <c r="BD528" t="n">
        <v>0</v>
      </c>
    </row>
    <row r="529">
      <c r="A529" t="inlineStr">
        <is>
          <t>Odsonne Édouard</t>
        </is>
      </c>
      <c r="D529" t="inlineStr">
        <is>
          <t>FWD</t>
        </is>
      </c>
      <c r="E529" t="b">
        <v>0</v>
      </c>
      <c r="F529" s="2" t="n"/>
      <c r="I529" s="2" t="n">
        <v>2</v>
      </c>
      <c r="K529" s="3" t="n"/>
      <c r="M529" s="4" t="n">
        <v>2</v>
      </c>
      <c r="N529" t="inlineStr">
        <is>
          <t>25/26 actual</t>
        </is>
      </c>
      <c r="O529" s="5" t="n">
        <v>85</v>
      </c>
      <c r="P529" t="b">
        <v>1</v>
      </c>
      <c r="Q529" s="5">
        <f>IF(N(O529)&lt;=0,0,MIN(Assumptions!$B$15,N(M529)/N(O529)))</f>
        <v/>
      </c>
      <c r="R529" s="4" t="n"/>
      <c r="S529" s="3" t="n">
        <v>0</v>
      </c>
      <c r="T529" t="inlineStr">
        <is>
          <t>adjusted xGOT</t>
        </is>
      </c>
      <c r="U529" s="3" t="n">
        <v>1</v>
      </c>
      <c r="V529" s="3" t="n">
        <v>1.124</v>
      </c>
      <c r="W529" s="3" t="n">
        <v>10.9</v>
      </c>
      <c r="X529" s="3" t="n"/>
      <c r="Y529" s="3" t="n">
        <v>4.904</v>
      </c>
      <c r="Z529" s="3" t="n">
        <v>0</v>
      </c>
      <c r="AA529" s="3" t="n">
        <v>0</v>
      </c>
      <c r="AB529" s="3" t="n">
        <v>1</v>
      </c>
      <c r="AC529" s="3" t="n"/>
      <c r="AD529" s="3" t="n"/>
      <c r="AE529" s="3" t="n"/>
      <c r="AF529" s="4" t="n">
        <v>0</v>
      </c>
      <c r="AG529" s="3" t="n">
        <v>0</v>
      </c>
      <c r="AH529" s="3" t="n">
        <v>0</v>
      </c>
      <c r="AI529" s="3" t="n">
        <v>0</v>
      </c>
      <c r="AJ529" s="3">
        <f>N(R529)*N(BC529)</f>
        <v/>
      </c>
      <c r="AK529" s="3" t="n">
        <v>0</v>
      </c>
      <c r="AL529" s="3" t="n">
        <v>0</v>
      </c>
      <c r="AM529" s="3" t="n">
        <v>0</v>
      </c>
      <c r="AN529" s="3" t="n">
        <v>0</v>
      </c>
      <c r="AO529" s="3">
        <f>SUM(AH529:AN529)</f>
        <v/>
      </c>
      <c r="AP529" s="5">
        <f>IF(OR(N(Q529)&lt;=0,N(BA529)=0),0,N(Q529)*IF(N(M529)/N(Q529)&gt;=60,N(BA529),1))</f>
        <v/>
      </c>
      <c r="AQ529" s="5">
        <f>N(Q529)*N(Z529)*N(BB529)</f>
        <v/>
      </c>
      <c r="AR529" s="5">
        <f>N(AF529)*(Assumptions!$B$13*N(BD529)-(1-Assumptions!$B$13)*Assumptions!$B$14)+N(AG529)</f>
        <v/>
      </c>
      <c r="AS529" s="5">
        <f>N(AO529)*N(M529)/90+N(AP529)+N(AQ529)+N(AR529)</f>
        <v/>
      </c>
      <c r="AT529" s="3">
        <f>IF(N(M529)&lt;=0,0,(N(AS529)-N(AR529))*90/N(M529))</f>
        <v/>
      </c>
      <c r="AU529" s="5">
        <f>IFERROR(AS529-VLOOKUP($C529,Assumptions!$A$36:$C$39,3,FALSE),"")</f>
        <v/>
      </c>
      <c r="AV529" s="3">
        <f>IFERROR(AU529/F529,"")</f>
        <v/>
      </c>
      <c r="AW529">
        <f>IF(AND($E529=TRUE,$C529="GKP"),AS529,"")</f>
        <v/>
      </c>
      <c r="AX529">
        <f>IF(AND($E529=TRUE,$C529="DEF"),AS529,"")</f>
        <v/>
      </c>
      <c r="AY529">
        <f>IF(AND($E529=TRUE,$C529="MID"),AS529,"")</f>
        <v/>
      </c>
      <c r="AZ529">
        <f>IF(AND($E529=TRUE,$C529="FWD"),AS529,"")</f>
        <v/>
      </c>
      <c r="BA529" t="n">
        <v>0</v>
      </c>
      <c r="BB529" t="n">
        <v>0</v>
      </c>
      <c r="BC529" t="n">
        <v>0</v>
      </c>
      <c r="BD529" t="n">
        <v>0</v>
      </c>
    </row>
    <row r="530">
      <c r="A530" t="inlineStr">
        <is>
          <t>Xaver Schlager</t>
        </is>
      </c>
      <c r="B530" t="inlineStr">
        <is>
          <t>NFO</t>
        </is>
      </c>
      <c r="C530" t="inlineStr">
        <is>
          <t>MID</t>
        </is>
      </c>
      <c r="E530" t="b">
        <v>1</v>
      </c>
      <c r="F530" s="2" t="n">
        <v>5</v>
      </c>
      <c r="G530" t="inlineStr">
        <is>
          <t>a</t>
        </is>
      </c>
      <c r="I530" s="2" t="n"/>
      <c r="K530" s="3" t="n">
        <v>2257</v>
      </c>
      <c r="L530" t="inlineStr">
        <is>
          <t>flat</t>
        </is>
      </c>
      <c r="M530" s="4" t="n">
        <v>2257</v>
      </c>
      <c r="N530" t="inlineStr">
        <is>
          <t>Solio</t>
        </is>
      </c>
      <c r="O530" s="5" t="n">
        <v>85</v>
      </c>
      <c r="P530" t="b">
        <v>0</v>
      </c>
      <c r="Q530" s="5">
        <f>IF(N(O530)&lt;=0,0,MIN(Assumptions!$B$15,N(M530)/N(O530)))</f>
        <v/>
      </c>
      <c r="R530" s="4" t="n">
        <v>0.224</v>
      </c>
      <c r="S530" s="3" t="n"/>
      <c r="T530" t="inlineStr"/>
      <c r="U530" s="3" t="n">
        <v>1</v>
      </c>
      <c r="V530" s="3" t="n"/>
      <c r="W530" s="3" t="n"/>
      <c r="X530" s="3" t="n"/>
      <c r="Y530" s="3" t="n"/>
      <c r="Z530" s="3" t="n">
        <v>0</v>
      </c>
      <c r="AA530" s="3" t="n"/>
      <c r="AB530" s="3" t="n"/>
      <c r="AC530" s="3" t="n">
        <v>3.1134</v>
      </c>
      <c r="AD530" s="3" t="n">
        <v>1.5588</v>
      </c>
      <c r="AE530" s="3" t="n">
        <v>-0.2160434166173144</v>
      </c>
      <c r="AF530" s="4" t="n">
        <v>0</v>
      </c>
      <c r="AG530" s="3" t="n">
        <v>0</v>
      </c>
      <c r="AH530" s="3" t="n">
        <v>0</v>
      </c>
      <c r="AI530" s="3" t="n">
        <v>0</v>
      </c>
      <c r="AJ530" s="3">
        <f>N(R530)*N(BC530)</f>
        <v/>
      </c>
      <c r="AK530" s="3" t="n">
        <v>0</v>
      </c>
      <c r="AL530" s="3" t="n">
        <v>0</v>
      </c>
      <c r="AM530" s="3" t="n">
        <v>-0</v>
      </c>
      <c r="AN530" s="3" t="n">
        <v>-0.2160434166173144</v>
      </c>
      <c r="AO530" s="3">
        <f>SUM(AH530:AN530)</f>
        <v/>
      </c>
      <c r="AP530" s="5">
        <f>IF(OR(N(Q530)&lt;=0,N(BA530)=0),0,N(Q530)*IF(N(M530)/N(Q530)&gt;=60,N(BA530),1))</f>
        <v/>
      </c>
      <c r="AQ530" s="5">
        <f>N(Q530)*N(Z530)*N(BB530)</f>
        <v/>
      </c>
      <c r="AR530" s="5">
        <f>N(AF530)*(Assumptions!$B$13*N(BD530)-(1-Assumptions!$B$13)*Assumptions!$B$14)+N(AG530)</f>
        <v/>
      </c>
      <c r="AS530" s="5">
        <f>N(AO530)*N(M530)/90+N(AP530)+N(AQ530)+N(AR530)</f>
        <v/>
      </c>
      <c r="AT530" s="3">
        <f>IF(N(M530)&lt;=0,0,(N(AS530)-N(AR530))*90/N(M530))</f>
        <v/>
      </c>
      <c r="AU530" s="5">
        <f>IFERROR(AS530-VLOOKUP($C530,Assumptions!$A$36:$C$39,3,FALSE),"")</f>
        <v/>
      </c>
      <c r="AV530" s="3">
        <f>IFERROR(AU530/F530,"")</f>
        <v/>
      </c>
      <c r="AW530">
        <f>IF(AND($E530=TRUE,$C530="GKP"),AS530,"")</f>
        <v/>
      </c>
      <c r="AX530">
        <f>IF(AND($E530=TRUE,$C530="DEF"),AS530,"")</f>
        <v/>
      </c>
      <c r="AY530">
        <f>IF(AND($E530=TRUE,$C530="MID"),AS530,"")</f>
        <v/>
      </c>
      <c r="AZ530">
        <f>IF(AND($E530=TRUE,$C530="FWD"),AS530,"")</f>
        <v/>
      </c>
      <c r="BA530" t="n">
        <v>2</v>
      </c>
      <c r="BB530" t="n">
        <v>2</v>
      </c>
      <c r="BC530" t="n">
        <v>1</v>
      </c>
      <c r="BD530" t="n">
        <v>5</v>
      </c>
    </row>
    <row r="531">
      <c r="A531" t="inlineStr">
        <is>
          <t>Donyell Malen</t>
        </is>
      </c>
      <c r="D531" t="inlineStr">
        <is>
          <t>MID</t>
        </is>
      </c>
      <c r="E531" t="b">
        <v>0</v>
      </c>
      <c r="F531" s="2" t="n"/>
      <c r="I531" s="2" t="n">
        <v>645</v>
      </c>
      <c r="K531" s="3" t="n"/>
      <c r="M531" s="4" t="n">
        <v>645</v>
      </c>
      <c r="N531" t="inlineStr">
        <is>
          <t>25/26 actual</t>
        </is>
      </c>
      <c r="O531" s="5" t="n">
        <v>71.40000000000001</v>
      </c>
      <c r="P531" t="b">
        <v>1</v>
      </c>
      <c r="Q531" s="5">
        <f>IF(N(O531)&lt;=0,0,MIN(Assumptions!$B$15,N(M531)/N(O531)))</f>
        <v/>
      </c>
      <c r="R531" s="4" t="n"/>
      <c r="S531" s="3" t="n">
        <v>0.5671</v>
      </c>
      <c r="T531" t="inlineStr">
        <is>
          <t>adjusted xGOT</t>
        </is>
      </c>
      <c r="U531" s="3" t="n">
        <v>1</v>
      </c>
      <c r="V531" s="3" t="n">
        <v>1.008</v>
      </c>
      <c r="W531" s="3" t="n">
        <v>6.2</v>
      </c>
      <c r="X531" s="3" t="n">
        <v>0.0515</v>
      </c>
      <c r="Y531" s="3" t="n">
        <v>5.6</v>
      </c>
      <c r="Z531" s="3" t="n">
        <v>0</v>
      </c>
      <c r="AA531" s="3" t="n">
        <v>0.4186</v>
      </c>
      <c r="AB531" s="3" t="n">
        <v>25</v>
      </c>
      <c r="AC531" s="3" t="n"/>
      <c r="AD531" s="3" t="n"/>
      <c r="AE531" s="3" t="n"/>
      <c r="AF531" s="4" t="n">
        <v>0</v>
      </c>
      <c r="AG531" s="3" t="n">
        <v>0</v>
      </c>
      <c r="AH531" s="3" t="n">
        <v>0</v>
      </c>
      <c r="AI531" s="3" t="n">
        <v>0</v>
      </c>
      <c r="AJ531" s="3">
        <f>N(R531)*N(BC531)</f>
        <v/>
      </c>
      <c r="AK531" s="3" t="n">
        <v>0</v>
      </c>
      <c r="AL531" s="3" t="n">
        <v>0</v>
      </c>
      <c r="AM531" s="3" t="n">
        <v>0</v>
      </c>
      <c r="AN531" s="3" t="n">
        <v>0</v>
      </c>
      <c r="AO531" s="3">
        <f>SUM(AH531:AN531)</f>
        <v/>
      </c>
      <c r="AP531" s="5">
        <f>IF(OR(N(Q531)&lt;=0,N(BA531)=0),0,N(Q531)*IF(N(M531)/N(Q531)&gt;=60,N(BA531),1))</f>
        <v/>
      </c>
      <c r="AQ531" s="5">
        <f>N(Q531)*N(Z531)*N(BB531)</f>
        <v/>
      </c>
      <c r="AR531" s="5">
        <f>N(AF531)*(Assumptions!$B$13*N(BD531)-(1-Assumptions!$B$13)*Assumptions!$B$14)+N(AG531)</f>
        <v/>
      </c>
      <c r="AS531" s="5">
        <f>N(AO531)*N(M531)/90+N(AP531)+N(AQ531)+N(AR531)</f>
        <v/>
      </c>
      <c r="AT531" s="3">
        <f>IF(N(M531)&lt;=0,0,(N(AS531)-N(AR531))*90/N(M531))</f>
        <v/>
      </c>
      <c r="AU531" s="5">
        <f>IFERROR(AS531-VLOOKUP($C531,Assumptions!$A$36:$C$39,3,FALSE),"")</f>
        <v/>
      </c>
      <c r="AV531" s="3">
        <f>IFERROR(AU531/F531,"")</f>
        <v/>
      </c>
      <c r="AW531">
        <f>IF(AND($E531=TRUE,$C531="GKP"),AS531,"")</f>
        <v/>
      </c>
      <c r="AX531">
        <f>IF(AND($E531=TRUE,$C531="DEF"),AS531,"")</f>
        <v/>
      </c>
      <c r="AY531">
        <f>IF(AND($E531=TRUE,$C531="MID"),AS531,"")</f>
        <v/>
      </c>
      <c r="AZ531">
        <f>IF(AND($E531=TRUE,$C531="FWD"),AS531,"")</f>
        <v/>
      </c>
      <c r="BA531" t="n">
        <v>0</v>
      </c>
      <c r="BB531" t="n">
        <v>0</v>
      </c>
      <c r="BC531" t="n">
        <v>0</v>
      </c>
      <c r="BD531" t="n">
        <v>0</v>
      </c>
    </row>
    <row r="532">
      <c r="A532" t="inlineStr">
        <is>
          <t>Ibrahima Konaté</t>
        </is>
      </c>
      <c r="D532" t="inlineStr">
        <is>
          <t>DEF</t>
        </is>
      </c>
      <c r="E532" t="b">
        <v>0</v>
      </c>
      <c r="F532" s="2" t="n"/>
      <c r="I532" s="2" t="n">
        <v>3100</v>
      </c>
      <c r="K532" s="3" t="n"/>
      <c r="M532" s="4" t="n">
        <v>3100</v>
      </c>
      <c r="N532" t="inlineStr">
        <is>
          <t>25/26 actual</t>
        </is>
      </c>
      <c r="O532" s="5" t="n">
        <v>85.8</v>
      </c>
      <c r="P532" t="b">
        <v>1</v>
      </c>
      <c r="Q532" s="5">
        <f>IF(N(O532)&lt;=0,0,MIN(Assumptions!$B$15,N(M532)/N(O532)))</f>
        <v/>
      </c>
      <c r="R532" s="4" t="n"/>
      <c r="S532" s="3" t="n">
        <v>0.0295</v>
      </c>
      <c r="T532" t="inlineStr">
        <is>
          <t>adjusted xGOT</t>
        </is>
      </c>
      <c r="U532" s="3" t="n">
        <v>1</v>
      </c>
      <c r="V532" s="3" t="n">
        <v>0.853</v>
      </c>
      <c r="W532" s="3" t="n">
        <v>4.9</v>
      </c>
      <c r="X532" s="3" t="n">
        <v>0.0211</v>
      </c>
      <c r="Y532" s="3" t="n">
        <v>8.374000000000001</v>
      </c>
      <c r="Z532" s="3" t="n">
        <v>0</v>
      </c>
      <c r="AA532" s="3" t="n">
        <v>0.1742</v>
      </c>
      <c r="AB532" s="3" t="n">
        <v>70</v>
      </c>
      <c r="AC532" s="3" t="n"/>
      <c r="AD532" s="3" t="n"/>
      <c r="AE532" s="3" t="n"/>
      <c r="AF532" s="4" t="n">
        <v>0</v>
      </c>
      <c r="AG532" s="3" t="n">
        <v>0</v>
      </c>
      <c r="AH532" s="3" t="n">
        <v>0</v>
      </c>
      <c r="AI532" s="3" t="n">
        <v>0</v>
      </c>
      <c r="AJ532" s="3">
        <f>N(R532)*N(BC532)</f>
        <v/>
      </c>
      <c r="AK532" s="3" t="n">
        <v>0</v>
      </c>
      <c r="AL532" s="3" t="n">
        <v>0</v>
      </c>
      <c r="AM532" s="3" t="n">
        <v>0</v>
      </c>
      <c r="AN532" s="3" t="n">
        <v>0</v>
      </c>
      <c r="AO532" s="3">
        <f>SUM(AH532:AN532)</f>
        <v/>
      </c>
      <c r="AP532" s="5">
        <f>IF(OR(N(Q532)&lt;=0,N(BA532)=0),0,N(Q532)*IF(N(M532)/N(Q532)&gt;=60,N(BA532),1))</f>
        <v/>
      </c>
      <c r="AQ532" s="5">
        <f>N(Q532)*N(Z532)*N(BB532)</f>
        <v/>
      </c>
      <c r="AR532" s="5">
        <f>N(AF532)*(Assumptions!$B$13*N(BD532)-(1-Assumptions!$B$13)*Assumptions!$B$14)+N(AG532)</f>
        <v/>
      </c>
      <c r="AS532" s="5">
        <f>N(AO532)*N(M532)/90+N(AP532)+N(AQ532)+N(AR532)</f>
        <v/>
      </c>
      <c r="AT532" s="3">
        <f>IF(N(M532)&lt;=0,0,(N(AS532)-N(AR532))*90/N(M532))</f>
        <v/>
      </c>
      <c r="AU532" s="5">
        <f>IFERROR(AS532-VLOOKUP($C532,Assumptions!$A$36:$C$39,3,FALSE),"")</f>
        <v/>
      </c>
      <c r="AV532" s="3">
        <f>IFERROR(AU532/F532,"")</f>
        <v/>
      </c>
      <c r="AW532">
        <f>IF(AND($E532=TRUE,$C532="GKP"),AS532,"")</f>
        <v/>
      </c>
      <c r="AX532">
        <f>IF(AND($E532=TRUE,$C532="DEF"),AS532,"")</f>
        <v/>
      </c>
      <c r="AY532">
        <f>IF(AND($E532=TRUE,$C532="MID"),AS532,"")</f>
        <v/>
      </c>
      <c r="AZ532">
        <f>IF(AND($E532=TRUE,$C532="FWD"),AS532,"")</f>
        <v/>
      </c>
      <c r="BA532" t="n">
        <v>0</v>
      </c>
      <c r="BB532" t="n">
        <v>0</v>
      </c>
      <c r="BC532" t="n">
        <v>0</v>
      </c>
      <c r="BD532" t="n">
        <v>0</v>
      </c>
    </row>
    <row r="533">
      <c r="A533" t="inlineStr">
        <is>
          <t>Joel Latibeaudiere</t>
        </is>
      </c>
      <c r="B533" t="inlineStr">
        <is>
          <t>COV</t>
        </is>
      </c>
      <c r="C533" t="inlineStr">
        <is>
          <t>DEF</t>
        </is>
      </c>
      <c r="E533" t="b">
        <v>1</v>
      </c>
      <c r="F533" s="2" t="n">
        <v>4</v>
      </c>
      <c r="G533" t="inlineStr">
        <is>
          <t>a</t>
        </is>
      </c>
      <c r="I533" s="2" t="n"/>
      <c r="K533" s="3" t="n">
        <v>30</v>
      </c>
      <c r="L533" t="inlineStr">
        <is>
          <t>flat</t>
        </is>
      </c>
      <c r="M533" s="4" t="n">
        <v>30</v>
      </c>
      <c r="N533" t="inlineStr">
        <is>
          <t>Solio</t>
        </is>
      </c>
      <c r="O533" s="5" t="n">
        <v>85</v>
      </c>
      <c r="P533" t="b">
        <v>0</v>
      </c>
      <c r="Q533" s="5">
        <f>IF(N(O533)&lt;=0,0,MIN(Assumptions!$B$15,N(M533)/N(O533)))</f>
        <v/>
      </c>
      <c r="R533" s="4" t="n">
        <v>0.17</v>
      </c>
      <c r="S533" s="3" t="n"/>
      <c r="T533" t="inlineStr"/>
      <c r="U533" s="3" t="n">
        <v>1</v>
      </c>
      <c r="V533" s="3" t="n"/>
      <c r="W533" s="3" t="n"/>
      <c r="X533" s="3" t="n"/>
      <c r="Y533" s="3" t="n"/>
      <c r="Z533" s="3" t="n">
        <v>0</v>
      </c>
      <c r="AA533" s="3" t="n"/>
      <c r="AB533" s="3" t="n"/>
      <c r="AC533" s="3" t="n">
        <v>3.6194</v>
      </c>
      <c r="AD533" s="3" t="n">
        <v>1.8271</v>
      </c>
      <c r="AE533" s="3" t="n">
        <v>-0.2045226422080557</v>
      </c>
      <c r="AF533" s="4" t="n">
        <v>0</v>
      </c>
      <c r="AG533" s="3" t="n">
        <v>0</v>
      </c>
      <c r="AH533" s="3" t="n">
        <v>0</v>
      </c>
      <c r="AI533" s="3" t="n">
        <v>0</v>
      </c>
      <c r="AJ533" s="3">
        <f>N(R533)*N(BC533)</f>
        <v/>
      </c>
      <c r="AK533" s="3" t="n">
        <v>0</v>
      </c>
      <c r="AL533" s="3" t="n">
        <v>0</v>
      </c>
      <c r="AM533" s="3" t="n">
        <v>-0.670020548738316</v>
      </c>
      <c r="AN533" s="3" t="n">
        <v>-0.2045226422080557</v>
      </c>
      <c r="AO533" s="3">
        <f>SUM(AH533:AN533)</f>
        <v/>
      </c>
      <c r="AP533" s="5">
        <f>IF(OR(N(Q533)&lt;=0,N(BA533)=0),0,N(Q533)*IF(N(M533)/N(Q533)&gt;=60,N(BA533),1))</f>
        <v/>
      </c>
      <c r="AQ533" s="5">
        <f>N(Q533)*N(Z533)*N(BB533)</f>
        <v/>
      </c>
      <c r="AR533" s="5">
        <f>N(AF533)*(Assumptions!$B$13*N(BD533)-(1-Assumptions!$B$13)*Assumptions!$B$14)+N(AG533)</f>
        <v/>
      </c>
      <c r="AS533" s="5">
        <f>N(AO533)*N(M533)/90+N(AP533)+N(AQ533)+N(AR533)</f>
        <v/>
      </c>
      <c r="AT533" s="3">
        <f>IF(N(M533)&lt;=0,0,(N(AS533)-N(AR533))*90/N(M533))</f>
        <v/>
      </c>
      <c r="AU533" s="5">
        <f>IFERROR(AS533-VLOOKUP($C533,Assumptions!$A$36:$C$39,3,FALSE),"")</f>
        <v/>
      </c>
      <c r="AV533" s="3">
        <f>IFERROR(AU533/F533,"")</f>
        <v/>
      </c>
      <c r="AW533">
        <f>IF(AND($E533=TRUE,$C533="GKP"),AS533,"")</f>
        <v/>
      </c>
      <c r="AX533">
        <f>IF(AND($E533=TRUE,$C533="DEF"),AS533,"")</f>
        <v/>
      </c>
      <c r="AY533">
        <f>IF(AND($E533=TRUE,$C533="MID"),AS533,"")</f>
        <v/>
      </c>
      <c r="AZ533">
        <f>IF(AND($E533=TRUE,$C533="FWD"),AS533,"")</f>
        <v/>
      </c>
      <c r="BA533" t="n">
        <v>2</v>
      </c>
      <c r="BB533" t="n">
        <v>2</v>
      </c>
      <c r="BC533" t="n">
        <v>4</v>
      </c>
      <c r="BD533" t="n">
        <v>6</v>
      </c>
    </row>
    <row r="534">
      <c r="A534" t="inlineStr">
        <is>
          <t>Oleksandr Zinchenko</t>
        </is>
      </c>
      <c r="D534" t="inlineStr">
        <is>
          <t>DEF</t>
        </is>
      </c>
      <c r="E534" t="b">
        <v>0</v>
      </c>
      <c r="F534" s="2" t="n"/>
      <c r="I534" s="2" t="n">
        <v>353</v>
      </c>
      <c r="K534" s="3" t="n"/>
      <c r="M534" s="4" t="n">
        <v>353</v>
      </c>
      <c r="N534" t="inlineStr">
        <is>
          <t>25/26 actual</t>
        </is>
      </c>
      <c r="O534" s="5" t="n">
        <v>85.8</v>
      </c>
      <c r="P534" t="b">
        <v>1</v>
      </c>
      <c r="Q534" s="5">
        <f>IF(N(O534)&lt;=0,0,MIN(Assumptions!$B$15,N(M534)/N(O534)))</f>
        <v/>
      </c>
      <c r="R534" s="4" t="n"/>
      <c r="S534" s="3" t="n">
        <v>0.0178</v>
      </c>
      <c r="T534" t="inlineStr">
        <is>
          <t>adjusted xGOT</t>
        </is>
      </c>
      <c r="U534" s="3" t="n">
        <v>1</v>
      </c>
      <c r="V534" s="3" t="n">
        <v>0.996</v>
      </c>
      <c r="W534" s="3" t="n">
        <v>2.6</v>
      </c>
      <c r="X534" s="3" t="n">
        <v>0.1149</v>
      </c>
      <c r="Y534" s="3" t="n">
        <v>7.176</v>
      </c>
      <c r="Z534" s="3" t="n">
        <v>0</v>
      </c>
      <c r="AA534" s="3" t="n">
        <v>0</v>
      </c>
      <c r="AB534" s="3" t="n">
        <v>9</v>
      </c>
      <c r="AC534" s="3" t="n"/>
      <c r="AD534" s="3" t="n"/>
      <c r="AE534" s="3" t="n"/>
      <c r="AF534" s="4" t="n">
        <v>0</v>
      </c>
      <c r="AG534" s="3" t="n">
        <v>0</v>
      </c>
      <c r="AH534" s="3" t="n">
        <v>0</v>
      </c>
      <c r="AI534" s="3" t="n">
        <v>0</v>
      </c>
      <c r="AJ534" s="3">
        <f>N(R534)*N(BC534)</f>
        <v/>
      </c>
      <c r="AK534" s="3" t="n">
        <v>0</v>
      </c>
      <c r="AL534" s="3" t="n">
        <v>0</v>
      </c>
      <c r="AM534" s="3" t="n">
        <v>0</v>
      </c>
      <c r="AN534" s="3" t="n">
        <v>0</v>
      </c>
      <c r="AO534" s="3">
        <f>SUM(AH534:AN534)</f>
        <v/>
      </c>
      <c r="AP534" s="5">
        <f>IF(OR(N(Q534)&lt;=0,N(BA534)=0),0,N(Q534)*IF(N(M534)/N(Q534)&gt;=60,N(BA534),1))</f>
        <v/>
      </c>
      <c r="AQ534" s="5">
        <f>N(Q534)*N(Z534)*N(BB534)</f>
        <v/>
      </c>
      <c r="AR534" s="5">
        <f>N(AF534)*(Assumptions!$B$13*N(BD534)-(1-Assumptions!$B$13)*Assumptions!$B$14)+N(AG534)</f>
        <v/>
      </c>
      <c r="AS534" s="5">
        <f>N(AO534)*N(M534)/90+N(AP534)+N(AQ534)+N(AR534)</f>
        <v/>
      </c>
      <c r="AT534" s="3">
        <f>IF(N(M534)&lt;=0,0,(N(AS534)-N(AR534))*90/N(M534))</f>
        <v/>
      </c>
      <c r="AU534" s="5">
        <f>IFERROR(AS534-VLOOKUP($C534,Assumptions!$A$36:$C$39,3,FALSE),"")</f>
        <v/>
      </c>
      <c r="AV534" s="3">
        <f>IFERROR(AU534/F534,"")</f>
        <v/>
      </c>
      <c r="AW534">
        <f>IF(AND($E534=TRUE,$C534="GKP"),AS534,"")</f>
        <v/>
      </c>
      <c r="AX534">
        <f>IF(AND($E534=TRUE,$C534="DEF"),AS534,"")</f>
        <v/>
      </c>
      <c r="AY534">
        <f>IF(AND($E534=TRUE,$C534="MID"),AS534,"")</f>
        <v/>
      </c>
      <c r="AZ534">
        <f>IF(AND($E534=TRUE,$C534="FWD"),AS534,"")</f>
        <v/>
      </c>
      <c r="BA534" t="n">
        <v>0</v>
      </c>
      <c r="BB534" t="n">
        <v>0</v>
      </c>
      <c r="BC534" t="n">
        <v>0</v>
      </c>
      <c r="BD534" t="n">
        <v>0</v>
      </c>
    </row>
    <row r="535">
      <c r="A535" t="inlineStr">
        <is>
          <t>Abdülkadir Ömür</t>
        </is>
      </c>
      <c r="B535" t="inlineStr">
        <is>
          <t>HUL</t>
        </is>
      </c>
      <c r="C535" t="inlineStr">
        <is>
          <t>MID</t>
        </is>
      </c>
      <c r="E535" t="b">
        <v>1</v>
      </c>
      <c r="F535" s="2" t="n">
        <v>5</v>
      </c>
      <c r="G535" t="inlineStr">
        <is>
          <t>a</t>
        </is>
      </c>
      <c r="I535" s="2" t="n"/>
      <c r="K535" s="3" t="n">
        <v>675</v>
      </c>
      <c r="L535" t="inlineStr">
        <is>
          <t>flat</t>
        </is>
      </c>
      <c r="M535" s="4" t="n">
        <v>675</v>
      </c>
      <c r="N535" t="inlineStr">
        <is>
          <t>Solio</t>
        </is>
      </c>
      <c r="O535" s="5" t="n">
        <v>85</v>
      </c>
      <c r="P535" t="b">
        <v>0</v>
      </c>
      <c r="Q535" s="5">
        <f>IF(N(O535)&lt;=0,0,MIN(Assumptions!$B$15,N(M535)/N(O535)))</f>
        <v/>
      </c>
      <c r="R535" s="4" t="n">
        <v>0.143</v>
      </c>
      <c r="S535" s="3" t="n"/>
      <c r="T535" t="inlineStr"/>
      <c r="U535" s="3" t="n">
        <v>1</v>
      </c>
      <c r="V535" s="3" t="n"/>
      <c r="W535" s="3" t="n"/>
      <c r="X535" s="3" t="n"/>
      <c r="Y535" s="3" t="n"/>
      <c r="Z535" s="3" t="n">
        <v>0</v>
      </c>
      <c r="AA535" s="3" t="n"/>
      <c r="AB535" s="3" t="n"/>
      <c r="AC535" s="3" t="n">
        <v>3.9421</v>
      </c>
      <c r="AD535" s="3" t="n">
        <v>1.99</v>
      </c>
      <c r="AE535" s="3" t="n">
        <v>-0.2160434166173144</v>
      </c>
      <c r="AF535" s="4" t="n">
        <v>0</v>
      </c>
      <c r="AG535" s="3" t="n">
        <v>0</v>
      </c>
      <c r="AH535" s="3" t="n">
        <v>0</v>
      </c>
      <c r="AI535" s="3" t="n">
        <v>0</v>
      </c>
      <c r="AJ535" s="3">
        <f>N(R535)*N(BC535)</f>
        <v/>
      </c>
      <c r="AK535" s="3" t="n">
        <v>0</v>
      </c>
      <c r="AL535" s="3" t="n">
        <v>0</v>
      </c>
      <c r="AM535" s="3" t="n">
        <v>-0</v>
      </c>
      <c r="AN535" s="3" t="n">
        <v>-0.2160434166173144</v>
      </c>
      <c r="AO535" s="3">
        <f>SUM(AH535:AN535)</f>
        <v/>
      </c>
      <c r="AP535" s="5">
        <f>IF(OR(N(Q535)&lt;=0,N(BA535)=0),0,N(Q535)*IF(N(M535)/N(Q535)&gt;=60,N(BA535),1))</f>
        <v/>
      </c>
      <c r="AQ535" s="5">
        <f>N(Q535)*N(Z535)*N(BB535)</f>
        <v/>
      </c>
      <c r="AR535" s="5">
        <f>N(AF535)*(Assumptions!$B$13*N(BD535)-(1-Assumptions!$B$13)*Assumptions!$B$14)+N(AG535)</f>
        <v/>
      </c>
      <c r="AS535" s="5">
        <f>N(AO535)*N(M535)/90+N(AP535)+N(AQ535)+N(AR535)</f>
        <v/>
      </c>
      <c r="AT535" s="3">
        <f>IF(N(M535)&lt;=0,0,(N(AS535)-N(AR535))*90/N(M535))</f>
        <v/>
      </c>
      <c r="AU535" s="5">
        <f>IFERROR(AS535-VLOOKUP($C535,Assumptions!$A$36:$C$39,3,FALSE),"")</f>
        <v/>
      </c>
      <c r="AV535" s="3">
        <f>IFERROR(AU535/F535,"")</f>
        <v/>
      </c>
      <c r="AW535">
        <f>IF(AND($E535=TRUE,$C535="GKP"),AS535,"")</f>
        <v/>
      </c>
      <c r="AX535">
        <f>IF(AND($E535=TRUE,$C535="DEF"),AS535,"")</f>
        <v/>
      </c>
      <c r="AY535">
        <f>IF(AND($E535=TRUE,$C535="MID"),AS535,"")</f>
        <v/>
      </c>
      <c r="AZ535">
        <f>IF(AND($E535=TRUE,$C535="FWD"),AS535,"")</f>
        <v/>
      </c>
      <c r="BA535" t="n">
        <v>2</v>
      </c>
      <c r="BB535" t="n">
        <v>2</v>
      </c>
      <c r="BC535" t="n">
        <v>1</v>
      </c>
      <c r="BD535" t="n">
        <v>5</v>
      </c>
    </row>
    <row r="536">
      <c r="A536" t="inlineStr">
        <is>
          <t>Joe Worrall</t>
        </is>
      </c>
      <c r="D536" t="inlineStr">
        <is>
          <t>DEF</t>
        </is>
      </c>
      <c r="E536" t="b">
        <v>0</v>
      </c>
      <c r="F536" s="2" t="n"/>
      <c r="I536" s="2" t="n">
        <v>497</v>
      </c>
      <c r="K536" s="3" t="n"/>
      <c r="M536" s="4" t="n">
        <v>497</v>
      </c>
      <c r="N536" t="inlineStr">
        <is>
          <t>25/26 actual</t>
        </is>
      </c>
      <c r="O536" s="5" t="n">
        <v>83.2</v>
      </c>
      <c r="P536" t="b">
        <v>1</v>
      </c>
      <c r="Q536" s="5">
        <f>IF(N(O536)&lt;=0,0,MIN(Assumptions!$B$15,N(M536)/N(O536)))</f>
        <v/>
      </c>
      <c r="R536" s="4" t="n"/>
      <c r="S536" s="3" t="n">
        <v>0.0141</v>
      </c>
      <c r="T536" t="inlineStr">
        <is>
          <t>adjusted xGOT</t>
        </is>
      </c>
      <c r="U536" s="3" t="n">
        <v>1</v>
      </c>
      <c r="V536" s="3" t="n">
        <v>0.974</v>
      </c>
      <c r="W536" s="3" t="n">
        <v>1</v>
      </c>
      <c r="X536" s="3" t="n">
        <v>0</v>
      </c>
      <c r="Y536" s="3" t="n">
        <v>10.175</v>
      </c>
      <c r="Z536" s="3" t="n">
        <v>0</v>
      </c>
      <c r="AA536" s="3" t="n">
        <v>0</v>
      </c>
      <c r="AB536" s="3" t="n">
        <v>15</v>
      </c>
      <c r="AC536" s="3" t="n"/>
      <c r="AD536" s="3" t="n"/>
      <c r="AE536" s="3" t="n"/>
      <c r="AF536" s="4" t="n">
        <v>0</v>
      </c>
      <c r="AG536" s="3" t="n">
        <v>0</v>
      </c>
      <c r="AH536" s="3" t="n">
        <v>0</v>
      </c>
      <c r="AI536" s="3" t="n">
        <v>0</v>
      </c>
      <c r="AJ536" s="3">
        <f>N(R536)*N(BC536)</f>
        <v/>
      </c>
      <c r="AK536" s="3" t="n">
        <v>0</v>
      </c>
      <c r="AL536" s="3" t="n">
        <v>0</v>
      </c>
      <c r="AM536" s="3" t="n">
        <v>0</v>
      </c>
      <c r="AN536" s="3" t="n">
        <v>0</v>
      </c>
      <c r="AO536" s="3">
        <f>SUM(AH536:AN536)</f>
        <v/>
      </c>
      <c r="AP536" s="5">
        <f>IF(OR(N(Q536)&lt;=0,N(BA536)=0),0,N(Q536)*IF(N(M536)/N(Q536)&gt;=60,N(BA536),1))</f>
        <v/>
      </c>
      <c r="AQ536" s="5">
        <f>N(Q536)*N(Z536)*N(BB536)</f>
        <v/>
      </c>
      <c r="AR536" s="5">
        <f>N(AF536)*(Assumptions!$B$13*N(BD536)-(1-Assumptions!$B$13)*Assumptions!$B$14)+N(AG536)</f>
        <v/>
      </c>
      <c r="AS536" s="5">
        <f>N(AO536)*N(M536)/90+N(AP536)+N(AQ536)+N(AR536)</f>
        <v/>
      </c>
      <c r="AT536" s="3">
        <f>IF(N(M536)&lt;=0,0,(N(AS536)-N(AR536))*90/N(M536))</f>
        <v/>
      </c>
      <c r="AU536" s="5">
        <f>IFERROR(AS536-VLOOKUP($C536,Assumptions!$A$36:$C$39,3,FALSE),"")</f>
        <v/>
      </c>
      <c r="AV536" s="3">
        <f>IFERROR(AU536/F536,"")</f>
        <v/>
      </c>
      <c r="AW536">
        <f>IF(AND($E536=TRUE,$C536="GKP"),AS536,"")</f>
        <v/>
      </c>
      <c r="AX536">
        <f>IF(AND($E536=TRUE,$C536="DEF"),AS536,"")</f>
        <v/>
      </c>
      <c r="AY536">
        <f>IF(AND($E536=TRUE,$C536="MID"),AS536,"")</f>
        <v/>
      </c>
      <c r="AZ536">
        <f>IF(AND($E536=TRUE,$C536="FWD"),AS536,"")</f>
        <v/>
      </c>
      <c r="BA536" t="n">
        <v>0</v>
      </c>
      <c r="BB536" t="n">
        <v>0</v>
      </c>
      <c r="BC536" t="n">
        <v>0</v>
      </c>
      <c r="BD536" t="n">
        <v>0</v>
      </c>
    </row>
    <row r="537">
      <c r="A537" t="inlineStr">
        <is>
          <t>Angel Gomes</t>
        </is>
      </c>
      <c r="D537" t="inlineStr">
        <is>
          <t>MID</t>
        </is>
      </c>
      <c r="E537" t="b">
        <v>0</v>
      </c>
      <c r="F537" s="2" t="n"/>
      <c r="I537" s="2" t="n">
        <v>464</v>
      </c>
      <c r="K537" s="3" t="n"/>
      <c r="M537" s="4" t="n">
        <v>464</v>
      </c>
      <c r="N537" t="inlineStr">
        <is>
          <t>25/26 actual</t>
        </is>
      </c>
      <c r="O537" s="5" t="n">
        <v>56.7</v>
      </c>
      <c r="P537" t="b">
        <v>1</v>
      </c>
      <c r="Q537" s="5">
        <f>IF(N(O537)&lt;=0,0,MIN(Assumptions!$B$15,N(M537)/N(O537)))</f>
        <v/>
      </c>
      <c r="R537" s="4" t="n"/>
      <c r="S537" s="3" t="n">
        <v>0.0481</v>
      </c>
      <c r="T537" t="inlineStr">
        <is>
          <t>adjusted xGOT</t>
        </is>
      </c>
      <c r="U537" s="3" t="n">
        <v>1</v>
      </c>
      <c r="V537" s="3" t="n">
        <v>0.994</v>
      </c>
      <c r="W537" s="3" t="n">
        <v>0.2</v>
      </c>
      <c r="X537" s="3" t="n">
        <v>0.058</v>
      </c>
      <c r="Y537" s="3" t="n">
        <v>7.77</v>
      </c>
      <c r="Z537" s="3" t="n">
        <v>0</v>
      </c>
      <c r="AA537" s="3" t="n">
        <v>0</v>
      </c>
      <c r="AB537" s="3" t="n">
        <v>16</v>
      </c>
      <c r="AC537" s="3" t="n"/>
      <c r="AD537" s="3" t="n"/>
      <c r="AE537" s="3" t="n"/>
      <c r="AF537" s="4" t="n">
        <v>0</v>
      </c>
      <c r="AG537" s="3" t="n">
        <v>0</v>
      </c>
      <c r="AH537" s="3" t="n">
        <v>0</v>
      </c>
      <c r="AI537" s="3" t="n">
        <v>0</v>
      </c>
      <c r="AJ537" s="3">
        <f>N(R537)*N(BC537)</f>
        <v/>
      </c>
      <c r="AK537" s="3" t="n">
        <v>0</v>
      </c>
      <c r="AL537" s="3" t="n">
        <v>0</v>
      </c>
      <c r="AM537" s="3" t="n">
        <v>0</v>
      </c>
      <c r="AN537" s="3" t="n">
        <v>0</v>
      </c>
      <c r="AO537" s="3">
        <f>SUM(AH537:AN537)</f>
        <v/>
      </c>
      <c r="AP537" s="5">
        <f>IF(OR(N(Q537)&lt;=0,N(BA537)=0),0,N(Q537)*IF(N(M537)/N(Q537)&gt;=60,N(BA537),1))</f>
        <v/>
      </c>
      <c r="AQ537" s="5">
        <f>N(Q537)*N(Z537)*N(BB537)</f>
        <v/>
      </c>
      <c r="AR537" s="5">
        <f>N(AF537)*(Assumptions!$B$13*N(BD537)-(1-Assumptions!$B$13)*Assumptions!$B$14)+N(AG537)</f>
        <v/>
      </c>
      <c r="AS537" s="5">
        <f>N(AO537)*N(M537)/90+N(AP537)+N(AQ537)+N(AR537)</f>
        <v/>
      </c>
      <c r="AT537" s="3">
        <f>IF(N(M537)&lt;=0,0,(N(AS537)-N(AR537))*90/N(M537))</f>
        <v/>
      </c>
      <c r="AU537" s="5">
        <f>IFERROR(AS537-VLOOKUP($C537,Assumptions!$A$36:$C$39,3,FALSE),"")</f>
        <v/>
      </c>
      <c r="AV537" s="3">
        <f>IFERROR(AU537/F537,"")</f>
        <v/>
      </c>
      <c r="AW537">
        <f>IF(AND($E537=TRUE,$C537="GKP"),AS537,"")</f>
        <v/>
      </c>
      <c r="AX537">
        <f>IF(AND($E537=TRUE,$C537="DEF"),AS537,"")</f>
        <v/>
      </c>
      <c r="AY537">
        <f>IF(AND($E537=TRUE,$C537="MID"),AS537,"")</f>
        <v/>
      </c>
      <c r="AZ537">
        <f>IF(AND($E537=TRUE,$C537="FWD"),AS537,"")</f>
        <v/>
      </c>
      <c r="BA537" t="n">
        <v>0</v>
      </c>
      <c r="BB537" t="n">
        <v>0</v>
      </c>
      <c r="BC537" t="n">
        <v>0</v>
      </c>
      <c r="BD537" t="n">
        <v>0</v>
      </c>
    </row>
    <row r="538">
      <c r="A538" t="inlineStr">
        <is>
          <t>Jadon Sancho</t>
        </is>
      </c>
      <c r="D538" t="inlineStr">
        <is>
          <t>MID</t>
        </is>
      </c>
      <c r="E538" t="b">
        <v>0</v>
      </c>
      <c r="F538" s="2" t="n"/>
      <c r="I538" s="2" t="n">
        <v>873</v>
      </c>
      <c r="K538" s="3" t="n"/>
      <c r="M538" s="4" t="n">
        <v>873</v>
      </c>
      <c r="N538" t="inlineStr">
        <is>
          <t>25/26 actual</t>
        </is>
      </c>
      <c r="O538" s="5" t="n">
        <v>66.90000000000001</v>
      </c>
      <c r="P538" t="b">
        <v>1</v>
      </c>
      <c r="Q538" s="5">
        <f>IF(N(O538)&lt;=0,0,MIN(Assumptions!$B$15,N(M538)/N(O538)))</f>
        <v/>
      </c>
      <c r="R538" s="4" t="n"/>
      <c r="S538" s="3" t="n">
        <v>0.0677</v>
      </c>
      <c r="T538" t="inlineStr">
        <is>
          <t>adjusted xGOT</t>
        </is>
      </c>
      <c r="U538" s="3" t="n">
        <v>1</v>
      </c>
      <c r="V538" s="3" t="n">
        <v>1.077</v>
      </c>
      <c r="W538" s="3" t="n">
        <v>6.8</v>
      </c>
      <c r="X538" s="3" t="n">
        <v>0.2115</v>
      </c>
      <c r="Y538" s="3" t="n">
        <v>6.403</v>
      </c>
      <c r="Z538" s="3" t="n">
        <v>0</v>
      </c>
      <c r="AA538" s="3" t="n">
        <v>0</v>
      </c>
      <c r="AB538" s="3" t="n">
        <v>29</v>
      </c>
      <c r="AC538" s="3" t="n"/>
      <c r="AD538" s="3" t="n"/>
      <c r="AE538" s="3" t="n"/>
      <c r="AF538" s="4" t="n">
        <v>0</v>
      </c>
      <c r="AG538" s="3" t="n">
        <v>0</v>
      </c>
      <c r="AH538" s="3" t="n">
        <v>0</v>
      </c>
      <c r="AI538" s="3" t="n">
        <v>0</v>
      </c>
      <c r="AJ538" s="3">
        <f>N(R538)*N(BC538)</f>
        <v/>
      </c>
      <c r="AK538" s="3" t="n">
        <v>0</v>
      </c>
      <c r="AL538" s="3" t="n">
        <v>0</v>
      </c>
      <c r="AM538" s="3" t="n">
        <v>0</v>
      </c>
      <c r="AN538" s="3" t="n">
        <v>0</v>
      </c>
      <c r="AO538" s="3">
        <f>SUM(AH538:AN538)</f>
        <v/>
      </c>
      <c r="AP538" s="5">
        <f>IF(OR(N(Q538)&lt;=0,N(BA538)=0),0,N(Q538)*IF(N(M538)/N(Q538)&gt;=60,N(BA538),1))</f>
        <v/>
      </c>
      <c r="AQ538" s="5">
        <f>N(Q538)*N(Z538)*N(BB538)</f>
        <v/>
      </c>
      <c r="AR538" s="5">
        <f>N(AF538)*(Assumptions!$B$13*N(BD538)-(1-Assumptions!$B$13)*Assumptions!$B$14)+N(AG538)</f>
        <v/>
      </c>
      <c r="AS538" s="5">
        <f>N(AO538)*N(M538)/90+N(AP538)+N(AQ538)+N(AR538)</f>
        <v/>
      </c>
      <c r="AT538" s="3">
        <f>IF(N(M538)&lt;=0,0,(N(AS538)-N(AR538))*90/N(M538))</f>
        <v/>
      </c>
      <c r="AU538" s="5">
        <f>IFERROR(AS538-VLOOKUP($C538,Assumptions!$A$36:$C$39,3,FALSE),"")</f>
        <v/>
      </c>
      <c r="AV538" s="3">
        <f>IFERROR(AU538/F538,"")</f>
        <v/>
      </c>
      <c r="AW538">
        <f>IF(AND($E538=TRUE,$C538="GKP"),AS538,"")</f>
        <v/>
      </c>
      <c r="AX538">
        <f>IF(AND($E538=TRUE,$C538="DEF"),AS538,"")</f>
        <v/>
      </c>
      <c r="AY538">
        <f>IF(AND($E538=TRUE,$C538="MID"),AS538,"")</f>
        <v/>
      </c>
      <c r="AZ538">
        <f>IF(AND($E538=TRUE,$C538="FWD"),AS538,"")</f>
        <v/>
      </c>
      <c r="BA538" t="n">
        <v>0</v>
      </c>
      <c r="BB538" t="n">
        <v>0</v>
      </c>
      <c r="BC538" t="n">
        <v>0</v>
      </c>
      <c r="BD538" t="n">
        <v>0</v>
      </c>
    </row>
    <row r="539">
      <c r="A539" t="inlineStr">
        <is>
          <t>Nayef Aguerd</t>
        </is>
      </c>
      <c r="D539" t="inlineStr">
        <is>
          <t>DEF</t>
        </is>
      </c>
      <c r="E539" t="b">
        <v>0</v>
      </c>
      <c r="F539" s="2" t="n"/>
      <c r="I539" s="2" t="n">
        <v>180</v>
      </c>
      <c r="K539" s="3" t="n"/>
      <c r="M539" s="4" t="n">
        <v>180</v>
      </c>
      <c r="N539" t="inlineStr">
        <is>
          <t>25/26 actual</t>
        </is>
      </c>
      <c r="O539" s="5" t="n">
        <v>90</v>
      </c>
      <c r="P539" t="b">
        <v>1</v>
      </c>
      <c r="Q539" s="5">
        <f>IF(N(O539)&lt;=0,0,MIN(Assumptions!$B$15,N(M539)/N(O539)))</f>
        <v/>
      </c>
      <c r="R539" s="4" t="n"/>
      <c r="S539" s="3" t="n">
        <v>0.0455</v>
      </c>
      <c r="T539" t="inlineStr">
        <is>
          <t>adjusted xGOT</t>
        </is>
      </c>
      <c r="U539" s="3" t="n">
        <v>1</v>
      </c>
      <c r="V539" s="3" t="n">
        <v>0.906</v>
      </c>
      <c r="W539" s="3" t="n">
        <v>3.7</v>
      </c>
      <c r="X539" s="3" t="n">
        <v>0</v>
      </c>
      <c r="Y539" s="3" t="n">
        <v>7.648</v>
      </c>
      <c r="Z539" s="3" t="n">
        <v>0</v>
      </c>
      <c r="AA539" s="3" t="n">
        <v>0</v>
      </c>
      <c r="AB539" s="3" t="n">
        <v>4</v>
      </c>
      <c r="AC539" s="3" t="n"/>
      <c r="AD539" s="3" t="n"/>
      <c r="AE539" s="3" t="n"/>
      <c r="AF539" s="4" t="n">
        <v>0</v>
      </c>
      <c r="AG539" s="3" t="n">
        <v>0</v>
      </c>
      <c r="AH539" s="3" t="n">
        <v>0</v>
      </c>
      <c r="AI539" s="3" t="n">
        <v>0</v>
      </c>
      <c r="AJ539" s="3">
        <f>N(R539)*N(BC539)</f>
        <v/>
      </c>
      <c r="AK539" s="3" t="n">
        <v>0</v>
      </c>
      <c r="AL539" s="3" t="n">
        <v>0</v>
      </c>
      <c r="AM539" s="3" t="n">
        <v>0</v>
      </c>
      <c r="AN539" s="3" t="n">
        <v>0</v>
      </c>
      <c r="AO539" s="3">
        <f>SUM(AH539:AN539)</f>
        <v/>
      </c>
      <c r="AP539" s="5">
        <f>IF(OR(N(Q539)&lt;=0,N(BA539)=0),0,N(Q539)*IF(N(M539)/N(Q539)&gt;=60,N(BA539),1))</f>
        <v/>
      </c>
      <c r="AQ539" s="5">
        <f>N(Q539)*N(Z539)*N(BB539)</f>
        <v/>
      </c>
      <c r="AR539" s="5">
        <f>N(AF539)*(Assumptions!$B$13*N(BD539)-(1-Assumptions!$B$13)*Assumptions!$B$14)+N(AG539)</f>
        <v/>
      </c>
      <c r="AS539" s="5">
        <f>N(AO539)*N(M539)/90+N(AP539)+N(AQ539)+N(AR539)</f>
        <v/>
      </c>
      <c r="AT539" s="3">
        <f>IF(N(M539)&lt;=0,0,(N(AS539)-N(AR539))*90/N(M539))</f>
        <v/>
      </c>
      <c r="AU539" s="5">
        <f>IFERROR(AS539-VLOOKUP($C539,Assumptions!$A$36:$C$39,3,FALSE),"")</f>
        <v/>
      </c>
      <c r="AV539" s="3">
        <f>IFERROR(AU539/F539,"")</f>
        <v/>
      </c>
      <c r="AW539">
        <f>IF(AND($E539=TRUE,$C539="GKP"),AS539,"")</f>
        <v/>
      </c>
      <c r="AX539">
        <f>IF(AND($E539=TRUE,$C539="DEF"),AS539,"")</f>
        <v/>
      </c>
      <c r="AY539">
        <f>IF(AND($E539=TRUE,$C539="MID"),AS539,"")</f>
        <v/>
      </c>
      <c r="AZ539">
        <f>IF(AND($E539=TRUE,$C539="FWD"),AS539,"")</f>
        <v/>
      </c>
      <c r="BA539" t="n">
        <v>0</v>
      </c>
      <c r="BB539" t="n">
        <v>0</v>
      </c>
      <c r="BC539" t="n">
        <v>0</v>
      </c>
      <c r="BD539" t="n">
        <v>0</v>
      </c>
    </row>
    <row r="540">
      <c r="A540" t="inlineStr">
        <is>
          <t>David Akintola</t>
        </is>
      </c>
      <c r="B540" t="inlineStr">
        <is>
          <t>HUL</t>
        </is>
      </c>
      <c r="C540" t="inlineStr">
        <is>
          <t>MID</t>
        </is>
      </c>
      <c r="E540" t="b">
        <v>1</v>
      </c>
      <c r="F540" s="2" t="n">
        <v>5</v>
      </c>
      <c r="G540" t="inlineStr">
        <is>
          <t>a</t>
        </is>
      </c>
      <c r="I540" s="2" t="n"/>
      <c r="K540" s="3" t="n">
        <v>281</v>
      </c>
      <c r="L540" t="inlineStr">
        <is>
          <t>flat</t>
        </is>
      </c>
      <c r="M540" s="4" t="n">
        <v>281</v>
      </c>
      <c r="N540" t="inlineStr">
        <is>
          <t>Solio</t>
        </is>
      </c>
      <c r="O540" s="5" t="n">
        <v>85</v>
      </c>
      <c r="P540" t="b">
        <v>0</v>
      </c>
      <c r="Q540" s="5">
        <f>IF(N(O540)&lt;=0,0,MIN(Assumptions!$B$15,N(M540)/N(O540)))</f>
        <v/>
      </c>
      <c r="R540" s="4" t="n">
        <v>0.143</v>
      </c>
      <c r="S540" s="3" t="n"/>
      <c r="T540" t="inlineStr"/>
      <c r="U540" s="3" t="n">
        <v>1</v>
      </c>
      <c r="V540" s="3" t="n"/>
      <c r="W540" s="3" t="n"/>
      <c r="X540" s="3" t="n"/>
      <c r="Y540" s="3" t="n"/>
      <c r="Z540" s="3" t="n">
        <v>0</v>
      </c>
      <c r="AA540" s="3" t="n"/>
      <c r="AB540" s="3" t="n"/>
      <c r="AC540" s="3" t="n">
        <v>3.9421</v>
      </c>
      <c r="AD540" s="3" t="n">
        <v>1.99</v>
      </c>
      <c r="AE540" s="3" t="n">
        <v>-0.2160434166173144</v>
      </c>
      <c r="AF540" s="4" t="n">
        <v>0</v>
      </c>
      <c r="AG540" s="3" t="n">
        <v>0</v>
      </c>
      <c r="AH540" s="3" t="n">
        <v>0</v>
      </c>
      <c r="AI540" s="3" t="n">
        <v>0</v>
      </c>
      <c r="AJ540" s="3">
        <f>N(R540)*N(BC540)</f>
        <v/>
      </c>
      <c r="AK540" s="3" t="n">
        <v>0</v>
      </c>
      <c r="AL540" s="3" t="n">
        <v>0</v>
      </c>
      <c r="AM540" s="3" t="n">
        <v>-0</v>
      </c>
      <c r="AN540" s="3" t="n">
        <v>-0.2160434166173144</v>
      </c>
      <c r="AO540" s="3">
        <f>SUM(AH540:AN540)</f>
        <v/>
      </c>
      <c r="AP540" s="5">
        <f>IF(OR(N(Q540)&lt;=0,N(BA540)=0),0,N(Q540)*IF(N(M540)/N(Q540)&gt;=60,N(BA540),1))</f>
        <v/>
      </c>
      <c r="AQ540" s="5">
        <f>N(Q540)*N(Z540)*N(BB540)</f>
        <v/>
      </c>
      <c r="AR540" s="5">
        <f>N(AF540)*(Assumptions!$B$13*N(BD540)-(1-Assumptions!$B$13)*Assumptions!$B$14)+N(AG540)</f>
        <v/>
      </c>
      <c r="AS540" s="5">
        <f>N(AO540)*N(M540)/90+N(AP540)+N(AQ540)+N(AR540)</f>
        <v/>
      </c>
      <c r="AT540" s="3">
        <f>IF(N(M540)&lt;=0,0,(N(AS540)-N(AR540))*90/N(M540))</f>
        <v/>
      </c>
      <c r="AU540" s="5">
        <f>IFERROR(AS540-VLOOKUP($C540,Assumptions!$A$36:$C$39,3,FALSE),"")</f>
        <v/>
      </c>
      <c r="AV540" s="3">
        <f>IFERROR(AU540/F540,"")</f>
        <v/>
      </c>
      <c r="AW540">
        <f>IF(AND($E540=TRUE,$C540="GKP"),AS540,"")</f>
        <v/>
      </c>
      <c r="AX540">
        <f>IF(AND($E540=TRUE,$C540="DEF"),AS540,"")</f>
        <v/>
      </c>
      <c r="AY540">
        <f>IF(AND($E540=TRUE,$C540="MID"),AS540,"")</f>
        <v/>
      </c>
      <c r="AZ540">
        <f>IF(AND($E540=TRUE,$C540="FWD"),AS540,"")</f>
        <v/>
      </c>
      <c r="BA540" t="n">
        <v>2</v>
      </c>
      <c r="BB540" t="n">
        <v>2</v>
      </c>
      <c r="BC540" t="n">
        <v>1</v>
      </c>
      <c r="BD540" t="n">
        <v>5</v>
      </c>
    </row>
    <row r="541">
      <c r="A541" t="inlineStr">
        <is>
          <t>Maximilian Kilman</t>
        </is>
      </c>
      <c r="D541" t="inlineStr">
        <is>
          <t>DEF</t>
        </is>
      </c>
      <c r="E541" t="b">
        <v>0</v>
      </c>
      <c r="F541" s="2" t="n"/>
      <c r="I541" s="2" t="n">
        <v>1559</v>
      </c>
      <c r="K541" s="3" t="n"/>
      <c r="M541" s="4" t="n">
        <v>1559</v>
      </c>
      <c r="N541" t="inlineStr">
        <is>
          <t>25/26 actual</t>
        </is>
      </c>
      <c r="O541" s="5" t="n">
        <v>90</v>
      </c>
      <c r="P541" t="b">
        <v>1</v>
      </c>
      <c r="Q541" s="5">
        <f>IF(N(O541)&lt;=0,0,MIN(Assumptions!$B$15,N(M541)/N(O541)))</f>
        <v/>
      </c>
      <c r="R541" s="4" t="n"/>
      <c r="S541" s="3" t="n">
        <v>0.0277</v>
      </c>
      <c r="T541" t="inlineStr">
        <is>
          <t>adjusted xGOT</t>
        </is>
      </c>
      <c r="U541" s="3" t="n">
        <v>1</v>
      </c>
      <c r="V541" s="3" t="n">
        <v>0.856</v>
      </c>
      <c r="W541" s="3" t="n">
        <v>5.2</v>
      </c>
      <c r="X541" s="3" t="n">
        <v>0.012</v>
      </c>
      <c r="Y541" s="3" t="n">
        <v>8.746</v>
      </c>
      <c r="Z541" s="3" t="n">
        <v>0</v>
      </c>
      <c r="AA541" s="3" t="n">
        <v>0</v>
      </c>
      <c r="AB541" s="3" t="n">
        <v>38</v>
      </c>
      <c r="AC541" s="3" t="n"/>
      <c r="AD541" s="3" t="n"/>
      <c r="AE541" s="3" t="n"/>
      <c r="AF541" s="4" t="n">
        <v>0</v>
      </c>
      <c r="AG541" s="3" t="n">
        <v>0</v>
      </c>
      <c r="AH541" s="3" t="n">
        <v>0</v>
      </c>
      <c r="AI541" s="3" t="n">
        <v>0</v>
      </c>
      <c r="AJ541" s="3">
        <f>N(R541)*N(BC541)</f>
        <v/>
      </c>
      <c r="AK541" s="3" t="n">
        <v>0</v>
      </c>
      <c r="AL541" s="3" t="n">
        <v>0</v>
      </c>
      <c r="AM541" s="3" t="n">
        <v>0</v>
      </c>
      <c r="AN541" s="3" t="n">
        <v>0</v>
      </c>
      <c r="AO541" s="3">
        <f>SUM(AH541:AN541)</f>
        <v/>
      </c>
      <c r="AP541" s="5">
        <f>IF(OR(N(Q541)&lt;=0,N(BA541)=0),0,N(Q541)*IF(N(M541)/N(Q541)&gt;=60,N(BA541),1))</f>
        <v/>
      </c>
      <c r="AQ541" s="5">
        <f>N(Q541)*N(Z541)*N(BB541)</f>
        <v/>
      </c>
      <c r="AR541" s="5">
        <f>N(AF541)*(Assumptions!$B$13*N(BD541)-(1-Assumptions!$B$13)*Assumptions!$B$14)+N(AG541)</f>
        <v/>
      </c>
      <c r="AS541" s="5">
        <f>N(AO541)*N(M541)/90+N(AP541)+N(AQ541)+N(AR541)</f>
        <v/>
      </c>
      <c r="AT541" s="3">
        <f>IF(N(M541)&lt;=0,0,(N(AS541)-N(AR541))*90/N(M541))</f>
        <v/>
      </c>
      <c r="AU541" s="5">
        <f>IFERROR(AS541-VLOOKUP($C541,Assumptions!$A$36:$C$39,3,FALSE),"")</f>
        <v/>
      </c>
      <c r="AV541" s="3">
        <f>IFERROR(AU541/F541,"")</f>
        <v/>
      </c>
      <c r="AW541">
        <f>IF(AND($E541=TRUE,$C541="GKP"),AS541,"")</f>
        <v/>
      </c>
      <c r="AX541">
        <f>IF(AND($E541=TRUE,$C541="DEF"),AS541,"")</f>
        <v/>
      </c>
      <c r="AY541">
        <f>IF(AND($E541=TRUE,$C541="MID"),AS541,"")</f>
        <v/>
      </c>
      <c r="AZ541">
        <f>IF(AND($E541=TRUE,$C541="FWD"),AS541,"")</f>
        <v/>
      </c>
      <c r="BA541" t="n">
        <v>0</v>
      </c>
      <c r="BB541" t="n">
        <v>0</v>
      </c>
      <c r="BC541" t="n">
        <v>0</v>
      </c>
      <c r="BD541" t="n">
        <v>0</v>
      </c>
    </row>
    <row r="542">
      <c r="A542" t="inlineStr">
        <is>
          <t>Aaron Wan-Bissaka</t>
        </is>
      </c>
      <c r="D542" t="inlineStr">
        <is>
          <t>DEF</t>
        </is>
      </c>
      <c r="E542" t="b">
        <v>0</v>
      </c>
      <c r="F542" s="2" t="n"/>
      <c r="I542" s="2" t="n">
        <v>2084</v>
      </c>
      <c r="K542" s="3" t="n"/>
      <c r="M542" s="4" t="n">
        <v>2084</v>
      </c>
      <c r="N542" t="inlineStr">
        <is>
          <t>25/26 actual</t>
        </is>
      </c>
      <c r="O542" s="5" t="n">
        <v>87.40000000000001</v>
      </c>
      <c r="P542" t="b">
        <v>1</v>
      </c>
      <c r="Q542" s="5">
        <f>IF(N(O542)&lt;=0,0,MIN(Assumptions!$B$15,N(M542)/N(O542)))</f>
        <v/>
      </c>
      <c r="R542" s="4" t="n"/>
      <c r="S542" s="3" t="n">
        <v>0</v>
      </c>
      <c r="T542" t="inlineStr">
        <is>
          <t>adjusted xGOT</t>
        </is>
      </c>
      <c r="U542" s="3" t="n">
        <v>1</v>
      </c>
      <c r="V542" s="3" t="n">
        <v>0.878</v>
      </c>
      <c r="W542" s="3" t="n">
        <v>2.5</v>
      </c>
      <c r="X542" s="3" t="n">
        <v>0.0617</v>
      </c>
      <c r="Y542" s="3" t="n">
        <v>7.569</v>
      </c>
      <c r="Z542" s="3" t="n">
        <v>0</v>
      </c>
      <c r="AA542" s="3" t="n">
        <v>0</v>
      </c>
      <c r="AB542" s="3" t="n">
        <v>48</v>
      </c>
      <c r="AC542" s="3" t="n"/>
      <c r="AD542" s="3" t="n"/>
      <c r="AE542" s="3" t="n"/>
      <c r="AF542" s="4" t="n">
        <v>0</v>
      </c>
      <c r="AG542" s="3" t="n">
        <v>0</v>
      </c>
      <c r="AH542" s="3" t="n">
        <v>0</v>
      </c>
      <c r="AI542" s="3" t="n">
        <v>0</v>
      </c>
      <c r="AJ542" s="3">
        <f>N(R542)*N(BC542)</f>
        <v/>
      </c>
      <c r="AK542" s="3" t="n">
        <v>0</v>
      </c>
      <c r="AL542" s="3" t="n">
        <v>0</v>
      </c>
      <c r="AM542" s="3" t="n">
        <v>0</v>
      </c>
      <c r="AN542" s="3" t="n">
        <v>0</v>
      </c>
      <c r="AO542" s="3">
        <f>SUM(AH542:AN542)</f>
        <v/>
      </c>
      <c r="AP542" s="5">
        <f>IF(OR(N(Q542)&lt;=0,N(BA542)=0),0,N(Q542)*IF(N(M542)/N(Q542)&gt;=60,N(BA542),1))</f>
        <v/>
      </c>
      <c r="AQ542" s="5">
        <f>N(Q542)*N(Z542)*N(BB542)</f>
        <v/>
      </c>
      <c r="AR542" s="5">
        <f>N(AF542)*(Assumptions!$B$13*N(BD542)-(1-Assumptions!$B$13)*Assumptions!$B$14)+N(AG542)</f>
        <v/>
      </c>
      <c r="AS542" s="5">
        <f>N(AO542)*N(M542)/90+N(AP542)+N(AQ542)+N(AR542)</f>
        <v/>
      </c>
      <c r="AT542" s="3">
        <f>IF(N(M542)&lt;=0,0,(N(AS542)-N(AR542))*90/N(M542))</f>
        <v/>
      </c>
      <c r="AU542" s="5">
        <f>IFERROR(AS542-VLOOKUP($C542,Assumptions!$A$36:$C$39,3,FALSE),"")</f>
        <v/>
      </c>
      <c r="AV542" s="3">
        <f>IFERROR(AU542/F542,"")</f>
        <v/>
      </c>
      <c r="AW542">
        <f>IF(AND($E542=TRUE,$C542="GKP"),AS542,"")</f>
        <v/>
      </c>
      <c r="AX542">
        <f>IF(AND($E542=TRUE,$C542="DEF"),AS542,"")</f>
        <v/>
      </c>
      <c r="AY542">
        <f>IF(AND($E542=TRUE,$C542="MID"),AS542,"")</f>
        <v/>
      </c>
      <c r="AZ542">
        <f>IF(AND($E542=TRUE,$C542="FWD"),AS542,"")</f>
        <v/>
      </c>
      <c r="BA542" t="n">
        <v>0</v>
      </c>
      <c r="BB542" t="n">
        <v>0</v>
      </c>
      <c r="BC542" t="n">
        <v>0</v>
      </c>
      <c r="BD542" t="n">
        <v>0</v>
      </c>
    </row>
    <row r="543">
      <c r="A543" t="inlineStr">
        <is>
          <t>Tomás Soucek</t>
        </is>
      </c>
      <c r="D543" t="inlineStr">
        <is>
          <t>MID</t>
        </is>
      </c>
      <c r="E543" t="b">
        <v>0</v>
      </c>
      <c r="F543" s="2" t="n"/>
      <c r="I543" s="2" t="n">
        <v>2198</v>
      </c>
      <c r="K543" s="3" t="n"/>
      <c r="M543" s="4" t="n">
        <v>2198</v>
      </c>
      <c r="N543" t="inlineStr">
        <is>
          <t>25/26 actual</t>
        </is>
      </c>
      <c r="O543" s="5" t="n">
        <v>83</v>
      </c>
      <c r="P543" t="b">
        <v>1</v>
      </c>
      <c r="Q543" s="5">
        <f>IF(N(O543)&lt;=0,0,MIN(Assumptions!$B$15,N(M543)/N(O543)))</f>
        <v/>
      </c>
      <c r="R543" s="4" t="n"/>
      <c r="S543" s="3" t="n">
        <v>0.2578</v>
      </c>
      <c r="T543" t="inlineStr">
        <is>
          <t>adjusted xGOT</t>
        </is>
      </c>
      <c r="U543" s="3" t="n">
        <v>1</v>
      </c>
      <c r="V543" s="3" t="n">
        <v>1.099</v>
      </c>
      <c r="W543" s="3" t="n">
        <v>23</v>
      </c>
      <c r="X543" s="3" t="n">
        <v>0.0336</v>
      </c>
      <c r="Y543" s="3" t="n">
        <v>9.050000000000001</v>
      </c>
      <c r="Z543" s="3" t="n">
        <v>0</v>
      </c>
      <c r="AA543" s="3" t="n">
        <v>0.3685</v>
      </c>
      <c r="AB543" s="3" t="n">
        <v>58</v>
      </c>
      <c r="AC543" s="3" t="n"/>
      <c r="AD543" s="3" t="n"/>
      <c r="AE543" s="3" t="n"/>
      <c r="AF543" s="4" t="n">
        <v>0</v>
      </c>
      <c r="AG543" s="3" t="n">
        <v>0</v>
      </c>
      <c r="AH543" s="3" t="n">
        <v>0</v>
      </c>
      <c r="AI543" s="3" t="n">
        <v>0</v>
      </c>
      <c r="AJ543" s="3">
        <f>N(R543)*N(BC543)</f>
        <v/>
      </c>
      <c r="AK543" s="3" t="n">
        <v>0</v>
      </c>
      <c r="AL543" s="3" t="n">
        <v>0</v>
      </c>
      <c r="AM543" s="3" t="n">
        <v>0</v>
      </c>
      <c r="AN543" s="3" t="n">
        <v>0</v>
      </c>
      <c r="AO543" s="3">
        <f>SUM(AH543:AN543)</f>
        <v/>
      </c>
      <c r="AP543" s="5">
        <f>IF(OR(N(Q543)&lt;=0,N(BA543)=0),0,N(Q543)*IF(N(M543)/N(Q543)&gt;=60,N(BA543),1))</f>
        <v/>
      </c>
      <c r="AQ543" s="5">
        <f>N(Q543)*N(Z543)*N(BB543)</f>
        <v/>
      </c>
      <c r="AR543" s="5">
        <f>N(AF543)*(Assumptions!$B$13*N(BD543)-(1-Assumptions!$B$13)*Assumptions!$B$14)+N(AG543)</f>
        <v/>
      </c>
      <c r="AS543" s="5">
        <f>N(AO543)*N(M543)/90+N(AP543)+N(AQ543)+N(AR543)</f>
        <v/>
      </c>
      <c r="AT543" s="3">
        <f>IF(N(M543)&lt;=0,0,(N(AS543)-N(AR543))*90/N(M543))</f>
        <v/>
      </c>
      <c r="AU543" s="5">
        <f>IFERROR(AS543-VLOOKUP($C543,Assumptions!$A$36:$C$39,3,FALSE),"")</f>
        <v/>
      </c>
      <c r="AV543" s="3">
        <f>IFERROR(AU543/F543,"")</f>
        <v/>
      </c>
      <c r="AW543">
        <f>IF(AND($E543=TRUE,$C543="GKP"),AS543,"")</f>
        <v/>
      </c>
      <c r="AX543">
        <f>IF(AND($E543=TRUE,$C543="DEF"),AS543,"")</f>
        <v/>
      </c>
      <c r="AY543">
        <f>IF(AND($E543=TRUE,$C543="MID"),AS543,"")</f>
        <v/>
      </c>
      <c r="AZ543">
        <f>IF(AND($E543=TRUE,$C543="FWD"),AS543,"")</f>
        <v/>
      </c>
      <c r="BA543" t="n">
        <v>0</v>
      </c>
      <c r="BB543" t="n">
        <v>0</v>
      </c>
      <c r="BC543" t="n">
        <v>0</v>
      </c>
      <c r="BD543" t="n">
        <v>0</v>
      </c>
    </row>
    <row r="544">
      <c r="A544" t="inlineStr">
        <is>
          <t>Dara O'Shea</t>
        </is>
      </c>
      <c r="B544" t="inlineStr">
        <is>
          <t>IPS</t>
        </is>
      </c>
      <c r="C544" t="inlineStr">
        <is>
          <t>DEF</t>
        </is>
      </c>
      <c r="E544" t="b">
        <v>1</v>
      </c>
      <c r="F544" s="2" t="n">
        <v>4</v>
      </c>
      <c r="G544" t="inlineStr">
        <is>
          <t>a</t>
        </is>
      </c>
      <c r="I544" s="2" t="n"/>
      <c r="K544" s="3" t="n">
        <v>3232</v>
      </c>
      <c r="L544" t="inlineStr">
        <is>
          <t>flat</t>
        </is>
      </c>
      <c r="M544" s="4" t="n">
        <v>3232</v>
      </c>
      <c r="N544" t="inlineStr">
        <is>
          <t>Solio</t>
        </is>
      </c>
      <c r="O544" s="5" t="n">
        <v>85</v>
      </c>
      <c r="P544" t="b">
        <v>0</v>
      </c>
      <c r="Q544" s="5">
        <f>IF(N(O544)&lt;=0,0,MIN(Assumptions!$B$15,N(M544)/N(O544)))</f>
        <v/>
      </c>
      <c r="R544" s="4" t="n">
        <v>0.17</v>
      </c>
      <c r="S544" s="3" t="n"/>
      <c r="T544" t="inlineStr"/>
      <c r="U544" s="3" t="n">
        <v>1</v>
      </c>
      <c r="V544" s="3" t="n"/>
      <c r="W544" s="3" t="n"/>
      <c r="X544" s="3" t="n"/>
      <c r="Y544" s="3" t="n"/>
      <c r="Z544" s="3" t="n">
        <v>0</v>
      </c>
      <c r="AA544" s="3" t="n"/>
      <c r="AB544" s="3" t="n"/>
      <c r="AC544" s="3" t="n">
        <v>3.5741</v>
      </c>
      <c r="AD544" s="3" t="n">
        <v>1.8319</v>
      </c>
      <c r="AE544" s="3" t="n">
        <v>-0.1930079917092188</v>
      </c>
      <c r="AF544" s="4" t="n">
        <v>0</v>
      </c>
      <c r="AG544" s="3" t="n">
        <v>0</v>
      </c>
      <c r="AH544" s="3" t="n">
        <v>0</v>
      </c>
      <c r="AI544" s="3" t="n">
        <v>0</v>
      </c>
      <c r="AJ544" s="3">
        <f>N(R544)*N(BC544)</f>
        <v/>
      </c>
      <c r="AK544" s="3" t="n">
        <v>0</v>
      </c>
      <c r="AL544" s="3" t="n">
        <v>0</v>
      </c>
      <c r="AM544" s="3" t="n">
        <v>-0.6723587286814016</v>
      </c>
      <c r="AN544" s="3" t="n">
        <v>-0.1930079917092188</v>
      </c>
      <c r="AO544" s="3">
        <f>SUM(AH544:AN544)</f>
        <v/>
      </c>
      <c r="AP544" s="5">
        <f>IF(OR(N(Q544)&lt;=0,N(BA544)=0),0,N(Q544)*IF(N(M544)/N(Q544)&gt;=60,N(BA544),1))</f>
        <v/>
      </c>
      <c r="AQ544" s="5">
        <f>N(Q544)*N(Z544)*N(BB544)</f>
        <v/>
      </c>
      <c r="AR544" s="5">
        <f>N(AF544)*(Assumptions!$B$13*N(BD544)-(1-Assumptions!$B$13)*Assumptions!$B$14)+N(AG544)</f>
        <v/>
      </c>
      <c r="AS544" s="5">
        <f>N(AO544)*N(M544)/90+N(AP544)+N(AQ544)+N(AR544)</f>
        <v/>
      </c>
      <c r="AT544" s="3">
        <f>IF(N(M544)&lt;=0,0,(N(AS544)-N(AR544))*90/N(M544))</f>
        <v/>
      </c>
      <c r="AU544" s="5">
        <f>IFERROR(AS544-VLOOKUP($C544,Assumptions!$A$36:$C$39,3,FALSE),"")</f>
        <v/>
      </c>
      <c r="AV544" s="3">
        <f>IFERROR(AU544/F544,"")</f>
        <v/>
      </c>
      <c r="AW544">
        <f>IF(AND($E544=TRUE,$C544="GKP"),AS544,"")</f>
        <v/>
      </c>
      <c r="AX544">
        <f>IF(AND($E544=TRUE,$C544="DEF"),AS544,"")</f>
        <v/>
      </c>
      <c r="AY544">
        <f>IF(AND($E544=TRUE,$C544="MID"),AS544,"")</f>
        <v/>
      </c>
      <c r="AZ544">
        <f>IF(AND($E544=TRUE,$C544="FWD"),AS544,"")</f>
        <v/>
      </c>
      <c r="BA544" t="n">
        <v>2</v>
      </c>
      <c r="BB544" t="n">
        <v>2</v>
      </c>
      <c r="BC544" t="n">
        <v>4</v>
      </c>
      <c r="BD544" t="n">
        <v>6</v>
      </c>
    </row>
    <row r="545">
      <c r="A545" t="inlineStr">
        <is>
          <t>Samuel Chukwueze</t>
        </is>
      </c>
      <c r="D545" t="inlineStr">
        <is>
          <t>MID</t>
        </is>
      </c>
      <c r="E545" t="b">
        <v>0</v>
      </c>
      <c r="F545" s="2" t="n"/>
      <c r="I545" s="2" t="n">
        <v>1075</v>
      </c>
      <c r="K545" s="3" t="n"/>
      <c r="M545" s="4" t="n">
        <v>1075</v>
      </c>
      <c r="N545" t="inlineStr">
        <is>
          <t>25/26 actual</t>
        </is>
      </c>
      <c r="O545" s="5" t="n">
        <v>74.5</v>
      </c>
      <c r="P545" t="b">
        <v>1</v>
      </c>
      <c r="Q545" s="5">
        <f>IF(N(O545)&lt;=0,0,MIN(Assumptions!$B$15,N(M545)/N(O545)))</f>
        <v/>
      </c>
      <c r="R545" s="4" t="n"/>
      <c r="S545" s="3" t="n">
        <v>0.1932</v>
      </c>
      <c r="T545" t="inlineStr">
        <is>
          <t>adjusted xGOT</t>
        </is>
      </c>
      <c r="U545" s="3" t="n">
        <v>1</v>
      </c>
      <c r="V545" s="3" t="n">
        <v>1.099</v>
      </c>
      <c r="W545" s="3" t="n">
        <v>2.1</v>
      </c>
      <c r="X545" s="3" t="n">
        <v>0.2374</v>
      </c>
      <c r="Y545" s="3" t="n">
        <v>7.535</v>
      </c>
      <c r="Z545" s="3" t="n">
        <v>0</v>
      </c>
      <c r="AA545" s="3" t="n">
        <v>0.1674</v>
      </c>
      <c r="AB545" s="3" t="n">
        <v>32</v>
      </c>
      <c r="AC545" s="3" t="n"/>
      <c r="AD545" s="3" t="n"/>
      <c r="AE545" s="3" t="n"/>
      <c r="AF545" s="4" t="n">
        <v>0</v>
      </c>
      <c r="AG545" s="3" t="n">
        <v>0</v>
      </c>
      <c r="AH545" s="3" t="n">
        <v>0</v>
      </c>
      <c r="AI545" s="3" t="n">
        <v>0</v>
      </c>
      <c r="AJ545" s="3">
        <f>N(R545)*N(BC545)</f>
        <v/>
      </c>
      <c r="AK545" s="3" t="n">
        <v>0</v>
      </c>
      <c r="AL545" s="3" t="n">
        <v>0</v>
      </c>
      <c r="AM545" s="3" t="n">
        <v>0</v>
      </c>
      <c r="AN545" s="3" t="n">
        <v>0</v>
      </c>
      <c r="AO545" s="3">
        <f>SUM(AH545:AN545)</f>
        <v/>
      </c>
      <c r="AP545" s="5">
        <f>IF(OR(N(Q545)&lt;=0,N(BA545)=0),0,N(Q545)*IF(N(M545)/N(Q545)&gt;=60,N(BA545),1))</f>
        <v/>
      </c>
      <c r="AQ545" s="5">
        <f>N(Q545)*N(Z545)*N(BB545)</f>
        <v/>
      </c>
      <c r="AR545" s="5">
        <f>N(AF545)*(Assumptions!$B$13*N(BD545)-(1-Assumptions!$B$13)*Assumptions!$B$14)+N(AG545)</f>
        <v/>
      </c>
      <c r="AS545" s="5">
        <f>N(AO545)*N(M545)/90+N(AP545)+N(AQ545)+N(AR545)</f>
        <v/>
      </c>
      <c r="AT545" s="3">
        <f>IF(N(M545)&lt;=0,0,(N(AS545)-N(AR545))*90/N(M545))</f>
        <v/>
      </c>
      <c r="AU545" s="5">
        <f>IFERROR(AS545-VLOOKUP($C545,Assumptions!$A$36:$C$39,3,FALSE),"")</f>
        <v/>
      </c>
      <c r="AV545" s="3">
        <f>IFERROR(AU545/F545,"")</f>
        <v/>
      </c>
      <c r="AW545">
        <f>IF(AND($E545=TRUE,$C545="GKP"),AS545,"")</f>
        <v/>
      </c>
      <c r="AX545">
        <f>IF(AND($E545=TRUE,$C545="DEF"),AS545,"")</f>
        <v/>
      </c>
      <c r="AY545">
        <f>IF(AND($E545=TRUE,$C545="MID"),AS545,"")</f>
        <v/>
      </c>
      <c r="AZ545">
        <f>IF(AND($E545=TRUE,$C545="FWD"),AS545,"")</f>
        <v/>
      </c>
      <c r="BA545" t="n">
        <v>0</v>
      </c>
      <c r="BB545" t="n">
        <v>0</v>
      </c>
      <c r="BC545" t="n">
        <v>0</v>
      </c>
      <c r="BD545" t="n">
        <v>0</v>
      </c>
    </row>
    <row r="546">
      <c r="A546" t="inlineStr">
        <is>
          <t>Ellis Simms</t>
        </is>
      </c>
      <c r="B546" t="inlineStr">
        <is>
          <t>COV</t>
        </is>
      </c>
      <c r="C546" t="inlineStr">
        <is>
          <t>FWD</t>
        </is>
      </c>
      <c r="E546" t="b">
        <v>1</v>
      </c>
      <c r="F546" s="2" t="n">
        <v>5</v>
      </c>
      <c r="G546" t="inlineStr">
        <is>
          <t>a</t>
        </is>
      </c>
      <c r="I546" s="2" t="n"/>
      <c r="K546" s="3" t="n">
        <v>744</v>
      </c>
      <c r="L546" t="inlineStr">
        <is>
          <t>fade (losing his place)</t>
        </is>
      </c>
      <c r="M546" s="4" t="n">
        <v>744</v>
      </c>
      <c r="N546" t="inlineStr">
        <is>
          <t>Solio</t>
        </is>
      </c>
      <c r="O546" s="5" t="n">
        <v>85</v>
      </c>
      <c r="P546" t="b">
        <v>0</v>
      </c>
      <c r="Q546" s="5">
        <f>IF(N(O546)&lt;=0,0,MIN(Assumptions!$B$15,N(M546)/N(O546)))</f>
        <v/>
      </c>
      <c r="R546" s="4" t="n">
        <v>0.17</v>
      </c>
      <c r="S546" s="3" t="n"/>
      <c r="T546" t="inlineStr"/>
      <c r="U546" s="3" t="n">
        <v>1</v>
      </c>
      <c r="V546" s="3" t="n"/>
      <c r="W546" s="3" t="n"/>
      <c r="X546" s="3" t="n"/>
      <c r="Y546" s="3" t="n"/>
      <c r="Z546" s="3" t="n">
        <v>0</v>
      </c>
      <c r="AA546" s="3" t="n"/>
      <c r="AB546" s="3" t="n"/>
      <c r="AC546" s="3" t="n">
        <v>3.6194</v>
      </c>
      <c r="AD546" s="3" t="n">
        <v>1.8271</v>
      </c>
      <c r="AE546" s="3" t="n">
        <v>-0.174691292596322</v>
      </c>
      <c r="AF546" s="4" t="n">
        <v>0</v>
      </c>
      <c r="AG546" s="3" t="n">
        <v>0</v>
      </c>
      <c r="AH546" s="3" t="n">
        <v>0</v>
      </c>
      <c r="AI546" s="3" t="n">
        <v>0</v>
      </c>
      <c r="AJ546" s="3">
        <f>N(R546)*N(BC546)</f>
        <v/>
      </c>
      <c r="AK546" s="3" t="n">
        <v>0</v>
      </c>
      <c r="AL546" s="3" t="n">
        <v>0</v>
      </c>
      <c r="AM546" s="3" t="n">
        <v>-0</v>
      </c>
      <c r="AN546" s="3" t="n">
        <v>-0.174691292596322</v>
      </c>
      <c r="AO546" s="3">
        <f>SUM(AH546:AN546)</f>
        <v/>
      </c>
      <c r="AP546" s="5">
        <f>IF(OR(N(Q546)&lt;=0,N(BA546)=0),0,N(Q546)*IF(N(M546)/N(Q546)&gt;=60,N(BA546),1))</f>
        <v/>
      </c>
      <c r="AQ546" s="5">
        <f>N(Q546)*N(Z546)*N(BB546)</f>
        <v/>
      </c>
      <c r="AR546" s="5">
        <f>N(AF546)*(Assumptions!$B$13*N(BD546)-(1-Assumptions!$B$13)*Assumptions!$B$14)+N(AG546)</f>
        <v/>
      </c>
      <c r="AS546" s="5">
        <f>N(AO546)*N(M546)/90+N(AP546)+N(AQ546)+N(AR546)</f>
        <v/>
      </c>
      <c r="AT546" s="3">
        <f>IF(N(M546)&lt;=0,0,(N(AS546)-N(AR546))*90/N(M546))</f>
        <v/>
      </c>
      <c r="AU546" s="5">
        <f>IFERROR(AS546-VLOOKUP($C546,Assumptions!$A$36:$C$39,3,FALSE),"")</f>
        <v/>
      </c>
      <c r="AV546" s="3">
        <f>IFERROR(AU546/F546,"")</f>
        <v/>
      </c>
      <c r="AW546">
        <f>IF(AND($E546=TRUE,$C546="GKP"),AS546,"")</f>
        <v/>
      </c>
      <c r="AX546">
        <f>IF(AND($E546=TRUE,$C546="DEF"),AS546,"")</f>
        <v/>
      </c>
      <c r="AY546">
        <f>IF(AND($E546=TRUE,$C546="MID"),AS546,"")</f>
        <v/>
      </c>
      <c r="AZ546">
        <f>IF(AND($E546=TRUE,$C546="FWD"),AS546,"")</f>
        <v/>
      </c>
      <c r="BA546" t="n">
        <v>2</v>
      </c>
      <c r="BB546" t="n">
        <v>2</v>
      </c>
      <c r="BC546" t="n">
        <v>0</v>
      </c>
      <c r="BD546" t="n">
        <v>4</v>
      </c>
    </row>
    <row r="547">
      <c r="A547" t="inlineStr">
        <is>
          <t>Luke Woolfenden</t>
        </is>
      </c>
      <c r="B547" t="inlineStr">
        <is>
          <t>COV</t>
        </is>
      </c>
      <c r="C547" t="inlineStr">
        <is>
          <t>DEF</t>
        </is>
      </c>
      <c r="E547" t="b">
        <v>1</v>
      </c>
      <c r="F547" s="2" t="n">
        <v>4</v>
      </c>
      <c r="G547" t="inlineStr">
        <is>
          <t>a</t>
        </is>
      </c>
      <c r="I547" s="2" t="n"/>
      <c r="K547" s="3" t="n">
        <v>270</v>
      </c>
      <c r="L547" t="inlineStr">
        <is>
          <t>flat</t>
        </is>
      </c>
      <c r="M547" s="4" t="n">
        <v>270</v>
      </c>
      <c r="N547" t="inlineStr">
        <is>
          <t>Solio</t>
        </is>
      </c>
      <c r="O547" s="5" t="n">
        <v>85</v>
      </c>
      <c r="P547" t="b">
        <v>0</v>
      </c>
      <c r="Q547" s="5">
        <f>IF(N(O547)&lt;=0,0,MIN(Assumptions!$B$15,N(M547)/N(O547)))</f>
        <v/>
      </c>
      <c r="R547" s="4" t="n">
        <v>0.17</v>
      </c>
      <c r="S547" s="3" t="n"/>
      <c r="T547" t="inlineStr"/>
      <c r="U547" s="3" t="n">
        <v>1</v>
      </c>
      <c r="V547" s="3" t="n"/>
      <c r="W547" s="3" t="n"/>
      <c r="X547" s="3" t="n"/>
      <c r="Y547" s="3" t="n"/>
      <c r="Z547" s="3" t="n">
        <v>0</v>
      </c>
      <c r="AA547" s="3" t="n"/>
      <c r="AB547" s="3" t="n"/>
      <c r="AC547" s="3" t="n">
        <v>3.6194</v>
      </c>
      <c r="AD547" s="3" t="n">
        <v>1.8271</v>
      </c>
      <c r="AE547" s="3" t="n">
        <v>-0.1940389217566572</v>
      </c>
      <c r="AF547" s="4" t="n">
        <v>0</v>
      </c>
      <c r="AG547" s="3" t="n">
        <v>0</v>
      </c>
      <c r="AH547" s="3" t="n">
        <v>0</v>
      </c>
      <c r="AI547" s="3" t="n">
        <v>0</v>
      </c>
      <c r="AJ547" s="3">
        <f>N(R547)*N(BC547)</f>
        <v/>
      </c>
      <c r="AK547" s="3" t="n">
        <v>0</v>
      </c>
      <c r="AL547" s="3" t="n">
        <v>0</v>
      </c>
      <c r="AM547" s="3" t="n">
        <v>-0.670020548738316</v>
      </c>
      <c r="AN547" s="3" t="n">
        <v>-0.1940389217566572</v>
      </c>
      <c r="AO547" s="3">
        <f>SUM(AH547:AN547)</f>
        <v/>
      </c>
      <c r="AP547" s="5">
        <f>IF(OR(N(Q547)&lt;=0,N(BA547)=0),0,N(Q547)*IF(N(M547)/N(Q547)&gt;=60,N(BA547),1))</f>
        <v/>
      </c>
      <c r="AQ547" s="5">
        <f>N(Q547)*N(Z547)*N(BB547)</f>
        <v/>
      </c>
      <c r="AR547" s="5">
        <f>N(AF547)*(Assumptions!$B$13*N(BD547)-(1-Assumptions!$B$13)*Assumptions!$B$14)+N(AG547)</f>
        <v/>
      </c>
      <c r="AS547" s="5">
        <f>N(AO547)*N(M547)/90+N(AP547)+N(AQ547)+N(AR547)</f>
        <v/>
      </c>
      <c r="AT547" s="3">
        <f>IF(N(M547)&lt;=0,0,(N(AS547)-N(AR547))*90/N(M547))</f>
        <v/>
      </c>
      <c r="AU547" s="5">
        <f>IFERROR(AS547-VLOOKUP($C547,Assumptions!$A$36:$C$39,3,FALSE),"")</f>
        <v/>
      </c>
      <c r="AV547" s="3">
        <f>IFERROR(AU547/F547,"")</f>
        <v/>
      </c>
      <c r="AW547">
        <f>IF(AND($E547=TRUE,$C547="GKP"),AS547,"")</f>
        <v/>
      </c>
      <c r="AX547">
        <f>IF(AND($E547=TRUE,$C547="DEF"),AS547,"")</f>
        <v/>
      </c>
      <c r="AY547">
        <f>IF(AND($E547=TRUE,$C547="MID"),AS547,"")</f>
        <v/>
      </c>
      <c r="AZ547">
        <f>IF(AND($E547=TRUE,$C547="FWD"),AS547,"")</f>
        <v/>
      </c>
      <c r="BA547" t="n">
        <v>2</v>
      </c>
      <c r="BB547" t="n">
        <v>2</v>
      </c>
      <c r="BC547" t="n">
        <v>4</v>
      </c>
      <c r="BD547" t="n">
        <v>6</v>
      </c>
    </row>
    <row r="548">
      <c r="A548" t="inlineStr">
        <is>
          <t>Ben Johnson</t>
        </is>
      </c>
      <c r="B548" t="inlineStr">
        <is>
          <t>IPS</t>
        </is>
      </c>
      <c r="C548" t="inlineStr">
        <is>
          <t>DEF</t>
        </is>
      </c>
      <c r="E548" t="b">
        <v>1</v>
      </c>
      <c r="F548" s="2" t="n">
        <v>4</v>
      </c>
      <c r="G548" t="inlineStr">
        <is>
          <t>a</t>
        </is>
      </c>
      <c r="I548" s="2" t="n"/>
      <c r="K548" s="3" t="n">
        <v>382</v>
      </c>
      <c r="L548" t="inlineStr">
        <is>
          <t>flat</t>
        </is>
      </c>
      <c r="M548" s="4" t="n">
        <v>382</v>
      </c>
      <c r="N548" t="inlineStr">
        <is>
          <t>Solio</t>
        </is>
      </c>
      <c r="O548" s="5" t="n">
        <v>85</v>
      </c>
      <c r="P548" t="b">
        <v>0</v>
      </c>
      <c r="Q548" s="5">
        <f>IF(N(O548)&lt;=0,0,MIN(Assumptions!$B$15,N(M548)/N(O548)))</f>
        <v/>
      </c>
      <c r="R548" s="4" t="n">
        <v>0.17</v>
      </c>
      <c r="S548" s="3" t="n"/>
      <c r="T548" t="inlineStr"/>
      <c r="U548" s="3" t="n">
        <v>1</v>
      </c>
      <c r="V548" s="3" t="n"/>
      <c r="W548" s="3" t="n"/>
      <c r="X548" s="3" t="n"/>
      <c r="Y548" s="3" t="n"/>
      <c r="Z548" s="3" t="n">
        <v>0</v>
      </c>
      <c r="AA548" s="3" t="n"/>
      <c r="AB548" s="3" t="n"/>
      <c r="AC548" s="3" t="n">
        <v>3.5741</v>
      </c>
      <c r="AD548" s="3" t="n">
        <v>1.8319</v>
      </c>
      <c r="AE548" s="3" t="n">
        <v>-0.2087847133313149</v>
      </c>
      <c r="AF548" s="4" t="n">
        <v>0</v>
      </c>
      <c r="AG548" s="3" t="n">
        <v>0</v>
      </c>
      <c r="AH548" s="3" t="n">
        <v>0</v>
      </c>
      <c r="AI548" s="3" t="n">
        <v>0</v>
      </c>
      <c r="AJ548" s="3">
        <f>N(R548)*N(BC548)</f>
        <v/>
      </c>
      <c r="AK548" s="3" t="n">
        <v>0</v>
      </c>
      <c r="AL548" s="3" t="n">
        <v>0</v>
      </c>
      <c r="AM548" s="3" t="n">
        <v>-0.6723587286814016</v>
      </c>
      <c r="AN548" s="3" t="n">
        <v>-0.2087847133313149</v>
      </c>
      <c r="AO548" s="3">
        <f>SUM(AH548:AN548)</f>
        <v/>
      </c>
      <c r="AP548" s="5">
        <f>IF(OR(N(Q548)&lt;=0,N(BA548)=0),0,N(Q548)*IF(N(M548)/N(Q548)&gt;=60,N(BA548),1))</f>
        <v/>
      </c>
      <c r="AQ548" s="5">
        <f>N(Q548)*N(Z548)*N(BB548)</f>
        <v/>
      </c>
      <c r="AR548" s="5">
        <f>N(AF548)*(Assumptions!$B$13*N(BD548)-(1-Assumptions!$B$13)*Assumptions!$B$14)+N(AG548)</f>
        <v/>
      </c>
      <c r="AS548" s="5">
        <f>N(AO548)*N(M548)/90+N(AP548)+N(AQ548)+N(AR548)</f>
        <v/>
      </c>
      <c r="AT548" s="3">
        <f>IF(N(M548)&lt;=0,0,(N(AS548)-N(AR548))*90/N(M548))</f>
        <v/>
      </c>
      <c r="AU548" s="5">
        <f>IFERROR(AS548-VLOOKUP($C548,Assumptions!$A$36:$C$39,3,FALSE),"")</f>
        <v/>
      </c>
      <c r="AV548" s="3">
        <f>IFERROR(AU548/F548,"")</f>
        <v/>
      </c>
      <c r="AW548">
        <f>IF(AND($E548=TRUE,$C548="GKP"),AS548,"")</f>
        <v/>
      </c>
      <c r="AX548">
        <f>IF(AND($E548=TRUE,$C548="DEF"),AS548,"")</f>
        <v/>
      </c>
      <c r="AY548">
        <f>IF(AND($E548=TRUE,$C548="MID"),AS548,"")</f>
        <v/>
      </c>
      <c r="AZ548">
        <f>IF(AND($E548=TRUE,$C548="FWD"),AS548,"")</f>
        <v/>
      </c>
      <c r="BA548" t="n">
        <v>2</v>
      </c>
      <c r="BB548" t="n">
        <v>2</v>
      </c>
      <c r="BC548" t="n">
        <v>4</v>
      </c>
      <c r="BD548" t="n">
        <v>6</v>
      </c>
    </row>
    <row r="549">
      <c r="A549" t="inlineStr">
        <is>
          <t>George Hirst</t>
        </is>
      </c>
      <c r="B549" t="inlineStr">
        <is>
          <t>IPS</t>
        </is>
      </c>
      <c r="C549" t="inlineStr">
        <is>
          <t>FWD</t>
        </is>
      </c>
      <c r="E549" t="b">
        <v>1</v>
      </c>
      <c r="F549" s="2" t="n">
        <v>5</v>
      </c>
      <c r="G549" t="inlineStr">
        <is>
          <t>a</t>
        </is>
      </c>
      <c r="I549" s="2" t="n"/>
      <c r="K549" s="3" t="n">
        <v>448</v>
      </c>
      <c r="L549" t="inlineStr">
        <is>
          <t>flat</t>
        </is>
      </c>
      <c r="M549" s="4" t="n">
        <v>448</v>
      </c>
      <c r="N549" t="inlineStr">
        <is>
          <t>Solio</t>
        </is>
      </c>
      <c r="O549" s="5" t="n">
        <v>85</v>
      </c>
      <c r="P549" t="b">
        <v>0</v>
      </c>
      <c r="Q549" s="5">
        <f>IF(N(O549)&lt;=0,0,MIN(Assumptions!$B$15,N(M549)/N(O549)))</f>
        <v/>
      </c>
      <c r="R549" s="4" t="n">
        <v>0.17</v>
      </c>
      <c r="S549" s="3" t="n"/>
      <c r="T549" t="inlineStr"/>
      <c r="U549" s="3" t="n">
        <v>1</v>
      </c>
      <c r="V549" s="3" t="n"/>
      <c r="W549" s="3" t="n"/>
      <c r="X549" s="3" t="n"/>
      <c r="Y549" s="3" t="n"/>
      <c r="Z549" s="3" t="n">
        <v>0</v>
      </c>
      <c r="AA549" s="3" t="n"/>
      <c r="AB549" s="3" t="n"/>
      <c r="AC549" s="3" t="n">
        <v>3.5741</v>
      </c>
      <c r="AD549" s="3" t="n">
        <v>1.8319</v>
      </c>
      <c r="AE549" s="3" t="n">
        <v>-0.2288203642589416</v>
      </c>
      <c r="AF549" s="4" t="n">
        <v>0.092526340607123</v>
      </c>
      <c r="AG549" s="3" t="n">
        <v>0</v>
      </c>
      <c r="AH549" s="3" t="n">
        <v>0</v>
      </c>
      <c r="AI549" s="3" t="n">
        <v>0</v>
      </c>
      <c r="AJ549" s="3">
        <f>N(R549)*N(BC549)</f>
        <v/>
      </c>
      <c r="AK549" s="3" t="n">
        <v>0</v>
      </c>
      <c r="AL549" s="3" t="n">
        <v>0</v>
      </c>
      <c r="AM549" s="3" t="n">
        <v>-0</v>
      </c>
      <c r="AN549" s="3" t="n">
        <v>-0.2288203642589416</v>
      </c>
      <c r="AO549" s="3">
        <f>SUM(AH549:AN549)</f>
        <v/>
      </c>
      <c r="AP549" s="5">
        <f>IF(OR(N(Q549)&lt;=0,N(BA549)=0),0,N(Q549)*IF(N(M549)/N(Q549)&gt;=60,N(BA549),1))</f>
        <v/>
      </c>
      <c r="AQ549" s="5">
        <f>N(Q549)*N(Z549)*N(BB549)</f>
        <v/>
      </c>
      <c r="AR549" s="5">
        <f>N(AF549)*(Assumptions!$B$13*N(BD549)-(1-Assumptions!$B$13)*Assumptions!$B$14)+N(AG549)</f>
        <v/>
      </c>
      <c r="AS549" s="5">
        <f>N(AO549)*N(M549)/90+N(AP549)+N(AQ549)+N(AR549)</f>
        <v/>
      </c>
      <c r="AT549" s="3">
        <f>IF(N(M549)&lt;=0,0,(N(AS549)-N(AR549))*90/N(M549))</f>
        <v/>
      </c>
      <c r="AU549" s="5">
        <f>IFERROR(AS549-VLOOKUP($C549,Assumptions!$A$36:$C$39,3,FALSE),"")</f>
        <v/>
      </c>
      <c r="AV549" s="3">
        <f>IFERROR(AU549/F549,"")</f>
        <v/>
      </c>
      <c r="AW549">
        <f>IF(AND($E549=TRUE,$C549="GKP"),AS549,"")</f>
        <v/>
      </c>
      <c r="AX549">
        <f>IF(AND($E549=TRUE,$C549="DEF"),AS549,"")</f>
        <v/>
      </c>
      <c r="AY549">
        <f>IF(AND($E549=TRUE,$C549="MID"),AS549,"")</f>
        <v/>
      </c>
      <c r="AZ549">
        <f>IF(AND($E549=TRUE,$C549="FWD"),AS549,"")</f>
        <v/>
      </c>
      <c r="BA549" t="n">
        <v>2</v>
      </c>
      <c r="BB549" t="n">
        <v>2</v>
      </c>
      <c r="BC549" t="n">
        <v>0</v>
      </c>
      <c r="BD549" t="n">
        <v>4</v>
      </c>
    </row>
    <row r="550">
      <c r="A550" t="inlineStr">
        <is>
          <t>Tyrell Malacia</t>
        </is>
      </c>
      <c r="D550" t="inlineStr">
        <is>
          <t>DEF</t>
        </is>
      </c>
      <c r="E550" t="b">
        <v>0</v>
      </c>
      <c r="F550" s="2" t="n"/>
      <c r="I550" s="2" t="n">
        <v>15</v>
      </c>
      <c r="K550" s="3" t="n"/>
      <c r="M550" s="4" t="n">
        <v>15</v>
      </c>
      <c r="N550" t="inlineStr">
        <is>
          <t>25/26 actual</t>
        </is>
      </c>
      <c r="O550" s="5" t="n">
        <v>85</v>
      </c>
      <c r="P550" t="b">
        <v>1</v>
      </c>
      <c r="Q550" s="5">
        <f>IF(N(O550)&lt;=0,0,MIN(Assumptions!$B$15,N(M550)/N(O550)))</f>
        <v/>
      </c>
      <c r="R550" s="4" t="n"/>
      <c r="S550" s="3" t="n">
        <v>0</v>
      </c>
      <c r="T550" t="inlineStr">
        <is>
          <t>adjusted xGOT</t>
        </is>
      </c>
      <c r="U550" s="3" t="n">
        <v>1</v>
      </c>
      <c r="V550" s="3" t="n">
        <v>0.984</v>
      </c>
      <c r="W550" s="3" t="n">
        <v>0.2</v>
      </c>
      <c r="X550" s="3" t="n"/>
      <c r="Y550" s="3" t="n">
        <v>8.018000000000001</v>
      </c>
      <c r="Z550" s="3" t="n">
        <v>0</v>
      </c>
      <c r="AA550" s="3" t="n">
        <v>0</v>
      </c>
      <c r="AB550" s="3" t="n">
        <v>3</v>
      </c>
      <c r="AC550" s="3" t="n"/>
      <c r="AD550" s="3" t="n"/>
      <c r="AE550" s="3" t="n"/>
      <c r="AF550" s="4" t="n">
        <v>0</v>
      </c>
      <c r="AG550" s="3" t="n">
        <v>0</v>
      </c>
      <c r="AH550" s="3" t="n">
        <v>0</v>
      </c>
      <c r="AI550" s="3" t="n">
        <v>0</v>
      </c>
      <c r="AJ550" s="3">
        <f>N(R550)*N(BC550)</f>
        <v/>
      </c>
      <c r="AK550" s="3" t="n">
        <v>0</v>
      </c>
      <c r="AL550" s="3" t="n">
        <v>0</v>
      </c>
      <c r="AM550" s="3" t="n">
        <v>0</v>
      </c>
      <c r="AN550" s="3" t="n">
        <v>0</v>
      </c>
      <c r="AO550" s="3">
        <f>SUM(AH550:AN550)</f>
        <v/>
      </c>
      <c r="AP550" s="5">
        <f>IF(OR(N(Q550)&lt;=0,N(BA550)=0),0,N(Q550)*IF(N(M550)/N(Q550)&gt;=60,N(BA550),1))</f>
        <v/>
      </c>
      <c r="AQ550" s="5">
        <f>N(Q550)*N(Z550)*N(BB550)</f>
        <v/>
      </c>
      <c r="AR550" s="5">
        <f>N(AF550)*(Assumptions!$B$13*N(BD550)-(1-Assumptions!$B$13)*Assumptions!$B$14)+N(AG550)</f>
        <v/>
      </c>
      <c r="AS550" s="5">
        <f>N(AO550)*N(M550)/90+N(AP550)+N(AQ550)+N(AR550)</f>
        <v/>
      </c>
      <c r="AT550" s="3">
        <f>IF(N(M550)&lt;=0,0,(N(AS550)-N(AR550))*90/N(M550))</f>
        <v/>
      </c>
      <c r="AU550" s="5">
        <f>IFERROR(AS550-VLOOKUP($C550,Assumptions!$A$36:$C$39,3,FALSE),"")</f>
        <v/>
      </c>
      <c r="AV550" s="3">
        <f>IFERROR(AU550/F550,"")</f>
        <v/>
      </c>
      <c r="AW550">
        <f>IF(AND($E550=TRUE,$C550="GKP"),AS550,"")</f>
        <v/>
      </c>
      <c r="AX550">
        <f>IF(AND($E550=TRUE,$C550="DEF"),AS550,"")</f>
        <v/>
      </c>
      <c r="AY550">
        <f>IF(AND($E550=TRUE,$C550="MID"),AS550,"")</f>
        <v/>
      </c>
      <c r="AZ550">
        <f>IF(AND($E550=TRUE,$C550="FWD"),AS550,"")</f>
        <v/>
      </c>
      <c r="BA550" t="n">
        <v>0</v>
      </c>
      <c r="BB550" t="n">
        <v>0</v>
      </c>
      <c r="BC550" t="n">
        <v>0</v>
      </c>
      <c r="BD550" t="n">
        <v>0</v>
      </c>
    </row>
    <row r="551">
      <c r="A551" t="inlineStr">
        <is>
          <t>Dan Neil</t>
        </is>
      </c>
      <c r="D551" t="inlineStr">
        <is>
          <t>MID</t>
        </is>
      </c>
      <c r="E551" t="b">
        <v>0</v>
      </c>
      <c r="F551" s="2" t="n"/>
      <c r="I551" s="2" t="n">
        <v>13</v>
      </c>
      <c r="K551" s="3" t="n"/>
      <c r="M551" s="4" t="n">
        <v>13</v>
      </c>
      <c r="N551" t="inlineStr">
        <is>
          <t>25/26 actual</t>
        </is>
      </c>
      <c r="O551" s="5" t="n">
        <v>85</v>
      </c>
      <c r="P551" t="b">
        <v>1</v>
      </c>
      <c r="Q551" s="5">
        <f>IF(N(O551)&lt;=0,0,MIN(Assumptions!$B$15,N(M551)/N(O551)))</f>
        <v/>
      </c>
      <c r="R551" s="4" t="n"/>
      <c r="S551" s="3" t="n">
        <v>0</v>
      </c>
      <c r="T551" t="inlineStr">
        <is>
          <t>blended xG</t>
        </is>
      </c>
      <c r="U551" s="3" t="n">
        <v>1</v>
      </c>
      <c r="V551" s="3" t="n">
        <v>1</v>
      </c>
      <c r="W551" s="3" t="n">
        <v>0</v>
      </c>
      <c r="X551" s="3" t="n">
        <v>0</v>
      </c>
      <c r="Y551" s="3" t="n">
        <v>8.67</v>
      </c>
      <c r="Z551" s="3" t="n">
        <v>0</v>
      </c>
      <c r="AA551" s="3" t="n">
        <v>0</v>
      </c>
      <c r="AB551" s="3" t="n">
        <v>3</v>
      </c>
      <c r="AC551" s="3" t="n"/>
      <c r="AD551" s="3" t="n"/>
      <c r="AE551" s="3" t="n"/>
      <c r="AF551" s="4" t="n">
        <v>0</v>
      </c>
      <c r="AG551" s="3" t="n">
        <v>0</v>
      </c>
      <c r="AH551" s="3" t="n">
        <v>0</v>
      </c>
      <c r="AI551" s="3" t="n">
        <v>0</v>
      </c>
      <c r="AJ551" s="3">
        <f>N(R551)*N(BC551)</f>
        <v/>
      </c>
      <c r="AK551" s="3" t="n">
        <v>0</v>
      </c>
      <c r="AL551" s="3" t="n">
        <v>0</v>
      </c>
      <c r="AM551" s="3" t="n">
        <v>0</v>
      </c>
      <c r="AN551" s="3" t="n">
        <v>0</v>
      </c>
      <c r="AO551" s="3">
        <f>SUM(AH551:AN551)</f>
        <v/>
      </c>
      <c r="AP551" s="5">
        <f>IF(OR(N(Q551)&lt;=0,N(BA551)=0),0,N(Q551)*IF(N(M551)/N(Q551)&gt;=60,N(BA551),1))</f>
        <v/>
      </c>
      <c r="AQ551" s="5">
        <f>N(Q551)*N(Z551)*N(BB551)</f>
        <v/>
      </c>
      <c r="AR551" s="5">
        <f>N(AF551)*(Assumptions!$B$13*N(BD551)-(1-Assumptions!$B$13)*Assumptions!$B$14)+N(AG551)</f>
        <v/>
      </c>
      <c r="AS551" s="5">
        <f>N(AO551)*N(M551)/90+N(AP551)+N(AQ551)+N(AR551)</f>
        <v/>
      </c>
      <c r="AT551" s="3">
        <f>IF(N(M551)&lt;=0,0,(N(AS551)-N(AR551))*90/N(M551))</f>
        <v/>
      </c>
      <c r="AU551" s="5">
        <f>IFERROR(AS551-VLOOKUP($C551,Assumptions!$A$36:$C$39,3,FALSE),"")</f>
        <v/>
      </c>
      <c r="AV551" s="3">
        <f>IFERROR(AU551/F551,"")</f>
        <v/>
      </c>
      <c r="AW551">
        <f>IF(AND($E551=TRUE,$C551="GKP"),AS551,"")</f>
        <v/>
      </c>
      <c r="AX551">
        <f>IF(AND($E551=TRUE,$C551="DEF"),AS551,"")</f>
        <v/>
      </c>
      <c r="AY551">
        <f>IF(AND($E551=TRUE,$C551="MID"),AS551,"")</f>
        <v/>
      </c>
      <c r="AZ551">
        <f>IF(AND($E551=TRUE,$C551="FWD"),AS551,"")</f>
        <v/>
      </c>
      <c r="BA551" t="n">
        <v>0</v>
      </c>
      <c r="BB551" t="n">
        <v>0</v>
      </c>
      <c r="BC551" t="n">
        <v>0</v>
      </c>
      <c r="BD551" t="n">
        <v>0</v>
      </c>
    </row>
    <row r="552">
      <c r="A552" t="inlineStr">
        <is>
          <t>Takehiro Tomiyasu</t>
        </is>
      </c>
      <c r="B552" t="inlineStr">
        <is>
          <t>CRY</t>
        </is>
      </c>
      <c r="C552" t="inlineStr">
        <is>
          <t>DEF</t>
        </is>
      </c>
      <c r="E552" t="b">
        <v>1</v>
      </c>
      <c r="F552" s="2" t="n">
        <v>4.5</v>
      </c>
      <c r="G552" t="inlineStr">
        <is>
          <t>a</t>
        </is>
      </c>
      <c r="I552" s="2" t="n"/>
      <c r="K552" s="3" t="n">
        <v>2822</v>
      </c>
      <c r="L552" t="inlineStr">
        <is>
          <t>flat</t>
        </is>
      </c>
      <c r="M552" s="4" t="n">
        <v>2822</v>
      </c>
      <c r="N552" t="inlineStr">
        <is>
          <t>Solio</t>
        </is>
      </c>
      <c r="O552" s="5" t="n">
        <v>85</v>
      </c>
      <c r="P552" t="b">
        <v>0</v>
      </c>
      <c r="Q552" s="5">
        <f>IF(N(O552)&lt;=0,0,MIN(Assumptions!$B$15,N(M552)/N(O552)))</f>
        <v/>
      </c>
      <c r="R552" s="4" t="n">
        <v>0.216</v>
      </c>
      <c r="S552" s="3" t="n"/>
      <c r="T552" t="inlineStr"/>
      <c r="U552" s="3" t="n">
        <v>1</v>
      </c>
      <c r="V552" s="3" t="n"/>
      <c r="W552" s="3" t="n"/>
      <c r="X552" s="3" t="n"/>
      <c r="Y552" s="3" t="n"/>
      <c r="Z552" s="3" t="n">
        <v>0</v>
      </c>
      <c r="AA552" s="3" t="n"/>
      <c r="AB552" s="3" t="n"/>
      <c r="AC552" s="3" t="n">
        <v>3.2035</v>
      </c>
      <c r="AD552" s="3" t="n">
        <v>1.5923</v>
      </c>
      <c r="AE552" s="3" t="n">
        <v>-0.1601682920894244</v>
      </c>
      <c r="AF552" s="4" t="n">
        <v>0</v>
      </c>
      <c r="AG552" s="3" t="n">
        <v>0</v>
      </c>
      <c r="AH552" s="3" t="n">
        <v>0</v>
      </c>
      <c r="AI552" s="3" t="n">
        <v>0</v>
      </c>
      <c r="AJ552" s="3">
        <f>N(R552)*N(BC552)</f>
        <v/>
      </c>
      <c r="AK552" s="3" t="n">
        <v>0</v>
      </c>
      <c r="AL552" s="3" t="n">
        <v>0</v>
      </c>
      <c r="AM552" s="3" t="n">
        <v>-0.5564987001023466</v>
      </c>
      <c r="AN552" s="3" t="n">
        <v>-0.1601682920894244</v>
      </c>
      <c r="AO552" s="3">
        <f>SUM(AH552:AN552)</f>
        <v/>
      </c>
      <c r="AP552" s="5">
        <f>IF(OR(N(Q552)&lt;=0,N(BA552)=0),0,N(Q552)*IF(N(M552)/N(Q552)&gt;=60,N(BA552),1))</f>
        <v/>
      </c>
      <c r="AQ552" s="5">
        <f>N(Q552)*N(Z552)*N(BB552)</f>
        <v/>
      </c>
      <c r="AR552" s="5">
        <f>N(AF552)*(Assumptions!$B$13*N(BD552)-(1-Assumptions!$B$13)*Assumptions!$B$14)+N(AG552)</f>
        <v/>
      </c>
      <c r="AS552" s="5">
        <f>N(AO552)*N(M552)/90+N(AP552)+N(AQ552)+N(AR552)</f>
        <v/>
      </c>
      <c r="AT552" s="3">
        <f>IF(N(M552)&lt;=0,0,(N(AS552)-N(AR552))*90/N(M552))</f>
        <v/>
      </c>
      <c r="AU552" s="5">
        <f>IFERROR(AS552-VLOOKUP($C552,Assumptions!$A$36:$C$39,3,FALSE),"")</f>
        <v/>
      </c>
      <c r="AV552" s="3">
        <f>IFERROR(AU552/F552,"")</f>
        <v/>
      </c>
      <c r="AW552">
        <f>IF(AND($E552=TRUE,$C552="GKP"),AS552,"")</f>
        <v/>
      </c>
      <c r="AX552">
        <f>IF(AND($E552=TRUE,$C552="DEF"),AS552,"")</f>
        <v/>
      </c>
      <c r="AY552">
        <f>IF(AND($E552=TRUE,$C552="MID"),AS552,"")</f>
        <v/>
      </c>
      <c r="AZ552">
        <f>IF(AND($E552=TRUE,$C552="FWD"),AS552,"")</f>
        <v/>
      </c>
      <c r="BA552" t="n">
        <v>2</v>
      </c>
      <c r="BB552" t="n">
        <v>2</v>
      </c>
      <c r="BC552" t="n">
        <v>4</v>
      </c>
      <c r="BD552" t="n">
        <v>6</v>
      </c>
    </row>
    <row r="553">
      <c r="A553" t="inlineStr">
        <is>
          <t>Lucas Paquetá</t>
        </is>
      </c>
      <c r="D553" t="inlineStr">
        <is>
          <t>MID</t>
        </is>
      </c>
      <c r="E553" t="b">
        <v>0</v>
      </c>
      <c r="F553" s="2" t="n"/>
      <c r="I553" s="2" t="n">
        <v>1521</v>
      </c>
      <c r="K553" s="3" t="n"/>
      <c r="M553" s="4" t="n">
        <v>1521</v>
      </c>
      <c r="N553" t="inlineStr">
        <is>
          <t>25/26 actual</t>
        </is>
      </c>
      <c r="O553" s="5" t="n">
        <v>84.09999999999999</v>
      </c>
      <c r="P553" t="b">
        <v>1</v>
      </c>
      <c r="Q553" s="5">
        <f>IF(N(O553)&lt;=0,0,MIN(Assumptions!$B$15,N(M553)/N(O553)))</f>
        <v/>
      </c>
      <c r="R553" s="4" t="n"/>
      <c r="S553" s="3" t="n">
        <v>0.0554</v>
      </c>
      <c r="T553" t="inlineStr">
        <is>
          <t>adjusted xGOT</t>
        </is>
      </c>
      <c r="U553" s="3" t="n">
        <v>0.376</v>
      </c>
      <c r="V553" s="3" t="n">
        <v>0.872</v>
      </c>
      <c r="W553" s="3" t="n">
        <v>17.8</v>
      </c>
      <c r="X553" s="3" t="n">
        <v>0.1782</v>
      </c>
      <c r="Y553" s="3" t="n">
        <v>8.65</v>
      </c>
      <c r="Z553" s="3" t="n">
        <v>0</v>
      </c>
      <c r="AA553" s="3" t="n">
        <v>0.4734</v>
      </c>
      <c r="AB553" s="3" t="n">
        <v>36</v>
      </c>
      <c r="AC553" s="3" t="n"/>
      <c r="AD553" s="3" t="n"/>
      <c r="AE553" s="3" t="n"/>
      <c r="AF553" s="4" t="n">
        <v>0</v>
      </c>
      <c r="AG553" s="3" t="n">
        <v>0</v>
      </c>
      <c r="AH553" s="3" t="n">
        <v>0</v>
      </c>
      <c r="AI553" s="3" t="n">
        <v>0</v>
      </c>
      <c r="AJ553" s="3">
        <f>N(R553)*N(BC553)</f>
        <v/>
      </c>
      <c r="AK553" s="3" t="n">
        <v>0</v>
      </c>
      <c r="AL553" s="3" t="n">
        <v>0</v>
      </c>
      <c r="AM553" s="3" t="n">
        <v>0</v>
      </c>
      <c r="AN553" s="3" t="n">
        <v>0</v>
      </c>
      <c r="AO553" s="3">
        <f>SUM(AH553:AN553)</f>
        <v/>
      </c>
      <c r="AP553" s="5">
        <f>IF(OR(N(Q553)&lt;=0,N(BA553)=0),0,N(Q553)*IF(N(M553)/N(Q553)&gt;=60,N(BA553),1))</f>
        <v/>
      </c>
      <c r="AQ553" s="5">
        <f>N(Q553)*N(Z553)*N(BB553)</f>
        <v/>
      </c>
      <c r="AR553" s="5">
        <f>N(AF553)*(Assumptions!$B$13*N(BD553)-(1-Assumptions!$B$13)*Assumptions!$B$14)+N(AG553)</f>
        <v/>
      </c>
      <c r="AS553" s="5">
        <f>N(AO553)*N(M553)/90+N(AP553)+N(AQ553)+N(AR553)</f>
        <v/>
      </c>
      <c r="AT553" s="3">
        <f>IF(N(M553)&lt;=0,0,(N(AS553)-N(AR553))*90/N(M553))</f>
        <v/>
      </c>
      <c r="AU553" s="5">
        <f>IFERROR(AS553-VLOOKUP($C553,Assumptions!$A$36:$C$39,3,FALSE),"")</f>
        <v/>
      </c>
      <c r="AV553" s="3">
        <f>IFERROR(AU553/F553,"")</f>
        <v/>
      </c>
      <c r="AW553">
        <f>IF(AND($E553=TRUE,$C553="GKP"),AS553,"")</f>
        <v/>
      </c>
      <c r="AX553">
        <f>IF(AND($E553=TRUE,$C553="DEF"),AS553,"")</f>
        <v/>
      </c>
      <c r="AY553">
        <f>IF(AND($E553=TRUE,$C553="MID"),AS553,"")</f>
        <v/>
      </c>
      <c r="AZ553">
        <f>IF(AND($E553=TRUE,$C553="FWD"),AS553,"")</f>
        <v/>
      </c>
      <c r="BA553" t="n">
        <v>0</v>
      </c>
      <c r="BB553" t="n">
        <v>0</v>
      </c>
      <c r="BC553" t="n">
        <v>0</v>
      </c>
      <c r="BD553" t="n">
        <v>0</v>
      </c>
    </row>
    <row r="554">
      <c r="A554" t="inlineStr">
        <is>
          <t>Aaron Ramsdale</t>
        </is>
      </c>
      <c r="D554" t="inlineStr">
        <is>
          <t>GKP</t>
        </is>
      </c>
      <c r="E554" t="b">
        <v>0</v>
      </c>
      <c r="F554" s="2" t="n"/>
      <c r="I554" s="2" t="n">
        <v>1003</v>
      </c>
      <c r="K554" s="3" t="n"/>
      <c r="M554" s="4" t="n">
        <v>1003</v>
      </c>
      <c r="N554" t="inlineStr">
        <is>
          <t>25/26 actual</t>
        </is>
      </c>
      <c r="O554" s="5" t="n">
        <v>90</v>
      </c>
      <c r="P554" t="b">
        <v>1</v>
      </c>
      <c r="Q554" s="5">
        <f>IF(N(O554)&lt;=0,0,MIN(Assumptions!$B$15,N(M554)/N(O554)))</f>
        <v/>
      </c>
      <c r="R554" s="4" t="n"/>
      <c r="S554" s="3" t="n">
        <v>0</v>
      </c>
      <c r="T554" t="inlineStr">
        <is>
          <t>blended xG</t>
        </is>
      </c>
      <c r="U554" s="3" t="n">
        <v>1</v>
      </c>
      <c r="V554" s="3" t="n">
        <v>1</v>
      </c>
      <c r="W554" s="3" t="n">
        <v>0</v>
      </c>
      <c r="X554" s="3" t="n">
        <v>0.0064</v>
      </c>
      <c r="Y554" s="3" t="n">
        <v>0</v>
      </c>
      <c r="Z554" s="3" t="n">
        <v>0</v>
      </c>
      <c r="AA554" s="3" t="n">
        <v>0.0897</v>
      </c>
      <c r="AB554" s="3" t="n">
        <v>23</v>
      </c>
      <c r="AC554" s="3" t="n"/>
      <c r="AD554" s="3" t="n"/>
      <c r="AE554" s="3" t="n"/>
      <c r="AF554" s="4" t="n">
        <v>0</v>
      </c>
      <c r="AG554" s="3" t="n">
        <v>0</v>
      </c>
      <c r="AH554" s="3" t="n">
        <v>0</v>
      </c>
      <c r="AI554" s="3" t="n">
        <v>0</v>
      </c>
      <c r="AJ554" s="3">
        <f>N(R554)*N(BC554)</f>
        <v/>
      </c>
      <c r="AK554" s="3" t="n">
        <v>0</v>
      </c>
      <c r="AL554" s="3" t="n">
        <v>0</v>
      </c>
      <c r="AM554" s="3" t="n">
        <v>0</v>
      </c>
      <c r="AN554" s="3" t="n">
        <v>0</v>
      </c>
      <c r="AO554" s="3">
        <f>SUM(AH554:AN554)</f>
        <v/>
      </c>
      <c r="AP554" s="5">
        <f>IF(OR(N(Q554)&lt;=0,N(BA554)=0),0,N(Q554)*IF(N(M554)/N(Q554)&gt;=60,N(BA554),1))</f>
        <v/>
      </c>
      <c r="AQ554" s="5">
        <f>N(Q554)*N(Z554)*N(BB554)</f>
        <v/>
      </c>
      <c r="AR554" s="5">
        <f>N(AF554)*(Assumptions!$B$13*N(BD554)-(1-Assumptions!$B$13)*Assumptions!$B$14)+N(AG554)</f>
        <v/>
      </c>
      <c r="AS554" s="5">
        <f>N(AO554)*N(M554)/90+N(AP554)+N(AQ554)+N(AR554)</f>
        <v/>
      </c>
      <c r="AT554" s="3">
        <f>IF(N(M554)&lt;=0,0,(N(AS554)-N(AR554))*90/N(M554))</f>
        <v/>
      </c>
      <c r="AU554" s="5">
        <f>IFERROR(AS554-VLOOKUP($C554,Assumptions!$A$36:$C$39,3,FALSE),"")</f>
        <v/>
      </c>
      <c r="AV554" s="3">
        <f>IFERROR(AU554/F554,"")</f>
        <v/>
      </c>
      <c r="AW554">
        <f>IF(AND($E554=TRUE,$C554="GKP"),AS554,"")</f>
        <v/>
      </c>
      <c r="AX554">
        <f>IF(AND($E554=TRUE,$C554="DEF"),AS554,"")</f>
        <v/>
      </c>
      <c r="AY554">
        <f>IF(AND($E554=TRUE,$C554="MID"),AS554,"")</f>
        <v/>
      </c>
      <c r="AZ554">
        <f>IF(AND($E554=TRUE,$C554="FWD"),AS554,"")</f>
        <v/>
      </c>
      <c r="BA554" t="n">
        <v>0</v>
      </c>
      <c r="BB554" t="n">
        <v>0</v>
      </c>
      <c r="BC554" t="n">
        <v>0</v>
      </c>
      <c r="BD554" t="n">
        <v>0</v>
      </c>
    </row>
    <row r="555">
      <c r="A555" t="inlineStr">
        <is>
          <t>Victor Torp</t>
        </is>
      </c>
      <c r="B555" t="inlineStr">
        <is>
          <t>COV</t>
        </is>
      </c>
      <c r="C555" t="inlineStr">
        <is>
          <t>MID</t>
        </is>
      </c>
      <c r="E555" t="b">
        <v>1</v>
      </c>
      <c r="F555" s="2" t="n">
        <v>5.5</v>
      </c>
      <c r="G555" t="inlineStr">
        <is>
          <t>a</t>
        </is>
      </c>
      <c r="I555" s="2" t="n"/>
      <c r="K555" s="3" t="n">
        <v>724</v>
      </c>
      <c r="L555" t="inlineStr">
        <is>
          <t>flat</t>
        </is>
      </c>
      <c r="M555" s="4" t="n">
        <v>724</v>
      </c>
      <c r="N555" t="inlineStr">
        <is>
          <t>Solio</t>
        </is>
      </c>
      <c r="O555" s="5" t="n">
        <v>85</v>
      </c>
      <c r="P555" t="b">
        <v>0</v>
      </c>
      <c r="Q555" s="5">
        <f>IF(N(O555)&lt;=0,0,MIN(Assumptions!$B$15,N(M555)/N(O555)))</f>
        <v/>
      </c>
      <c r="R555" s="4" t="n">
        <v>0.17</v>
      </c>
      <c r="S555" s="3" t="n"/>
      <c r="T555" t="inlineStr"/>
      <c r="U555" s="3" t="n">
        <v>1</v>
      </c>
      <c r="V555" s="3" t="n"/>
      <c r="W555" s="3" t="n"/>
      <c r="X555" s="3" t="n"/>
      <c r="Y555" s="3" t="n"/>
      <c r="Z555" s="3" t="n">
        <v>0</v>
      </c>
      <c r="AA555" s="3" t="n"/>
      <c r="AB555" s="3" t="n"/>
      <c r="AC555" s="3" t="n">
        <v>3.6194</v>
      </c>
      <c r="AD555" s="3" t="n">
        <v>1.8271</v>
      </c>
      <c r="AE555" s="3" t="n">
        <v>-0.2160434166173144</v>
      </c>
      <c r="AF555" s="4" t="n">
        <v>0.1579568010773154</v>
      </c>
      <c r="AG555" s="3" t="n">
        <v>0</v>
      </c>
      <c r="AH555" s="3" t="n">
        <v>0</v>
      </c>
      <c r="AI555" s="3" t="n">
        <v>0</v>
      </c>
      <c r="AJ555" s="3">
        <f>N(R555)*N(BC555)</f>
        <v/>
      </c>
      <c r="AK555" s="3" t="n">
        <v>0</v>
      </c>
      <c r="AL555" s="3" t="n">
        <v>0</v>
      </c>
      <c r="AM555" s="3" t="n">
        <v>-0</v>
      </c>
      <c r="AN555" s="3" t="n">
        <v>-0.2160434166173144</v>
      </c>
      <c r="AO555" s="3">
        <f>SUM(AH555:AN555)</f>
        <v/>
      </c>
      <c r="AP555" s="5">
        <f>IF(OR(N(Q555)&lt;=0,N(BA555)=0),0,N(Q555)*IF(N(M555)/N(Q555)&gt;=60,N(BA555),1))</f>
        <v/>
      </c>
      <c r="AQ555" s="5">
        <f>N(Q555)*N(Z555)*N(BB555)</f>
        <v/>
      </c>
      <c r="AR555" s="5">
        <f>N(AF555)*(Assumptions!$B$13*N(BD555)-(1-Assumptions!$B$13)*Assumptions!$B$14)+N(AG555)</f>
        <v/>
      </c>
      <c r="AS555" s="5">
        <f>N(AO555)*N(M555)/90+N(AP555)+N(AQ555)+N(AR555)</f>
        <v/>
      </c>
      <c r="AT555" s="3">
        <f>IF(N(M555)&lt;=0,0,(N(AS555)-N(AR555))*90/N(M555))</f>
        <v/>
      </c>
      <c r="AU555" s="5">
        <f>IFERROR(AS555-VLOOKUP($C555,Assumptions!$A$36:$C$39,3,FALSE),"")</f>
        <v/>
      </c>
      <c r="AV555" s="3">
        <f>IFERROR(AU555/F555,"")</f>
        <v/>
      </c>
      <c r="AW555">
        <f>IF(AND($E555=TRUE,$C555="GKP"),AS555,"")</f>
        <v/>
      </c>
      <c r="AX555">
        <f>IF(AND($E555=TRUE,$C555="DEF"),AS555,"")</f>
        <v/>
      </c>
      <c r="AY555">
        <f>IF(AND($E555=TRUE,$C555="MID"),AS555,"")</f>
        <v/>
      </c>
      <c r="AZ555">
        <f>IF(AND($E555=TRUE,$C555="FWD"),AS555,"")</f>
        <v/>
      </c>
      <c r="BA555" t="n">
        <v>2</v>
      </c>
      <c r="BB555" t="n">
        <v>2</v>
      </c>
      <c r="BC555" t="n">
        <v>1</v>
      </c>
      <c r="BD555" t="n">
        <v>5</v>
      </c>
    </row>
    <row r="556">
      <c r="A556" t="inlineStr">
        <is>
          <t>Yves Bissouma</t>
        </is>
      </c>
      <c r="D556" t="inlineStr">
        <is>
          <t>MID</t>
        </is>
      </c>
      <c r="E556" t="b">
        <v>0</v>
      </c>
      <c r="F556" s="2" t="n"/>
      <c r="I556" s="2" t="n">
        <v>605</v>
      </c>
      <c r="K556" s="3" t="n"/>
      <c r="M556" s="4" t="n">
        <v>605</v>
      </c>
      <c r="N556" t="inlineStr">
        <is>
          <t>25/26 actual</t>
        </is>
      </c>
      <c r="O556" s="5" t="n">
        <v>67.90000000000001</v>
      </c>
      <c r="P556" t="b">
        <v>1</v>
      </c>
      <c r="Q556" s="5">
        <f>IF(N(O556)&lt;=0,0,MIN(Assumptions!$B$15,N(M556)/N(O556)))</f>
        <v/>
      </c>
      <c r="R556" s="4" t="n"/>
      <c r="S556" s="3" t="n">
        <v>0.0533</v>
      </c>
      <c r="T556" t="inlineStr">
        <is>
          <t>adjusted xGOT</t>
        </is>
      </c>
      <c r="U556" s="3" t="n">
        <v>1</v>
      </c>
      <c r="V556" s="3" t="n">
        <v>0.995</v>
      </c>
      <c r="W556" s="3" t="n">
        <v>2.3</v>
      </c>
      <c r="X556" s="3" t="n">
        <v>0</v>
      </c>
      <c r="Y556" s="3" t="n">
        <v>9.724</v>
      </c>
      <c r="Z556" s="3" t="n">
        <v>0</v>
      </c>
      <c r="AA556" s="3" t="n">
        <v>0</v>
      </c>
      <c r="AB556" s="3" t="n">
        <v>16</v>
      </c>
      <c r="AC556" s="3" t="n"/>
      <c r="AD556" s="3" t="n"/>
      <c r="AE556" s="3" t="n"/>
      <c r="AF556" s="4" t="n">
        <v>0</v>
      </c>
      <c r="AG556" s="3" t="n">
        <v>0</v>
      </c>
      <c r="AH556" s="3" t="n">
        <v>0</v>
      </c>
      <c r="AI556" s="3" t="n">
        <v>0</v>
      </c>
      <c r="AJ556" s="3">
        <f>N(R556)*N(BC556)</f>
        <v/>
      </c>
      <c r="AK556" s="3" t="n">
        <v>0</v>
      </c>
      <c r="AL556" s="3" t="n">
        <v>0</v>
      </c>
      <c r="AM556" s="3" t="n">
        <v>0</v>
      </c>
      <c r="AN556" s="3" t="n">
        <v>0</v>
      </c>
      <c r="AO556" s="3">
        <f>SUM(AH556:AN556)</f>
        <v/>
      </c>
      <c r="AP556" s="5">
        <f>IF(OR(N(Q556)&lt;=0,N(BA556)=0),0,N(Q556)*IF(N(M556)/N(Q556)&gt;=60,N(BA556),1))</f>
        <v/>
      </c>
      <c r="AQ556" s="5">
        <f>N(Q556)*N(Z556)*N(BB556)</f>
        <v/>
      </c>
      <c r="AR556" s="5">
        <f>N(AF556)*(Assumptions!$B$13*N(BD556)-(1-Assumptions!$B$13)*Assumptions!$B$14)+N(AG556)</f>
        <v/>
      </c>
      <c r="AS556" s="5">
        <f>N(AO556)*N(M556)/90+N(AP556)+N(AQ556)+N(AR556)</f>
        <v/>
      </c>
      <c r="AT556" s="3">
        <f>IF(N(M556)&lt;=0,0,(N(AS556)-N(AR556))*90/N(M556))</f>
        <v/>
      </c>
      <c r="AU556" s="5">
        <f>IFERROR(AS556-VLOOKUP($C556,Assumptions!$A$36:$C$39,3,FALSE),"")</f>
        <v/>
      </c>
      <c r="AV556" s="3">
        <f>IFERROR(AU556/F556,"")</f>
        <v/>
      </c>
      <c r="AW556">
        <f>IF(AND($E556=TRUE,$C556="GKP"),AS556,"")</f>
        <v/>
      </c>
      <c r="AX556">
        <f>IF(AND($E556=TRUE,$C556="DEF"),AS556,"")</f>
        <v/>
      </c>
      <c r="AY556">
        <f>IF(AND($E556=TRUE,$C556="MID"),AS556,"")</f>
        <v/>
      </c>
      <c r="AZ556">
        <f>IF(AND($E556=TRUE,$C556="FWD"),AS556,"")</f>
        <v/>
      </c>
      <c r="BA556" t="n">
        <v>0</v>
      </c>
      <c r="BB556" t="n">
        <v>0</v>
      </c>
      <c r="BC556" t="n">
        <v>0</v>
      </c>
      <c r="BD556" t="n">
        <v>0</v>
      </c>
    </row>
    <row r="557">
      <c r="A557" t="inlineStr">
        <is>
          <t>Chiedozie Ogbene</t>
        </is>
      </c>
      <c r="B557" t="inlineStr">
        <is>
          <t>IPS</t>
        </is>
      </c>
      <c r="C557" t="inlineStr">
        <is>
          <t>MID</t>
        </is>
      </c>
      <c r="E557" t="b">
        <v>1</v>
      </c>
      <c r="F557" s="2" t="n">
        <v>5</v>
      </c>
      <c r="G557" t="inlineStr">
        <is>
          <t>a</t>
        </is>
      </c>
      <c r="I557" s="2" t="n"/>
      <c r="K557" s="3" t="n">
        <v>0</v>
      </c>
      <c r="L557" t="inlineStr">
        <is>
          <t>flat</t>
        </is>
      </c>
      <c r="M557" s="4" t="n">
        <v>0</v>
      </c>
      <c r="N557" t="inlineStr">
        <is>
          <t>Solio</t>
        </is>
      </c>
      <c r="O557" s="5" t="n">
        <v>85</v>
      </c>
      <c r="P557" t="b">
        <v>0</v>
      </c>
      <c r="Q557" s="5">
        <f>IF(N(O557)&lt;=0,0,MIN(Assumptions!$B$15,N(M557)/N(O557)))</f>
        <v/>
      </c>
      <c r="R557" s="4" t="n">
        <v>0.17</v>
      </c>
      <c r="S557" s="3" t="n"/>
      <c r="T557" t="inlineStr"/>
      <c r="U557" s="3" t="n">
        <v>1</v>
      </c>
      <c r="V557" s="3" t="n"/>
      <c r="W557" s="3" t="n"/>
      <c r="X557" s="3" t="n"/>
      <c r="Y557" s="3" t="n"/>
      <c r="Z557" s="3" t="n">
        <v>0</v>
      </c>
      <c r="AA557" s="3" t="n"/>
      <c r="AB557" s="3" t="n"/>
      <c r="AC557" s="3" t="n">
        <v>3.5741</v>
      </c>
      <c r="AD557" s="3" t="n">
        <v>1.8319</v>
      </c>
      <c r="AE557" s="3" t="n">
        <v>-0.1525827731981517</v>
      </c>
      <c r="AF557" s="4" t="n">
        <v>0</v>
      </c>
      <c r="AG557" s="3" t="n">
        <v>0</v>
      </c>
      <c r="AH557" s="3" t="n">
        <v>0</v>
      </c>
      <c r="AI557" s="3" t="n">
        <v>0</v>
      </c>
      <c r="AJ557" s="3">
        <f>N(R557)*N(BC557)</f>
        <v/>
      </c>
      <c r="AK557" s="3" t="n">
        <v>0</v>
      </c>
      <c r="AL557" s="3" t="n">
        <v>0</v>
      </c>
      <c r="AM557" s="3" t="n">
        <v>-0</v>
      </c>
      <c r="AN557" s="3" t="n">
        <v>-0.1525827731981517</v>
      </c>
      <c r="AO557" s="3">
        <f>SUM(AH557:AN557)</f>
        <v/>
      </c>
      <c r="AP557" s="5">
        <f>IF(OR(N(Q557)&lt;=0,N(BA557)=0),0,N(Q557)*IF(N(M557)/N(Q557)&gt;=60,N(BA557),1))</f>
        <v/>
      </c>
      <c r="AQ557" s="5">
        <f>N(Q557)*N(Z557)*N(BB557)</f>
        <v/>
      </c>
      <c r="AR557" s="5">
        <f>N(AF557)*(Assumptions!$B$13*N(BD557)-(1-Assumptions!$B$13)*Assumptions!$B$14)+N(AG557)</f>
        <v/>
      </c>
      <c r="AS557" s="5">
        <f>N(AO557)*N(M557)/90+N(AP557)+N(AQ557)+N(AR557)</f>
        <v/>
      </c>
      <c r="AT557" s="3">
        <f>IF(N(M557)&lt;=0,0,(N(AS557)-N(AR557))*90/N(M557))</f>
        <v/>
      </c>
      <c r="AU557" s="5">
        <f>IFERROR(AS557-VLOOKUP($C557,Assumptions!$A$36:$C$39,3,FALSE),"")</f>
        <v/>
      </c>
      <c r="AV557" s="3">
        <f>IFERROR(AU557/F557,"")</f>
        <v/>
      </c>
      <c r="AW557">
        <f>IF(AND($E557=TRUE,$C557="GKP"),AS557,"")</f>
        <v/>
      </c>
      <c r="AX557">
        <f>IF(AND($E557=TRUE,$C557="DEF"),AS557,"")</f>
        <v/>
      </c>
      <c r="AY557">
        <f>IF(AND($E557=TRUE,$C557="MID"),AS557,"")</f>
        <v/>
      </c>
      <c r="AZ557">
        <f>IF(AND($E557=TRUE,$C557="FWD"),AS557,"")</f>
        <v/>
      </c>
      <c r="BA557" t="n">
        <v>2</v>
      </c>
      <c r="BB557" t="n">
        <v>2</v>
      </c>
      <c r="BC557" t="n">
        <v>1</v>
      </c>
      <c r="BD557" t="n">
        <v>5</v>
      </c>
    </row>
    <row r="558">
      <c r="A558" t="inlineStr">
        <is>
          <t>Andy Irving</t>
        </is>
      </c>
      <c r="D558" t="inlineStr">
        <is>
          <t>MID</t>
        </is>
      </c>
      <c r="E558" t="b">
        <v>0</v>
      </c>
      <c r="F558" s="2" t="n"/>
      <c r="I558" s="2" t="n">
        <v>157</v>
      </c>
      <c r="K558" s="3" t="n"/>
      <c r="M558" s="4" t="n">
        <v>157</v>
      </c>
      <c r="N558" t="inlineStr">
        <is>
          <t>25/26 actual</t>
        </is>
      </c>
      <c r="O558" s="5" t="n">
        <v>62</v>
      </c>
      <c r="P558" t="b">
        <v>1</v>
      </c>
      <c r="Q558" s="5">
        <f>IF(N(O558)&lt;=0,0,MIN(Assumptions!$B$15,N(M558)/N(O558)))</f>
        <v/>
      </c>
      <c r="R558" s="4" t="n"/>
      <c r="S558" s="3" t="n">
        <v>0</v>
      </c>
      <c r="T558" t="inlineStr">
        <is>
          <t>adjusted xGOT</t>
        </is>
      </c>
      <c r="U558" s="3" t="n">
        <v>1</v>
      </c>
      <c r="V558" s="3" t="n">
        <v>0.996</v>
      </c>
      <c r="W558" s="3" t="n">
        <v>0.1</v>
      </c>
      <c r="X558" s="3" t="n">
        <v>0.1159</v>
      </c>
      <c r="Y558" s="3" t="n">
        <v>9.31</v>
      </c>
      <c r="Z558" s="3" t="n">
        <v>0</v>
      </c>
      <c r="AA558" s="3" t="n">
        <v>0</v>
      </c>
      <c r="AB558" s="3" t="n">
        <v>9</v>
      </c>
      <c r="AC558" s="3" t="n"/>
      <c r="AD558" s="3" t="n"/>
      <c r="AE558" s="3" t="n"/>
      <c r="AF558" s="4" t="n">
        <v>0</v>
      </c>
      <c r="AG558" s="3" t="n">
        <v>0</v>
      </c>
      <c r="AH558" s="3" t="n">
        <v>0</v>
      </c>
      <c r="AI558" s="3" t="n">
        <v>0</v>
      </c>
      <c r="AJ558" s="3">
        <f>N(R558)*N(BC558)</f>
        <v/>
      </c>
      <c r="AK558" s="3" t="n">
        <v>0</v>
      </c>
      <c r="AL558" s="3" t="n">
        <v>0</v>
      </c>
      <c r="AM558" s="3" t="n">
        <v>0</v>
      </c>
      <c r="AN558" s="3" t="n">
        <v>0</v>
      </c>
      <c r="AO558" s="3">
        <f>SUM(AH558:AN558)</f>
        <v/>
      </c>
      <c r="AP558" s="5">
        <f>IF(OR(N(Q558)&lt;=0,N(BA558)=0),0,N(Q558)*IF(N(M558)/N(Q558)&gt;=60,N(BA558),1))</f>
        <v/>
      </c>
      <c r="AQ558" s="5">
        <f>N(Q558)*N(Z558)*N(BB558)</f>
        <v/>
      </c>
      <c r="AR558" s="5">
        <f>N(AF558)*(Assumptions!$B$13*N(BD558)-(1-Assumptions!$B$13)*Assumptions!$B$14)+N(AG558)</f>
        <v/>
      </c>
      <c r="AS558" s="5">
        <f>N(AO558)*N(M558)/90+N(AP558)+N(AQ558)+N(AR558)</f>
        <v/>
      </c>
      <c r="AT558" s="3">
        <f>IF(N(M558)&lt;=0,0,(N(AS558)-N(AR558))*90/N(M558))</f>
        <v/>
      </c>
      <c r="AU558" s="5">
        <f>IFERROR(AS558-VLOOKUP($C558,Assumptions!$A$36:$C$39,3,FALSE),"")</f>
        <v/>
      </c>
      <c r="AV558" s="3">
        <f>IFERROR(AU558/F558,"")</f>
        <v/>
      </c>
      <c r="AW558">
        <f>IF(AND($E558=TRUE,$C558="GKP"),AS558,"")</f>
        <v/>
      </c>
      <c r="AX558">
        <f>IF(AND($E558=TRUE,$C558="DEF"),AS558,"")</f>
        <v/>
      </c>
      <c r="AY558">
        <f>IF(AND($E558=TRUE,$C558="MID"),AS558,"")</f>
        <v/>
      </c>
      <c r="AZ558">
        <f>IF(AND($E558=TRUE,$C558="FWD"),AS558,"")</f>
        <v/>
      </c>
      <c r="BA558" t="n">
        <v>0</v>
      </c>
      <c r="BB558" t="n">
        <v>0</v>
      </c>
      <c r="BC558" t="n">
        <v>0</v>
      </c>
      <c r="BD558" t="n">
        <v>0</v>
      </c>
    </row>
    <row r="559">
      <c r="A559" t="inlineStr">
        <is>
          <t>Douglas Luiz</t>
        </is>
      </c>
      <c r="D559" t="inlineStr">
        <is>
          <t>MID</t>
        </is>
      </c>
      <c r="E559" t="b">
        <v>0</v>
      </c>
      <c r="F559" s="2" t="n"/>
      <c r="I559" s="2" t="n">
        <v>923</v>
      </c>
      <c r="K559" s="3" t="n"/>
      <c r="M559" s="4" t="n">
        <v>923</v>
      </c>
      <c r="N559" t="inlineStr">
        <is>
          <t>25/26 actual</t>
        </is>
      </c>
      <c r="O559" s="5" t="n">
        <v>65.40000000000001</v>
      </c>
      <c r="P559" t="b">
        <v>1</v>
      </c>
      <c r="Q559" s="5">
        <f>IF(N(O559)&lt;=0,0,MIN(Assumptions!$B$15,N(M559)/N(O559)))</f>
        <v/>
      </c>
      <c r="R559" s="4" t="n"/>
      <c r="S559" s="3" t="n">
        <v>0.0626</v>
      </c>
      <c r="T559" t="inlineStr">
        <is>
          <t>adjusted xGOT</t>
        </is>
      </c>
      <c r="U559" s="3" t="n">
        <v>1</v>
      </c>
      <c r="V559" s="3" t="n">
        <v>1.21</v>
      </c>
      <c r="W559" s="3" t="n">
        <v>10</v>
      </c>
      <c r="X559" s="3" t="n">
        <v>0.1778</v>
      </c>
      <c r="Y559" s="3" t="n">
        <v>9.569000000000001</v>
      </c>
      <c r="Z559" s="3" t="n">
        <v>0</v>
      </c>
      <c r="AA559" s="3" t="n">
        <v>0.0975</v>
      </c>
      <c r="AB559" s="3" t="n">
        <v>29</v>
      </c>
      <c r="AC559" s="3" t="n"/>
      <c r="AD559" s="3" t="n"/>
      <c r="AE559" s="3" t="n"/>
      <c r="AF559" s="4" t="n">
        <v>0</v>
      </c>
      <c r="AG559" s="3" t="n">
        <v>0</v>
      </c>
      <c r="AH559" s="3" t="n">
        <v>0</v>
      </c>
      <c r="AI559" s="3" t="n">
        <v>0</v>
      </c>
      <c r="AJ559" s="3">
        <f>N(R559)*N(BC559)</f>
        <v/>
      </c>
      <c r="AK559" s="3" t="n">
        <v>0</v>
      </c>
      <c r="AL559" s="3" t="n">
        <v>0</v>
      </c>
      <c r="AM559" s="3" t="n">
        <v>0</v>
      </c>
      <c r="AN559" s="3" t="n">
        <v>0</v>
      </c>
      <c r="AO559" s="3">
        <f>SUM(AH559:AN559)</f>
        <v/>
      </c>
      <c r="AP559" s="5">
        <f>IF(OR(N(Q559)&lt;=0,N(BA559)=0),0,N(Q559)*IF(N(M559)/N(Q559)&gt;=60,N(BA559),1))</f>
        <v/>
      </c>
      <c r="AQ559" s="5">
        <f>N(Q559)*N(Z559)*N(BB559)</f>
        <v/>
      </c>
      <c r="AR559" s="5">
        <f>N(AF559)*(Assumptions!$B$13*N(BD559)-(1-Assumptions!$B$13)*Assumptions!$B$14)+N(AG559)</f>
        <v/>
      </c>
      <c r="AS559" s="5">
        <f>N(AO559)*N(M559)/90+N(AP559)+N(AQ559)+N(AR559)</f>
        <v/>
      </c>
      <c r="AT559" s="3">
        <f>IF(N(M559)&lt;=0,0,(N(AS559)-N(AR559))*90/N(M559))</f>
        <v/>
      </c>
      <c r="AU559" s="5">
        <f>IFERROR(AS559-VLOOKUP($C559,Assumptions!$A$36:$C$39,3,FALSE),"")</f>
        <v/>
      </c>
      <c r="AV559" s="3">
        <f>IFERROR(AU559/F559,"")</f>
        <v/>
      </c>
      <c r="AW559">
        <f>IF(AND($E559=TRUE,$C559="GKP"),AS559,"")</f>
        <v/>
      </c>
      <c r="AX559">
        <f>IF(AND($E559=TRUE,$C559="DEF"),AS559,"")</f>
        <v/>
      </c>
      <c r="AY559">
        <f>IF(AND($E559=TRUE,$C559="MID"),AS559,"")</f>
        <v/>
      </c>
      <c r="AZ559">
        <f>IF(AND($E559=TRUE,$C559="FWD"),AS559,"")</f>
        <v/>
      </c>
      <c r="BA559" t="n">
        <v>0</v>
      </c>
      <c r="BB559" t="n">
        <v>0</v>
      </c>
      <c r="BC559" t="n">
        <v>0</v>
      </c>
      <c r="BD559" t="n">
        <v>0</v>
      </c>
    </row>
    <row r="560">
      <c r="A560" t="inlineStr">
        <is>
          <t>Jhon Arias</t>
        </is>
      </c>
      <c r="D560" t="inlineStr">
        <is>
          <t>MID</t>
        </is>
      </c>
      <c r="E560" t="b">
        <v>0</v>
      </c>
      <c r="F560" s="2" t="n"/>
      <c r="I560" s="2" t="n">
        <v>1121</v>
      </c>
      <c r="K560" s="3" t="n"/>
      <c r="M560" s="4" t="n">
        <v>1121</v>
      </c>
      <c r="N560" t="inlineStr">
        <is>
          <t>25/26 actual</t>
        </is>
      </c>
      <c r="O560" s="5" t="n">
        <v>70.90000000000001</v>
      </c>
      <c r="P560" t="b">
        <v>1</v>
      </c>
      <c r="Q560" s="5">
        <f>IF(N(O560)&lt;=0,0,MIN(Assumptions!$B$15,N(M560)/N(O560)))</f>
        <v/>
      </c>
      <c r="R560" s="4" t="n"/>
      <c r="S560" s="3" t="n">
        <v>0.2099</v>
      </c>
      <c r="T560" t="inlineStr">
        <is>
          <t>adjusted xGOT</t>
        </is>
      </c>
      <c r="U560" s="3" t="n">
        <v>1</v>
      </c>
      <c r="V560" s="3" t="n">
        <v>0.773</v>
      </c>
      <c r="W560" s="3" t="n">
        <v>3.4</v>
      </c>
      <c r="X560" s="3" t="n">
        <v>0.07199999999999999</v>
      </c>
      <c r="Y560" s="3" t="n">
        <v>9.486000000000001</v>
      </c>
      <c r="Z560" s="3" t="n">
        <v>0</v>
      </c>
      <c r="AA560" s="3" t="n">
        <v>0.2409</v>
      </c>
      <c r="AB560" s="3" t="n">
        <v>33</v>
      </c>
      <c r="AC560" s="3" t="n"/>
      <c r="AD560" s="3" t="n"/>
      <c r="AE560" s="3" t="n"/>
      <c r="AF560" s="4" t="n">
        <v>0</v>
      </c>
      <c r="AG560" s="3" t="n">
        <v>0</v>
      </c>
      <c r="AH560" s="3" t="n">
        <v>0</v>
      </c>
      <c r="AI560" s="3" t="n">
        <v>0</v>
      </c>
      <c r="AJ560" s="3">
        <f>N(R560)*N(BC560)</f>
        <v/>
      </c>
      <c r="AK560" s="3" t="n">
        <v>0</v>
      </c>
      <c r="AL560" s="3" t="n">
        <v>0</v>
      </c>
      <c r="AM560" s="3" t="n">
        <v>0</v>
      </c>
      <c r="AN560" s="3" t="n">
        <v>0</v>
      </c>
      <c r="AO560" s="3">
        <f>SUM(AH560:AN560)</f>
        <v/>
      </c>
      <c r="AP560" s="5">
        <f>IF(OR(N(Q560)&lt;=0,N(BA560)=0),0,N(Q560)*IF(N(M560)/N(Q560)&gt;=60,N(BA560),1))</f>
        <v/>
      </c>
      <c r="AQ560" s="5">
        <f>N(Q560)*N(Z560)*N(BB560)</f>
        <v/>
      </c>
      <c r="AR560" s="5">
        <f>N(AF560)*(Assumptions!$B$13*N(BD560)-(1-Assumptions!$B$13)*Assumptions!$B$14)+N(AG560)</f>
        <v/>
      </c>
      <c r="AS560" s="5">
        <f>N(AO560)*N(M560)/90+N(AP560)+N(AQ560)+N(AR560)</f>
        <v/>
      </c>
      <c r="AT560" s="3">
        <f>IF(N(M560)&lt;=0,0,(N(AS560)-N(AR560))*90/N(M560))</f>
        <v/>
      </c>
      <c r="AU560" s="5">
        <f>IFERROR(AS560-VLOOKUP($C560,Assumptions!$A$36:$C$39,3,FALSE),"")</f>
        <v/>
      </c>
      <c r="AV560" s="3">
        <f>IFERROR(AU560/F560,"")</f>
        <v/>
      </c>
      <c r="AW560">
        <f>IF(AND($E560=TRUE,$C560="GKP"),AS560,"")</f>
        <v/>
      </c>
      <c r="AX560">
        <f>IF(AND($E560=TRUE,$C560="DEF"),AS560,"")</f>
        <v/>
      </c>
      <c r="AY560">
        <f>IF(AND($E560=TRUE,$C560="MID"),AS560,"")</f>
        <v/>
      </c>
      <c r="AZ560">
        <f>IF(AND($E560=TRUE,$C560="FWD"),AS560,"")</f>
        <v/>
      </c>
      <c r="BA560" t="n">
        <v>0</v>
      </c>
      <c r="BB560" t="n">
        <v>0</v>
      </c>
      <c r="BC560" t="n">
        <v>0</v>
      </c>
      <c r="BD560" t="n">
        <v>0</v>
      </c>
    </row>
    <row r="561">
      <c r="A561" t="inlineStr">
        <is>
          <t>Brandon Thomas-Asante</t>
        </is>
      </c>
      <c r="B561" t="inlineStr">
        <is>
          <t>COV</t>
        </is>
      </c>
      <c r="C561" t="inlineStr">
        <is>
          <t>FWD</t>
        </is>
      </c>
      <c r="E561" t="b">
        <v>1</v>
      </c>
      <c r="F561" s="2" t="n">
        <v>5</v>
      </c>
      <c r="G561" t="inlineStr">
        <is>
          <t>a</t>
        </is>
      </c>
      <c r="I561" s="2" t="n"/>
      <c r="K561" s="3" t="n">
        <v>1282</v>
      </c>
      <c r="L561" t="inlineStr">
        <is>
          <t>flat</t>
        </is>
      </c>
      <c r="M561" s="4" t="n">
        <v>1282</v>
      </c>
      <c r="N561" t="inlineStr">
        <is>
          <t>Solio</t>
        </is>
      </c>
      <c r="O561" s="5" t="n">
        <v>85</v>
      </c>
      <c r="P561" t="b">
        <v>0</v>
      </c>
      <c r="Q561" s="5">
        <f>IF(N(O561)&lt;=0,0,MIN(Assumptions!$B$15,N(M561)/N(O561)))</f>
        <v/>
      </c>
      <c r="R561" s="4" t="n">
        <v>0.17</v>
      </c>
      <c r="S561" s="3" t="n"/>
      <c r="T561" t="inlineStr"/>
      <c r="U561" s="3" t="n">
        <v>1</v>
      </c>
      <c r="V561" s="3" t="n"/>
      <c r="W561" s="3" t="n"/>
      <c r="X561" s="3" t="n"/>
      <c r="Y561" s="3" t="n"/>
      <c r="Z561" s="3" t="n">
        <v>0</v>
      </c>
      <c r="AA561" s="3" t="n"/>
      <c r="AB561" s="3" t="n"/>
      <c r="AC561" s="3" t="n">
        <v>3.6194</v>
      </c>
      <c r="AD561" s="3" t="n">
        <v>1.8271</v>
      </c>
      <c r="AE561" s="3" t="n">
        <v>-0.174691292596322</v>
      </c>
      <c r="AF561" s="4" t="n">
        <v>0.0484811937834495</v>
      </c>
      <c r="AG561" s="3" t="n">
        <v>0</v>
      </c>
      <c r="AH561" s="3" t="n">
        <v>0</v>
      </c>
      <c r="AI561" s="3" t="n">
        <v>0</v>
      </c>
      <c r="AJ561" s="3">
        <f>N(R561)*N(BC561)</f>
        <v/>
      </c>
      <c r="AK561" s="3" t="n">
        <v>0</v>
      </c>
      <c r="AL561" s="3" t="n">
        <v>0</v>
      </c>
      <c r="AM561" s="3" t="n">
        <v>-0</v>
      </c>
      <c r="AN561" s="3" t="n">
        <v>-0.174691292596322</v>
      </c>
      <c r="AO561" s="3">
        <f>SUM(AH561:AN561)</f>
        <v/>
      </c>
      <c r="AP561" s="5">
        <f>IF(OR(N(Q561)&lt;=0,N(BA561)=0),0,N(Q561)*IF(N(M561)/N(Q561)&gt;=60,N(BA561),1))</f>
        <v/>
      </c>
      <c r="AQ561" s="5">
        <f>N(Q561)*N(Z561)*N(BB561)</f>
        <v/>
      </c>
      <c r="AR561" s="5">
        <f>N(AF561)*(Assumptions!$B$13*N(BD561)-(1-Assumptions!$B$13)*Assumptions!$B$14)+N(AG561)</f>
        <v/>
      </c>
      <c r="AS561" s="5">
        <f>N(AO561)*N(M561)/90+N(AP561)+N(AQ561)+N(AR561)</f>
        <v/>
      </c>
      <c r="AT561" s="3">
        <f>IF(N(M561)&lt;=0,0,(N(AS561)-N(AR561))*90/N(M561))</f>
        <v/>
      </c>
      <c r="AU561" s="5">
        <f>IFERROR(AS561-VLOOKUP($C561,Assumptions!$A$36:$C$39,3,FALSE),"")</f>
        <v/>
      </c>
      <c r="AV561" s="3">
        <f>IFERROR(AU561/F561,"")</f>
        <v/>
      </c>
      <c r="AW561">
        <f>IF(AND($E561=TRUE,$C561="GKP"),AS561,"")</f>
        <v/>
      </c>
      <c r="AX561">
        <f>IF(AND($E561=TRUE,$C561="DEF"),AS561,"")</f>
        <v/>
      </c>
      <c r="AY561">
        <f>IF(AND($E561=TRUE,$C561="MID"),AS561,"")</f>
        <v/>
      </c>
      <c r="AZ561">
        <f>IF(AND($E561=TRUE,$C561="FWD"),AS561,"")</f>
        <v/>
      </c>
      <c r="BA561" t="n">
        <v>2</v>
      </c>
      <c r="BB561" t="n">
        <v>2</v>
      </c>
      <c r="BC561" t="n">
        <v>0</v>
      </c>
      <c r="BD561" t="n">
        <v>4</v>
      </c>
    </row>
    <row r="562">
      <c r="A562" t="inlineStr">
        <is>
          <t>Jean-Ricner Bellegarde</t>
        </is>
      </c>
      <c r="D562" t="inlineStr">
        <is>
          <t>MID</t>
        </is>
      </c>
      <c r="E562" t="b">
        <v>0</v>
      </c>
      <c r="F562" s="2" t="n"/>
      <c r="I562" s="2" t="n">
        <v>1251</v>
      </c>
      <c r="K562" s="3" t="n"/>
      <c r="M562" s="4" t="n">
        <v>1251</v>
      </c>
      <c r="N562" t="inlineStr">
        <is>
          <t>25/26 actual</t>
        </is>
      </c>
      <c r="O562" s="5" t="n">
        <v>67.90000000000001</v>
      </c>
      <c r="P562" t="b">
        <v>1</v>
      </c>
      <c r="Q562" s="5">
        <f>IF(N(O562)&lt;=0,0,MIN(Assumptions!$B$15,N(M562)/N(O562)))</f>
        <v/>
      </c>
      <c r="R562" s="4" t="n"/>
      <c r="S562" s="3" t="n">
        <v>0.07580000000000001</v>
      </c>
      <c r="T562" t="inlineStr">
        <is>
          <t>adjusted xGOT</t>
        </is>
      </c>
      <c r="U562" s="3" t="n">
        <v>1</v>
      </c>
      <c r="V562" s="3" t="n">
        <v>1.013</v>
      </c>
      <c r="W562" s="3" t="n">
        <v>3.8</v>
      </c>
      <c r="X562" s="3" t="n">
        <v>0.08749999999999999</v>
      </c>
      <c r="Y562" s="3" t="n">
        <v>7.976</v>
      </c>
      <c r="Z562" s="3" t="n">
        <v>0</v>
      </c>
      <c r="AA562" s="3" t="n">
        <v>0</v>
      </c>
      <c r="AB562" s="3" t="n">
        <v>38</v>
      </c>
      <c r="AC562" s="3" t="n"/>
      <c r="AD562" s="3" t="n"/>
      <c r="AE562" s="3" t="n"/>
      <c r="AF562" s="4" t="n">
        <v>0</v>
      </c>
      <c r="AG562" s="3" t="n">
        <v>0</v>
      </c>
      <c r="AH562" s="3" t="n">
        <v>0</v>
      </c>
      <c r="AI562" s="3" t="n">
        <v>0</v>
      </c>
      <c r="AJ562" s="3">
        <f>N(R562)*N(BC562)</f>
        <v/>
      </c>
      <c r="AK562" s="3" t="n">
        <v>0</v>
      </c>
      <c r="AL562" s="3" t="n">
        <v>0</v>
      </c>
      <c r="AM562" s="3" t="n">
        <v>0</v>
      </c>
      <c r="AN562" s="3" t="n">
        <v>0</v>
      </c>
      <c r="AO562" s="3">
        <f>SUM(AH562:AN562)</f>
        <v/>
      </c>
      <c r="AP562" s="5">
        <f>IF(OR(N(Q562)&lt;=0,N(BA562)=0),0,N(Q562)*IF(N(M562)/N(Q562)&gt;=60,N(BA562),1))</f>
        <v/>
      </c>
      <c r="AQ562" s="5">
        <f>N(Q562)*N(Z562)*N(BB562)</f>
        <v/>
      </c>
      <c r="AR562" s="5">
        <f>N(AF562)*(Assumptions!$B$13*N(BD562)-(1-Assumptions!$B$13)*Assumptions!$B$14)+N(AG562)</f>
        <v/>
      </c>
      <c r="AS562" s="5">
        <f>N(AO562)*N(M562)/90+N(AP562)+N(AQ562)+N(AR562)</f>
        <v/>
      </c>
      <c r="AT562" s="3">
        <f>IF(N(M562)&lt;=0,0,(N(AS562)-N(AR562))*90/N(M562))</f>
        <v/>
      </c>
      <c r="AU562" s="5">
        <f>IFERROR(AS562-VLOOKUP($C562,Assumptions!$A$36:$C$39,3,FALSE),"")</f>
        <v/>
      </c>
      <c r="AV562" s="3">
        <f>IFERROR(AU562/F562,"")</f>
        <v/>
      </c>
      <c r="AW562">
        <f>IF(AND($E562=TRUE,$C562="GKP"),AS562,"")</f>
        <v/>
      </c>
      <c r="AX562">
        <f>IF(AND($E562=TRUE,$C562="DEF"),AS562,"")</f>
        <v/>
      </c>
      <c r="AY562">
        <f>IF(AND($E562=TRUE,$C562="MID"),AS562,"")</f>
        <v/>
      </c>
      <c r="AZ562">
        <f>IF(AND($E562=TRUE,$C562="FWD"),AS562,"")</f>
        <v/>
      </c>
      <c r="BA562" t="n">
        <v>0</v>
      </c>
      <c r="BB562" t="n">
        <v>0</v>
      </c>
      <c r="BC562" t="n">
        <v>0</v>
      </c>
      <c r="BD562" t="n">
        <v>0</v>
      </c>
    </row>
    <row r="563">
      <c r="A563" t="inlineStr">
        <is>
          <t>Santiago Bueno</t>
        </is>
      </c>
      <c r="D563" t="inlineStr">
        <is>
          <t>DEF</t>
        </is>
      </c>
      <c r="E563" t="b">
        <v>0</v>
      </c>
      <c r="F563" s="2" t="n"/>
      <c r="I563" s="2" t="n">
        <v>2553</v>
      </c>
      <c r="K563" s="3" t="n"/>
      <c r="M563" s="4" t="n">
        <v>2553</v>
      </c>
      <c r="N563" t="inlineStr">
        <is>
          <t>25/26 actual</t>
        </is>
      </c>
      <c r="O563" s="5" t="n">
        <v>89.90000000000001</v>
      </c>
      <c r="P563" t="b">
        <v>1</v>
      </c>
      <c r="Q563" s="5">
        <f>IF(N(O563)&lt;=0,0,MIN(Assumptions!$B$15,N(M563)/N(O563)))</f>
        <v/>
      </c>
      <c r="R563" s="4" t="n"/>
      <c r="S563" s="3" t="n">
        <v>0.0876</v>
      </c>
      <c r="T563" t="inlineStr">
        <is>
          <t>adjusted xGOT</t>
        </is>
      </c>
      <c r="U563" s="3" t="n">
        <v>1</v>
      </c>
      <c r="V563" s="3" t="n">
        <v>1.09</v>
      </c>
      <c r="W563" s="3" t="n">
        <v>2.7</v>
      </c>
      <c r="X563" s="3" t="n">
        <v>0.0318</v>
      </c>
      <c r="Y563" s="3" t="n">
        <v>7.632</v>
      </c>
      <c r="Z563" s="3" t="n">
        <v>0</v>
      </c>
      <c r="AA563" s="3" t="n">
        <v>0.141</v>
      </c>
      <c r="AB563" s="3" t="n">
        <v>57</v>
      </c>
      <c r="AC563" s="3" t="n"/>
      <c r="AD563" s="3" t="n"/>
      <c r="AE563" s="3" t="n"/>
      <c r="AF563" s="4" t="n">
        <v>0</v>
      </c>
      <c r="AG563" s="3" t="n">
        <v>0</v>
      </c>
      <c r="AH563" s="3" t="n">
        <v>0</v>
      </c>
      <c r="AI563" s="3" t="n">
        <v>0</v>
      </c>
      <c r="AJ563" s="3">
        <f>N(R563)*N(BC563)</f>
        <v/>
      </c>
      <c r="AK563" s="3" t="n">
        <v>0</v>
      </c>
      <c r="AL563" s="3" t="n">
        <v>0</v>
      </c>
      <c r="AM563" s="3" t="n">
        <v>0</v>
      </c>
      <c r="AN563" s="3" t="n">
        <v>0</v>
      </c>
      <c r="AO563" s="3">
        <f>SUM(AH563:AN563)</f>
        <v/>
      </c>
      <c r="AP563" s="5">
        <f>IF(OR(N(Q563)&lt;=0,N(BA563)=0),0,N(Q563)*IF(N(M563)/N(Q563)&gt;=60,N(BA563),1))</f>
        <v/>
      </c>
      <c r="AQ563" s="5">
        <f>N(Q563)*N(Z563)*N(BB563)</f>
        <v/>
      </c>
      <c r="AR563" s="5">
        <f>N(AF563)*(Assumptions!$B$13*N(BD563)-(1-Assumptions!$B$13)*Assumptions!$B$14)+N(AG563)</f>
        <v/>
      </c>
      <c r="AS563" s="5">
        <f>N(AO563)*N(M563)/90+N(AP563)+N(AQ563)+N(AR563)</f>
        <v/>
      </c>
      <c r="AT563" s="3">
        <f>IF(N(M563)&lt;=0,0,(N(AS563)-N(AR563))*90/N(M563))</f>
        <v/>
      </c>
      <c r="AU563" s="5">
        <f>IFERROR(AS563-VLOOKUP($C563,Assumptions!$A$36:$C$39,3,FALSE),"")</f>
        <v/>
      </c>
      <c r="AV563" s="3">
        <f>IFERROR(AU563/F563,"")</f>
        <v/>
      </c>
      <c r="AW563">
        <f>IF(AND($E563=TRUE,$C563="GKP"),AS563,"")</f>
        <v/>
      </c>
      <c r="AX563">
        <f>IF(AND($E563=TRUE,$C563="DEF"),AS563,"")</f>
        <v/>
      </c>
      <c r="AY563">
        <f>IF(AND($E563=TRUE,$C563="MID"),AS563,"")</f>
        <v/>
      </c>
      <c r="AZ563">
        <f>IF(AND($E563=TRUE,$C563="FWD"),AS563,"")</f>
        <v/>
      </c>
      <c r="BA563" t="n">
        <v>0</v>
      </c>
      <c r="BB563" t="n">
        <v>0</v>
      </c>
      <c r="BC563" t="n">
        <v>0</v>
      </c>
      <c r="BD563" t="n">
        <v>0</v>
      </c>
    </row>
    <row r="564">
      <c r="A564" t="inlineStr">
        <is>
          <t>Jack Taylor</t>
        </is>
      </c>
      <c r="B564" t="inlineStr">
        <is>
          <t>IPS</t>
        </is>
      </c>
      <c r="C564" t="inlineStr">
        <is>
          <t>MID</t>
        </is>
      </c>
      <c r="E564" t="b">
        <v>1</v>
      </c>
      <c r="F564" s="2" t="n">
        <v>4.5</v>
      </c>
      <c r="G564" t="inlineStr">
        <is>
          <t>i</t>
        </is>
      </c>
      <c r="H564" t="inlineStr">
        <is>
          <t>Knee injury - Unknown return date</t>
        </is>
      </c>
      <c r="I564" s="2" t="n"/>
      <c r="K564" s="3" t="n">
        <v>1317</v>
      </c>
      <c r="L564" t="inlineStr">
        <is>
          <t>flat</t>
        </is>
      </c>
      <c r="M564" s="4" t="n">
        <v>1317</v>
      </c>
      <c r="N564" t="inlineStr">
        <is>
          <t>Solio</t>
        </is>
      </c>
      <c r="O564" s="5" t="n">
        <v>85</v>
      </c>
      <c r="P564" t="b">
        <v>0</v>
      </c>
      <c r="Q564" s="5">
        <f>IF(N(O564)&lt;=0,0,MIN(Assumptions!$B$15,N(M564)/N(O564)))</f>
        <v/>
      </c>
      <c r="R564" s="4" t="n">
        <v>0.17</v>
      </c>
      <c r="S564" s="3" t="n"/>
      <c r="T564" t="inlineStr"/>
      <c r="U564" s="3" t="n">
        <v>1</v>
      </c>
      <c r="V564" s="3" t="n"/>
      <c r="W564" s="3" t="n"/>
      <c r="X564" s="3" t="n"/>
      <c r="Y564" s="3" t="n"/>
      <c r="Z564" s="3" t="n">
        <v>0</v>
      </c>
      <c r="AA564" s="3" t="n"/>
      <c r="AB564" s="3" t="n"/>
      <c r="AC564" s="3" t="n">
        <v>3.5741</v>
      </c>
      <c r="AD564" s="3" t="n">
        <v>1.8319</v>
      </c>
      <c r="AE564" s="3" t="n">
        <v>-0.2756958479817338</v>
      </c>
      <c r="AF564" s="4" t="n">
        <v>0</v>
      </c>
      <c r="AG564" s="3" t="n">
        <v>0</v>
      </c>
      <c r="AH564" s="3" t="n">
        <v>0</v>
      </c>
      <c r="AI564" s="3" t="n">
        <v>0</v>
      </c>
      <c r="AJ564" s="3">
        <f>N(R564)*N(BC564)</f>
        <v/>
      </c>
      <c r="AK564" s="3" t="n">
        <v>0</v>
      </c>
      <c r="AL564" s="3" t="n">
        <v>0</v>
      </c>
      <c r="AM564" s="3" t="n">
        <v>-0</v>
      </c>
      <c r="AN564" s="3" t="n">
        <v>-0.2756958479817338</v>
      </c>
      <c r="AO564" s="3">
        <f>SUM(AH564:AN564)</f>
        <v/>
      </c>
      <c r="AP564" s="5">
        <f>IF(OR(N(Q564)&lt;=0,N(BA564)=0),0,N(Q564)*IF(N(M564)/N(Q564)&gt;=60,N(BA564),1))</f>
        <v/>
      </c>
      <c r="AQ564" s="5">
        <f>N(Q564)*N(Z564)*N(BB564)</f>
        <v/>
      </c>
      <c r="AR564" s="5">
        <f>N(AF564)*(Assumptions!$B$13*N(BD564)-(1-Assumptions!$B$13)*Assumptions!$B$14)+N(AG564)</f>
        <v/>
      </c>
      <c r="AS564" s="5">
        <f>N(AO564)*N(M564)/90+N(AP564)+N(AQ564)+N(AR564)</f>
        <v/>
      </c>
      <c r="AT564" s="3">
        <f>IF(N(M564)&lt;=0,0,(N(AS564)-N(AR564))*90/N(M564))</f>
        <v/>
      </c>
      <c r="AU564" s="5">
        <f>IFERROR(AS564-VLOOKUP($C564,Assumptions!$A$36:$C$39,3,FALSE),"")</f>
        <v/>
      </c>
      <c r="AV564" s="3">
        <f>IFERROR(AU564/F564,"")</f>
        <v/>
      </c>
      <c r="AW564">
        <f>IF(AND($E564=TRUE,$C564="GKP"),AS564,"")</f>
        <v/>
      </c>
      <c r="AX564">
        <f>IF(AND($E564=TRUE,$C564="DEF"),AS564,"")</f>
        <v/>
      </c>
      <c r="AY564">
        <f>IF(AND($E564=TRUE,$C564="MID"),AS564,"")</f>
        <v/>
      </c>
      <c r="AZ564">
        <f>IF(AND($E564=TRUE,$C564="FWD"),AS564,"")</f>
        <v/>
      </c>
      <c r="BA564" t="n">
        <v>2</v>
      </c>
      <c r="BB564" t="n">
        <v>2</v>
      </c>
      <c r="BC564" t="n">
        <v>1</v>
      </c>
      <c r="BD564" t="n">
        <v>5</v>
      </c>
    </row>
    <row r="565">
      <c r="A565" t="inlineStr">
        <is>
          <t>Ryan Giles</t>
        </is>
      </c>
      <c r="B565" t="inlineStr">
        <is>
          <t>HUL</t>
        </is>
      </c>
      <c r="C565" t="inlineStr">
        <is>
          <t>DEF</t>
        </is>
      </c>
      <c r="E565" t="b">
        <v>1</v>
      </c>
      <c r="F565" s="2" t="n">
        <v>4</v>
      </c>
      <c r="G565" t="inlineStr">
        <is>
          <t>a</t>
        </is>
      </c>
      <c r="I565" s="2" t="n"/>
      <c r="K565" s="3" t="n">
        <v>2787</v>
      </c>
      <c r="L565" t="inlineStr">
        <is>
          <t>flat</t>
        </is>
      </c>
      <c r="M565" s="4" t="n">
        <v>2787</v>
      </c>
      <c r="N565" t="inlineStr">
        <is>
          <t>Solio</t>
        </is>
      </c>
      <c r="O565" s="5" t="n">
        <v>85</v>
      </c>
      <c r="P565" t="b">
        <v>0</v>
      </c>
      <c r="Q565" s="5">
        <f>IF(N(O565)&lt;=0,0,MIN(Assumptions!$B$15,N(M565)/N(O565)))</f>
        <v/>
      </c>
      <c r="R565" s="4" t="n">
        <v>0.143</v>
      </c>
      <c r="S565" s="3" t="n"/>
      <c r="T565" t="inlineStr"/>
      <c r="U565" s="3" t="n">
        <v>1</v>
      </c>
      <c r="V565" s="3" t="n"/>
      <c r="W565" s="3" t="n"/>
      <c r="X565" s="3" t="n"/>
      <c r="Y565" s="3" t="n"/>
      <c r="Z565" s="3" t="n">
        <v>0</v>
      </c>
      <c r="AA565" s="3" t="n"/>
      <c r="AB565" s="3" t="n"/>
      <c r="AC565" s="3" t="n">
        <v>3.9421</v>
      </c>
      <c r="AD565" s="3" t="n">
        <v>1.99</v>
      </c>
      <c r="AE565" s="3" t="n">
        <v>-0.1822446652757809</v>
      </c>
      <c r="AF565" s="4" t="n">
        <v>0</v>
      </c>
      <c r="AG565" s="3" t="n">
        <v>0</v>
      </c>
      <c r="AH565" s="3" t="n">
        <v>0</v>
      </c>
      <c r="AI565" s="3" t="n">
        <v>0</v>
      </c>
      <c r="AJ565" s="3">
        <f>N(R565)*N(BC565)</f>
        <v/>
      </c>
      <c r="AK565" s="3" t="n">
        <v>0</v>
      </c>
      <c r="AL565" s="3" t="n">
        <v>0</v>
      </c>
      <c r="AM565" s="3" t="n">
        <v>-0.7496714098286652</v>
      </c>
      <c r="AN565" s="3" t="n">
        <v>-0.1822446652757809</v>
      </c>
      <c r="AO565" s="3">
        <f>SUM(AH565:AN565)</f>
        <v/>
      </c>
      <c r="AP565" s="5">
        <f>IF(OR(N(Q565)&lt;=0,N(BA565)=0),0,N(Q565)*IF(N(M565)/N(Q565)&gt;=60,N(BA565),1))</f>
        <v/>
      </c>
      <c r="AQ565" s="5">
        <f>N(Q565)*N(Z565)*N(BB565)</f>
        <v/>
      </c>
      <c r="AR565" s="5">
        <f>N(AF565)*(Assumptions!$B$13*N(BD565)-(1-Assumptions!$B$13)*Assumptions!$B$14)+N(AG565)</f>
        <v/>
      </c>
      <c r="AS565" s="5">
        <f>N(AO565)*N(M565)/90+N(AP565)+N(AQ565)+N(AR565)</f>
        <v/>
      </c>
      <c r="AT565" s="3">
        <f>IF(N(M565)&lt;=0,0,(N(AS565)-N(AR565))*90/N(M565))</f>
        <v/>
      </c>
      <c r="AU565" s="5">
        <f>IFERROR(AS565-VLOOKUP($C565,Assumptions!$A$36:$C$39,3,FALSE),"")</f>
        <v/>
      </c>
      <c r="AV565" s="3">
        <f>IFERROR(AU565/F565,"")</f>
        <v/>
      </c>
      <c r="AW565">
        <f>IF(AND($E565=TRUE,$C565="GKP"),AS565,"")</f>
        <v/>
      </c>
      <c r="AX565">
        <f>IF(AND($E565=TRUE,$C565="DEF"),AS565,"")</f>
        <v/>
      </c>
      <c r="AY565">
        <f>IF(AND($E565=TRUE,$C565="MID"),AS565,"")</f>
        <v/>
      </c>
      <c r="AZ565">
        <f>IF(AND($E565=TRUE,$C565="FWD"),AS565,"")</f>
        <v/>
      </c>
      <c r="BA565" t="n">
        <v>2</v>
      </c>
      <c r="BB565" t="n">
        <v>2</v>
      </c>
      <c r="BC565" t="n">
        <v>4</v>
      </c>
      <c r="BD565" t="n">
        <v>6</v>
      </c>
    </row>
    <row r="566">
      <c r="A566" t="inlineStr">
        <is>
          <t>Anis Mehmeti</t>
        </is>
      </c>
      <c r="B566" t="inlineStr">
        <is>
          <t>IPS</t>
        </is>
      </c>
      <c r="C566" t="inlineStr">
        <is>
          <t>MID</t>
        </is>
      </c>
      <c r="E566" t="b">
        <v>1</v>
      </c>
      <c r="F566" s="2" t="n">
        <v>5</v>
      </c>
      <c r="G566" t="inlineStr">
        <is>
          <t>a</t>
        </is>
      </c>
      <c r="I566" s="2" t="n"/>
      <c r="K566" s="3" t="n">
        <v>1146</v>
      </c>
      <c r="L566" t="inlineStr">
        <is>
          <t>flat</t>
        </is>
      </c>
      <c r="M566" s="4" t="n">
        <v>1146</v>
      </c>
      <c r="N566" t="inlineStr">
        <is>
          <t>Solio</t>
        </is>
      </c>
      <c r="O566" s="5" t="n">
        <v>85</v>
      </c>
      <c r="P566" t="b">
        <v>0</v>
      </c>
      <c r="Q566" s="5">
        <f>IF(N(O566)&lt;=0,0,MIN(Assumptions!$B$15,N(M566)/N(O566)))</f>
        <v/>
      </c>
      <c r="R566" s="4" t="n">
        <v>0.17</v>
      </c>
      <c r="S566" s="3" t="n"/>
      <c r="T566" t="inlineStr"/>
      <c r="U566" s="3" t="n">
        <v>1</v>
      </c>
      <c r="V566" s="3" t="n"/>
      <c r="W566" s="3" t="n"/>
      <c r="X566" s="3" t="n"/>
      <c r="Y566" s="3" t="n"/>
      <c r="Z566" s="3" t="n">
        <v>0</v>
      </c>
      <c r="AA566" s="3" t="n"/>
      <c r="AB566" s="3" t="n"/>
      <c r="AC566" s="3" t="n">
        <v>3.5741</v>
      </c>
      <c r="AD566" s="3" t="n">
        <v>1.8319</v>
      </c>
      <c r="AE566" s="3" t="n">
        <v>-0.2160434166173144</v>
      </c>
      <c r="AF566" s="4" t="n">
        <v>0</v>
      </c>
      <c r="AG566" s="3" t="n">
        <v>0</v>
      </c>
      <c r="AH566" s="3" t="n">
        <v>0</v>
      </c>
      <c r="AI566" s="3" t="n">
        <v>0</v>
      </c>
      <c r="AJ566" s="3">
        <f>N(R566)*N(BC566)</f>
        <v/>
      </c>
      <c r="AK566" s="3" t="n">
        <v>0</v>
      </c>
      <c r="AL566" s="3" t="n">
        <v>0</v>
      </c>
      <c r="AM566" s="3" t="n">
        <v>-0</v>
      </c>
      <c r="AN566" s="3" t="n">
        <v>-0.2160434166173144</v>
      </c>
      <c r="AO566" s="3">
        <f>SUM(AH566:AN566)</f>
        <v/>
      </c>
      <c r="AP566" s="5">
        <f>IF(OR(N(Q566)&lt;=0,N(BA566)=0),0,N(Q566)*IF(N(M566)/N(Q566)&gt;=60,N(BA566),1))</f>
        <v/>
      </c>
      <c r="AQ566" s="5">
        <f>N(Q566)*N(Z566)*N(BB566)</f>
        <v/>
      </c>
      <c r="AR566" s="5">
        <f>N(AF566)*(Assumptions!$B$13*N(BD566)-(1-Assumptions!$B$13)*Assumptions!$B$14)+N(AG566)</f>
        <v/>
      </c>
      <c r="AS566" s="5">
        <f>N(AO566)*N(M566)/90+N(AP566)+N(AQ566)+N(AR566)</f>
        <v/>
      </c>
      <c r="AT566" s="3">
        <f>IF(N(M566)&lt;=0,0,(N(AS566)-N(AR566))*90/N(M566))</f>
        <v/>
      </c>
      <c r="AU566" s="5">
        <f>IFERROR(AS566-VLOOKUP($C566,Assumptions!$A$36:$C$39,3,FALSE),"")</f>
        <v/>
      </c>
      <c r="AV566" s="3">
        <f>IFERROR(AU566/F566,"")</f>
        <v/>
      </c>
      <c r="AW566">
        <f>IF(AND($E566=TRUE,$C566="GKP"),AS566,"")</f>
        <v/>
      </c>
      <c r="AX566">
        <f>IF(AND($E566=TRUE,$C566="DEF"),AS566,"")</f>
        <v/>
      </c>
      <c r="AY566">
        <f>IF(AND($E566=TRUE,$C566="MID"),AS566,"")</f>
        <v/>
      </c>
      <c r="AZ566">
        <f>IF(AND($E566=TRUE,$C566="FWD"),AS566,"")</f>
        <v/>
      </c>
      <c r="BA566" t="n">
        <v>2</v>
      </c>
      <c r="BB566" t="n">
        <v>2</v>
      </c>
      <c r="BC566" t="n">
        <v>1</v>
      </c>
      <c r="BD566" t="n">
        <v>5</v>
      </c>
    </row>
    <row r="567">
      <c r="A567" t="inlineStr">
        <is>
          <t>Anthony Gordon</t>
        </is>
      </c>
      <c r="D567" t="inlineStr">
        <is>
          <t>MID</t>
        </is>
      </c>
      <c r="E567" t="b">
        <v>0</v>
      </c>
      <c r="F567" s="2" t="n"/>
      <c r="I567" s="2" t="n">
        <v>1814</v>
      </c>
      <c r="K567" s="3" t="n"/>
      <c r="M567" s="4" t="n">
        <v>1814</v>
      </c>
      <c r="N567" t="inlineStr">
        <is>
          <t>25/26 actual</t>
        </is>
      </c>
      <c r="O567" s="5" t="n">
        <v>73.90000000000001</v>
      </c>
      <c r="P567" t="b">
        <v>1</v>
      </c>
      <c r="Q567" s="5">
        <f>IF(N(O567)&lt;=0,0,MIN(Assumptions!$B$15,N(M567)/N(O567)))</f>
        <v/>
      </c>
      <c r="R567" s="4" t="n"/>
      <c r="S567" s="3" t="n">
        <v>0.2923</v>
      </c>
      <c r="T567" t="inlineStr">
        <is>
          <t>adjusted xGOT</t>
        </is>
      </c>
      <c r="U567" s="3" t="n">
        <v>0.739</v>
      </c>
      <c r="V567" s="3" t="n">
        <v>0.909</v>
      </c>
      <c r="W567" s="3" t="n">
        <v>31.7</v>
      </c>
      <c r="X567" s="3" t="n">
        <v>0.1843</v>
      </c>
      <c r="Y567" s="3" t="n">
        <v>5.705</v>
      </c>
      <c r="Z567" s="3" t="n">
        <v>0</v>
      </c>
      <c r="AA567" s="3" t="n">
        <v>0.4465</v>
      </c>
      <c r="AB567" s="3" t="n">
        <v>47</v>
      </c>
      <c r="AC567" s="3" t="n"/>
      <c r="AD567" s="3" t="n"/>
      <c r="AE567" s="3" t="n"/>
      <c r="AF567" s="4" t="n">
        <v>0</v>
      </c>
      <c r="AG567" s="3" t="n">
        <v>0</v>
      </c>
      <c r="AH567" s="3" t="n">
        <v>0</v>
      </c>
      <c r="AI567" s="3" t="n">
        <v>0</v>
      </c>
      <c r="AJ567" s="3">
        <f>N(R567)*N(BC567)</f>
        <v/>
      </c>
      <c r="AK567" s="3" t="n">
        <v>0</v>
      </c>
      <c r="AL567" s="3" t="n">
        <v>0</v>
      </c>
      <c r="AM567" s="3" t="n">
        <v>0</v>
      </c>
      <c r="AN567" s="3" t="n">
        <v>0</v>
      </c>
      <c r="AO567" s="3">
        <f>SUM(AH567:AN567)</f>
        <v/>
      </c>
      <c r="AP567" s="5">
        <f>IF(OR(N(Q567)&lt;=0,N(BA567)=0),0,N(Q567)*IF(N(M567)/N(Q567)&gt;=60,N(BA567),1))</f>
        <v/>
      </c>
      <c r="AQ567" s="5">
        <f>N(Q567)*N(Z567)*N(BB567)</f>
        <v/>
      </c>
      <c r="AR567" s="5">
        <f>N(AF567)*(Assumptions!$B$13*N(BD567)-(1-Assumptions!$B$13)*Assumptions!$B$14)+N(AG567)</f>
        <v/>
      </c>
      <c r="AS567" s="5">
        <f>N(AO567)*N(M567)/90+N(AP567)+N(AQ567)+N(AR567)</f>
        <v/>
      </c>
      <c r="AT567" s="3">
        <f>IF(N(M567)&lt;=0,0,(N(AS567)-N(AR567))*90/N(M567))</f>
        <v/>
      </c>
      <c r="AU567" s="5">
        <f>IFERROR(AS567-VLOOKUP($C567,Assumptions!$A$36:$C$39,3,FALSE),"")</f>
        <v/>
      </c>
      <c r="AV567" s="3">
        <f>IFERROR(AU567/F567,"")</f>
        <v/>
      </c>
      <c r="AW567">
        <f>IF(AND($E567=TRUE,$C567="GKP"),AS567,"")</f>
        <v/>
      </c>
      <c r="AX567">
        <f>IF(AND($E567=TRUE,$C567="DEF"),AS567,"")</f>
        <v/>
      </c>
      <c r="AY567">
        <f>IF(AND($E567=TRUE,$C567="MID"),AS567,"")</f>
        <v/>
      </c>
      <c r="AZ567">
        <f>IF(AND($E567=TRUE,$C567="FWD"),AS567,"")</f>
        <v/>
      </c>
      <c r="BA567" t="n">
        <v>0</v>
      </c>
      <c r="BB567" t="n">
        <v>0</v>
      </c>
      <c r="BC567" t="n">
        <v>0</v>
      </c>
      <c r="BD567" t="n">
        <v>0</v>
      </c>
    </row>
    <row r="568">
      <c r="A568" t="inlineStr">
        <is>
          <t>Liam Millar</t>
        </is>
      </c>
      <c r="B568" t="inlineStr">
        <is>
          <t>HUL</t>
        </is>
      </c>
      <c r="C568" t="inlineStr">
        <is>
          <t>MID</t>
        </is>
      </c>
      <c r="E568" t="b">
        <v>1</v>
      </c>
      <c r="F568" s="2" t="n">
        <v>5</v>
      </c>
      <c r="G568" t="inlineStr">
        <is>
          <t>a</t>
        </is>
      </c>
      <c r="I568" s="2" t="n"/>
      <c r="K568" s="3" t="n">
        <v>1978</v>
      </c>
      <c r="L568" t="inlineStr">
        <is>
          <t>flat</t>
        </is>
      </c>
      <c r="M568" s="4" t="n">
        <v>1978</v>
      </c>
      <c r="N568" t="inlineStr">
        <is>
          <t>Solio</t>
        </is>
      </c>
      <c r="O568" s="5" t="n">
        <v>85</v>
      </c>
      <c r="P568" t="b">
        <v>0</v>
      </c>
      <c r="Q568" s="5">
        <f>IF(N(O568)&lt;=0,0,MIN(Assumptions!$B$15,N(M568)/N(O568)))</f>
        <v/>
      </c>
      <c r="R568" s="4" t="n">
        <v>0.143</v>
      </c>
      <c r="S568" s="3" t="n"/>
      <c r="T568" t="inlineStr"/>
      <c r="U568" s="3" t="n">
        <v>1</v>
      </c>
      <c r="V568" s="3" t="n"/>
      <c r="W568" s="3" t="n"/>
      <c r="X568" s="3" t="n"/>
      <c r="Y568" s="3" t="n"/>
      <c r="Z568" s="3" t="n">
        <v>0</v>
      </c>
      <c r="AA568" s="3" t="n"/>
      <c r="AB568" s="3" t="n"/>
      <c r="AC568" s="3" t="n">
        <v>3.9421</v>
      </c>
      <c r="AD568" s="3" t="n">
        <v>1.99</v>
      </c>
      <c r="AE568" s="3" t="n">
        <v>-0.2160434166173144</v>
      </c>
      <c r="AF568" s="4" t="n">
        <v>0</v>
      </c>
      <c r="AG568" s="3" t="n">
        <v>0</v>
      </c>
      <c r="AH568" s="3" t="n">
        <v>0</v>
      </c>
      <c r="AI568" s="3" t="n">
        <v>0</v>
      </c>
      <c r="AJ568" s="3">
        <f>N(R568)*N(BC568)</f>
        <v/>
      </c>
      <c r="AK568" s="3" t="n">
        <v>0</v>
      </c>
      <c r="AL568" s="3" t="n">
        <v>0</v>
      </c>
      <c r="AM568" s="3" t="n">
        <v>-0</v>
      </c>
      <c r="AN568" s="3" t="n">
        <v>-0.2160434166173144</v>
      </c>
      <c r="AO568" s="3">
        <f>SUM(AH568:AN568)</f>
        <v/>
      </c>
      <c r="AP568" s="5">
        <f>IF(OR(N(Q568)&lt;=0,N(BA568)=0),0,N(Q568)*IF(N(M568)/N(Q568)&gt;=60,N(BA568),1))</f>
        <v/>
      </c>
      <c r="AQ568" s="5">
        <f>N(Q568)*N(Z568)*N(BB568)</f>
        <v/>
      </c>
      <c r="AR568" s="5">
        <f>N(AF568)*(Assumptions!$B$13*N(BD568)-(1-Assumptions!$B$13)*Assumptions!$B$14)+N(AG568)</f>
        <v/>
      </c>
      <c r="AS568" s="5">
        <f>N(AO568)*N(M568)/90+N(AP568)+N(AQ568)+N(AR568)</f>
        <v/>
      </c>
      <c r="AT568" s="3">
        <f>IF(N(M568)&lt;=0,0,(N(AS568)-N(AR568))*90/N(M568))</f>
        <v/>
      </c>
      <c r="AU568" s="5">
        <f>IFERROR(AS568-VLOOKUP($C568,Assumptions!$A$36:$C$39,3,FALSE),"")</f>
        <v/>
      </c>
      <c r="AV568" s="3">
        <f>IFERROR(AU568/F568,"")</f>
        <v/>
      </c>
      <c r="AW568">
        <f>IF(AND($E568=TRUE,$C568="GKP"),AS568,"")</f>
        <v/>
      </c>
      <c r="AX568">
        <f>IF(AND($E568=TRUE,$C568="DEF"),AS568,"")</f>
        <v/>
      </c>
      <c r="AY568">
        <f>IF(AND($E568=TRUE,$C568="MID"),AS568,"")</f>
        <v/>
      </c>
      <c r="AZ568">
        <f>IF(AND($E568=TRUE,$C568="FWD"),AS568,"")</f>
        <v/>
      </c>
      <c r="BA568" t="n">
        <v>2</v>
      </c>
      <c r="BB568" t="n">
        <v>2</v>
      </c>
      <c r="BC568" t="n">
        <v>1</v>
      </c>
      <c r="BD568" t="n">
        <v>5</v>
      </c>
    </row>
    <row r="569">
      <c r="A569" t="inlineStr">
        <is>
          <t>Konstantinos Mavropanos</t>
        </is>
      </c>
      <c r="D569" t="inlineStr">
        <is>
          <t>DEF</t>
        </is>
      </c>
      <c r="E569" t="b">
        <v>0</v>
      </c>
      <c r="F569" s="2" t="n"/>
      <c r="I569" s="2" t="n">
        <v>2528</v>
      </c>
      <c r="K569" s="3" t="n"/>
      <c r="M569" s="4" t="n">
        <v>2528</v>
      </c>
      <c r="N569" t="inlineStr">
        <is>
          <t>25/26 actual</t>
        </is>
      </c>
      <c r="O569" s="5" t="n">
        <v>90</v>
      </c>
      <c r="P569" t="b">
        <v>1</v>
      </c>
      <c r="Q569" s="5">
        <f>IF(N(O569)&lt;=0,0,MIN(Assumptions!$B$15,N(M569)/N(O569)))</f>
        <v/>
      </c>
      <c r="R569" s="4" t="n"/>
      <c r="S569" s="3" t="n">
        <v>0.09080000000000001</v>
      </c>
      <c r="T569" t="inlineStr">
        <is>
          <t>adjusted xGOT</t>
        </is>
      </c>
      <c r="U569" s="3" t="n">
        <v>1</v>
      </c>
      <c r="V569" s="3" t="n">
        <v>1.032</v>
      </c>
      <c r="W569" s="3" t="n">
        <v>5.3</v>
      </c>
      <c r="X569" s="3" t="n">
        <v>0.0174</v>
      </c>
      <c r="Y569" s="3" t="n">
        <v>10.364</v>
      </c>
      <c r="Z569" s="3" t="n">
        <v>0</v>
      </c>
      <c r="AA569" s="3" t="n">
        <v>0.178</v>
      </c>
      <c r="AB569" s="3" t="n">
        <v>58</v>
      </c>
      <c r="AC569" s="3" t="n"/>
      <c r="AD569" s="3" t="n"/>
      <c r="AE569" s="3" t="n"/>
      <c r="AF569" s="4" t="n">
        <v>0</v>
      </c>
      <c r="AG569" s="3" t="n">
        <v>0</v>
      </c>
      <c r="AH569" s="3" t="n">
        <v>0</v>
      </c>
      <c r="AI569" s="3" t="n">
        <v>0</v>
      </c>
      <c r="AJ569" s="3">
        <f>N(R569)*N(BC569)</f>
        <v/>
      </c>
      <c r="AK569" s="3" t="n">
        <v>0</v>
      </c>
      <c r="AL569" s="3" t="n">
        <v>0</v>
      </c>
      <c r="AM569" s="3" t="n">
        <v>0</v>
      </c>
      <c r="AN569" s="3" t="n">
        <v>0</v>
      </c>
      <c r="AO569" s="3">
        <f>SUM(AH569:AN569)</f>
        <v/>
      </c>
      <c r="AP569" s="5">
        <f>IF(OR(N(Q569)&lt;=0,N(BA569)=0),0,N(Q569)*IF(N(M569)/N(Q569)&gt;=60,N(BA569),1))</f>
        <v/>
      </c>
      <c r="AQ569" s="5">
        <f>N(Q569)*N(Z569)*N(BB569)</f>
        <v/>
      </c>
      <c r="AR569" s="5">
        <f>N(AF569)*(Assumptions!$B$13*N(BD569)-(1-Assumptions!$B$13)*Assumptions!$B$14)+N(AG569)</f>
        <v/>
      </c>
      <c r="AS569" s="5">
        <f>N(AO569)*N(M569)/90+N(AP569)+N(AQ569)+N(AR569)</f>
        <v/>
      </c>
      <c r="AT569" s="3">
        <f>IF(N(M569)&lt;=0,0,(N(AS569)-N(AR569))*90/N(M569))</f>
        <v/>
      </c>
      <c r="AU569" s="5">
        <f>IFERROR(AS569-VLOOKUP($C569,Assumptions!$A$36:$C$39,3,FALSE),"")</f>
        <v/>
      </c>
      <c r="AV569" s="3">
        <f>IFERROR(AU569/F569,"")</f>
        <v/>
      </c>
      <c r="AW569">
        <f>IF(AND($E569=TRUE,$C569="GKP"),AS569,"")</f>
        <v/>
      </c>
      <c r="AX569">
        <f>IF(AND($E569=TRUE,$C569="DEF"),AS569,"")</f>
        <v/>
      </c>
      <c r="AY569">
        <f>IF(AND($E569=TRUE,$C569="MID"),AS569,"")</f>
        <v/>
      </c>
      <c r="AZ569">
        <f>IF(AND($E569=TRUE,$C569="FWD"),AS569,"")</f>
        <v/>
      </c>
      <c r="BA569" t="n">
        <v>0</v>
      </c>
      <c r="BB569" t="n">
        <v>0</v>
      </c>
      <c r="BC569" t="n">
        <v>0</v>
      </c>
      <c r="BD569" t="n">
        <v>0</v>
      </c>
    </row>
    <row r="570">
      <c r="A570" t="inlineStr">
        <is>
          <t>Azor Matusiwa</t>
        </is>
      </c>
      <c r="B570" t="inlineStr">
        <is>
          <t>IPS</t>
        </is>
      </c>
      <c r="C570" t="inlineStr">
        <is>
          <t>MID</t>
        </is>
      </c>
      <c r="E570" t="b">
        <v>1</v>
      </c>
      <c r="F570" s="2" t="n">
        <v>5</v>
      </c>
      <c r="G570" t="inlineStr">
        <is>
          <t>i</t>
        </is>
      </c>
      <c r="H570" t="inlineStr">
        <is>
          <t>Muscular injury - Unknown return date</t>
        </is>
      </c>
      <c r="I570" s="2" t="n"/>
      <c r="K570" s="3" t="n">
        <v>800</v>
      </c>
      <c r="L570" t="inlineStr">
        <is>
          <t>flat</t>
        </is>
      </c>
      <c r="M570" s="4" t="n">
        <v>800</v>
      </c>
      <c r="N570" t="inlineStr">
        <is>
          <t>Solio</t>
        </is>
      </c>
      <c r="O570" s="5" t="n">
        <v>85</v>
      </c>
      <c r="P570" t="b">
        <v>0</v>
      </c>
      <c r="Q570" s="5">
        <f>IF(N(O570)&lt;=0,0,MIN(Assumptions!$B$15,N(M570)/N(O570)))</f>
        <v/>
      </c>
      <c r="R570" s="4" t="n">
        <v>0.17</v>
      </c>
      <c r="S570" s="3" t="n"/>
      <c r="T570" t="inlineStr"/>
      <c r="U570" s="3" t="n">
        <v>1</v>
      </c>
      <c r="V570" s="3" t="n"/>
      <c r="W570" s="3" t="n"/>
      <c r="X570" s="3" t="n"/>
      <c r="Y570" s="3" t="n"/>
      <c r="Z570" s="3" t="n">
        <v>0</v>
      </c>
      <c r="AA570" s="3" t="n"/>
      <c r="AB570" s="3" t="n"/>
      <c r="AC570" s="3" t="n">
        <v>3.5741</v>
      </c>
      <c r="AD570" s="3" t="n">
        <v>1.8319</v>
      </c>
      <c r="AE570" s="3" t="n">
        <v>-0.2160434166173144</v>
      </c>
      <c r="AF570" s="4" t="n">
        <v>0</v>
      </c>
      <c r="AG570" s="3" t="n">
        <v>0</v>
      </c>
      <c r="AH570" s="3" t="n">
        <v>0</v>
      </c>
      <c r="AI570" s="3" t="n">
        <v>0</v>
      </c>
      <c r="AJ570" s="3">
        <f>N(R570)*N(BC570)</f>
        <v/>
      </c>
      <c r="AK570" s="3" t="n">
        <v>0</v>
      </c>
      <c r="AL570" s="3" t="n">
        <v>0</v>
      </c>
      <c r="AM570" s="3" t="n">
        <v>-0</v>
      </c>
      <c r="AN570" s="3" t="n">
        <v>-0.2160434166173144</v>
      </c>
      <c r="AO570" s="3">
        <f>SUM(AH570:AN570)</f>
        <v/>
      </c>
      <c r="AP570" s="5">
        <f>IF(OR(N(Q570)&lt;=0,N(BA570)=0),0,N(Q570)*IF(N(M570)/N(Q570)&gt;=60,N(BA570),1))</f>
        <v/>
      </c>
      <c r="AQ570" s="5">
        <f>N(Q570)*N(Z570)*N(BB570)</f>
        <v/>
      </c>
      <c r="AR570" s="5">
        <f>N(AF570)*(Assumptions!$B$13*N(BD570)-(1-Assumptions!$B$13)*Assumptions!$B$14)+N(AG570)</f>
        <v/>
      </c>
      <c r="AS570" s="5">
        <f>N(AO570)*N(M570)/90+N(AP570)+N(AQ570)+N(AR570)</f>
        <v/>
      </c>
      <c r="AT570" s="3">
        <f>IF(N(M570)&lt;=0,0,(N(AS570)-N(AR570))*90/N(M570))</f>
        <v/>
      </c>
      <c r="AU570" s="5">
        <f>IFERROR(AS570-VLOOKUP($C570,Assumptions!$A$36:$C$39,3,FALSE),"")</f>
        <v/>
      </c>
      <c r="AV570" s="3">
        <f>IFERROR(AU570/F570,"")</f>
        <v/>
      </c>
      <c r="AW570">
        <f>IF(AND($E570=TRUE,$C570="GKP"),AS570,"")</f>
        <v/>
      </c>
      <c r="AX570">
        <f>IF(AND($E570=TRUE,$C570="DEF"),AS570,"")</f>
        <v/>
      </c>
      <c r="AY570">
        <f>IF(AND($E570=TRUE,$C570="MID"),AS570,"")</f>
        <v/>
      </c>
      <c r="AZ570">
        <f>IF(AND($E570=TRUE,$C570="FWD"),AS570,"")</f>
        <v/>
      </c>
      <c r="BA570" t="n">
        <v>2</v>
      </c>
      <c r="BB570" t="n">
        <v>2</v>
      </c>
      <c r="BC570" t="n">
        <v>1</v>
      </c>
      <c r="BD570" t="n">
        <v>5</v>
      </c>
    </row>
    <row r="571">
      <c r="A571" t="inlineStr">
        <is>
          <t>Ephron Mason-Clark</t>
        </is>
      </c>
      <c r="B571" t="inlineStr">
        <is>
          <t>COV</t>
        </is>
      </c>
      <c r="C571" t="inlineStr">
        <is>
          <t>MID</t>
        </is>
      </c>
      <c r="E571" t="b">
        <v>1</v>
      </c>
      <c r="F571" s="2" t="n">
        <v>5.5</v>
      </c>
      <c r="G571" t="inlineStr">
        <is>
          <t>a</t>
        </is>
      </c>
      <c r="I571" s="2" t="n"/>
      <c r="K571" s="3" t="n">
        <v>2440</v>
      </c>
      <c r="L571" t="inlineStr">
        <is>
          <t>flat</t>
        </is>
      </c>
      <c r="M571" s="4" t="n">
        <v>2440</v>
      </c>
      <c r="N571" t="inlineStr">
        <is>
          <t>Solio</t>
        </is>
      </c>
      <c r="O571" s="5" t="n">
        <v>85</v>
      </c>
      <c r="P571" t="b">
        <v>0</v>
      </c>
      <c r="Q571" s="5">
        <f>IF(N(O571)&lt;=0,0,MIN(Assumptions!$B$15,N(M571)/N(O571)))</f>
        <v/>
      </c>
      <c r="R571" s="4" t="n">
        <v>0.17</v>
      </c>
      <c r="S571" s="3" t="n"/>
      <c r="T571" t="inlineStr"/>
      <c r="U571" s="3" t="n">
        <v>1</v>
      </c>
      <c r="V571" s="3" t="n"/>
      <c r="W571" s="3" t="n"/>
      <c r="X571" s="3" t="n"/>
      <c r="Y571" s="3" t="n"/>
      <c r="Z571" s="3" t="n">
        <v>0</v>
      </c>
      <c r="AA571" s="3" t="n"/>
      <c r="AB571" s="3" t="n"/>
      <c r="AC571" s="3" t="n">
        <v>3.6194</v>
      </c>
      <c r="AD571" s="3" t="n">
        <v>1.8271</v>
      </c>
      <c r="AE571" s="3" t="n">
        <v>-0.2160434166173144</v>
      </c>
      <c r="AF571" s="4" t="n">
        <v>0</v>
      </c>
      <c r="AG571" s="3" t="n">
        <v>0</v>
      </c>
      <c r="AH571" s="3" t="n">
        <v>0</v>
      </c>
      <c r="AI571" s="3" t="n">
        <v>0</v>
      </c>
      <c r="AJ571" s="3">
        <f>N(R571)*N(BC571)</f>
        <v/>
      </c>
      <c r="AK571" s="3" t="n">
        <v>0</v>
      </c>
      <c r="AL571" s="3" t="n">
        <v>0</v>
      </c>
      <c r="AM571" s="3" t="n">
        <v>-0</v>
      </c>
      <c r="AN571" s="3" t="n">
        <v>-0.2160434166173144</v>
      </c>
      <c r="AO571" s="3">
        <f>SUM(AH571:AN571)</f>
        <v/>
      </c>
      <c r="AP571" s="5">
        <f>IF(OR(N(Q571)&lt;=0,N(BA571)=0),0,N(Q571)*IF(N(M571)/N(Q571)&gt;=60,N(BA571),1))</f>
        <v/>
      </c>
      <c r="AQ571" s="5">
        <f>N(Q571)*N(Z571)*N(BB571)</f>
        <v/>
      </c>
      <c r="AR571" s="5">
        <f>N(AF571)*(Assumptions!$B$13*N(BD571)-(1-Assumptions!$B$13)*Assumptions!$B$14)+N(AG571)</f>
        <v/>
      </c>
      <c r="AS571" s="5">
        <f>N(AO571)*N(M571)/90+N(AP571)+N(AQ571)+N(AR571)</f>
        <v/>
      </c>
      <c r="AT571" s="3">
        <f>IF(N(M571)&lt;=0,0,(N(AS571)-N(AR571))*90/N(M571))</f>
        <v/>
      </c>
      <c r="AU571" s="5">
        <f>IFERROR(AS571-VLOOKUP($C571,Assumptions!$A$36:$C$39,3,FALSE),"")</f>
        <v/>
      </c>
      <c r="AV571" s="3">
        <f>IFERROR(AU571/F571,"")</f>
        <v/>
      </c>
      <c r="AW571">
        <f>IF(AND($E571=TRUE,$C571="GKP"),AS571,"")</f>
        <v/>
      </c>
      <c r="AX571">
        <f>IF(AND($E571=TRUE,$C571="DEF"),AS571,"")</f>
        <v/>
      </c>
      <c r="AY571">
        <f>IF(AND($E571=TRUE,$C571="MID"),AS571,"")</f>
        <v/>
      </c>
      <c r="AZ571">
        <f>IF(AND($E571=TRUE,$C571="FWD"),AS571,"")</f>
        <v/>
      </c>
      <c r="BA571" t="n">
        <v>2</v>
      </c>
      <c r="BB571" t="n">
        <v>2</v>
      </c>
      <c r="BC571" t="n">
        <v>1</v>
      </c>
      <c r="BD571" t="n">
        <v>5</v>
      </c>
    </row>
    <row r="572">
      <c r="A572" t="inlineStr">
        <is>
          <t>Oscar Mingueza</t>
        </is>
      </c>
      <c r="B572" t="inlineStr">
        <is>
          <t>CRY</t>
        </is>
      </c>
      <c r="C572" t="inlineStr">
        <is>
          <t>DEF</t>
        </is>
      </c>
      <c r="E572" t="b">
        <v>1</v>
      </c>
      <c r="F572" s="2" t="n">
        <v>4.5</v>
      </c>
      <c r="G572" t="inlineStr">
        <is>
          <t>a</t>
        </is>
      </c>
      <c r="I572" s="2" t="n"/>
      <c r="K572" s="3" t="n">
        <v>1197</v>
      </c>
      <c r="L572" t="inlineStr">
        <is>
          <t>flat</t>
        </is>
      </c>
      <c r="M572" s="4" t="n">
        <v>1197</v>
      </c>
      <c r="N572" t="inlineStr">
        <is>
          <t>Solio</t>
        </is>
      </c>
      <c r="O572" s="5" t="n">
        <v>85</v>
      </c>
      <c r="P572" t="b">
        <v>0</v>
      </c>
      <c r="Q572" s="5">
        <f>IF(N(O572)&lt;=0,0,MIN(Assumptions!$B$15,N(M572)/N(O572)))</f>
        <v/>
      </c>
      <c r="R572" s="4" t="n">
        <v>0.216</v>
      </c>
      <c r="S572" s="3" t="n"/>
      <c r="T572" t="inlineStr"/>
      <c r="U572" s="3" t="n">
        <v>1</v>
      </c>
      <c r="V572" s="3" t="n"/>
      <c r="W572" s="3" t="n"/>
      <c r="X572" s="3" t="n"/>
      <c r="Y572" s="3" t="n"/>
      <c r="Z572" s="3" t="n">
        <v>0</v>
      </c>
      <c r="AA572" s="3" t="n"/>
      <c r="AB572" s="3" t="n"/>
      <c r="AC572" s="3" t="n">
        <v>3.2035</v>
      </c>
      <c r="AD572" s="3" t="n">
        <v>1.5923</v>
      </c>
      <c r="AE572" s="3" t="n">
        <v>-0.2045226422080557</v>
      </c>
      <c r="AF572" s="4" t="n">
        <v>0</v>
      </c>
      <c r="AG572" s="3" t="n">
        <v>0</v>
      </c>
      <c r="AH572" s="3" t="n">
        <v>0</v>
      </c>
      <c r="AI572" s="3" t="n">
        <v>0</v>
      </c>
      <c r="AJ572" s="3">
        <f>N(R572)*N(BC572)</f>
        <v/>
      </c>
      <c r="AK572" s="3" t="n">
        <v>0</v>
      </c>
      <c r="AL572" s="3" t="n">
        <v>0</v>
      </c>
      <c r="AM572" s="3" t="n">
        <v>-0.5564987001023466</v>
      </c>
      <c r="AN572" s="3" t="n">
        <v>-0.2045226422080557</v>
      </c>
      <c r="AO572" s="3">
        <f>SUM(AH572:AN572)</f>
        <v/>
      </c>
      <c r="AP572" s="5">
        <f>IF(OR(N(Q572)&lt;=0,N(BA572)=0),0,N(Q572)*IF(N(M572)/N(Q572)&gt;=60,N(BA572),1))</f>
        <v/>
      </c>
      <c r="AQ572" s="5">
        <f>N(Q572)*N(Z572)*N(BB572)</f>
        <v/>
      </c>
      <c r="AR572" s="5">
        <f>N(AF572)*(Assumptions!$B$13*N(BD572)-(1-Assumptions!$B$13)*Assumptions!$B$14)+N(AG572)</f>
        <v/>
      </c>
      <c r="AS572" s="5">
        <f>N(AO572)*N(M572)/90+N(AP572)+N(AQ572)+N(AR572)</f>
        <v/>
      </c>
      <c r="AT572" s="3">
        <f>IF(N(M572)&lt;=0,0,(N(AS572)-N(AR572))*90/N(M572))</f>
        <v/>
      </c>
      <c r="AU572" s="5">
        <f>IFERROR(AS572-VLOOKUP($C572,Assumptions!$A$36:$C$39,3,FALSE),"")</f>
        <v/>
      </c>
      <c r="AV572" s="3">
        <f>IFERROR(AU572/F572,"")</f>
        <v/>
      </c>
      <c r="AW572">
        <f>IF(AND($E572=TRUE,$C572="GKP"),AS572,"")</f>
        <v/>
      </c>
      <c r="AX572">
        <f>IF(AND($E572=TRUE,$C572="DEF"),AS572,"")</f>
        <v/>
      </c>
      <c r="AY572">
        <f>IF(AND($E572=TRUE,$C572="MID"),AS572,"")</f>
        <v/>
      </c>
      <c r="AZ572">
        <f>IF(AND($E572=TRUE,$C572="FWD"),AS572,"")</f>
        <v/>
      </c>
      <c r="BA572" t="n">
        <v>2</v>
      </c>
      <c r="BB572" t="n">
        <v>2</v>
      </c>
      <c r="BC572" t="n">
        <v>4</v>
      </c>
      <c r="BD572" t="n">
        <v>6</v>
      </c>
    </row>
    <row r="573">
      <c r="A573" t="inlineStr">
        <is>
          <t>Regan Slater</t>
        </is>
      </c>
      <c r="B573" t="inlineStr">
        <is>
          <t>HUL</t>
        </is>
      </c>
      <c r="C573" t="inlineStr">
        <is>
          <t>MID</t>
        </is>
      </c>
      <c r="E573" t="b">
        <v>1</v>
      </c>
      <c r="F573" s="2" t="n">
        <v>4.5</v>
      </c>
      <c r="G573" t="inlineStr">
        <is>
          <t>a</t>
        </is>
      </c>
      <c r="I573" s="2" t="n"/>
      <c r="K573" s="3" t="n">
        <v>2770</v>
      </c>
      <c r="L573" t="inlineStr">
        <is>
          <t>flat</t>
        </is>
      </c>
      <c r="M573" s="4" t="n">
        <v>2770</v>
      </c>
      <c r="N573" t="inlineStr">
        <is>
          <t>Solio</t>
        </is>
      </c>
      <c r="O573" s="5" t="n">
        <v>85</v>
      </c>
      <c r="P573" t="b">
        <v>0</v>
      </c>
      <c r="Q573" s="5">
        <f>IF(N(O573)&lt;=0,0,MIN(Assumptions!$B$15,N(M573)/N(O573)))</f>
        <v/>
      </c>
      <c r="R573" s="4" t="n">
        <v>0.143</v>
      </c>
      <c r="S573" s="3" t="n"/>
      <c r="T573" t="inlineStr"/>
      <c r="U573" s="3" t="n">
        <v>1</v>
      </c>
      <c r="V573" s="3" t="n"/>
      <c r="W573" s="3" t="n"/>
      <c r="X573" s="3" t="n"/>
      <c r="Y573" s="3" t="n"/>
      <c r="Z573" s="3" t="n">
        <v>0</v>
      </c>
      <c r="AA573" s="3" t="n"/>
      <c r="AB573" s="3" t="n"/>
      <c r="AC573" s="3" t="n">
        <v>3.9421</v>
      </c>
      <c r="AD573" s="3" t="n">
        <v>1.99</v>
      </c>
      <c r="AE573" s="3" t="n">
        <v>-0.2160434166173144</v>
      </c>
      <c r="AF573" s="4" t="n">
        <v>0</v>
      </c>
      <c r="AG573" s="3" t="n">
        <v>0</v>
      </c>
      <c r="AH573" s="3" t="n">
        <v>0</v>
      </c>
      <c r="AI573" s="3" t="n">
        <v>0</v>
      </c>
      <c r="AJ573" s="3">
        <f>N(R573)*N(BC573)</f>
        <v/>
      </c>
      <c r="AK573" s="3" t="n">
        <v>0</v>
      </c>
      <c r="AL573" s="3" t="n">
        <v>0</v>
      </c>
      <c r="AM573" s="3" t="n">
        <v>-0</v>
      </c>
      <c r="AN573" s="3" t="n">
        <v>-0.2160434166173144</v>
      </c>
      <c r="AO573" s="3">
        <f>SUM(AH573:AN573)</f>
        <v/>
      </c>
      <c r="AP573" s="5">
        <f>IF(OR(N(Q573)&lt;=0,N(BA573)=0),0,N(Q573)*IF(N(M573)/N(Q573)&gt;=60,N(BA573),1))</f>
        <v/>
      </c>
      <c r="AQ573" s="5">
        <f>N(Q573)*N(Z573)*N(BB573)</f>
        <v/>
      </c>
      <c r="AR573" s="5">
        <f>N(AF573)*(Assumptions!$B$13*N(BD573)-(1-Assumptions!$B$13)*Assumptions!$B$14)+N(AG573)</f>
        <v/>
      </c>
      <c r="AS573" s="5">
        <f>N(AO573)*N(M573)/90+N(AP573)+N(AQ573)+N(AR573)</f>
        <v/>
      </c>
      <c r="AT573" s="3">
        <f>IF(N(M573)&lt;=0,0,(N(AS573)-N(AR573))*90/N(M573))</f>
        <v/>
      </c>
      <c r="AU573" s="5">
        <f>IFERROR(AS573-VLOOKUP($C573,Assumptions!$A$36:$C$39,3,FALSE),"")</f>
        <v/>
      </c>
      <c r="AV573" s="3">
        <f>IFERROR(AU573/F573,"")</f>
        <v/>
      </c>
      <c r="AW573">
        <f>IF(AND($E573=TRUE,$C573="GKP"),AS573,"")</f>
        <v/>
      </c>
      <c r="AX573">
        <f>IF(AND($E573=TRUE,$C573="DEF"),AS573,"")</f>
        <v/>
      </c>
      <c r="AY573">
        <f>IF(AND($E573=TRUE,$C573="MID"),AS573,"")</f>
        <v/>
      </c>
      <c r="AZ573">
        <f>IF(AND($E573=TRUE,$C573="FWD"),AS573,"")</f>
        <v/>
      </c>
      <c r="BA573" t="n">
        <v>2</v>
      </c>
      <c r="BB573" t="n">
        <v>2</v>
      </c>
      <c r="BC573" t="n">
        <v>1</v>
      </c>
      <c r="BD573" t="n">
        <v>5</v>
      </c>
    </row>
    <row r="574">
      <c r="A574" t="inlineStr">
        <is>
          <t>Hayden Hackney</t>
        </is>
      </c>
      <c r="B574" t="inlineStr">
        <is>
          <t>EVE</t>
        </is>
      </c>
      <c r="C574" t="inlineStr">
        <is>
          <t>MID</t>
        </is>
      </c>
      <c r="E574" t="b">
        <v>1</v>
      </c>
      <c r="F574" s="2" t="n">
        <v>5.5</v>
      </c>
      <c r="G574" t="inlineStr">
        <is>
          <t>a</t>
        </is>
      </c>
      <c r="I574" s="2" t="n"/>
      <c r="K574" s="3" t="n">
        <v>1053</v>
      </c>
      <c r="L574" t="inlineStr">
        <is>
          <t>fade (losing his place)</t>
        </is>
      </c>
      <c r="M574" s="4" t="n">
        <v>1053</v>
      </c>
      <c r="N574" t="inlineStr">
        <is>
          <t>Solio</t>
        </is>
      </c>
      <c r="O574" s="5" t="n">
        <v>85</v>
      </c>
      <c r="P574" t="b">
        <v>0</v>
      </c>
      <c r="Q574" s="5">
        <f>IF(N(O574)&lt;=0,0,MIN(Assumptions!$B$15,N(M574)/N(O574)))</f>
        <v/>
      </c>
      <c r="R574" s="4" t="n">
        <v>0.231</v>
      </c>
      <c r="S574" s="3" t="n"/>
      <c r="T574" t="inlineStr"/>
      <c r="U574" s="3" t="n">
        <v>1</v>
      </c>
      <c r="V574" s="3" t="n"/>
      <c r="W574" s="3" t="n"/>
      <c r="X574" s="3" t="n"/>
      <c r="Y574" s="3" t="n"/>
      <c r="Z574" s="3" t="n">
        <v>0</v>
      </c>
      <c r="AA574" s="3" t="n"/>
      <c r="AB574" s="3" t="n"/>
      <c r="AC574" s="3" t="n">
        <v>3.0311</v>
      </c>
      <c r="AD574" s="3" t="n">
        <v>1.5252</v>
      </c>
      <c r="AE574" s="3" t="n">
        <v>-0.2160434166173144</v>
      </c>
      <c r="AF574" s="4" t="n">
        <v>0</v>
      </c>
      <c r="AG574" s="3" t="n">
        <v>0</v>
      </c>
      <c r="AH574" s="3" t="n">
        <v>0</v>
      </c>
      <c r="AI574" s="3" t="n">
        <v>0</v>
      </c>
      <c r="AJ574" s="3">
        <f>N(R574)*N(BC574)</f>
        <v/>
      </c>
      <c r="AK574" s="3" t="n">
        <v>0</v>
      </c>
      <c r="AL574" s="3" t="n">
        <v>0</v>
      </c>
      <c r="AM574" s="3" t="n">
        <v>-0</v>
      </c>
      <c r="AN574" s="3" t="n">
        <v>-0.2160434166173144</v>
      </c>
      <c r="AO574" s="3">
        <f>SUM(AH574:AN574)</f>
        <v/>
      </c>
      <c r="AP574" s="5">
        <f>IF(OR(N(Q574)&lt;=0,N(BA574)=0),0,N(Q574)*IF(N(M574)/N(Q574)&gt;=60,N(BA574),1))</f>
        <v/>
      </c>
      <c r="AQ574" s="5">
        <f>N(Q574)*N(Z574)*N(BB574)</f>
        <v/>
      </c>
      <c r="AR574" s="5">
        <f>N(AF574)*(Assumptions!$B$13*N(BD574)-(1-Assumptions!$B$13)*Assumptions!$B$14)+N(AG574)</f>
        <v/>
      </c>
      <c r="AS574" s="5">
        <f>N(AO574)*N(M574)/90+N(AP574)+N(AQ574)+N(AR574)</f>
        <v/>
      </c>
      <c r="AT574" s="3">
        <f>IF(N(M574)&lt;=0,0,(N(AS574)-N(AR574))*90/N(M574))</f>
        <v/>
      </c>
      <c r="AU574" s="5">
        <f>IFERROR(AS574-VLOOKUP($C574,Assumptions!$A$36:$C$39,3,FALSE),"")</f>
        <v/>
      </c>
      <c r="AV574" s="3">
        <f>IFERROR(AU574/F574,"")</f>
        <v/>
      </c>
      <c r="AW574">
        <f>IF(AND($E574=TRUE,$C574="GKP"),AS574,"")</f>
        <v/>
      </c>
      <c r="AX574">
        <f>IF(AND($E574=TRUE,$C574="DEF"),AS574,"")</f>
        <v/>
      </c>
      <c r="AY574">
        <f>IF(AND($E574=TRUE,$C574="MID"),AS574,"")</f>
        <v/>
      </c>
      <c r="AZ574">
        <f>IF(AND($E574=TRUE,$C574="FWD"),AS574,"")</f>
        <v/>
      </c>
      <c r="BA574" t="n">
        <v>2</v>
      </c>
      <c r="BB574" t="n">
        <v>2</v>
      </c>
      <c r="BC574" t="n">
        <v>1</v>
      </c>
      <c r="BD574" t="n">
        <v>5</v>
      </c>
    </row>
    <row r="575">
      <c r="A575" t="inlineStr">
        <is>
          <t>Valentín Castellanos</t>
        </is>
      </c>
      <c r="D575" t="inlineStr">
        <is>
          <t>FWD</t>
        </is>
      </c>
      <c r="E575" t="b">
        <v>0</v>
      </c>
      <c r="F575" s="2" t="n"/>
      <c r="I575" s="2" t="n">
        <v>1395</v>
      </c>
      <c r="K575" s="3" t="n"/>
      <c r="M575" s="4" t="n">
        <v>1395</v>
      </c>
      <c r="N575" t="inlineStr">
        <is>
          <t>25/26 actual</t>
        </is>
      </c>
      <c r="O575" s="5" t="n">
        <v>77.59999999999999</v>
      </c>
      <c r="P575" t="b">
        <v>1</v>
      </c>
      <c r="Q575" s="5">
        <f>IF(N(O575)&lt;=0,0,MIN(Assumptions!$B$15,N(M575)/N(O575)))</f>
        <v/>
      </c>
      <c r="R575" s="4" t="n"/>
      <c r="S575" s="3" t="n">
        <v>0.3858</v>
      </c>
      <c r="T575" t="inlineStr">
        <is>
          <t>adjusted xGOT</t>
        </is>
      </c>
      <c r="U575" s="3" t="n">
        <v>1</v>
      </c>
      <c r="V575" s="3" t="n">
        <v>1.04</v>
      </c>
      <c r="W575" s="3" t="n">
        <v>5.8</v>
      </c>
      <c r="X575" s="3" t="n">
        <v>0.0482</v>
      </c>
      <c r="Y575" s="3" t="n">
        <v>4.677</v>
      </c>
      <c r="Z575" s="3" t="n">
        <v>0</v>
      </c>
      <c r="AA575" s="3" t="n">
        <v>0.3226</v>
      </c>
      <c r="AB575" s="3" t="n">
        <v>35</v>
      </c>
      <c r="AC575" s="3" t="n"/>
      <c r="AD575" s="3" t="n"/>
      <c r="AE575" s="3" t="n"/>
      <c r="AF575" s="4" t="n">
        <v>0</v>
      </c>
      <c r="AG575" s="3" t="n">
        <v>0</v>
      </c>
      <c r="AH575" s="3" t="n">
        <v>0</v>
      </c>
      <c r="AI575" s="3" t="n">
        <v>0</v>
      </c>
      <c r="AJ575" s="3">
        <f>N(R575)*N(BC575)</f>
        <v/>
      </c>
      <c r="AK575" s="3" t="n">
        <v>0</v>
      </c>
      <c r="AL575" s="3" t="n">
        <v>0</v>
      </c>
      <c r="AM575" s="3" t="n">
        <v>0</v>
      </c>
      <c r="AN575" s="3" t="n">
        <v>0</v>
      </c>
      <c r="AO575" s="3">
        <f>SUM(AH575:AN575)</f>
        <v/>
      </c>
      <c r="AP575" s="5">
        <f>IF(OR(N(Q575)&lt;=0,N(BA575)=0),0,N(Q575)*IF(N(M575)/N(Q575)&gt;=60,N(BA575),1))</f>
        <v/>
      </c>
      <c r="AQ575" s="5">
        <f>N(Q575)*N(Z575)*N(BB575)</f>
        <v/>
      </c>
      <c r="AR575" s="5">
        <f>N(AF575)*(Assumptions!$B$13*N(BD575)-(1-Assumptions!$B$13)*Assumptions!$B$14)+N(AG575)</f>
        <v/>
      </c>
      <c r="AS575" s="5">
        <f>N(AO575)*N(M575)/90+N(AP575)+N(AQ575)+N(AR575)</f>
        <v/>
      </c>
      <c r="AT575" s="3">
        <f>IF(N(M575)&lt;=0,0,(N(AS575)-N(AR575))*90/N(M575))</f>
        <v/>
      </c>
      <c r="AU575" s="5">
        <f>IFERROR(AS575-VLOOKUP($C575,Assumptions!$A$36:$C$39,3,FALSE),"")</f>
        <v/>
      </c>
      <c r="AV575" s="3">
        <f>IFERROR(AU575/F575,"")</f>
        <v/>
      </c>
      <c r="AW575">
        <f>IF(AND($E575=TRUE,$C575="GKP"),AS575,"")</f>
        <v/>
      </c>
      <c r="AX575">
        <f>IF(AND($E575=TRUE,$C575="DEF"),AS575,"")</f>
        <v/>
      </c>
      <c r="AY575">
        <f>IF(AND($E575=TRUE,$C575="MID"),AS575,"")</f>
        <v/>
      </c>
      <c r="AZ575">
        <f>IF(AND($E575=TRUE,$C575="FWD"),AS575,"")</f>
        <v/>
      </c>
      <c r="BA575" t="n">
        <v>0</v>
      </c>
      <c r="BB575" t="n">
        <v>0</v>
      </c>
      <c r="BC575" t="n">
        <v>0</v>
      </c>
      <c r="BD575" t="n">
        <v>0</v>
      </c>
    </row>
    <row r="576">
      <c r="A576" t="inlineStr">
        <is>
          <t>Randal Kolo Muani</t>
        </is>
      </c>
      <c r="D576" t="inlineStr">
        <is>
          <t>FWD</t>
        </is>
      </c>
      <c r="E576" t="b">
        <v>0</v>
      </c>
      <c r="F576" s="2" t="n"/>
      <c r="I576" s="2" t="n">
        <v>1670</v>
      </c>
      <c r="K576" s="3" t="n"/>
      <c r="M576" s="4" t="n">
        <v>1670</v>
      </c>
      <c r="N576" t="inlineStr">
        <is>
          <t>25/26 actual</t>
        </is>
      </c>
      <c r="O576" s="5" t="n">
        <v>68.59999999999999</v>
      </c>
      <c r="P576" t="b">
        <v>1</v>
      </c>
      <c r="Q576" s="5">
        <f>IF(N(O576)&lt;=0,0,MIN(Assumptions!$B$15,N(M576)/N(O576)))</f>
        <v/>
      </c>
      <c r="R576" s="4" t="n"/>
      <c r="S576" s="3" t="n">
        <v>0.1097</v>
      </c>
      <c r="T576" t="inlineStr">
        <is>
          <t>adjusted xGOT</t>
        </is>
      </c>
      <c r="U576" s="3" t="n">
        <v>1</v>
      </c>
      <c r="V576" s="3" t="n">
        <v>0.983</v>
      </c>
      <c r="W576" s="3" t="n">
        <v>2.1</v>
      </c>
      <c r="X576" s="3" t="n">
        <v>0.09959999999999999</v>
      </c>
      <c r="Y576" s="3" t="n">
        <v>5.773</v>
      </c>
      <c r="Z576" s="3" t="n">
        <v>0</v>
      </c>
      <c r="AA576" s="3" t="n">
        <v>0.0539</v>
      </c>
      <c r="AB576" s="3" t="n">
        <v>47</v>
      </c>
      <c r="AC576" s="3" t="n"/>
      <c r="AD576" s="3" t="n"/>
      <c r="AE576" s="3" t="n"/>
      <c r="AF576" s="4" t="n">
        <v>0</v>
      </c>
      <c r="AG576" s="3" t="n">
        <v>0</v>
      </c>
      <c r="AH576" s="3" t="n">
        <v>0</v>
      </c>
      <c r="AI576" s="3" t="n">
        <v>0</v>
      </c>
      <c r="AJ576" s="3">
        <f>N(R576)*N(BC576)</f>
        <v/>
      </c>
      <c r="AK576" s="3" t="n">
        <v>0</v>
      </c>
      <c r="AL576" s="3" t="n">
        <v>0</v>
      </c>
      <c r="AM576" s="3" t="n">
        <v>0</v>
      </c>
      <c r="AN576" s="3" t="n">
        <v>0</v>
      </c>
      <c r="AO576" s="3">
        <f>SUM(AH576:AN576)</f>
        <v/>
      </c>
      <c r="AP576" s="5">
        <f>IF(OR(N(Q576)&lt;=0,N(BA576)=0),0,N(Q576)*IF(N(M576)/N(Q576)&gt;=60,N(BA576),1))</f>
        <v/>
      </c>
      <c r="AQ576" s="5">
        <f>N(Q576)*N(Z576)*N(BB576)</f>
        <v/>
      </c>
      <c r="AR576" s="5">
        <f>N(AF576)*(Assumptions!$B$13*N(BD576)-(1-Assumptions!$B$13)*Assumptions!$B$14)+N(AG576)</f>
        <v/>
      </c>
      <c r="AS576" s="5">
        <f>N(AO576)*N(M576)/90+N(AP576)+N(AQ576)+N(AR576)</f>
        <v/>
      </c>
      <c r="AT576" s="3">
        <f>IF(N(M576)&lt;=0,0,(N(AS576)-N(AR576))*90/N(M576))</f>
        <v/>
      </c>
      <c r="AU576" s="5">
        <f>IFERROR(AS576-VLOOKUP($C576,Assumptions!$A$36:$C$39,3,FALSE),"")</f>
        <v/>
      </c>
      <c r="AV576" s="3">
        <f>IFERROR(AU576/F576,"")</f>
        <v/>
      </c>
      <c r="AW576">
        <f>IF(AND($E576=TRUE,$C576="GKP"),AS576,"")</f>
        <v/>
      </c>
      <c r="AX576">
        <f>IF(AND($E576=TRUE,$C576="DEF"),AS576,"")</f>
        <v/>
      </c>
      <c r="AY576">
        <f>IF(AND($E576=TRUE,$C576="MID"),AS576,"")</f>
        <v/>
      </c>
      <c r="AZ576">
        <f>IF(AND($E576=TRUE,$C576="FWD"),AS576,"")</f>
        <v/>
      </c>
      <c r="BA576" t="n">
        <v>0</v>
      </c>
      <c r="BB576" t="n">
        <v>0</v>
      </c>
      <c r="BC576" t="n">
        <v>0</v>
      </c>
      <c r="BD576" t="n">
        <v>0</v>
      </c>
    </row>
    <row r="577">
      <c r="A577" t="inlineStr">
        <is>
          <t>Lutsharel Geertruida</t>
        </is>
      </c>
      <c r="D577" t="inlineStr">
        <is>
          <t>DEF</t>
        </is>
      </c>
      <c r="E577" t="b">
        <v>0</v>
      </c>
      <c r="F577" s="2" t="n"/>
      <c r="I577" s="2" t="n">
        <v>1685</v>
      </c>
      <c r="K577" s="3" t="n"/>
      <c r="M577" s="4" t="n">
        <v>1685</v>
      </c>
      <c r="N577" t="inlineStr">
        <is>
          <t>25/26 actual</t>
        </is>
      </c>
      <c r="O577" s="5" t="n">
        <v>86.90000000000001</v>
      </c>
      <c r="P577" t="b">
        <v>1</v>
      </c>
      <c r="Q577" s="5">
        <f>IF(N(O577)&lt;=0,0,MIN(Assumptions!$B$15,N(M577)/N(O577)))</f>
        <v/>
      </c>
      <c r="R577" s="4" t="n"/>
      <c r="S577" s="3" t="n">
        <v>0.0422</v>
      </c>
      <c r="T577" t="inlineStr">
        <is>
          <t>adjusted xGOT</t>
        </is>
      </c>
      <c r="U577" s="3" t="n">
        <v>1</v>
      </c>
      <c r="V577" s="3" t="n">
        <v>1.001</v>
      </c>
      <c r="W577" s="3" t="n">
        <v>0.8</v>
      </c>
      <c r="X577" s="3" t="n">
        <v>0.0413</v>
      </c>
      <c r="Y577" s="3" t="n">
        <v>6.54</v>
      </c>
      <c r="Z577" s="3" t="n">
        <v>0</v>
      </c>
      <c r="AA577" s="3" t="n">
        <v>0</v>
      </c>
      <c r="AB577" s="3" t="n">
        <v>45</v>
      </c>
      <c r="AC577" s="3" t="n"/>
      <c r="AD577" s="3" t="n"/>
      <c r="AE577" s="3" t="n"/>
      <c r="AF577" s="4" t="n">
        <v>0</v>
      </c>
      <c r="AG577" s="3" t="n">
        <v>0</v>
      </c>
      <c r="AH577" s="3" t="n">
        <v>0</v>
      </c>
      <c r="AI577" s="3" t="n">
        <v>0</v>
      </c>
      <c r="AJ577" s="3">
        <f>N(R577)*N(BC577)</f>
        <v/>
      </c>
      <c r="AK577" s="3" t="n">
        <v>0</v>
      </c>
      <c r="AL577" s="3" t="n">
        <v>0</v>
      </c>
      <c r="AM577" s="3" t="n">
        <v>0</v>
      </c>
      <c r="AN577" s="3" t="n">
        <v>0</v>
      </c>
      <c r="AO577" s="3">
        <f>SUM(AH577:AN577)</f>
        <v/>
      </c>
      <c r="AP577" s="5">
        <f>IF(OR(N(Q577)&lt;=0,N(BA577)=0),0,N(Q577)*IF(N(M577)/N(Q577)&gt;=60,N(BA577),1))</f>
        <v/>
      </c>
      <c r="AQ577" s="5">
        <f>N(Q577)*N(Z577)*N(BB577)</f>
        <v/>
      </c>
      <c r="AR577" s="5">
        <f>N(AF577)*(Assumptions!$B$13*N(BD577)-(1-Assumptions!$B$13)*Assumptions!$B$14)+N(AG577)</f>
        <v/>
      </c>
      <c r="AS577" s="5">
        <f>N(AO577)*N(M577)/90+N(AP577)+N(AQ577)+N(AR577)</f>
        <v/>
      </c>
      <c r="AT577" s="3">
        <f>IF(N(M577)&lt;=0,0,(N(AS577)-N(AR577))*90/N(M577))</f>
        <v/>
      </c>
      <c r="AU577" s="5">
        <f>IFERROR(AS577-VLOOKUP($C577,Assumptions!$A$36:$C$39,3,FALSE),"")</f>
        <v/>
      </c>
      <c r="AV577" s="3">
        <f>IFERROR(AU577/F577,"")</f>
        <v/>
      </c>
      <c r="AW577">
        <f>IF(AND($E577=TRUE,$C577="GKP"),AS577,"")</f>
        <v/>
      </c>
      <c r="AX577">
        <f>IF(AND($E577=TRUE,$C577="DEF"),AS577,"")</f>
        <v/>
      </c>
      <c r="AY577">
        <f>IF(AND($E577=TRUE,$C577="MID"),AS577,"")</f>
        <v/>
      </c>
      <c r="AZ577">
        <f>IF(AND($E577=TRUE,$C577="FWD"),AS577,"")</f>
        <v/>
      </c>
      <c r="BA577" t="n">
        <v>0</v>
      </c>
      <c r="BB577" t="n">
        <v>0</v>
      </c>
      <c r="BC577" t="n">
        <v>0</v>
      </c>
      <c r="BD577" t="n">
        <v>0</v>
      </c>
    </row>
    <row r="578">
      <c r="A578" t="inlineStr">
        <is>
          <t>Hamed Traoré</t>
        </is>
      </c>
      <c r="D578" t="inlineStr">
        <is>
          <t>MID</t>
        </is>
      </c>
      <c r="E578" t="b">
        <v>0</v>
      </c>
      <c r="F578" s="2" t="n"/>
      <c r="I578" s="2" t="n">
        <v>16</v>
      </c>
      <c r="K578" s="3" t="n"/>
      <c r="M578" s="4" t="n">
        <v>16</v>
      </c>
      <c r="N578" t="inlineStr">
        <is>
          <t>25/26 actual</t>
        </is>
      </c>
      <c r="O578" s="5" t="n">
        <v>85</v>
      </c>
      <c r="P578" t="b">
        <v>1</v>
      </c>
      <c r="Q578" s="5">
        <f>IF(N(O578)&lt;=0,0,MIN(Assumptions!$B$15,N(M578)/N(O578)))</f>
        <v/>
      </c>
      <c r="R578" s="4" t="n"/>
      <c r="S578" s="3" t="n">
        <v>0</v>
      </c>
      <c r="T578" t="inlineStr">
        <is>
          <t>adjusted xGOT</t>
        </is>
      </c>
      <c r="U578" s="3" t="n">
        <v>1</v>
      </c>
      <c r="V578" s="3" t="n">
        <v>0.869</v>
      </c>
      <c r="W578" s="3" t="n">
        <v>1.2</v>
      </c>
      <c r="X578" s="3" t="n">
        <v>0.5377</v>
      </c>
      <c r="Y578" s="3" t="n">
        <v>8.880000000000001</v>
      </c>
      <c r="Z578" s="3" t="n">
        <v>0</v>
      </c>
      <c r="AA578" s="3" t="n">
        <v>0</v>
      </c>
      <c r="AB578" s="3" t="n">
        <v>1</v>
      </c>
      <c r="AC578" s="3" t="n"/>
      <c r="AD578" s="3" t="n"/>
      <c r="AE578" s="3" t="n"/>
      <c r="AF578" s="4" t="n">
        <v>0</v>
      </c>
      <c r="AG578" s="3" t="n">
        <v>0</v>
      </c>
      <c r="AH578" s="3" t="n">
        <v>0</v>
      </c>
      <c r="AI578" s="3" t="n">
        <v>0</v>
      </c>
      <c r="AJ578" s="3">
        <f>N(R578)*N(BC578)</f>
        <v/>
      </c>
      <c r="AK578" s="3" t="n">
        <v>0</v>
      </c>
      <c r="AL578" s="3" t="n">
        <v>0</v>
      </c>
      <c r="AM578" s="3" t="n">
        <v>0</v>
      </c>
      <c r="AN578" s="3" t="n">
        <v>0</v>
      </c>
      <c r="AO578" s="3">
        <f>SUM(AH578:AN578)</f>
        <v/>
      </c>
      <c r="AP578" s="5">
        <f>IF(OR(N(Q578)&lt;=0,N(BA578)=0),0,N(Q578)*IF(N(M578)/N(Q578)&gt;=60,N(BA578),1))</f>
        <v/>
      </c>
      <c r="AQ578" s="5">
        <f>N(Q578)*N(Z578)*N(BB578)</f>
        <v/>
      </c>
      <c r="AR578" s="5">
        <f>N(AF578)*(Assumptions!$B$13*N(BD578)-(1-Assumptions!$B$13)*Assumptions!$B$14)+N(AG578)</f>
        <v/>
      </c>
      <c r="AS578" s="5">
        <f>N(AO578)*N(M578)/90+N(AP578)+N(AQ578)+N(AR578)</f>
        <v/>
      </c>
      <c r="AT578" s="3">
        <f>IF(N(M578)&lt;=0,0,(N(AS578)-N(AR578))*90/N(M578))</f>
        <v/>
      </c>
      <c r="AU578" s="5">
        <f>IFERROR(AS578-VLOOKUP($C578,Assumptions!$A$36:$C$39,3,FALSE),"")</f>
        <v/>
      </c>
      <c r="AV578" s="3">
        <f>IFERROR(AU578/F578,"")</f>
        <v/>
      </c>
      <c r="AW578">
        <f>IF(AND($E578=TRUE,$C578="GKP"),AS578,"")</f>
        <v/>
      </c>
      <c r="AX578">
        <f>IF(AND($E578=TRUE,$C578="DEF"),AS578,"")</f>
        <v/>
      </c>
      <c r="AY578">
        <f>IF(AND($E578=TRUE,$C578="MID"),AS578,"")</f>
        <v/>
      </c>
      <c r="AZ578">
        <f>IF(AND($E578=TRUE,$C578="FWD"),AS578,"")</f>
        <v/>
      </c>
      <c r="BA578" t="n">
        <v>0</v>
      </c>
      <c r="BB578" t="n">
        <v>0</v>
      </c>
      <c r="BC578" t="n">
        <v>0</v>
      </c>
      <c r="BD578" t="n">
        <v>0</v>
      </c>
    </row>
    <row r="579">
      <c r="A579" t="inlineStr">
        <is>
          <t>Sasa Kalajdzic</t>
        </is>
      </c>
      <c r="D579" t="inlineStr">
        <is>
          <t>FWD</t>
        </is>
      </c>
      <c r="E579" t="b">
        <v>0</v>
      </c>
      <c r="F579" s="2" t="n"/>
      <c r="I579" s="2" t="n">
        <v>14</v>
      </c>
      <c r="K579" s="3" t="n"/>
      <c r="M579" s="4" t="n">
        <v>14</v>
      </c>
      <c r="N579" t="inlineStr">
        <is>
          <t>25/26 actual</t>
        </is>
      </c>
      <c r="O579" s="5" t="n">
        <v>85</v>
      </c>
      <c r="P579" t="b">
        <v>1</v>
      </c>
      <c r="Q579" s="5">
        <f>IF(N(O579)&lt;=0,0,MIN(Assumptions!$B$15,N(M579)/N(O579)))</f>
        <v/>
      </c>
      <c r="R579" s="4" t="n"/>
      <c r="S579" s="3" t="n">
        <v>0</v>
      </c>
      <c r="T579" t="inlineStr">
        <is>
          <t>adjusted xGOT</t>
        </is>
      </c>
      <c r="U579" s="3" t="n">
        <v>1</v>
      </c>
      <c r="V579" s="3" t="n">
        <v>1.034</v>
      </c>
      <c r="W579" s="3" t="n">
        <v>1.3</v>
      </c>
      <c r="X579" s="3" t="n">
        <v>0</v>
      </c>
      <c r="Y579" s="3" t="n">
        <v>4.947</v>
      </c>
      <c r="Z579" s="3" t="n">
        <v>0</v>
      </c>
      <c r="AA579" s="3" t="n">
        <v>0</v>
      </c>
      <c r="AB579" s="3" t="n">
        <v>1</v>
      </c>
      <c r="AC579" s="3" t="n"/>
      <c r="AD579" s="3" t="n"/>
      <c r="AE579" s="3" t="n"/>
      <c r="AF579" s="4" t="n">
        <v>0</v>
      </c>
      <c r="AG579" s="3" t="n">
        <v>0</v>
      </c>
      <c r="AH579" s="3" t="n">
        <v>0</v>
      </c>
      <c r="AI579" s="3" t="n">
        <v>0</v>
      </c>
      <c r="AJ579" s="3">
        <f>N(R579)*N(BC579)</f>
        <v/>
      </c>
      <c r="AK579" s="3" t="n">
        <v>0</v>
      </c>
      <c r="AL579" s="3" t="n">
        <v>0</v>
      </c>
      <c r="AM579" s="3" t="n">
        <v>0</v>
      </c>
      <c r="AN579" s="3" t="n">
        <v>0</v>
      </c>
      <c r="AO579" s="3">
        <f>SUM(AH579:AN579)</f>
        <v/>
      </c>
      <c r="AP579" s="5">
        <f>IF(OR(N(Q579)&lt;=0,N(BA579)=0),0,N(Q579)*IF(N(M579)/N(Q579)&gt;=60,N(BA579),1))</f>
        <v/>
      </c>
      <c r="AQ579" s="5">
        <f>N(Q579)*N(Z579)*N(BB579)</f>
        <v/>
      </c>
      <c r="AR579" s="5">
        <f>N(AF579)*(Assumptions!$B$13*N(BD579)-(1-Assumptions!$B$13)*Assumptions!$B$14)+N(AG579)</f>
        <v/>
      </c>
      <c r="AS579" s="5">
        <f>N(AO579)*N(M579)/90+N(AP579)+N(AQ579)+N(AR579)</f>
        <v/>
      </c>
      <c r="AT579" s="3">
        <f>IF(N(M579)&lt;=0,0,(N(AS579)-N(AR579))*90/N(M579))</f>
        <v/>
      </c>
      <c r="AU579" s="5">
        <f>IFERROR(AS579-VLOOKUP($C579,Assumptions!$A$36:$C$39,3,FALSE),"")</f>
        <v/>
      </c>
      <c r="AV579" s="3">
        <f>IFERROR(AU579/F579,"")</f>
        <v/>
      </c>
      <c r="AW579">
        <f>IF(AND($E579=TRUE,$C579="GKP"),AS579,"")</f>
        <v/>
      </c>
      <c r="AX579">
        <f>IF(AND($E579=TRUE,$C579="DEF"),AS579,"")</f>
        <v/>
      </c>
      <c r="AY579">
        <f>IF(AND($E579=TRUE,$C579="MID"),AS579,"")</f>
        <v/>
      </c>
      <c r="AZ579">
        <f>IF(AND($E579=TRUE,$C579="FWD"),AS579,"")</f>
        <v/>
      </c>
      <c r="BA579" t="n">
        <v>0</v>
      </c>
      <c r="BB579" t="n">
        <v>0</v>
      </c>
      <c r="BC579" t="n">
        <v>0</v>
      </c>
      <c r="BD579" t="n">
        <v>0</v>
      </c>
    </row>
    <row r="580">
      <c r="A580" t="inlineStr">
        <is>
          <t>Ladislav Krejcí</t>
        </is>
      </c>
      <c r="D580" t="inlineStr">
        <is>
          <t>DEF</t>
        </is>
      </c>
      <c r="E580" t="b">
        <v>0</v>
      </c>
      <c r="F580" s="2" t="n"/>
      <c r="I580" s="2" t="n">
        <v>2361</v>
      </c>
      <c r="K580" s="3" t="n"/>
      <c r="M580" s="4" t="n">
        <v>2361</v>
      </c>
      <c r="N580" t="inlineStr">
        <is>
          <t>25/26 actual</t>
        </is>
      </c>
      <c r="O580" s="5" t="n">
        <v>85.5</v>
      </c>
      <c r="P580" t="b">
        <v>1</v>
      </c>
      <c r="Q580" s="5">
        <f>IF(N(O580)&lt;=0,0,MIN(Assumptions!$B$15,N(M580)/N(O580)))</f>
        <v/>
      </c>
      <c r="R580" s="4" t="n"/>
      <c r="S580" s="3" t="n">
        <v>0.0897</v>
      </c>
      <c r="T580" t="inlineStr">
        <is>
          <t>adjusted xGOT</t>
        </is>
      </c>
      <c r="U580" s="3" t="n">
        <v>1</v>
      </c>
      <c r="V580" s="3" t="n">
        <v>1.056</v>
      </c>
      <c r="W580" s="3" t="n">
        <v>2.2</v>
      </c>
      <c r="X580" s="3" t="n">
        <v>0.0568</v>
      </c>
      <c r="Y580" s="3" t="n">
        <v>7.563</v>
      </c>
      <c r="Z580" s="3" t="n">
        <v>0</v>
      </c>
      <c r="AA580" s="3" t="n">
        <v>0</v>
      </c>
      <c r="AB580" s="3" t="n">
        <v>55</v>
      </c>
      <c r="AC580" s="3" t="n"/>
      <c r="AD580" s="3" t="n"/>
      <c r="AE580" s="3" t="n"/>
      <c r="AF580" s="4" t="n">
        <v>0</v>
      </c>
      <c r="AG580" s="3" t="n">
        <v>0</v>
      </c>
      <c r="AH580" s="3" t="n">
        <v>0</v>
      </c>
      <c r="AI580" s="3" t="n">
        <v>0</v>
      </c>
      <c r="AJ580" s="3">
        <f>N(R580)*N(BC580)</f>
        <v/>
      </c>
      <c r="AK580" s="3" t="n">
        <v>0</v>
      </c>
      <c r="AL580" s="3" t="n">
        <v>0</v>
      </c>
      <c r="AM580" s="3" t="n">
        <v>0</v>
      </c>
      <c r="AN580" s="3" t="n">
        <v>0</v>
      </c>
      <c r="AO580" s="3">
        <f>SUM(AH580:AN580)</f>
        <v/>
      </c>
      <c r="AP580" s="5">
        <f>IF(OR(N(Q580)&lt;=0,N(BA580)=0),0,N(Q580)*IF(N(M580)/N(Q580)&gt;=60,N(BA580),1))</f>
        <v/>
      </c>
      <c r="AQ580" s="5">
        <f>N(Q580)*N(Z580)*N(BB580)</f>
        <v/>
      </c>
      <c r="AR580" s="5">
        <f>N(AF580)*(Assumptions!$B$13*N(BD580)-(1-Assumptions!$B$13)*Assumptions!$B$14)+N(AG580)</f>
        <v/>
      </c>
      <c r="AS580" s="5">
        <f>N(AO580)*N(M580)/90+N(AP580)+N(AQ580)+N(AR580)</f>
        <v/>
      </c>
      <c r="AT580" s="3">
        <f>IF(N(M580)&lt;=0,0,(N(AS580)-N(AR580))*90/N(M580))</f>
        <v/>
      </c>
      <c r="AU580" s="5">
        <f>IFERROR(AS580-VLOOKUP($C580,Assumptions!$A$36:$C$39,3,FALSE),"")</f>
        <v/>
      </c>
      <c r="AV580" s="3">
        <f>IFERROR(AU580/F580,"")</f>
        <v/>
      </c>
      <c r="AW580">
        <f>IF(AND($E580=TRUE,$C580="GKP"),AS580,"")</f>
        <v/>
      </c>
      <c r="AX580">
        <f>IF(AND($E580=TRUE,$C580="DEF"),AS580,"")</f>
        <v/>
      </c>
      <c r="AY580">
        <f>IF(AND($E580=TRUE,$C580="MID"),AS580,"")</f>
        <v/>
      </c>
      <c r="AZ580">
        <f>IF(AND($E580=TRUE,$C580="FWD"),AS580,"")</f>
        <v/>
      </c>
      <c r="BA580" t="n">
        <v>0</v>
      </c>
      <c r="BB580" t="n">
        <v>0</v>
      </c>
      <c r="BC580" t="n">
        <v>0</v>
      </c>
      <c r="BD580" t="n">
        <v>0</v>
      </c>
    </row>
    <row r="581">
      <c r="A581" t="inlineStr">
        <is>
          <t>Zian Flemming</t>
        </is>
      </c>
      <c r="D581" t="inlineStr">
        <is>
          <t>FWD</t>
        </is>
      </c>
      <c r="E581" t="b">
        <v>0</v>
      </c>
      <c r="F581" s="2" t="n"/>
      <c r="I581" s="2" t="n">
        <v>1776</v>
      </c>
      <c r="K581" s="3" t="n"/>
      <c r="M581" s="4" t="n">
        <v>1776</v>
      </c>
      <c r="N581" t="inlineStr">
        <is>
          <t>25/26 actual</t>
        </is>
      </c>
      <c r="O581" s="5" t="n">
        <v>79.59999999999999</v>
      </c>
      <c r="P581" t="b">
        <v>1</v>
      </c>
      <c r="Q581" s="5">
        <f>IF(N(O581)&lt;=0,0,MIN(Assumptions!$B$15,N(M581)/N(O581)))</f>
        <v/>
      </c>
      <c r="R581" s="4" t="n"/>
      <c r="S581" s="3" t="n">
        <v>0.3331</v>
      </c>
      <c r="T581" t="inlineStr">
        <is>
          <t>adjusted xGOT</t>
        </is>
      </c>
      <c r="U581" s="3" t="n">
        <v>0.841</v>
      </c>
      <c r="V581" s="3" t="n">
        <v>0.985</v>
      </c>
      <c r="W581" s="3" t="n">
        <v>7.9</v>
      </c>
      <c r="X581" s="3" t="n">
        <v>0.0347</v>
      </c>
      <c r="Y581" s="3" t="n">
        <v>4.976</v>
      </c>
      <c r="Z581" s="3" t="n">
        <v>0</v>
      </c>
      <c r="AA581" s="3" t="n">
        <v>0.5574</v>
      </c>
      <c r="AB581" s="3" t="n">
        <v>49</v>
      </c>
      <c r="AC581" s="3" t="n"/>
      <c r="AD581" s="3" t="n"/>
      <c r="AE581" s="3" t="n"/>
      <c r="AF581" s="4" t="n">
        <v>0</v>
      </c>
      <c r="AG581" s="3" t="n">
        <v>0</v>
      </c>
      <c r="AH581" s="3" t="n">
        <v>0</v>
      </c>
      <c r="AI581" s="3" t="n">
        <v>0</v>
      </c>
      <c r="AJ581" s="3">
        <f>N(R581)*N(BC581)</f>
        <v/>
      </c>
      <c r="AK581" s="3" t="n">
        <v>0</v>
      </c>
      <c r="AL581" s="3" t="n">
        <v>0</v>
      </c>
      <c r="AM581" s="3" t="n">
        <v>0</v>
      </c>
      <c r="AN581" s="3" t="n">
        <v>0</v>
      </c>
      <c r="AO581" s="3">
        <f>SUM(AH581:AN581)</f>
        <v/>
      </c>
      <c r="AP581" s="5">
        <f>IF(OR(N(Q581)&lt;=0,N(BA581)=0),0,N(Q581)*IF(N(M581)/N(Q581)&gt;=60,N(BA581),1))</f>
        <v/>
      </c>
      <c r="AQ581" s="5">
        <f>N(Q581)*N(Z581)*N(BB581)</f>
        <v/>
      </c>
      <c r="AR581" s="5">
        <f>N(AF581)*(Assumptions!$B$13*N(BD581)-(1-Assumptions!$B$13)*Assumptions!$B$14)+N(AG581)</f>
        <v/>
      </c>
      <c r="AS581" s="5">
        <f>N(AO581)*N(M581)/90+N(AP581)+N(AQ581)+N(AR581)</f>
        <v/>
      </c>
      <c r="AT581" s="3">
        <f>IF(N(M581)&lt;=0,0,(N(AS581)-N(AR581))*90/N(M581))</f>
        <v/>
      </c>
      <c r="AU581" s="5">
        <f>IFERROR(AS581-VLOOKUP($C581,Assumptions!$A$36:$C$39,3,FALSE),"")</f>
        <v/>
      </c>
      <c r="AV581" s="3">
        <f>IFERROR(AU581/F581,"")</f>
        <v/>
      </c>
      <c r="AW581">
        <f>IF(AND($E581=TRUE,$C581="GKP"),AS581,"")</f>
        <v/>
      </c>
      <c r="AX581">
        <f>IF(AND($E581=TRUE,$C581="DEF"),AS581,"")</f>
        <v/>
      </c>
      <c r="AY581">
        <f>IF(AND($E581=TRUE,$C581="MID"),AS581,"")</f>
        <v/>
      </c>
      <c r="AZ581">
        <f>IF(AND($E581=TRUE,$C581="FWD"),AS581,"")</f>
        <v/>
      </c>
      <c r="BA581" t="n">
        <v>0</v>
      </c>
      <c r="BB581" t="n">
        <v>0</v>
      </c>
      <c r="BC581" t="n">
        <v>0</v>
      </c>
      <c r="BD581" t="n">
        <v>0</v>
      </c>
    </row>
    <row r="582">
      <c r="A582" t="inlineStr">
        <is>
          <t>Vitezslav Jaros</t>
        </is>
      </c>
      <c r="B582" t="inlineStr">
        <is>
          <t>LIV</t>
        </is>
      </c>
      <c r="C582" t="inlineStr">
        <is>
          <t>GKP</t>
        </is>
      </c>
      <c r="E582" t="b">
        <v>1</v>
      </c>
      <c r="F582" s="2" t="n">
        <v>4</v>
      </c>
      <c r="G582" t="inlineStr">
        <is>
          <t>i</t>
        </is>
      </c>
      <c r="H582" t="inlineStr">
        <is>
          <t>Knee injury - Unknown return date</t>
        </is>
      </c>
      <c r="I582" s="2" t="n"/>
      <c r="K582" s="3" t="n">
        <v>0</v>
      </c>
      <c r="L582" t="inlineStr">
        <is>
          <t>flat</t>
        </is>
      </c>
      <c r="M582" s="4" t="n">
        <v>0</v>
      </c>
      <c r="N582" t="inlineStr">
        <is>
          <t>Solio</t>
        </is>
      </c>
      <c r="O582" s="5" t="n">
        <v>85</v>
      </c>
      <c r="P582" t="b">
        <v>0</v>
      </c>
      <c r="Q582" s="5">
        <f>IF(N(O582)&lt;=0,0,MIN(Assumptions!$B$15,N(M582)/N(O582)))</f>
        <v/>
      </c>
      <c r="R582" s="4" t="n">
        <v>0.342</v>
      </c>
      <c r="S582" s="3" t="n"/>
      <c r="T582" t="inlineStr"/>
      <c r="U582" s="3" t="n">
        <v>1</v>
      </c>
      <c r="V582" s="3" t="n"/>
      <c r="W582" s="3" t="n"/>
      <c r="X582" s="3" t="n"/>
      <c r="Y582" s="3" t="n">
        <v>0</v>
      </c>
      <c r="Z582" s="3" t="n">
        <v>0</v>
      </c>
      <c r="AA582" s="3" t="n"/>
      <c r="AB582" s="3" t="n"/>
      <c r="AC582" s="3" t="n">
        <v>2.409</v>
      </c>
      <c r="AD582" s="3" t="n">
        <v>1.1228</v>
      </c>
      <c r="AE582" s="3" t="n">
        <v>-0.0759869441214969</v>
      </c>
      <c r="AF582" s="4" t="n">
        <v>0</v>
      </c>
      <c r="AG582" s="3" t="n">
        <v>0</v>
      </c>
      <c r="AH582" s="3" t="n">
        <v>0</v>
      </c>
      <c r="AI582" s="3" t="n">
        <v>0</v>
      </c>
      <c r="AJ582" s="3">
        <f>N(R582)*N(BC582)</f>
        <v/>
      </c>
      <c r="AK582" s="3" t="n">
        <v>0</v>
      </c>
      <c r="AL582" s="3" t="n">
        <v>0.4697511244203511</v>
      </c>
      <c r="AM582" s="3" t="n">
        <v>-0.3378660007281162</v>
      </c>
      <c r="AN582" s="3" t="n">
        <v>-0.0759869441214969</v>
      </c>
      <c r="AO582" s="3">
        <f>SUM(AH582:AN582)</f>
        <v/>
      </c>
      <c r="AP582" s="5">
        <f>IF(OR(N(Q582)&lt;=0,N(BA582)=0),0,N(Q582)*IF(N(M582)/N(Q582)&gt;=60,N(BA582),1))</f>
        <v/>
      </c>
      <c r="AQ582" s="5">
        <f>N(Q582)*N(Z582)*N(BB582)</f>
        <v/>
      </c>
      <c r="AR582" s="5">
        <f>N(AF582)*(Assumptions!$B$13*N(BD582)-(1-Assumptions!$B$13)*Assumptions!$B$14)+N(AG582)</f>
        <v/>
      </c>
      <c r="AS582" s="5">
        <f>N(AO582)*N(M582)/90+N(AP582)+N(AQ582)+N(AR582)</f>
        <v/>
      </c>
      <c r="AT582" s="3">
        <f>IF(N(M582)&lt;=0,0,(N(AS582)-N(AR582))*90/N(M582))</f>
        <v/>
      </c>
      <c r="AU582" s="5">
        <f>IFERROR(AS582-VLOOKUP($C582,Assumptions!$A$36:$C$39,3,FALSE),"")</f>
        <v/>
      </c>
      <c r="AV582" s="3">
        <f>IFERROR(AU582/F582,"")</f>
        <v/>
      </c>
      <c r="AW582">
        <f>IF(AND($E582=TRUE,$C582="GKP"),AS582,"")</f>
        <v/>
      </c>
      <c r="AX582">
        <f>IF(AND($E582=TRUE,$C582="DEF"),AS582,"")</f>
        <v/>
      </c>
      <c r="AY582">
        <f>IF(AND($E582=TRUE,$C582="MID"),AS582,"")</f>
        <v/>
      </c>
      <c r="AZ582">
        <f>IF(AND($E582=TRUE,$C582="FWD"),AS582,"")</f>
        <v/>
      </c>
      <c r="BA582" t="n">
        <v>2</v>
      </c>
      <c r="BB582" t="n">
        <v>0</v>
      </c>
      <c r="BC582" t="n">
        <v>4</v>
      </c>
      <c r="BD582" t="n">
        <v>10</v>
      </c>
    </row>
    <row r="583">
      <c r="A583" t="inlineStr">
        <is>
          <t>Marshall Munetsi</t>
        </is>
      </c>
      <c r="D583" t="inlineStr">
        <is>
          <t>MID</t>
        </is>
      </c>
      <c r="E583" t="b">
        <v>0</v>
      </c>
      <c r="F583" s="2" t="n"/>
      <c r="I583" s="2" t="n">
        <v>873</v>
      </c>
      <c r="K583" s="3" t="n"/>
      <c r="M583" s="4" t="n">
        <v>873</v>
      </c>
      <c r="N583" t="inlineStr">
        <is>
          <t>25/26 actual</t>
        </is>
      </c>
      <c r="O583" s="5" t="n">
        <v>86.40000000000001</v>
      </c>
      <c r="P583" t="b">
        <v>1</v>
      </c>
      <c r="Q583" s="5">
        <f>IF(N(O583)&lt;=0,0,MIN(Assumptions!$B$15,N(M583)/N(O583)))</f>
        <v/>
      </c>
      <c r="R583" s="4" t="n"/>
      <c r="S583" s="3" t="n">
        <v>0.1618</v>
      </c>
      <c r="T583" t="inlineStr">
        <is>
          <t>adjusted xGOT</t>
        </is>
      </c>
      <c r="U583" s="3" t="n">
        <v>1</v>
      </c>
      <c r="V583" s="3" t="n">
        <v>0.957</v>
      </c>
      <c r="W583" s="3" t="n">
        <v>5</v>
      </c>
      <c r="X583" s="3" t="n">
        <v>0.0393</v>
      </c>
      <c r="Y583" s="3" t="n">
        <v>8.401999999999999</v>
      </c>
      <c r="Z583" s="3" t="n">
        <v>0</v>
      </c>
      <c r="AA583" s="3" t="n">
        <v>0.1031</v>
      </c>
      <c r="AB583" s="3" t="n">
        <v>22</v>
      </c>
      <c r="AC583" s="3" t="n"/>
      <c r="AD583" s="3" t="n"/>
      <c r="AE583" s="3" t="n"/>
      <c r="AF583" s="4" t="n">
        <v>0</v>
      </c>
      <c r="AG583" s="3" t="n">
        <v>0</v>
      </c>
      <c r="AH583" s="3" t="n">
        <v>0</v>
      </c>
      <c r="AI583" s="3" t="n">
        <v>0</v>
      </c>
      <c r="AJ583" s="3">
        <f>N(R583)*N(BC583)</f>
        <v/>
      </c>
      <c r="AK583" s="3" t="n">
        <v>0</v>
      </c>
      <c r="AL583" s="3" t="n">
        <v>0</v>
      </c>
      <c r="AM583" s="3" t="n">
        <v>0</v>
      </c>
      <c r="AN583" s="3" t="n">
        <v>0</v>
      </c>
      <c r="AO583" s="3">
        <f>SUM(AH583:AN583)</f>
        <v/>
      </c>
      <c r="AP583" s="5">
        <f>IF(OR(N(Q583)&lt;=0,N(BA583)=0),0,N(Q583)*IF(N(M583)/N(Q583)&gt;=60,N(BA583),1))</f>
        <v/>
      </c>
      <c r="AQ583" s="5">
        <f>N(Q583)*N(Z583)*N(BB583)</f>
        <v/>
      </c>
      <c r="AR583" s="5">
        <f>N(AF583)*(Assumptions!$B$13*N(BD583)-(1-Assumptions!$B$13)*Assumptions!$B$14)+N(AG583)</f>
        <v/>
      </c>
      <c r="AS583" s="5">
        <f>N(AO583)*N(M583)/90+N(AP583)+N(AQ583)+N(AR583)</f>
        <v/>
      </c>
      <c r="AT583" s="3">
        <f>IF(N(M583)&lt;=0,0,(N(AS583)-N(AR583))*90/N(M583))</f>
        <v/>
      </c>
      <c r="AU583" s="5">
        <f>IFERROR(AS583-VLOOKUP($C583,Assumptions!$A$36:$C$39,3,FALSE),"")</f>
        <v/>
      </c>
      <c r="AV583" s="3">
        <f>IFERROR(AU583/F583,"")</f>
        <v/>
      </c>
      <c r="AW583">
        <f>IF(AND($E583=TRUE,$C583="GKP"),AS583,"")</f>
        <v/>
      </c>
      <c r="AX583">
        <f>IF(AND($E583=TRUE,$C583="DEF"),AS583,"")</f>
        <v/>
      </c>
      <c r="AY583">
        <f>IF(AND($E583=TRUE,$C583="MID"),AS583,"")</f>
        <v/>
      </c>
      <c r="AZ583">
        <f>IF(AND($E583=TRUE,$C583="FWD"),AS583,"")</f>
        <v/>
      </c>
      <c r="BA583" t="n">
        <v>0</v>
      </c>
      <c r="BB583" t="n">
        <v>0</v>
      </c>
      <c r="BC583" t="n">
        <v>0</v>
      </c>
      <c r="BD583" t="n">
        <v>0</v>
      </c>
    </row>
    <row r="584">
      <c r="A584" t="inlineStr">
        <is>
          <t>Cody Drameh</t>
        </is>
      </c>
      <c r="B584" t="inlineStr">
        <is>
          <t>HUL</t>
        </is>
      </c>
      <c r="C584" t="inlineStr">
        <is>
          <t>DEF</t>
        </is>
      </c>
      <c r="E584" t="b">
        <v>1</v>
      </c>
      <c r="F584" s="2" t="n">
        <v>4</v>
      </c>
      <c r="G584" t="inlineStr">
        <is>
          <t>i</t>
        </is>
      </c>
      <c r="H584" t="inlineStr">
        <is>
          <t>Hamstring injury - Expected back 29 Aug</t>
        </is>
      </c>
      <c r="I584" s="2" t="n"/>
      <c r="K584" s="3" t="n">
        <v>619</v>
      </c>
      <c r="L584" t="inlineStr">
        <is>
          <t>flat</t>
        </is>
      </c>
      <c r="M584" s="4" t="n">
        <v>619</v>
      </c>
      <c r="N584" t="inlineStr">
        <is>
          <t>Solio</t>
        </is>
      </c>
      <c r="O584" s="5" t="n">
        <v>85</v>
      </c>
      <c r="P584" t="b">
        <v>0</v>
      </c>
      <c r="Q584" s="5">
        <f>IF(N(O584)&lt;=0,0,MIN(Assumptions!$B$15,N(M584)/N(O584)))</f>
        <v/>
      </c>
      <c r="R584" s="4" t="n">
        <v>0.143</v>
      </c>
      <c r="S584" s="3" t="n"/>
      <c r="T584" t="inlineStr"/>
      <c r="U584" s="3" t="n">
        <v>1</v>
      </c>
      <c r="V584" s="3" t="n"/>
      <c r="W584" s="3" t="n"/>
      <c r="X584" s="3" t="n"/>
      <c r="Y584" s="3" t="n"/>
      <c r="Z584" s="3" t="n">
        <v>0</v>
      </c>
      <c r="AA584" s="3" t="n"/>
      <c r="AB584" s="3" t="n"/>
      <c r="AC584" s="3" t="n">
        <v>3.9421</v>
      </c>
      <c r="AD584" s="3" t="n">
        <v>1.99</v>
      </c>
      <c r="AE584" s="3" t="n">
        <v>-0.2045226422080557</v>
      </c>
      <c r="AF584" s="4" t="n">
        <v>0</v>
      </c>
      <c r="AG584" s="3" t="n">
        <v>0</v>
      </c>
      <c r="AH584" s="3" t="n">
        <v>0</v>
      </c>
      <c r="AI584" s="3" t="n">
        <v>0</v>
      </c>
      <c r="AJ584" s="3">
        <f>N(R584)*N(BC584)</f>
        <v/>
      </c>
      <c r="AK584" s="3" t="n">
        <v>0</v>
      </c>
      <c r="AL584" s="3" t="n">
        <v>0</v>
      </c>
      <c r="AM584" s="3" t="n">
        <v>-0.7496714098286652</v>
      </c>
      <c r="AN584" s="3" t="n">
        <v>-0.2045226422080557</v>
      </c>
      <c r="AO584" s="3">
        <f>SUM(AH584:AN584)</f>
        <v/>
      </c>
      <c r="AP584" s="5">
        <f>IF(OR(N(Q584)&lt;=0,N(BA584)=0),0,N(Q584)*IF(N(M584)/N(Q584)&gt;=60,N(BA584),1))</f>
        <v/>
      </c>
      <c r="AQ584" s="5">
        <f>N(Q584)*N(Z584)*N(BB584)</f>
        <v/>
      </c>
      <c r="AR584" s="5">
        <f>N(AF584)*(Assumptions!$B$13*N(BD584)-(1-Assumptions!$B$13)*Assumptions!$B$14)+N(AG584)</f>
        <v/>
      </c>
      <c r="AS584" s="5">
        <f>N(AO584)*N(M584)/90+N(AP584)+N(AQ584)+N(AR584)</f>
        <v/>
      </c>
      <c r="AT584" s="3">
        <f>IF(N(M584)&lt;=0,0,(N(AS584)-N(AR584))*90/N(M584))</f>
        <v/>
      </c>
      <c r="AU584" s="5">
        <f>IFERROR(AS584-VLOOKUP($C584,Assumptions!$A$36:$C$39,3,FALSE),"")</f>
        <v/>
      </c>
      <c r="AV584" s="3">
        <f>IFERROR(AU584/F584,"")</f>
        <v/>
      </c>
      <c r="AW584">
        <f>IF(AND($E584=TRUE,$C584="GKP"),AS584,"")</f>
        <v/>
      </c>
      <c r="AX584">
        <f>IF(AND($E584=TRUE,$C584="DEF"),AS584,"")</f>
        <v/>
      </c>
      <c r="AY584">
        <f>IF(AND($E584=TRUE,$C584="MID"),AS584,"")</f>
        <v/>
      </c>
      <c r="AZ584">
        <f>IF(AND($E584=TRUE,$C584="FWD"),AS584,"")</f>
        <v/>
      </c>
      <c r="BA584" t="n">
        <v>2</v>
      </c>
      <c r="BB584" t="n">
        <v>2</v>
      </c>
      <c r="BC584" t="n">
        <v>4</v>
      </c>
      <c r="BD584" t="n">
        <v>6</v>
      </c>
    </row>
    <row r="585">
      <c r="A585" t="inlineStr">
        <is>
          <t>Lyle Foster</t>
        </is>
      </c>
      <c r="D585" t="inlineStr">
        <is>
          <t>FWD</t>
        </is>
      </c>
      <c r="E585" t="b">
        <v>0</v>
      </c>
      <c r="F585" s="2" t="n"/>
      <c r="I585" s="2" t="n">
        <v>1372</v>
      </c>
      <c r="K585" s="3" t="n"/>
      <c r="M585" s="4" t="n">
        <v>1372</v>
      </c>
      <c r="N585" t="inlineStr">
        <is>
          <t>25/26 actual</t>
        </is>
      </c>
      <c r="O585" s="5" t="n">
        <v>75.3</v>
      </c>
      <c r="P585" t="b">
        <v>1</v>
      </c>
      <c r="Q585" s="5">
        <f>IF(N(O585)&lt;=0,0,MIN(Assumptions!$B$15,N(M585)/N(O585)))</f>
        <v/>
      </c>
      <c r="R585" s="4" t="n"/>
      <c r="S585" s="3" t="n">
        <v>0.2373</v>
      </c>
      <c r="T585" t="inlineStr">
        <is>
          <t>adjusted xGOT</t>
        </is>
      </c>
      <c r="U585" s="3" t="n">
        <v>1</v>
      </c>
      <c r="V585" s="3" t="n">
        <v>1.123</v>
      </c>
      <c r="W585" s="3" t="n">
        <v>7.6</v>
      </c>
      <c r="X585" s="3" t="n">
        <v>0.0752</v>
      </c>
      <c r="Y585" s="3" t="n">
        <v>5.334</v>
      </c>
      <c r="Z585" s="3" t="n">
        <v>0</v>
      </c>
      <c r="AA585" s="3" t="n">
        <v>0.2624</v>
      </c>
      <c r="AB585" s="3" t="n">
        <v>40</v>
      </c>
      <c r="AC585" s="3" t="n"/>
      <c r="AD585" s="3" t="n"/>
      <c r="AE585" s="3" t="n"/>
      <c r="AF585" s="4" t="n">
        <v>0</v>
      </c>
      <c r="AG585" s="3" t="n">
        <v>0</v>
      </c>
      <c r="AH585" s="3" t="n">
        <v>0</v>
      </c>
      <c r="AI585" s="3" t="n">
        <v>0</v>
      </c>
      <c r="AJ585" s="3">
        <f>N(R585)*N(BC585)</f>
        <v/>
      </c>
      <c r="AK585" s="3" t="n">
        <v>0</v>
      </c>
      <c r="AL585" s="3" t="n">
        <v>0</v>
      </c>
      <c r="AM585" s="3" t="n">
        <v>0</v>
      </c>
      <c r="AN585" s="3" t="n">
        <v>0</v>
      </c>
      <c r="AO585" s="3">
        <f>SUM(AH585:AN585)</f>
        <v/>
      </c>
      <c r="AP585" s="5">
        <f>IF(OR(N(Q585)&lt;=0,N(BA585)=0),0,N(Q585)*IF(N(M585)/N(Q585)&gt;=60,N(BA585),1))</f>
        <v/>
      </c>
      <c r="AQ585" s="5">
        <f>N(Q585)*N(Z585)*N(BB585)</f>
        <v/>
      </c>
      <c r="AR585" s="5">
        <f>N(AF585)*(Assumptions!$B$13*N(BD585)-(1-Assumptions!$B$13)*Assumptions!$B$14)+N(AG585)</f>
        <v/>
      </c>
      <c r="AS585" s="5">
        <f>N(AO585)*N(M585)/90+N(AP585)+N(AQ585)+N(AR585)</f>
        <v/>
      </c>
      <c r="AT585" s="3">
        <f>IF(N(M585)&lt;=0,0,(N(AS585)-N(AR585))*90/N(M585))</f>
        <v/>
      </c>
      <c r="AU585" s="5">
        <f>IFERROR(AS585-VLOOKUP($C585,Assumptions!$A$36:$C$39,3,FALSE),"")</f>
        <v/>
      </c>
      <c r="AV585" s="3">
        <f>IFERROR(AU585/F585,"")</f>
        <v/>
      </c>
      <c r="AW585">
        <f>IF(AND($E585=TRUE,$C585="GKP"),AS585,"")</f>
        <v/>
      </c>
      <c r="AX585">
        <f>IF(AND($E585=TRUE,$C585="DEF"),AS585,"")</f>
        <v/>
      </c>
      <c r="AY585">
        <f>IF(AND($E585=TRUE,$C585="MID"),AS585,"")</f>
        <v/>
      </c>
      <c r="AZ585">
        <f>IF(AND($E585=TRUE,$C585="FWD"),AS585,"")</f>
        <v/>
      </c>
      <c r="BA585" t="n">
        <v>0</v>
      </c>
      <c r="BB585" t="n">
        <v>0</v>
      </c>
      <c r="BC585" t="n">
        <v>0</v>
      </c>
      <c r="BD585" t="n">
        <v>0</v>
      </c>
    </row>
    <row r="586">
      <c r="A586" t="inlineStr">
        <is>
          <t>Liam Kitching</t>
        </is>
      </c>
      <c r="B586" t="inlineStr">
        <is>
          <t>COV</t>
        </is>
      </c>
      <c r="C586" t="inlineStr">
        <is>
          <t>DEF</t>
        </is>
      </c>
      <c r="E586" t="b">
        <v>1</v>
      </c>
      <c r="F586" s="2" t="n">
        <v>4</v>
      </c>
      <c r="G586" t="inlineStr">
        <is>
          <t>a</t>
        </is>
      </c>
      <c r="I586" s="2" t="n"/>
      <c r="K586" s="3" t="n">
        <v>847</v>
      </c>
      <c r="L586" t="inlineStr">
        <is>
          <t>flat</t>
        </is>
      </c>
      <c r="M586" s="4" t="n">
        <v>847</v>
      </c>
      <c r="N586" t="inlineStr">
        <is>
          <t>Solio</t>
        </is>
      </c>
      <c r="O586" s="5" t="n">
        <v>85</v>
      </c>
      <c r="P586" t="b">
        <v>0</v>
      </c>
      <c r="Q586" s="5">
        <f>IF(N(O586)&lt;=0,0,MIN(Assumptions!$B$15,N(M586)/N(O586)))</f>
        <v/>
      </c>
      <c r="R586" s="4" t="n">
        <v>0.17</v>
      </c>
      <c r="S586" s="3" t="n"/>
      <c r="T586" t="inlineStr"/>
      <c r="U586" s="3" t="n">
        <v>1</v>
      </c>
      <c r="V586" s="3" t="n"/>
      <c r="W586" s="3" t="n"/>
      <c r="X586" s="3" t="n"/>
      <c r="Y586" s="3" t="n"/>
      <c r="Z586" s="3" t="n">
        <v>0</v>
      </c>
      <c r="AA586" s="3" t="n"/>
      <c r="AB586" s="3" t="n"/>
      <c r="AC586" s="3" t="n">
        <v>3.6194</v>
      </c>
      <c r="AD586" s="3" t="n">
        <v>1.8271</v>
      </c>
      <c r="AE586" s="3" t="n">
        <v>-0.2045226422080557</v>
      </c>
      <c r="AF586" s="4" t="n">
        <v>0</v>
      </c>
      <c r="AG586" s="3" t="n">
        <v>0</v>
      </c>
      <c r="AH586" s="3" t="n">
        <v>0</v>
      </c>
      <c r="AI586" s="3" t="n">
        <v>0</v>
      </c>
      <c r="AJ586" s="3">
        <f>N(R586)*N(BC586)</f>
        <v/>
      </c>
      <c r="AK586" s="3" t="n">
        <v>0</v>
      </c>
      <c r="AL586" s="3" t="n">
        <v>0</v>
      </c>
      <c r="AM586" s="3" t="n">
        <v>-0.670020548738316</v>
      </c>
      <c r="AN586" s="3" t="n">
        <v>-0.2045226422080557</v>
      </c>
      <c r="AO586" s="3">
        <f>SUM(AH586:AN586)</f>
        <v/>
      </c>
      <c r="AP586" s="5">
        <f>IF(OR(N(Q586)&lt;=0,N(BA586)=0),0,N(Q586)*IF(N(M586)/N(Q586)&gt;=60,N(BA586),1))</f>
        <v/>
      </c>
      <c r="AQ586" s="5">
        <f>N(Q586)*N(Z586)*N(BB586)</f>
        <v/>
      </c>
      <c r="AR586" s="5">
        <f>N(AF586)*(Assumptions!$B$13*N(BD586)-(1-Assumptions!$B$13)*Assumptions!$B$14)+N(AG586)</f>
        <v/>
      </c>
      <c r="AS586" s="5">
        <f>N(AO586)*N(M586)/90+N(AP586)+N(AQ586)+N(AR586)</f>
        <v/>
      </c>
      <c r="AT586" s="3">
        <f>IF(N(M586)&lt;=0,0,(N(AS586)-N(AR586))*90/N(M586))</f>
        <v/>
      </c>
      <c r="AU586" s="5">
        <f>IFERROR(AS586-VLOOKUP($C586,Assumptions!$A$36:$C$39,3,FALSE),"")</f>
        <v/>
      </c>
      <c r="AV586" s="3">
        <f>IFERROR(AU586/F586,"")</f>
        <v/>
      </c>
      <c r="AW586">
        <f>IF(AND($E586=TRUE,$C586="GKP"),AS586,"")</f>
        <v/>
      </c>
      <c r="AX586">
        <f>IF(AND($E586=TRUE,$C586="DEF"),AS586,"")</f>
        <v/>
      </c>
      <c r="AY586">
        <f>IF(AND($E586=TRUE,$C586="MID"),AS586,"")</f>
        <v/>
      </c>
      <c r="AZ586">
        <f>IF(AND($E586=TRUE,$C586="FWD"),AS586,"")</f>
        <v/>
      </c>
      <c r="BA586" t="n">
        <v>2</v>
      </c>
      <c r="BB586" t="n">
        <v>2</v>
      </c>
      <c r="BC586" t="n">
        <v>4</v>
      </c>
      <c r="BD586" t="n">
        <v>6</v>
      </c>
    </row>
    <row r="587">
      <c r="A587" t="inlineStr">
        <is>
          <t>Mike Trésor</t>
        </is>
      </c>
      <c r="D587" t="inlineStr">
        <is>
          <t>MID</t>
        </is>
      </c>
      <c r="E587" t="b">
        <v>0</v>
      </c>
      <c r="F587" s="2" t="n"/>
      <c r="I587" s="2" t="n">
        <v>37</v>
      </c>
      <c r="K587" s="3" t="n"/>
      <c r="M587" s="4" t="n">
        <v>37</v>
      </c>
      <c r="N587" t="inlineStr">
        <is>
          <t>25/26 actual</t>
        </is>
      </c>
      <c r="O587" s="5" t="n">
        <v>85</v>
      </c>
      <c r="P587" t="b">
        <v>1</v>
      </c>
      <c r="Q587" s="5">
        <f>IF(N(O587)&lt;=0,0,MIN(Assumptions!$B$15,N(M587)/N(O587)))</f>
        <v/>
      </c>
      <c r="R587" s="4" t="n"/>
      <c r="S587" s="3" t="n">
        <v>0</v>
      </c>
      <c r="T587" t="inlineStr">
        <is>
          <t>adjusted xGOT</t>
        </is>
      </c>
      <c r="U587" s="3" t="n">
        <v>1</v>
      </c>
      <c r="V587" s="3" t="n">
        <v>0.956</v>
      </c>
      <c r="W587" s="3" t="n">
        <v>0.4</v>
      </c>
      <c r="X587" s="3" t="n">
        <v>0</v>
      </c>
      <c r="Y587" s="3" t="n">
        <v>8.752000000000001</v>
      </c>
      <c r="Z587" s="3" t="n">
        <v>0</v>
      </c>
      <c r="AA587" s="3" t="n">
        <v>0</v>
      </c>
      <c r="AB587" s="3" t="n">
        <v>6</v>
      </c>
      <c r="AC587" s="3" t="n"/>
      <c r="AD587" s="3" t="n"/>
      <c r="AE587" s="3" t="n"/>
      <c r="AF587" s="4" t="n">
        <v>0</v>
      </c>
      <c r="AG587" s="3" t="n">
        <v>0</v>
      </c>
      <c r="AH587" s="3" t="n">
        <v>0</v>
      </c>
      <c r="AI587" s="3" t="n">
        <v>0</v>
      </c>
      <c r="AJ587" s="3">
        <f>N(R587)*N(BC587)</f>
        <v/>
      </c>
      <c r="AK587" s="3" t="n">
        <v>0</v>
      </c>
      <c r="AL587" s="3" t="n">
        <v>0</v>
      </c>
      <c r="AM587" s="3" t="n">
        <v>0</v>
      </c>
      <c r="AN587" s="3" t="n">
        <v>0</v>
      </c>
      <c r="AO587" s="3">
        <f>SUM(AH587:AN587)</f>
        <v/>
      </c>
      <c r="AP587" s="5">
        <f>IF(OR(N(Q587)&lt;=0,N(BA587)=0),0,N(Q587)*IF(N(M587)/N(Q587)&gt;=60,N(BA587),1))</f>
        <v/>
      </c>
      <c r="AQ587" s="5">
        <f>N(Q587)*N(Z587)*N(BB587)</f>
        <v/>
      </c>
      <c r="AR587" s="5">
        <f>N(AF587)*(Assumptions!$B$13*N(BD587)-(1-Assumptions!$B$13)*Assumptions!$B$14)+N(AG587)</f>
        <v/>
      </c>
      <c r="AS587" s="5">
        <f>N(AO587)*N(M587)/90+N(AP587)+N(AQ587)+N(AR587)</f>
        <v/>
      </c>
      <c r="AT587" s="3">
        <f>IF(N(M587)&lt;=0,0,(N(AS587)-N(AR587))*90/N(M587))</f>
        <v/>
      </c>
      <c r="AU587" s="5">
        <f>IFERROR(AS587-VLOOKUP($C587,Assumptions!$A$36:$C$39,3,FALSE),"")</f>
        <v/>
      </c>
      <c r="AV587" s="3">
        <f>IFERROR(AU587/F587,"")</f>
        <v/>
      </c>
      <c r="AW587">
        <f>IF(AND($E587=TRUE,$C587="GKP"),AS587,"")</f>
        <v/>
      </c>
      <c r="AX587">
        <f>IF(AND($E587=TRUE,$C587="DEF"),AS587,"")</f>
        <v/>
      </c>
      <c r="AY587">
        <f>IF(AND($E587=TRUE,$C587="MID"),AS587,"")</f>
        <v/>
      </c>
      <c r="AZ587">
        <f>IF(AND($E587=TRUE,$C587="FWD"),AS587,"")</f>
        <v/>
      </c>
      <c r="BA587" t="n">
        <v>0</v>
      </c>
      <c r="BB587" t="n">
        <v>0</v>
      </c>
      <c r="BC587" t="n">
        <v>0</v>
      </c>
      <c r="BD587" t="n">
        <v>0</v>
      </c>
    </row>
    <row r="588">
      <c r="A588" t="inlineStr">
        <is>
          <t>Christos Tzolis</t>
        </is>
      </c>
      <c r="B588" t="inlineStr">
        <is>
          <t>ARS</t>
        </is>
      </c>
      <c r="C588" t="inlineStr">
        <is>
          <t>MID</t>
        </is>
      </c>
      <c r="E588" t="b">
        <v>1</v>
      </c>
      <c r="F588" s="2" t="n">
        <v>6.5</v>
      </c>
      <c r="G588" t="inlineStr">
        <is>
          <t>a</t>
        </is>
      </c>
      <c r="I588" s="2" t="n"/>
      <c r="K588" s="3" t="n">
        <v>2155</v>
      </c>
      <c r="L588" t="inlineStr">
        <is>
          <t>flat</t>
        </is>
      </c>
      <c r="M588" s="4" t="n">
        <v>2155</v>
      </c>
      <c r="N588" t="inlineStr">
        <is>
          <t>Solio</t>
        </is>
      </c>
      <c r="O588" s="5" t="n">
        <v>85</v>
      </c>
      <c r="P588" t="b">
        <v>0</v>
      </c>
      <c r="Q588" s="5">
        <f>IF(N(O588)&lt;=0,0,MIN(Assumptions!$B$15,N(M588)/N(O588)))</f>
        <v/>
      </c>
      <c r="R588" s="4" t="n">
        <v>0.391</v>
      </c>
      <c r="S588" s="3" t="n"/>
      <c r="T588" t="inlineStr"/>
      <c r="U588" s="3" t="n">
        <v>1</v>
      </c>
      <c r="V588" s="3" t="n"/>
      <c r="W588" s="3" t="n"/>
      <c r="X588" s="3" t="n"/>
      <c r="Y588" s="3" t="n"/>
      <c r="Z588" s="3" t="n">
        <v>0</v>
      </c>
      <c r="AA588" s="3" t="n"/>
      <c r="AB588" s="3" t="n"/>
      <c r="AC588" s="3" t="n">
        <v>2.067</v>
      </c>
      <c r="AD588" s="3" t="n">
        <v>0.9838</v>
      </c>
      <c r="AE588" s="3" t="n">
        <v>-0.2160434166173144</v>
      </c>
      <c r="AF588" s="4" t="n">
        <v>0</v>
      </c>
      <c r="AG588" s="3" t="n">
        <v>0</v>
      </c>
      <c r="AH588" s="3" t="n">
        <v>0</v>
      </c>
      <c r="AI588" s="3" t="n">
        <v>0</v>
      </c>
      <c r="AJ588" s="3">
        <f>N(R588)*N(BC588)</f>
        <v/>
      </c>
      <c r="AK588" s="3" t="n">
        <v>0</v>
      </c>
      <c r="AL588" s="3" t="n">
        <v>0</v>
      </c>
      <c r="AM588" s="3" t="n">
        <v>-0</v>
      </c>
      <c r="AN588" s="3" t="n">
        <v>-0.2160434166173144</v>
      </c>
      <c r="AO588" s="3">
        <f>SUM(AH588:AN588)</f>
        <v/>
      </c>
      <c r="AP588" s="5">
        <f>IF(OR(N(Q588)&lt;=0,N(BA588)=0),0,N(Q588)*IF(N(M588)/N(Q588)&gt;=60,N(BA588),1))</f>
        <v/>
      </c>
      <c r="AQ588" s="5">
        <f>N(Q588)*N(Z588)*N(BB588)</f>
        <v/>
      </c>
      <c r="AR588" s="5">
        <f>N(AF588)*(Assumptions!$B$13*N(BD588)-(1-Assumptions!$B$13)*Assumptions!$B$14)+N(AG588)</f>
        <v/>
      </c>
      <c r="AS588" s="5">
        <f>N(AO588)*N(M588)/90+N(AP588)+N(AQ588)+N(AR588)</f>
        <v/>
      </c>
      <c r="AT588" s="3">
        <f>IF(N(M588)&lt;=0,0,(N(AS588)-N(AR588))*90/N(M588))</f>
        <v/>
      </c>
      <c r="AU588" s="5">
        <f>IFERROR(AS588-VLOOKUP($C588,Assumptions!$A$36:$C$39,3,FALSE),"")</f>
        <v/>
      </c>
      <c r="AV588" s="3">
        <f>IFERROR(AU588/F588,"")</f>
        <v/>
      </c>
      <c r="AW588">
        <f>IF(AND($E588=TRUE,$C588="GKP"),AS588,"")</f>
        <v/>
      </c>
      <c r="AX588">
        <f>IF(AND($E588=TRUE,$C588="DEF"),AS588,"")</f>
        <v/>
      </c>
      <c r="AY588">
        <f>IF(AND($E588=TRUE,$C588="MID"),AS588,"")</f>
        <v/>
      </c>
      <c r="AZ588">
        <f>IF(AND($E588=TRUE,$C588="FWD"),AS588,"")</f>
        <v/>
      </c>
      <c r="BA588" t="n">
        <v>2</v>
      </c>
      <c r="BB588" t="n">
        <v>2</v>
      </c>
      <c r="BC588" t="n">
        <v>1</v>
      </c>
      <c r="BD588" t="n">
        <v>5</v>
      </c>
    </row>
    <row r="589">
      <c r="A589" t="inlineStr">
        <is>
          <t>Josh Eccles</t>
        </is>
      </c>
      <c r="B589" t="inlineStr">
        <is>
          <t>COV</t>
        </is>
      </c>
      <c r="C589" t="inlineStr">
        <is>
          <t>MID</t>
        </is>
      </c>
      <c r="E589" t="b">
        <v>1</v>
      </c>
      <c r="F589" s="2" t="n">
        <v>5</v>
      </c>
      <c r="G589" t="inlineStr">
        <is>
          <t>a</t>
        </is>
      </c>
      <c r="I589" s="2" t="n"/>
      <c r="K589" s="3" t="n">
        <v>192</v>
      </c>
      <c r="L589" t="inlineStr">
        <is>
          <t>flat</t>
        </is>
      </c>
      <c r="M589" s="4" t="n">
        <v>192</v>
      </c>
      <c r="N589" t="inlineStr">
        <is>
          <t>Solio</t>
        </is>
      </c>
      <c r="O589" s="5" t="n">
        <v>85</v>
      </c>
      <c r="P589" t="b">
        <v>0</v>
      </c>
      <c r="Q589" s="5">
        <f>IF(N(O589)&lt;=0,0,MIN(Assumptions!$B$15,N(M589)/N(O589)))</f>
        <v/>
      </c>
      <c r="R589" s="4" t="n">
        <v>0.17</v>
      </c>
      <c r="S589" s="3" t="n"/>
      <c r="T589" t="inlineStr"/>
      <c r="U589" s="3" t="n">
        <v>1</v>
      </c>
      <c r="V589" s="3" t="n"/>
      <c r="W589" s="3" t="n"/>
      <c r="X589" s="3" t="n"/>
      <c r="Y589" s="3" t="n"/>
      <c r="Z589" s="3" t="n">
        <v>0</v>
      </c>
      <c r="AA589" s="3" t="n"/>
      <c r="AB589" s="3" t="n"/>
      <c r="AC589" s="3" t="n">
        <v>3.6194</v>
      </c>
      <c r="AD589" s="3" t="n">
        <v>1.8271</v>
      </c>
      <c r="AE589" s="3" t="n">
        <v>-0.2160434166173144</v>
      </c>
      <c r="AF589" s="4" t="n">
        <v>0</v>
      </c>
      <c r="AG589" s="3" t="n">
        <v>0</v>
      </c>
      <c r="AH589" s="3" t="n">
        <v>0</v>
      </c>
      <c r="AI589" s="3" t="n">
        <v>0</v>
      </c>
      <c r="AJ589" s="3">
        <f>N(R589)*N(BC589)</f>
        <v/>
      </c>
      <c r="AK589" s="3" t="n">
        <v>0</v>
      </c>
      <c r="AL589" s="3" t="n">
        <v>0</v>
      </c>
      <c r="AM589" s="3" t="n">
        <v>-0</v>
      </c>
      <c r="AN589" s="3" t="n">
        <v>-0.2160434166173144</v>
      </c>
      <c r="AO589" s="3">
        <f>SUM(AH589:AN589)</f>
        <v/>
      </c>
      <c r="AP589" s="5">
        <f>IF(OR(N(Q589)&lt;=0,N(BA589)=0),0,N(Q589)*IF(N(M589)/N(Q589)&gt;=60,N(BA589),1))</f>
        <v/>
      </c>
      <c r="AQ589" s="5">
        <f>N(Q589)*N(Z589)*N(BB589)</f>
        <v/>
      </c>
      <c r="AR589" s="5">
        <f>N(AF589)*(Assumptions!$B$13*N(BD589)-(1-Assumptions!$B$13)*Assumptions!$B$14)+N(AG589)</f>
        <v/>
      </c>
      <c r="AS589" s="5">
        <f>N(AO589)*N(M589)/90+N(AP589)+N(AQ589)+N(AR589)</f>
        <v/>
      </c>
      <c r="AT589" s="3">
        <f>IF(N(M589)&lt;=0,0,(N(AS589)-N(AR589))*90/N(M589))</f>
        <v/>
      </c>
      <c r="AU589" s="5">
        <f>IFERROR(AS589-VLOOKUP($C589,Assumptions!$A$36:$C$39,3,FALSE),"")</f>
        <v/>
      </c>
      <c r="AV589" s="3">
        <f>IFERROR(AU589/F589,"")</f>
        <v/>
      </c>
      <c r="AW589">
        <f>IF(AND($E589=TRUE,$C589="GKP"),AS589,"")</f>
        <v/>
      </c>
      <c r="AX589">
        <f>IF(AND($E589=TRUE,$C589="DEF"),AS589,"")</f>
        <v/>
      </c>
      <c r="AY589">
        <f>IF(AND($E589=TRUE,$C589="MID"),AS589,"")</f>
        <v/>
      </c>
      <c r="AZ589">
        <f>IF(AND($E589=TRUE,$C589="FWD"),AS589,"")</f>
        <v/>
      </c>
      <c r="BA589" t="n">
        <v>2</v>
      </c>
      <c r="BB589" t="n">
        <v>2</v>
      </c>
      <c r="BC589" t="n">
        <v>1</v>
      </c>
      <c r="BD589" t="n">
        <v>5</v>
      </c>
    </row>
    <row r="590">
      <c r="A590" t="inlineStr">
        <is>
          <t>Armando Broja</t>
        </is>
      </c>
      <c r="D590" t="inlineStr">
        <is>
          <t>FWD</t>
        </is>
      </c>
      <c r="E590" t="b">
        <v>0</v>
      </c>
      <c r="F590" s="2" t="n"/>
      <c r="I590" s="2" t="n">
        <v>849</v>
      </c>
      <c r="K590" s="3" t="n"/>
      <c r="M590" s="4" t="n">
        <v>849</v>
      </c>
      <c r="N590" t="inlineStr">
        <is>
          <t>25/26 actual</t>
        </is>
      </c>
      <c r="O590" s="5" t="n">
        <v>78.90000000000001</v>
      </c>
      <c r="P590" t="b">
        <v>1</v>
      </c>
      <c r="Q590" s="5">
        <f>IF(N(O590)&lt;=0,0,MIN(Assumptions!$B$15,N(M590)/N(O590)))</f>
        <v/>
      </c>
      <c r="R590" s="4" t="n"/>
      <c r="S590" s="3" t="n">
        <v>0.228</v>
      </c>
      <c r="T590" t="inlineStr">
        <is>
          <t>adjusted xGOT</t>
        </is>
      </c>
      <c r="U590" s="3" t="n">
        <v>1</v>
      </c>
      <c r="V590" s="3" t="n">
        <v>1.005</v>
      </c>
      <c r="W590" s="3" t="n">
        <v>5.3</v>
      </c>
      <c r="X590" s="3" t="n">
        <v>0.0646</v>
      </c>
      <c r="Y590" s="3" t="n">
        <v>4.741</v>
      </c>
      <c r="Z590" s="3" t="n">
        <v>0</v>
      </c>
      <c r="AA590" s="3" t="n">
        <v>0.212</v>
      </c>
      <c r="AB590" s="3" t="n">
        <v>32</v>
      </c>
      <c r="AC590" s="3" t="n"/>
      <c r="AD590" s="3" t="n"/>
      <c r="AE590" s="3" t="n"/>
      <c r="AF590" s="4" t="n">
        <v>0</v>
      </c>
      <c r="AG590" s="3" t="n">
        <v>0</v>
      </c>
      <c r="AH590" s="3" t="n">
        <v>0</v>
      </c>
      <c r="AI590" s="3" t="n">
        <v>0</v>
      </c>
      <c r="AJ590" s="3">
        <f>N(R590)*N(BC590)</f>
        <v/>
      </c>
      <c r="AK590" s="3" t="n">
        <v>0</v>
      </c>
      <c r="AL590" s="3" t="n">
        <v>0</v>
      </c>
      <c r="AM590" s="3" t="n">
        <v>0</v>
      </c>
      <c r="AN590" s="3" t="n">
        <v>0</v>
      </c>
      <c r="AO590" s="3">
        <f>SUM(AH590:AN590)</f>
        <v/>
      </c>
      <c r="AP590" s="5">
        <f>IF(OR(N(Q590)&lt;=0,N(BA590)=0),0,N(Q590)*IF(N(M590)/N(Q590)&gt;=60,N(BA590),1))</f>
        <v/>
      </c>
      <c r="AQ590" s="5">
        <f>N(Q590)*N(Z590)*N(BB590)</f>
        <v/>
      </c>
      <c r="AR590" s="5">
        <f>N(AF590)*(Assumptions!$B$13*N(BD590)-(1-Assumptions!$B$13)*Assumptions!$B$14)+N(AG590)</f>
        <v/>
      </c>
      <c r="AS590" s="5">
        <f>N(AO590)*N(M590)/90+N(AP590)+N(AQ590)+N(AR590)</f>
        <v/>
      </c>
      <c r="AT590" s="3">
        <f>IF(N(M590)&lt;=0,0,(N(AS590)-N(AR590))*90/N(M590))</f>
        <v/>
      </c>
      <c r="AU590" s="5">
        <f>IFERROR(AS590-VLOOKUP($C590,Assumptions!$A$36:$C$39,3,FALSE),"")</f>
        <v/>
      </c>
      <c r="AV590" s="3">
        <f>IFERROR(AU590/F590,"")</f>
        <v/>
      </c>
      <c r="AW590">
        <f>IF(AND($E590=TRUE,$C590="GKP"),AS590,"")</f>
        <v/>
      </c>
      <c r="AX590">
        <f>IF(AND($E590=TRUE,$C590="DEF"),AS590,"")</f>
        <v/>
      </c>
      <c r="AY590">
        <f>IF(AND($E590=TRUE,$C590="MID"),AS590,"")</f>
        <v/>
      </c>
      <c r="AZ590">
        <f>IF(AND($E590=TRUE,$C590="FWD"),AS590,"")</f>
        <v/>
      </c>
      <c r="BA590" t="n">
        <v>0</v>
      </c>
      <c r="BB590" t="n">
        <v>0</v>
      </c>
      <c r="BC590" t="n">
        <v>0</v>
      </c>
      <c r="BD590" t="n">
        <v>0</v>
      </c>
    </row>
    <row r="591">
      <c r="A591" t="inlineStr">
        <is>
          <t>Ki-Jana Hoever</t>
        </is>
      </c>
      <c r="D591" t="inlineStr">
        <is>
          <t>DEF</t>
        </is>
      </c>
      <c r="E591" t="b">
        <v>0</v>
      </c>
      <c r="F591" s="2" t="n"/>
      <c r="I591" s="2" t="n">
        <v>428</v>
      </c>
      <c r="K591" s="3" t="n"/>
      <c r="M591" s="4" t="n">
        <v>428</v>
      </c>
      <c r="N591" t="inlineStr">
        <is>
          <t>25/26 actual</t>
        </is>
      </c>
      <c r="O591" s="5" t="n">
        <v>65.2</v>
      </c>
      <c r="P591" t="b">
        <v>1</v>
      </c>
      <c r="Q591" s="5">
        <f>IF(N(O591)&lt;=0,0,MIN(Assumptions!$B$15,N(M591)/N(O591)))</f>
        <v/>
      </c>
      <c r="R591" s="4" t="n"/>
      <c r="S591" s="3" t="n">
        <v>0.0042</v>
      </c>
      <c r="T591" t="inlineStr">
        <is>
          <t>adjusted xGOT</t>
        </is>
      </c>
      <c r="U591" s="3" t="n">
        <v>1</v>
      </c>
      <c r="V591" s="3" t="n">
        <v>0.998</v>
      </c>
      <c r="W591" s="3" t="n">
        <v>0</v>
      </c>
      <c r="X591" s="3" t="n">
        <v>0.0712</v>
      </c>
      <c r="Y591" s="3" t="n">
        <v>7.991</v>
      </c>
      <c r="Z591" s="3" t="n">
        <v>0</v>
      </c>
      <c r="AA591" s="3" t="n">
        <v>0</v>
      </c>
      <c r="AB591" s="3" t="n">
        <v>12</v>
      </c>
      <c r="AC591" s="3" t="n"/>
      <c r="AD591" s="3" t="n"/>
      <c r="AE591" s="3" t="n"/>
      <c r="AF591" s="4" t="n">
        <v>0</v>
      </c>
      <c r="AG591" s="3" t="n">
        <v>0</v>
      </c>
      <c r="AH591" s="3" t="n">
        <v>0</v>
      </c>
      <c r="AI591" s="3" t="n">
        <v>0</v>
      </c>
      <c r="AJ591" s="3">
        <f>N(R591)*N(BC591)</f>
        <v/>
      </c>
      <c r="AK591" s="3" t="n">
        <v>0</v>
      </c>
      <c r="AL591" s="3" t="n">
        <v>0</v>
      </c>
      <c r="AM591" s="3" t="n">
        <v>0</v>
      </c>
      <c r="AN591" s="3" t="n">
        <v>0</v>
      </c>
      <c r="AO591" s="3">
        <f>SUM(AH591:AN591)</f>
        <v/>
      </c>
      <c r="AP591" s="5">
        <f>IF(OR(N(Q591)&lt;=0,N(BA591)=0),0,N(Q591)*IF(N(M591)/N(Q591)&gt;=60,N(BA591),1))</f>
        <v/>
      </c>
      <c r="AQ591" s="5">
        <f>N(Q591)*N(Z591)*N(BB591)</f>
        <v/>
      </c>
      <c r="AR591" s="5">
        <f>N(AF591)*(Assumptions!$B$13*N(BD591)-(1-Assumptions!$B$13)*Assumptions!$B$14)+N(AG591)</f>
        <v/>
      </c>
      <c r="AS591" s="5">
        <f>N(AO591)*N(M591)/90+N(AP591)+N(AQ591)+N(AR591)</f>
        <v/>
      </c>
      <c r="AT591" s="3">
        <f>IF(N(M591)&lt;=0,0,(N(AS591)-N(AR591))*90/N(M591))</f>
        <v/>
      </c>
      <c r="AU591" s="5">
        <f>IFERROR(AS591-VLOOKUP($C591,Assumptions!$A$36:$C$39,3,FALSE),"")</f>
        <v/>
      </c>
      <c r="AV591" s="3">
        <f>IFERROR(AU591/F591,"")</f>
        <v/>
      </c>
      <c r="AW591">
        <f>IF(AND($E591=TRUE,$C591="GKP"),AS591,"")</f>
        <v/>
      </c>
      <c r="AX591">
        <f>IF(AND($E591=TRUE,$C591="DEF"),AS591,"")</f>
        <v/>
      </c>
      <c r="AY591">
        <f>IF(AND($E591=TRUE,$C591="MID"),AS591,"")</f>
        <v/>
      </c>
      <c r="AZ591">
        <f>IF(AND($E591=TRUE,$C591="FWD"),AS591,"")</f>
        <v/>
      </c>
      <c r="BA591" t="n">
        <v>0</v>
      </c>
      <c r="BB591" t="n">
        <v>0</v>
      </c>
      <c r="BC591" t="n">
        <v>0</v>
      </c>
      <c r="BD591" t="n">
        <v>0</v>
      </c>
    </row>
    <row r="592">
      <c r="A592" t="inlineStr">
        <is>
          <t>Daizen Maeda</t>
        </is>
      </c>
      <c r="B592" t="inlineStr">
        <is>
          <t>IPS</t>
        </is>
      </c>
      <c r="C592" t="inlineStr">
        <is>
          <t>MID</t>
        </is>
      </c>
      <c r="E592" t="b">
        <v>1</v>
      </c>
      <c r="F592" s="2" t="n">
        <v>5.5</v>
      </c>
      <c r="G592" t="inlineStr">
        <is>
          <t>a</t>
        </is>
      </c>
      <c r="I592" s="2" t="n"/>
      <c r="K592" s="3" t="n">
        <v>2502</v>
      </c>
      <c r="L592" t="inlineStr">
        <is>
          <t>flat</t>
        </is>
      </c>
      <c r="M592" s="4" t="n">
        <v>2502</v>
      </c>
      <c r="N592" t="inlineStr">
        <is>
          <t>Solio</t>
        </is>
      </c>
      <c r="O592" s="5" t="n">
        <v>85</v>
      </c>
      <c r="P592" t="b">
        <v>0</v>
      </c>
      <c r="Q592" s="5">
        <f>IF(N(O592)&lt;=0,0,MIN(Assumptions!$B$15,N(M592)/N(O592)))</f>
        <v/>
      </c>
      <c r="R592" s="4" t="n">
        <v>0.17</v>
      </c>
      <c r="S592" s="3" t="n"/>
      <c r="T592" t="inlineStr"/>
      <c r="U592" s="3" t="n">
        <v>1</v>
      </c>
      <c r="V592" s="3" t="n"/>
      <c r="W592" s="3" t="n"/>
      <c r="X592" s="3" t="n"/>
      <c r="Y592" s="3" t="n"/>
      <c r="Z592" s="3" t="n">
        <v>0</v>
      </c>
      <c r="AA592" s="3" t="n"/>
      <c r="AB592" s="3" t="n"/>
      <c r="AC592" s="3" t="n">
        <v>3.5741</v>
      </c>
      <c r="AD592" s="3" t="n">
        <v>1.8319</v>
      </c>
      <c r="AE592" s="3" t="n">
        <v>-0.2160434166173144</v>
      </c>
      <c r="AF592" s="4" t="n">
        <v>0</v>
      </c>
      <c r="AG592" s="3" t="n">
        <v>0</v>
      </c>
      <c r="AH592" s="3" t="n">
        <v>0</v>
      </c>
      <c r="AI592" s="3" t="n">
        <v>0</v>
      </c>
      <c r="AJ592" s="3">
        <f>N(R592)*N(BC592)</f>
        <v/>
      </c>
      <c r="AK592" s="3" t="n">
        <v>0</v>
      </c>
      <c r="AL592" s="3" t="n">
        <v>0</v>
      </c>
      <c r="AM592" s="3" t="n">
        <v>-0</v>
      </c>
      <c r="AN592" s="3" t="n">
        <v>-0.2160434166173144</v>
      </c>
      <c r="AO592" s="3">
        <f>SUM(AH592:AN592)</f>
        <v/>
      </c>
      <c r="AP592" s="5">
        <f>IF(OR(N(Q592)&lt;=0,N(BA592)=0),0,N(Q592)*IF(N(M592)/N(Q592)&gt;=60,N(BA592),1))</f>
        <v/>
      </c>
      <c r="AQ592" s="5">
        <f>N(Q592)*N(Z592)*N(BB592)</f>
        <v/>
      </c>
      <c r="AR592" s="5">
        <f>N(AF592)*(Assumptions!$B$13*N(BD592)-(1-Assumptions!$B$13)*Assumptions!$B$14)+N(AG592)</f>
        <v/>
      </c>
      <c r="AS592" s="5">
        <f>N(AO592)*N(M592)/90+N(AP592)+N(AQ592)+N(AR592)</f>
        <v/>
      </c>
      <c r="AT592" s="3">
        <f>IF(N(M592)&lt;=0,0,(N(AS592)-N(AR592))*90/N(M592))</f>
        <v/>
      </c>
      <c r="AU592" s="5">
        <f>IFERROR(AS592-VLOOKUP($C592,Assumptions!$A$36:$C$39,3,FALSE),"")</f>
        <v/>
      </c>
      <c r="AV592" s="3">
        <f>IFERROR(AU592/F592,"")</f>
        <v/>
      </c>
      <c r="AW592">
        <f>IF(AND($E592=TRUE,$C592="GKP"),AS592,"")</f>
        <v/>
      </c>
      <c r="AX592">
        <f>IF(AND($E592=TRUE,$C592="DEF"),AS592,"")</f>
        <v/>
      </c>
      <c r="AY592">
        <f>IF(AND($E592=TRUE,$C592="MID"),AS592,"")</f>
        <v/>
      </c>
      <c r="AZ592">
        <f>IF(AND($E592=TRUE,$C592="FWD"),AS592,"")</f>
        <v/>
      </c>
      <c r="BA592" t="n">
        <v>2</v>
      </c>
      <c r="BB592" t="n">
        <v>2</v>
      </c>
      <c r="BC592" t="n">
        <v>1</v>
      </c>
      <c r="BD592" t="n">
        <v>5</v>
      </c>
    </row>
    <row r="593">
      <c r="A593" t="inlineStr">
        <is>
          <t>Jack Clarke</t>
        </is>
      </c>
      <c r="B593" t="inlineStr">
        <is>
          <t>IPS</t>
        </is>
      </c>
      <c r="C593" t="inlineStr">
        <is>
          <t>MID</t>
        </is>
      </c>
      <c r="E593" t="b">
        <v>1</v>
      </c>
      <c r="F593" s="2" t="n">
        <v>5.5</v>
      </c>
      <c r="G593" t="inlineStr">
        <is>
          <t>a</t>
        </is>
      </c>
      <c r="I593" s="2" t="n"/>
      <c r="K593" s="3" t="n">
        <v>1060</v>
      </c>
      <c r="L593" t="inlineStr">
        <is>
          <t>flat</t>
        </is>
      </c>
      <c r="M593" s="4" t="n">
        <v>1060</v>
      </c>
      <c r="N593" t="inlineStr">
        <is>
          <t>Solio</t>
        </is>
      </c>
      <c r="O593" s="5" t="n">
        <v>85</v>
      </c>
      <c r="P593" t="b">
        <v>0</v>
      </c>
      <c r="Q593" s="5">
        <f>IF(N(O593)&lt;=0,0,MIN(Assumptions!$B$15,N(M593)/N(O593)))</f>
        <v/>
      </c>
      <c r="R593" s="4" t="n">
        <v>0.17</v>
      </c>
      <c r="S593" s="3" t="n"/>
      <c r="T593" t="inlineStr"/>
      <c r="U593" s="3" t="n">
        <v>1</v>
      </c>
      <c r="V593" s="3" t="n"/>
      <c r="W593" s="3" t="n"/>
      <c r="X593" s="3" t="n"/>
      <c r="Y593" s="3" t="n"/>
      <c r="Z593" s="3" t="n">
        <v>0</v>
      </c>
      <c r="AA593" s="3" t="n"/>
      <c r="AB593" s="3" t="n"/>
      <c r="AC593" s="3" t="n">
        <v>3.5741</v>
      </c>
      <c r="AD593" s="3" t="n">
        <v>1.8319</v>
      </c>
      <c r="AE593" s="3" t="n">
        <v>-0.2015773965073861</v>
      </c>
      <c r="AF593" s="4" t="n">
        <v>1.029420555023602</v>
      </c>
      <c r="AG593" s="3" t="n">
        <v>0</v>
      </c>
      <c r="AH593" s="3" t="n">
        <v>0</v>
      </c>
      <c r="AI593" s="3" t="n">
        <v>0</v>
      </c>
      <c r="AJ593" s="3">
        <f>N(R593)*N(BC593)</f>
        <v/>
      </c>
      <c r="AK593" s="3" t="n">
        <v>0</v>
      </c>
      <c r="AL593" s="3" t="n">
        <v>0</v>
      </c>
      <c r="AM593" s="3" t="n">
        <v>-0</v>
      </c>
      <c r="AN593" s="3" t="n">
        <v>-0.2015773965073861</v>
      </c>
      <c r="AO593" s="3">
        <f>SUM(AH593:AN593)</f>
        <v/>
      </c>
      <c r="AP593" s="5">
        <f>IF(OR(N(Q593)&lt;=0,N(BA593)=0),0,N(Q593)*IF(N(M593)/N(Q593)&gt;=60,N(BA593),1))</f>
        <v/>
      </c>
      <c r="AQ593" s="5">
        <f>N(Q593)*N(Z593)*N(BB593)</f>
        <v/>
      </c>
      <c r="AR593" s="5">
        <f>N(AF593)*(Assumptions!$B$13*N(BD593)-(1-Assumptions!$B$13)*Assumptions!$B$14)+N(AG593)</f>
        <v/>
      </c>
      <c r="AS593" s="5">
        <f>N(AO593)*N(M593)/90+N(AP593)+N(AQ593)+N(AR593)</f>
        <v/>
      </c>
      <c r="AT593" s="3">
        <f>IF(N(M593)&lt;=0,0,(N(AS593)-N(AR593))*90/N(M593))</f>
        <v/>
      </c>
      <c r="AU593" s="5">
        <f>IFERROR(AS593-VLOOKUP($C593,Assumptions!$A$36:$C$39,3,FALSE),"")</f>
        <v/>
      </c>
      <c r="AV593" s="3">
        <f>IFERROR(AU593/F593,"")</f>
        <v/>
      </c>
      <c r="AW593">
        <f>IF(AND($E593=TRUE,$C593="GKP"),AS593,"")</f>
        <v/>
      </c>
      <c r="AX593">
        <f>IF(AND($E593=TRUE,$C593="DEF"),AS593,"")</f>
        <v/>
      </c>
      <c r="AY593">
        <f>IF(AND($E593=TRUE,$C593="MID"),AS593,"")</f>
        <v/>
      </c>
      <c r="AZ593">
        <f>IF(AND($E593=TRUE,$C593="FWD"),AS593,"")</f>
        <v/>
      </c>
      <c r="BA593" t="n">
        <v>2</v>
      </c>
      <c r="BB593" t="n">
        <v>2</v>
      </c>
      <c r="BC593" t="n">
        <v>1</v>
      </c>
      <c r="BD593" t="n">
        <v>5</v>
      </c>
    </row>
    <row r="594">
      <c r="A594" t="inlineStr">
        <is>
          <t>Thimothée Lo-Tutala</t>
        </is>
      </c>
      <c r="B594" t="inlineStr">
        <is>
          <t>HUL</t>
        </is>
      </c>
      <c r="C594" t="inlineStr">
        <is>
          <t>GKP</t>
        </is>
      </c>
      <c r="E594" t="b">
        <v>1</v>
      </c>
      <c r="F594" s="2" t="n">
        <v>4</v>
      </c>
      <c r="G594" t="inlineStr">
        <is>
          <t>a</t>
        </is>
      </c>
      <c r="I594" s="2" t="n"/>
      <c r="K594" s="3" t="n">
        <v>0</v>
      </c>
      <c r="L594" t="inlineStr">
        <is>
          <t>flat</t>
        </is>
      </c>
      <c r="M594" s="4" t="n">
        <v>0</v>
      </c>
      <c r="N594" t="inlineStr">
        <is>
          <t>Solio</t>
        </is>
      </c>
      <c r="O594" s="5" t="n">
        <v>85</v>
      </c>
      <c r="P594" t="b">
        <v>0</v>
      </c>
      <c r="Q594" s="5">
        <f>IF(N(O594)&lt;=0,0,MIN(Assumptions!$B$15,N(M594)/N(O594)))</f>
        <v/>
      </c>
      <c r="R594" s="4" t="n">
        <v>0.143</v>
      </c>
      <c r="S594" s="3" t="n"/>
      <c r="T594" t="inlineStr"/>
      <c r="U594" s="3" t="n">
        <v>1</v>
      </c>
      <c r="V594" s="3" t="n"/>
      <c r="W594" s="3" t="n"/>
      <c r="X594" s="3" t="n"/>
      <c r="Y594" s="3" t="n">
        <v>0</v>
      </c>
      <c r="Z594" s="3" t="n">
        <v>0</v>
      </c>
      <c r="AA594" s="3" t="n"/>
      <c r="AB594" s="3" t="n"/>
      <c r="AC594" s="3" t="n">
        <v>3.9421</v>
      </c>
      <c r="AD594" s="3" t="n">
        <v>1.99</v>
      </c>
      <c r="AE594" s="3" t="n">
        <v>-0.0763216474948735</v>
      </c>
      <c r="AF594" s="4" t="n">
        <v>0</v>
      </c>
      <c r="AG594" s="3" t="n">
        <v>0</v>
      </c>
      <c r="AH594" s="3" t="n">
        <v>0</v>
      </c>
      <c r="AI594" s="3" t="n">
        <v>0</v>
      </c>
      <c r="AJ594" s="3">
        <f>N(R594)*N(BC594)</f>
        <v/>
      </c>
      <c r="AK594" s="3" t="n">
        <v>0</v>
      </c>
      <c r="AL594" s="3" t="n">
        <v>0.979692031005534</v>
      </c>
      <c r="AM594" s="3" t="n">
        <v>-0.7496714098286652</v>
      </c>
      <c r="AN594" s="3" t="n">
        <v>-0.0763216474948735</v>
      </c>
      <c r="AO594" s="3">
        <f>SUM(AH594:AN594)</f>
        <v/>
      </c>
      <c r="AP594" s="5">
        <f>IF(OR(N(Q594)&lt;=0,N(BA594)=0),0,N(Q594)*IF(N(M594)/N(Q594)&gt;=60,N(BA594),1))</f>
        <v/>
      </c>
      <c r="AQ594" s="5">
        <f>N(Q594)*N(Z594)*N(BB594)</f>
        <v/>
      </c>
      <c r="AR594" s="5">
        <f>N(AF594)*(Assumptions!$B$13*N(BD594)-(1-Assumptions!$B$13)*Assumptions!$B$14)+N(AG594)</f>
        <v/>
      </c>
      <c r="AS594" s="5">
        <f>N(AO594)*N(M594)/90+N(AP594)+N(AQ594)+N(AR594)</f>
        <v/>
      </c>
      <c r="AT594" s="3">
        <f>IF(N(M594)&lt;=0,0,(N(AS594)-N(AR594))*90/N(M594))</f>
        <v/>
      </c>
      <c r="AU594" s="5">
        <f>IFERROR(AS594-VLOOKUP($C594,Assumptions!$A$36:$C$39,3,FALSE),"")</f>
        <v/>
      </c>
      <c r="AV594" s="3">
        <f>IFERROR(AU594/F594,"")</f>
        <v/>
      </c>
      <c r="AW594">
        <f>IF(AND($E594=TRUE,$C594="GKP"),AS594,"")</f>
        <v/>
      </c>
      <c r="AX594">
        <f>IF(AND($E594=TRUE,$C594="DEF"),AS594,"")</f>
        <v/>
      </c>
      <c r="AY594">
        <f>IF(AND($E594=TRUE,$C594="MID"),AS594,"")</f>
        <v/>
      </c>
      <c r="AZ594">
        <f>IF(AND($E594=TRUE,$C594="FWD"),AS594,"")</f>
        <v/>
      </c>
      <c r="BA594" t="n">
        <v>2</v>
      </c>
      <c r="BB594" t="n">
        <v>0</v>
      </c>
      <c r="BC594" t="n">
        <v>4</v>
      </c>
      <c r="BD594" t="n">
        <v>10</v>
      </c>
    </row>
    <row r="595">
      <c r="A595" t="inlineStr">
        <is>
          <t>Hidemasa Morita</t>
        </is>
      </c>
      <c r="B595" t="inlineStr">
        <is>
          <t>HUL</t>
        </is>
      </c>
      <c r="C595" t="inlineStr">
        <is>
          <t>MID</t>
        </is>
      </c>
      <c r="E595" t="b">
        <v>1</v>
      </c>
      <c r="F595" s="2" t="n">
        <v>5</v>
      </c>
      <c r="G595" t="inlineStr">
        <is>
          <t>a</t>
        </is>
      </c>
      <c r="I595" s="2" t="n"/>
      <c r="K595" s="3" t="n">
        <v>2525</v>
      </c>
      <c r="L595" t="inlineStr">
        <is>
          <t>flat</t>
        </is>
      </c>
      <c r="M595" s="4" t="n">
        <v>2525</v>
      </c>
      <c r="N595" t="inlineStr">
        <is>
          <t>Solio</t>
        </is>
      </c>
      <c r="O595" s="5" t="n">
        <v>85</v>
      </c>
      <c r="P595" t="b">
        <v>0</v>
      </c>
      <c r="Q595" s="5">
        <f>IF(N(O595)&lt;=0,0,MIN(Assumptions!$B$15,N(M595)/N(O595)))</f>
        <v/>
      </c>
      <c r="R595" s="4" t="n">
        <v>0.143</v>
      </c>
      <c r="S595" s="3" t="n"/>
      <c r="T595" t="inlineStr"/>
      <c r="U595" s="3" t="n">
        <v>1</v>
      </c>
      <c r="V595" s="3" t="n"/>
      <c r="W595" s="3" t="n"/>
      <c r="X595" s="3" t="n"/>
      <c r="Y595" s="3" t="n"/>
      <c r="Z595" s="3" t="n">
        <v>0</v>
      </c>
      <c r="AA595" s="3" t="n"/>
      <c r="AB595" s="3" t="n"/>
      <c r="AC595" s="3" t="n">
        <v>3.9421</v>
      </c>
      <c r="AD595" s="3" t="n">
        <v>1.99</v>
      </c>
      <c r="AE595" s="3" t="n">
        <v>-0.2160434166173144</v>
      </c>
      <c r="AF595" s="4" t="n">
        <v>0</v>
      </c>
      <c r="AG595" s="3" t="n">
        <v>0</v>
      </c>
      <c r="AH595" s="3" t="n">
        <v>0</v>
      </c>
      <c r="AI595" s="3" t="n">
        <v>0</v>
      </c>
      <c r="AJ595" s="3">
        <f>N(R595)*N(BC595)</f>
        <v/>
      </c>
      <c r="AK595" s="3" t="n">
        <v>0</v>
      </c>
      <c r="AL595" s="3" t="n">
        <v>0</v>
      </c>
      <c r="AM595" s="3" t="n">
        <v>-0</v>
      </c>
      <c r="AN595" s="3" t="n">
        <v>-0.2160434166173144</v>
      </c>
      <c r="AO595" s="3">
        <f>SUM(AH595:AN595)</f>
        <v/>
      </c>
      <c r="AP595" s="5">
        <f>IF(OR(N(Q595)&lt;=0,N(BA595)=0),0,N(Q595)*IF(N(M595)/N(Q595)&gt;=60,N(BA595),1))</f>
        <v/>
      </c>
      <c r="AQ595" s="5">
        <f>N(Q595)*N(Z595)*N(BB595)</f>
        <v/>
      </c>
      <c r="AR595" s="5">
        <f>N(AF595)*(Assumptions!$B$13*N(BD595)-(1-Assumptions!$B$13)*Assumptions!$B$14)+N(AG595)</f>
        <v/>
      </c>
      <c r="AS595" s="5">
        <f>N(AO595)*N(M595)/90+N(AP595)+N(AQ595)+N(AR595)</f>
        <v/>
      </c>
      <c r="AT595" s="3">
        <f>IF(N(M595)&lt;=0,0,(N(AS595)-N(AR595))*90/N(M595))</f>
        <v/>
      </c>
      <c r="AU595" s="5">
        <f>IFERROR(AS595-VLOOKUP($C595,Assumptions!$A$36:$C$39,3,FALSE),"")</f>
        <v/>
      </c>
      <c r="AV595" s="3">
        <f>IFERROR(AU595/F595,"")</f>
        <v/>
      </c>
      <c r="AW595">
        <f>IF(AND($E595=TRUE,$C595="GKP"),AS595,"")</f>
        <v/>
      </c>
      <c r="AX595">
        <f>IF(AND($E595=TRUE,$C595="DEF"),AS595,"")</f>
        <v/>
      </c>
      <c r="AY595">
        <f>IF(AND($E595=TRUE,$C595="MID"),AS595,"")</f>
        <v/>
      </c>
      <c r="AZ595">
        <f>IF(AND($E595=TRUE,$C595="FWD"),AS595,"")</f>
        <v/>
      </c>
      <c r="BA595" t="n">
        <v>2</v>
      </c>
      <c r="BB595" t="n">
        <v>2</v>
      </c>
      <c r="BC595" t="n">
        <v>1</v>
      </c>
      <c r="BD595" t="n">
        <v>5</v>
      </c>
    </row>
    <row r="596">
      <c r="A596" t="inlineStr">
        <is>
          <t>Ronald Araujo</t>
        </is>
      </c>
      <c r="B596" t="inlineStr">
        <is>
          <t>LIV</t>
        </is>
      </c>
      <c r="C596" t="inlineStr">
        <is>
          <t>DEF</t>
        </is>
      </c>
      <c r="E596" t="b">
        <v>1</v>
      </c>
      <c r="F596" s="2" t="n">
        <v>5.5</v>
      </c>
      <c r="G596" t="inlineStr">
        <is>
          <t>a</t>
        </is>
      </c>
      <c r="I596" s="2" t="n"/>
      <c r="K596" s="3" t="n">
        <v>1984</v>
      </c>
      <c r="L596" t="inlineStr">
        <is>
          <t>flat</t>
        </is>
      </c>
      <c r="M596" s="4" t="n">
        <v>1984</v>
      </c>
      <c r="N596" t="inlineStr">
        <is>
          <t>Solio</t>
        </is>
      </c>
      <c r="O596" s="5" t="n">
        <v>85</v>
      </c>
      <c r="P596" t="b">
        <v>0</v>
      </c>
      <c r="Q596" s="5">
        <f>IF(N(O596)&lt;=0,0,MIN(Assumptions!$B$15,N(M596)/N(O596)))</f>
        <v/>
      </c>
      <c r="R596" s="4" t="n">
        <v>0.342</v>
      </c>
      <c r="S596" s="3" t="n"/>
      <c r="T596" t="inlineStr"/>
      <c r="U596" s="3" t="n">
        <v>1</v>
      </c>
      <c r="V596" s="3" t="n"/>
      <c r="W596" s="3" t="n"/>
      <c r="X596" s="3" t="n"/>
      <c r="Y596" s="3" t="n"/>
      <c r="Z596" s="3" t="n">
        <v>0</v>
      </c>
      <c r="AA596" s="3" t="n"/>
      <c r="AB596" s="3" t="n"/>
      <c r="AC596" s="3" t="n">
        <v>2.409</v>
      </c>
      <c r="AD596" s="3" t="n">
        <v>1.1228</v>
      </c>
      <c r="AE596" s="3" t="n">
        <v>-0.2045226422080557</v>
      </c>
      <c r="AF596" s="4" t="n">
        <v>0</v>
      </c>
      <c r="AG596" s="3" t="n">
        <v>0</v>
      </c>
      <c r="AH596" s="3" t="n">
        <v>0</v>
      </c>
      <c r="AI596" s="3" t="n">
        <v>0</v>
      </c>
      <c r="AJ596" s="3">
        <f>N(R596)*N(BC596)</f>
        <v/>
      </c>
      <c r="AK596" s="3" t="n">
        <v>0</v>
      </c>
      <c r="AL596" s="3" t="n">
        <v>0</v>
      </c>
      <c r="AM596" s="3" t="n">
        <v>-0.3378660007281162</v>
      </c>
      <c r="AN596" s="3" t="n">
        <v>-0.2045226422080557</v>
      </c>
      <c r="AO596" s="3">
        <f>SUM(AH596:AN596)</f>
        <v/>
      </c>
      <c r="AP596" s="5">
        <f>IF(OR(N(Q596)&lt;=0,N(BA596)=0),0,N(Q596)*IF(N(M596)/N(Q596)&gt;=60,N(BA596),1))</f>
        <v/>
      </c>
      <c r="AQ596" s="5">
        <f>N(Q596)*N(Z596)*N(BB596)</f>
        <v/>
      </c>
      <c r="AR596" s="5">
        <f>N(AF596)*(Assumptions!$B$13*N(BD596)-(1-Assumptions!$B$13)*Assumptions!$B$14)+N(AG596)</f>
        <v/>
      </c>
      <c r="AS596" s="5">
        <f>N(AO596)*N(M596)/90+N(AP596)+N(AQ596)+N(AR596)</f>
        <v/>
      </c>
      <c r="AT596" s="3">
        <f>IF(N(M596)&lt;=0,0,(N(AS596)-N(AR596))*90/N(M596))</f>
        <v/>
      </c>
      <c r="AU596" s="5">
        <f>IFERROR(AS596-VLOOKUP($C596,Assumptions!$A$36:$C$39,3,FALSE),"")</f>
        <v/>
      </c>
      <c r="AV596" s="3">
        <f>IFERROR(AU596/F596,"")</f>
        <v/>
      </c>
      <c r="AW596">
        <f>IF(AND($E596=TRUE,$C596="GKP"),AS596,"")</f>
        <v/>
      </c>
      <c r="AX596">
        <f>IF(AND($E596=TRUE,$C596="DEF"),AS596,"")</f>
        <v/>
      </c>
      <c r="AY596">
        <f>IF(AND($E596=TRUE,$C596="MID"),AS596,"")</f>
        <v/>
      </c>
      <c r="AZ596">
        <f>IF(AND($E596=TRUE,$C596="FWD"),AS596,"")</f>
        <v/>
      </c>
      <c r="BA596" t="n">
        <v>2</v>
      </c>
      <c r="BB596" t="n">
        <v>2</v>
      </c>
      <c r="BC596" t="n">
        <v>4</v>
      </c>
      <c r="BD596" t="n">
        <v>6</v>
      </c>
    </row>
    <row r="597">
      <c r="A597" t="inlineStr">
        <is>
          <t>Matty Jacob</t>
        </is>
      </c>
      <c r="B597" t="inlineStr">
        <is>
          <t>HUL</t>
        </is>
      </c>
      <c r="C597" t="inlineStr">
        <is>
          <t>DEF</t>
        </is>
      </c>
      <c r="E597" t="b">
        <v>1</v>
      </c>
      <c r="F597" s="2" t="n">
        <v>4</v>
      </c>
      <c r="G597" t="inlineStr">
        <is>
          <t>d</t>
        </is>
      </c>
      <c r="H597" t="inlineStr">
        <is>
          <t>Hip injury - 75% chance of playing</t>
        </is>
      </c>
      <c r="I597" s="2" t="n"/>
      <c r="K597" s="3" t="n">
        <v>38</v>
      </c>
      <c r="L597" t="inlineStr">
        <is>
          <t>flat</t>
        </is>
      </c>
      <c r="M597" s="4" t="n">
        <v>38</v>
      </c>
      <c r="N597" t="inlineStr">
        <is>
          <t>Solio</t>
        </is>
      </c>
      <c r="O597" s="5" t="n">
        <v>85</v>
      </c>
      <c r="P597" t="b">
        <v>0</v>
      </c>
      <c r="Q597" s="5">
        <f>IF(N(O597)&lt;=0,0,MIN(Assumptions!$B$15,N(M597)/N(O597)))</f>
        <v/>
      </c>
      <c r="R597" s="4" t="n">
        <v>0.143</v>
      </c>
      <c r="S597" s="3" t="n"/>
      <c r="T597" t="inlineStr"/>
      <c r="U597" s="3" t="n">
        <v>1</v>
      </c>
      <c r="V597" s="3" t="n"/>
      <c r="W597" s="3" t="n"/>
      <c r="X597" s="3" t="n"/>
      <c r="Y597" s="3" t="n"/>
      <c r="Z597" s="3" t="n">
        <v>0</v>
      </c>
      <c r="AA597" s="3" t="n"/>
      <c r="AB597" s="3" t="n"/>
      <c r="AC597" s="3" t="n">
        <v>3.9421</v>
      </c>
      <c r="AD597" s="3" t="n">
        <v>1.99</v>
      </c>
      <c r="AE597" s="3" t="n">
        <v>-0.2045226422080557</v>
      </c>
      <c r="AF597" s="4" t="n">
        <v>0</v>
      </c>
      <c r="AG597" s="3" t="n">
        <v>0</v>
      </c>
      <c r="AH597" s="3" t="n">
        <v>0</v>
      </c>
      <c r="AI597" s="3" t="n">
        <v>0</v>
      </c>
      <c r="AJ597" s="3">
        <f>N(R597)*N(BC597)</f>
        <v/>
      </c>
      <c r="AK597" s="3" t="n">
        <v>0</v>
      </c>
      <c r="AL597" s="3" t="n">
        <v>0</v>
      </c>
      <c r="AM597" s="3" t="n">
        <v>-0.7496714098286652</v>
      </c>
      <c r="AN597" s="3" t="n">
        <v>-0.2045226422080557</v>
      </c>
      <c r="AO597" s="3">
        <f>SUM(AH597:AN597)</f>
        <v/>
      </c>
      <c r="AP597" s="5">
        <f>IF(OR(N(Q597)&lt;=0,N(BA597)=0),0,N(Q597)*IF(N(M597)/N(Q597)&gt;=60,N(BA597),1))</f>
        <v/>
      </c>
      <c r="AQ597" s="5">
        <f>N(Q597)*N(Z597)*N(BB597)</f>
        <v/>
      </c>
      <c r="AR597" s="5">
        <f>N(AF597)*(Assumptions!$B$13*N(BD597)-(1-Assumptions!$B$13)*Assumptions!$B$14)+N(AG597)</f>
        <v/>
      </c>
      <c r="AS597" s="5">
        <f>N(AO597)*N(M597)/90+N(AP597)+N(AQ597)+N(AR597)</f>
        <v/>
      </c>
      <c r="AT597" s="3">
        <f>IF(N(M597)&lt;=0,0,(N(AS597)-N(AR597))*90/N(M597))</f>
        <v/>
      </c>
      <c r="AU597" s="5">
        <f>IFERROR(AS597-VLOOKUP($C597,Assumptions!$A$36:$C$39,3,FALSE),"")</f>
        <v/>
      </c>
      <c r="AV597" s="3">
        <f>IFERROR(AU597/F597,"")</f>
        <v/>
      </c>
      <c r="AW597">
        <f>IF(AND($E597=TRUE,$C597="GKP"),AS597,"")</f>
        <v/>
      </c>
      <c r="AX597">
        <f>IF(AND($E597=TRUE,$C597="DEF"),AS597,"")</f>
        <v/>
      </c>
      <c r="AY597">
        <f>IF(AND($E597=TRUE,$C597="MID"),AS597,"")</f>
        <v/>
      </c>
      <c r="AZ597">
        <f>IF(AND($E597=TRUE,$C597="FWD"),AS597,"")</f>
        <v/>
      </c>
      <c r="BA597" t="n">
        <v>2</v>
      </c>
      <c r="BB597" t="n">
        <v>2</v>
      </c>
      <c r="BC597" t="n">
        <v>4</v>
      </c>
      <c r="BD597" t="n">
        <v>6</v>
      </c>
    </row>
    <row r="598">
      <c r="A598" t="inlineStr">
        <is>
          <t>Jacob Greaves</t>
        </is>
      </c>
      <c r="B598" t="inlineStr">
        <is>
          <t>IPS</t>
        </is>
      </c>
      <c r="C598" t="inlineStr">
        <is>
          <t>DEF</t>
        </is>
      </c>
      <c r="E598" t="b">
        <v>1</v>
      </c>
      <c r="F598" s="2" t="n">
        <v>4</v>
      </c>
      <c r="G598" t="inlineStr">
        <is>
          <t>a</t>
        </is>
      </c>
      <c r="I598" s="2" t="n"/>
      <c r="K598" s="3" t="n">
        <v>1533</v>
      </c>
      <c r="L598" t="inlineStr">
        <is>
          <t>flat</t>
        </is>
      </c>
      <c r="M598" s="4" t="n">
        <v>1533</v>
      </c>
      <c r="N598" t="inlineStr">
        <is>
          <t>Solio</t>
        </is>
      </c>
      <c r="O598" s="5" t="n">
        <v>85</v>
      </c>
      <c r="P598" t="b">
        <v>0</v>
      </c>
      <c r="Q598" s="5">
        <f>IF(N(O598)&lt;=0,0,MIN(Assumptions!$B$15,N(M598)/N(O598)))</f>
        <v/>
      </c>
      <c r="R598" s="4" t="n">
        <v>0.17</v>
      </c>
      <c r="S598" s="3" t="n"/>
      <c r="T598" t="inlineStr"/>
      <c r="U598" s="3" t="n">
        <v>1</v>
      </c>
      <c r="V598" s="3" t="n"/>
      <c r="W598" s="3" t="n"/>
      <c r="X598" s="3" t="n"/>
      <c r="Y598" s="3" t="n"/>
      <c r="Z598" s="3" t="n">
        <v>0</v>
      </c>
      <c r="AA598" s="3" t="n"/>
      <c r="AB598" s="3" t="n"/>
      <c r="AC598" s="3" t="n">
        <v>3.5741</v>
      </c>
      <c r="AD598" s="3" t="n">
        <v>1.8319</v>
      </c>
      <c r="AE598" s="3" t="n">
        <v>-0.2144621594178463</v>
      </c>
      <c r="AF598" s="4" t="n">
        <v>0</v>
      </c>
      <c r="AG598" s="3" t="n">
        <v>0</v>
      </c>
      <c r="AH598" s="3" t="n">
        <v>0</v>
      </c>
      <c r="AI598" s="3" t="n">
        <v>0</v>
      </c>
      <c r="AJ598" s="3">
        <f>N(R598)*N(BC598)</f>
        <v/>
      </c>
      <c r="AK598" s="3" t="n">
        <v>0</v>
      </c>
      <c r="AL598" s="3" t="n">
        <v>0</v>
      </c>
      <c r="AM598" s="3" t="n">
        <v>-0.6723587286814016</v>
      </c>
      <c r="AN598" s="3" t="n">
        <v>-0.2144621594178463</v>
      </c>
      <c r="AO598" s="3">
        <f>SUM(AH598:AN598)</f>
        <v/>
      </c>
      <c r="AP598" s="5">
        <f>IF(OR(N(Q598)&lt;=0,N(BA598)=0),0,N(Q598)*IF(N(M598)/N(Q598)&gt;=60,N(BA598),1))</f>
        <v/>
      </c>
      <c r="AQ598" s="5">
        <f>N(Q598)*N(Z598)*N(BB598)</f>
        <v/>
      </c>
      <c r="AR598" s="5">
        <f>N(AF598)*(Assumptions!$B$13*N(BD598)-(1-Assumptions!$B$13)*Assumptions!$B$14)+N(AG598)</f>
        <v/>
      </c>
      <c r="AS598" s="5">
        <f>N(AO598)*N(M598)/90+N(AP598)+N(AQ598)+N(AR598)</f>
        <v/>
      </c>
      <c r="AT598" s="3">
        <f>IF(N(M598)&lt;=0,0,(N(AS598)-N(AR598))*90/N(M598))</f>
        <v/>
      </c>
      <c r="AU598" s="5">
        <f>IFERROR(AS598-VLOOKUP($C598,Assumptions!$A$36:$C$39,3,FALSE),"")</f>
        <v/>
      </c>
      <c r="AV598" s="3">
        <f>IFERROR(AU598/F598,"")</f>
        <v/>
      </c>
      <c r="AW598">
        <f>IF(AND($E598=TRUE,$C598="GKP"),AS598,"")</f>
        <v/>
      </c>
      <c r="AX598">
        <f>IF(AND($E598=TRUE,$C598="DEF"),AS598,"")</f>
        <v/>
      </c>
      <c r="AY598">
        <f>IF(AND($E598=TRUE,$C598="MID"),AS598,"")</f>
        <v/>
      </c>
      <c r="AZ598">
        <f>IF(AND($E598=TRUE,$C598="FWD"),AS598,"")</f>
        <v/>
      </c>
      <c r="BA598" t="n">
        <v>2</v>
      </c>
      <c r="BB598" t="n">
        <v>2</v>
      </c>
      <c r="BC598" t="n">
        <v>4</v>
      </c>
      <c r="BD598" t="n">
        <v>6</v>
      </c>
    </row>
    <row r="599">
      <c r="A599" t="inlineStr">
        <is>
          <t>Crysencio Summerville</t>
        </is>
      </c>
      <c r="D599" t="inlineStr">
        <is>
          <t>MID</t>
        </is>
      </c>
      <c r="E599" t="b">
        <v>0</v>
      </c>
      <c r="F599" s="2" t="n"/>
      <c r="I599" s="2" t="n">
        <v>2480</v>
      </c>
      <c r="K599" s="3" t="n"/>
      <c r="M599" s="4" t="n">
        <v>2480</v>
      </c>
      <c r="N599" t="inlineStr">
        <is>
          <t>25/26 actual</t>
        </is>
      </c>
      <c r="O599" s="5" t="n">
        <v>84</v>
      </c>
      <c r="P599" t="b">
        <v>1</v>
      </c>
      <c r="Q599" s="5">
        <f>IF(N(O599)&lt;=0,0,MIN(Assumptions!$B$15,N(M599)/N(O599)))</f>
        <v/>
      </c>
      <c r="R599" s="4" t="n"/>
      <c r="S599" s="3" t="n">
        <v>0.2029</v>
      </c>
      <c r="T599" t="inlineStr">
        <is>
          <t>adjusted xGOT</t>
        </is>
      </c>
      <c r="U599" s="3" t="n">
        <v>1</v>
      </c>
      <c r="V599" s="3" t="n">
        <v>1.03</v>
      </c>
      <c r="W599" s="3" t="n">
        <v>9.9</v>
      </c>
      <c r="X599" s="3" t="n">
        <v>0.1174</v>
      </c>
      <c r="Y599" s="3" t="n">
        <v>8.002000000000001</v>
      </c>
      <c r="Z599" s="3" t="n">
        <v>0</v>
      </c>
      <c r="AA599" s="3" t="n">
        <v>0.3266</v>
      </c>
      <c r="AB599" s="3" t="n">
        <v>59</v>
      </c>
      <c r="AC599" s="3" t="n"/>
      <c r="AD599" s="3" t="n"/>
      <c r="AE599" s="3" t="n"/>
      <c r="AF599" s="4" t="n">
        <v>0</v>
      </c>
      <c r="AG599" s="3" t="n">
        <v>0</v>
      </c>
      <c r="AH599" s="3" t="n">
        <v>0</v>
      </c>
      <c r="AI599" s="3" t="n">
        <v>0</v>
      </c>
      <c r="AJ599" s="3">
        <f>N(R599)*N(BC599)</f>
        <v/>
      </c>
      <c r="AK599" s="3" t="n">
        <v>0</v>
      </c>
      <c r="AL599" s="3" t="n">
        <v>0</v>
      </c>
      <c r="AM599" s="3" t="n">
        <v>0</v>
      </c>
      <c r="AN599" s="3" t="n">
        <v>0</v>
      </c>
      <c r="AO599" s="3">
        <f>SUM(AH599:AN599)</f>
        <v/>
      </c>
      <c r="AP599" s="5">
        <f>IF(OR(N(Q599)&lt;=0,N(BA599)=0),0,N(Q599)*IF(N(M599)/N(Q599)&gt;=60,N(BA599),1))</f>
        <v/>
      </c>
      <c r="AQ599" s="5">
        <f>N(Q599)*N(Z599)*N(BB599)</f>
        <v/>
      </c>
      <c r="AR599" s="5">
        <f>N(AF599)*(Assumptions!$B$13*N(BD599)-(1-Assumptions!$B$13)*Assumptions!$B$14)+N(AG599)</f>
        <v/>
      </c>
      <c r="AS599" s="5">
        <f>N(AO599)*N(M599)/90+N(AP599)+N(AQ599)+N(AR599)</f>
        <v/>
      </c>
      <c r="AT599" s="3">
        <f>IF(N(M599)&lt;=0,0,(N(AS599)-N(AR599))*90/N(M599))</f>
        <v/>
      </c>
      <c r="AU599" s="5">
        <f>IFERROR(AS599-VLOOKUP($C599,Assumptions!$A$36:$C$39,3,FALSE),"")</f>
        <v/>
      </c>
      <c r="AV599" s="3">
        <f>IFERROR(AU599/F599,"")</f>
        <v/>
      </c>
      <c r="AW599">
        <f>IF(AND($E599=TRUE,$C599="GKP"),AS599,"")</f>
        <v/>
      </c>
      <c r="AX599">
        <f>IF(AND($E599=TRUE,$C599="DEF"),AS599,"")</f>
        <v/>
      </c>
      <c r="AY599">
        <f>IF(AND($E599=TRUE,$C599="MID"),AS599,"")</f>
        <v/>
      </c>
      <c r="AZ599">
        <f>IF(AND($E599=TRUE,$C599="FWD"),AS599,"")</f>
        <v/>
      </c>
      <c r="BA599" t="n">
        <v>0</v>
      </c>
      <c r="BB599" t="n">
        <v>0</v>
      </c>
      <c r="BC599" t="n">
        <v>0</v>
      </c>
      <c r="BD599" t="n">
        <v>0</v>
      </c>
    </row>
    <row r="600">
      <c r="A600" t="inlineStr">
        <is>
          <t>Myles Peart-Harris</t>
        </is>
      </c>
      <c r="D600" t="inlineStr">
        <is>
          <t>MID</t>
        </is>
      </c>
      <c r="E600" t="b">
        <v>0</v>
      </c>
      <c r="F600" s="2" t="n"/>
      <c r="I600" s="2" t="n">
        <v>1</v>
      </c>
      <c r="K600" s="3" t="n"/>
      <c r="M600" s="4" t="n">
        <v>1</v>
      </c>
      <c r="N600" t="inlineStr">
        <is>
          <t>25/26 actual</t>
        </is>
      </c>
      <c r="O600" s="5" t="n">
        <v>85</v>
      </c>
      <c r="P600" t="b">
        <v>1</v>
      </c>
      <c r="Q600" s="5">
        <f>IF(N(O600)&lt;=0,0,MIN(Assumptions!$B$15,N(M600)/N(O600)))</f>
        <v/>
      </c>
      <c r="R600" s="4" t="n"/>
      <c r="S600" s="3" t="n">
        <v>0</v>
      </c>
      <c r="T600" t="inlineStr">
        <is>
          <t>blended xG</t>
        </is>
      </c>
      <c r="U600" s="3" t="n">
        <v>1</v>
      </c>
      <c r="V600" s="3" t="n">
        <v>1</v>
      </c>
      <c r="W600" s="3" t="n">
        <v>0</v>
      </c>
      <c r="X600" s="3" t="n">
        <v>0</v>
      </c>
      <c r="Y600" s="3" t="n">
        <v>8.565</v>
      </c>
      <c r="Z600" s="3" t="n">
        <v>0</v>
      </c>
      <c r="AA600" s="3" t="n">
        <v>0</v>
      </c>
      <c r="AB600" s="3" t="n">
        <v>1</v>
      </c>
      <c r="AC600" s="3" t="n"/>
      <c r="AD600" s="3" t="n"/>
      <c r="AE600" s="3" t="n"/>
      <c r="AF600" s="4" t="n">
        <v>0</v>
      </c>
      <c r="AG600" s="3" t="n">
        <v>0</v>
      </c>
      <c r="AH600" s="3" t="n">
        <v>0</v>
      </c>
      <c r="AI600" s="3" t="n">
        <v>0</v>
      </c>
      <c r="AJ600" s="3">
        <f>N(R600)*N(BC600)</f>
        <v/>
      </c>
      <c r="AK600" s="3" t="n">
        <v>0</v>
      </c>
      <c r="AL600" s="3" t="n">
        <v>0</v>
      </c>
      <c r="AM600" s="3" t="n">
        <v>0</v>
      </c>
      <c r="AN600" s="3" t="n">
        <v>0</v>
      </c>
      <c r="AO600" s="3">
        <f>SUM(AH600:AN600)</f>
        <v/>
      </c>
      <c r="AP600" s="5">
        <f>IF(OR(N(Q600)&lt;=0,N(BA600)=0),0,N(Q600)*IF(N(M600)/N(Q600)&gt;=60,N(BA600),1))</f>
        <v/>
      </c>
      <c r="AQ600" s="5">
        <f>N(Q600)*N(Z600)*N(BB600)</f>
        <v/>
      </c>
      <c r="AR600" s="5">
        <f>N(AF600)*(Assumptions!$B$13*N(BD600)-(1-Assumptions!$B$13)*Assumptions!$B$14)+N(AG600)</f>
        <v/>
      </c>
      <c r="AS600" s="5">
        <f>N(AO600)*N(M600)/90+N(AP600)+N(AQ600)+N(AR600)</f>
        <v/>
      </c>
      <c r="AT600" s="3">
        <f>IF(N(M600)&lt;=0,0,(N(AS600)-N(AR600))*90/N(M600))</f>
        <v/>
      </c>
      <c r="AU600" s="5">
        <f>IFERROR(AS600-VLOOKUP($C600,Assumptions!$A$36:$C$39,3,FALSE),"")</f>
        <v/>
      </c>
      <c r="AV600" s="3">
        <f>IFERROR(AU600/F600,"")</f>
        <v/>
      </c>
      <c r="AW600">
        <f>IF(AND($E600=TRUE,$C600="GKP"),AS600,"")</f>
        <v/>
      </c>
      <c r="AX600">
        <f>IF(AND($E600=TRUE,$C600="DEF"),AS600,"")</f>
        <v/>
      </c>
      <c r="AY600">
        <f>IF(AND($E600=TRUE,$C600="MID"),AS600,"")</f>
        <v/>
      </c>
      <c r="AZ600">
        <f>IF(AND($E600=TRUE,$C600="FWD"),AS600,"")</f>
        <v/>
      </c>
      <c r="BA600" t="n">
        <v>0</v>
      </c>
      <c r="BB600" t="n">
        <v>0</v>
      </c>
      <c r="BC600" t="n">
        <v>0</v>
      </c>
      <c r="BD600" t="n">
        <v>0</v>
      </c>
    </row>
    <row r="601">
      <c r="A601" t="inlineStr">
        <is>
          <t>Milan van Ewijk</t>
        </is>
      </c>
      <c r="B601" t="inlineStr">
        <is>
          <t>COV</t>
        </is>
      </c>
      <c r="C601" t="inlineStr">
        <is>
          <t>DEF</t>
        </is>
      </c>
      <c r="E601" t="b">
        <v>1</v>
      </c>
      <c r="F601" s="2" t="n">
        <v>4</v>
      </c>
      <c r="G601" t="inlineStr">
        <is>
          <t>a</t>
        </is>
      </c>
      <c r="I601" s="2" t="n"/>
      <c r="K601" s="3" t="n">
        <v>3342</v>
      </c>
      <c r="L601" t="inlineStr">
        <is>
          <t>flat</t>
        </is>
      </c>
      <c r="M601" s="4" t="n">
        <v>3342</v>
      </c>
      <c r="N601" t="inlineStr">
        <is>
          <t>Solio</t>
        </is>
      </c>
      <c r="O601" s="5" t="n">
        <v>85</v>
      </c>
      <c r="P601" t="b">
        <v>0</v>
      </c>
      <c r="Q601" s="5">
        <f>IF(N(O601)&lt;=0,0,MIN(Assumptions!$B$15,N(M601)/N(O601)))</f>
        <v/>
      </c>
      <c r="R601" s="4" t="n">
        <v>0.17</v>
      </c>
      <c r="S601" s="3" t="n"/>
      <c r="T601" t="inlineStr"/>
      <c r="U601" s="3" t="n">
        <v>1</v>
      </c>
      <c r="V601" s="3" t="n"/>
      <c r="W601" s="3" t="n"/>
      <c r="X601" s="3" t="n"/>
      <c r="Y601" s="3" t="n"/>
      <c r="Z601" s="3" t="n">
        <v>0</v>
      </c>
      <c r="AA601" s="3" t="n"/>
      <c r="AB601" s="3" t="n"/>
      <c r="AC601" s="3" t="n">
        <v>3.6194</v>
      </c>
      <c r="AD601" s="3" t="n">
        <v>1.8271</v>
      </c>
      <c r="AE601" s="3" t="n">
        <v>-0.2045226422080557</v>
      </c>
      <c r="AF601" s="4" t="n">
        <v>0</v>
      </c>
      <c r="AG601" s="3" t="n">
        <v>0</v>
      </c>
      <c r="AH601" s="3" t="n">
        <v>0</v>
      </c>
      <c r="AI601" s="3" t="n">
        <v>0</v>
      </c>
      <c r="AJ601" s="3">
        <f>N(R601)*N(BC601)</f>
        <v/>
      </c>
      <c r="AK601" s="3" t="n">
        <v>0</v>
      </c>
      <c r="AL601" s="3" t="n">
        <v>0</v>
      </c>
      <c r="AM601" s="3" t="n">
        <v>-0.670020548738316</v>
      </c>
      <c r="AN601" s="3" t="n">
        <v>-0.2045226422080557</v>
      </c>
      <c r="AO601" s="3">
        <f>SUM(AH601:AN601)</f>
        <v/>
      </c>
      <c r="AP601" s="5">
        <f>IF(OR(N(Q601)&lt;=0,N(BA601)=0),0,N(Q601)*IF(N(M601)/N(Q601)&gt;=60,N(BA601),1))</f>
        <v/>
      </c>
      <c r="AQ601" s="5">
        <f>N(Q601)*N(Z601)*N(BB601)</f>
        <v/>
      </c>
      <c r="AR601" s="5">
        <f>N(AF601)*(Assumptions!$B$13*N(BD601)-(1-Assumptions!$B$13)*Assumptions!$B$14)+N(AG601)</f>
        <v/>
      </c>
      <c r="AS601" s="5">
        <f>N(AO601)*N(M601)/90+N(AP601)+N(AQ601)+N(AR601)</f>
        <v/>
      </c>
      <c r="AT601" s="3">
        <f>IF(N(M601)&lt;=0,0,(N(AS601)-N(AR601))*90/N(M601))</f>
        <v/>
      </c>
      <c r="AU601" s="5">
        <f>IFERROR(AS601-VLOOKUP($C601,Assumptions!$A$36:$C$39,3,FALSE),"")</f>
        <v/>
      </c>
      <c r="AV601" s="3">
        <f>IFERROR(AU601/F601,"")</f>
        <v/>
      </c>
      <c r="AW601">
        <f>IF(AND($E601=TRUE,$C601="GKP"),AS601,"")</f>
        <v/>
      </c>
      <c r="AX601">
        <f>IF(AND($E601=TRUE,$C601="DEF"),AS601,"")</f>
        <v/>
      </c>
      <c r="AY601">
        <f>IF(AND($E601=TRUE,$C601="MID"),AS601,"")</f>
        <v/>
      </c>
      <c r="AZ601">
        <f>IF(AND($E601=TRUE,$C601="FWD"),AS601,"")</f>
        <v/>
      </c>
      <c r="BA601" t="n">
        <v>2</v>
      </c>
      <c r="BB601" t="n">
        <v>2</v>
      </c>
      <c r="BC601" t="n">
        <v>4</v>
      </c>
      <c r="BD601" t="n">
        <v>6</v>
      </c>
    </row>
    <row r="602">
      <c r="A602" t="inlineStr">
        <is>
          <t>João Pedro Loureiro da Costa</t>
        </is>
      </c>
      <c r="B602" t="inlineStr">
        <is>
          <t>BHA</t>
        </is>
      </c>
      <c r="C602" t="inlineStr">
        <is>
          <t>DEF</t>
        </is>
      </c>
      <c r="E602" t="b">
        <v>1</v>
      </c>
      <c r="F602" s="2" t="n">
        <v>4.5</v>
      </c>
      <c r="G602" t="inlineStr">
        <is>
          <t>a</t>
        </is>
      </c>
      <c r="I602" s="2" t="n"/>
      <c r="K602" s="3" t="n">
        <v>346</v>
      </c>
      <c r="L602" t="inlineStr">
        <is>
          <t>flat</t>
        </is>
      </c>
      <c r="M602" s="4" t="n">
        <v>346</v>
      </c>
      <c r="N602" t="inlineStr">
        <is>
          <t>Solio</t>
        </is>
      </c>
      <c r="O602" s="5" t="n">
        <v>85</v>
      </c>
      <c r="P602" t="b">
        <v>0</v>
      </c>
      <c r="Q602" s="5">
        <f>IF(N(O602)&lt;=0,0,MIN(Assumptions!$B$15,N(M602)/N(O602)))</f>
        <v/>
      </c>
      <c r="R602" s="4" t="n">
        <v>0.252</v>
      </c>
      <c r="S602" s="3" t="n"/>
      <c r="T602" t="inlineStr"/>
      <c r="U602" s="3" t="n">
        <v>1</v>
      </c>
      <c r="V602" s="3" t="n"/>
      <c r="W602" s="3" t="n"/>
      <c r="X602" s="3" t="n"/>
      <c r="Y602" s="3" t="n"/>
      <c r="Z602" s="3" t="n">
        <v>0</v>
      </c>
      <c r="AA602" s="3" t="n"/>
      <c r="AB602" s="3" t="n"/>
      <c r="AC602" s="3" t="n">
        <v>2.8404</v>
      </c>
      <c r="AD602" s="3" t="n">
        <v>1.439</v>
      </c>
      <c r="AE602" s="3" t="n">
        <v>-0.2045226422080557</v>
      </c>
      <c r="AF602" s="4" t="n">
        <v>0</v>
      </c>
      <c r="AG602" s="3" t="n">
        <v>0</v>
      </c>
      <c r="AH602" s="3" t="n">
        <v>0</v>
      </c>
      <c r="AI602" s="3" t="n">
        <v>0</v>
      </c>
      <c r="AJ602" s="3">
        <f>N(R602)*N(BC602)</f>
        <v/>
      </c>
      <c r="AK602" s="3" t="n">
        <v>0</v>
      </c>
      <c r="AL602" s="3" t="n">
        <v>0</v>
      </c>
      <c r="AM602" s="3" t="n">
        <v>-0.4835617861760246</v>
      </c>
      <c r="AN602" s="3" t="n">
        <v>-0.2045226422080557</v>
      </c>
      <c r="AO602" s="3">
        <f>SUM(AH602:AN602)</f>
        <v/>
      </c>
      <c r="AP602" s="5">
        <f>IF(OR(N(Q602)&lt;=0,N(BA602)=0),0,N(Q602)*IF(N(M602)/N(Q602)&gt;=60,N(BA602),1))</f>
        <v/>
      </c>
      <c r="AQ602" s="5">
        <f>N(Q602)*N(Z602)*N(BB602)</f>
        <v/>
      </c>
      <c r="AR602" s="5">
        <f>N(AF602)*(Assumptions!$B$13*N(BD602)-(1-Assumptions!$B$13)*Assumptions!$B$14)+N(AG602)</f>
        <v/>
      </c>
      <c r="AS602" s="5">
        <f>N(AO602)*N(M602)/90+N(AP602)+N(AQ602)+N(AR602)</f>
        <v/>
      </c>
      <c r="AT602" s="3">
        <f>IF(N(M602)&lt;=0,0,(N(AS602)-N(AR602))*90/N(M602))</f>
        <v/>
      </c>
      <c r="AU602" s="5">
        <f>IFERROR(AS602-VLOOKUP($C602,Assumptions!$A$36:$C$39,3,FALSE),"")</f>
        <v/>
      </c>
      <c r="AV602" s="3">
        <f>IFERROR(AU602/F602,"")</f>
        <v/>
      </c>
      <c r="AW602">
        <f>IF(AND($E602=TRUE,$C602="GKP"),AS602,"")</f>
        <v/>
      </c>
      <c r="AX602">
        <f>IF(AND($E602=TRUE,$C602="DEF"),AS602,"")</f>
        <v/>
      </c>
      <c r="AY602">
        <f>IF(AND($E602=TRUE,$C602="MID"),AS602,"")</f>
        <v/>
      </c>
      <c r="AZ602">
        <f>IF(AND($E602=TRUE,$C602="FWD"),AS602,"")</f>
        <v/>
      </c>
      <c r="BA602" t="n">
        <v>2</v>
      </c>
      <c r="BB602" t="n">
        <v>2</v>
      </c>
      <c r="BC602" t="n">
        <v>4</v>
      </c>
      <c r="BD602" t="n">
        <v>6</v>
      </c>
    </row>
    <row r="603">
      <c r="A603" t="inlineStr">
        <is>
          <t>Michael Svoboda</t>
        </is>
      </c>
      <c r="B603" t="inlineStr">
        <is>
          <t>BHA</t>
        </is>
      </c>
      <c r="C603" t="inlineStr">
        <is>
          <t>DEF</t>
        </is>
      </c>
      <c r="E603" t="b">
        <v>1</v>
      </c>
      <c r="F603" s="2" t="n">
        <v>5</v>
      </c>
      <c r="G603" t="inlineStr">
        <is>
          <t>a</t>
        </is>
      </c>
      <c r="I603" s="2" t="n"/>
      <c r="K603" s="3" t="n">
        <v>148</v>
      </c>
      <c r="L603" t="inlineStr">
        <is>
          <t>flat</t>
        </is>
      </c>
      <c r="M603" s="4" t="n">
        <v>148</v>
      </c>
      <c r="N603" t="inlineStr">
        <is>
          <t>Solio</t>
        </is>
      </c>
      <c r="O603" s="5" t="n">
        <v>85</v>
      </c>
      <c r="P603" t="b">
        <v>0</v>
      </c>
      <c r="Q603" s="5">
        <f>IF(N(O603)&lt;=0,0,MIN(Assumptions!$B$15,N(M603)/N(O603)))</f>
        <v/>
      </c>
      <c r="R603" s="4" t="n">
        <v>0.252</v>
      </c>
      <c r="S603" s="3" t="n"/>
      <c r="T603" t="inlineStr"/>
      <c r="U603" s="3" t="n">
        <v>1</v>
      </c>
      <c r="V603" s="3" t="n"/>
      <c r="W603" s="3" t="n"/>
      <c r="X603" s="3" t="n"/>
      <c r="Y603" s="3" t="n"/>
      <c r="Z603" s="3" t="n">
        <v>0</v>
      </c>
      <c r="AA603" s="3" t="n"/>
      <c r="AB603" s="3" t="n"/>
      <c r="AC603" s="3" t="n">
        <v>2.8404</v>
      </c>
      <c r="AD603" s="3" t="n">
        <v>1.439</v>
      </c>
      <c r="AE603" s="3" t="n">
        <v>-0.2045226422080557</v>
      </c>
      <c r="AF603" s="4" t="n">
        <v>0</v>
      </c>
      <c r="AG603" s="3" t="n">
        <v>0</v>
      </c>
      <c r="AH603" s="3" t="n">
        <v>0</v>
      </c>
      <c r="AI603" s="3" t="n">
        <v>0</v>
      </c>
      <c r="AJ603" s="3">
        <f>N(R603)*N(BC603)</f>
        <v/>
      </c>
      <c r="AK603" s="3" t="n">
        <v>0</v>
      </c>
      <c r="AL603" s="3" t="n">
        <v>0</v>
      </c>
      <c r="AM603" s="3" t="n">
        <v>-0.4835617861760246</v>
      </c>
      <c r="AN603" s="3" t="n">
        <v>-0.2045226422080557</v>
      </c>
      <c r="AO603" s="3">
        <f>SUM(AH603:AN603)</f>
        <v/>
      </c>
      <c r="AP603" s="5">
        <f>IF(OR(N(Q603)&lt;=0,N(BA603)=0),0,N(Q603)*IF(N(M603)/N(Q603)&gt;=60,N(BA603),1))</f>
        <v/>
      </c>
      <c r="AQ603" s="5">
        <f>N(Q603)*N(Z603)*N(BB603)</f>
        <v/>
      </c>
      <c r="AR603" s="5">
        <f>N(AF603)*(Assumptions!$B$13*N(BD603)-(1-Assumptions!$B$13)*Assumptions!$B$14)+N(AG603)</f>
        <v/>
      </c>
      <c r="AS603" s="5">
        <f>N(AO603)*N(M603)/90+N(AP603)+N(AQ603)+N(AR603)</f>
        <v/>
      </c>
      <c r="AT603" s="3">
        <f>IF(N(M603)&lt;=0,0,(N(AS603)-N(AR603))*90/N(M603))</f>
        <v/>
      </c>
      <c r="AU603" s="5">
        <f>IFERROR(AS603-VLOOKUP($C603,Assumptions!$A$36:$C$39,3,FALSE),"")</f>
        <v/>
      </c>
      <c r="AV603" s="3">
        <f>IFERROR(AU603/F603,"")</f>
        <v/>
      </c>
      <c r="AW603">
        <f>IF(AND($E603=TRUE,$C603="GKP"),AS603,"")</f>
        <v/>
      </c>
      <c r="AX603">
        <f>IF(AND($E603=TRUE,$C603="DEF"),AS603,"")</f>
        <v/>
      </c>
      <c r="AY603">
        <f>IF(AND($E603=TRUE,$C603="MID"),AS603,"")</f>
        <v/>
      </c>
      <c r="AZ603">
        <f>IF(AND($E603=TRUE,$C603="FWD"),AS603,"")</f>
        <v/>
      </c>
      <c r="BA603" t="n">
        <v>2</v>
      </c>
      <c r="BB603" t="n">
        <v>2</v>
      </c>
      <c r="BC603" t="n">
        <v>4</v>
      </c>
      <c r="BD603" t="n">
        <v>6</v>
      </c>
    </row>
    <row r="604">
      <c r="A604" t="inlineStr">
        <is>
          <t>Leif Davis</t>
        </is>
      </c>
      <c r="B604" t="inlineStr">
        <is>
          <t>IPS</t>
        </is>
      </c>
      <c r="C604" t="inlineStr">
        <is>
          <t>DEF</t>
        </is>
      </c>
      <c r="E604" t="b">
        <v>1</v>
      </c>
      <c r="F604" s="2" t="n">
        <v>4</v>
      </c>
      <c r="G604" t="inlineStr">
        <is>
          <t>a</t>
        </is>
      </c>
      <c r="I604" s="2" t="n"/>
      <c r="K604" s="3" t="n">
        <v>3186</v>
      </c>
      <c r="L604" t="inlineStr">
        <is>
          <t>flat</t>
        </is>
      </c>
      <c r="M604" s="4" t="n">
        <v>3186</v>
      </c>
      <c r="N604" t="inlineStr">
        <is>
          <t>Solio</t>
        </is>
      </c>
      <c r="O604" s="5" t="n">
        <v>85</v>
      </c>
      <c r="P604" t="b">
        <v>0</v>
      </c>
      <c r="Q604" s="5">
        <f>IF(N(O604)&lt;=0,0,MIN(Assumptions!$B$15,N(M604)/N(O604)))</f>
        <v/>
      </c>
      <c r="R604" s="4" t="n">
        <v>0.17</v>
      </c>
      <c r="S604" s="3" t="n"/>
      <c r="T604" t="inlineStr"/>
      <c r="U604" s="3" t="n">
        <v>1</v>
      </c>
      <c r="V604" s="3" t="n"/>
      <c r="W604" s="3" t="n"/>
      <c r="X604" s="3" t="n"/>
      <c r="Y604" s="3" t="n"/>
      <c r="Z604" s="3" t="n">
        <v>0</v>
      </c>
      <c r="AA604" s="3" t="n"/>
      <c r="AB604" s="3" t="n"/>
      <c r="AC604" s="3" t="n">
        <v>3.5741</v>
      </c>
      <c r="AD604" s="3" t="n">
        <v>1.8319</v>
      </c>
      <c r="AE604" s="3" t="n">
        <v>-0.1942789057521099</v>
      </c>
      <c r="AF604" s="4" t="n">
        <v>0</v>
      </c>
      <c r="AG604" s="3" t="n">
        <v>0</v>
      </c>
      <c r="AH604" s="3" t="n">
        <v>0</v>
      </c>
      <c r="AI604" s="3" t="n">
        <v>0</v>
      </c>
      <c r="AJ604" s="3">
        <f>N(R604)*N(BC604)</f>
        <v/>
      </c>
      <c r="AK604" s="3" t="n">
        <v>0</v>
      </c>
      <c r="AL604" s="3" t="n">
        <v>0</v>
      </c>
      <c r="AM604" s="3" t="n">
        <v>-0.6723587286814016</v>
      </c>
      <c r="AN604" s="3" t="n">
        <v>-0.1942789057521099</v>
      </c>
      <c r="AO604" s="3">
        <f>SUM(AH604:AN604)</f>
        <v/>
      </c>
      <c r="AP604" s="5">
        <f>IF(OR(N(Q604)&lt;=0,N(BA604)=0),0,N(Q604)*IF(N(M604)/N(Q604)&gt;=60,N(BA604),1))</f>
        <v/>
      </c>
      <c r="AQ604" s="5">
        <f>N(Q604)*N(Z604)*N(BB604)</f>
        <v/>
      </c>
      <c r="AR604" s="5">
        <f>N(AF604)*(Assumptions!$B$13*N(BD604)-(1-Assumptions!$B$13)*Assumptions!$B$14)+N(AG604)</f>
        <v/>
      </c>
      <c r="AS604" s="5">
        <f>N(AO604)*N(M604)/90+N(AP604)+N(AQ604)+N(AR604)</f>
        <v/>
      </c>
      <c r="AT604" s="3">
        <f>IF(N(M604)&lt;=0,0,(N(AS604)-N(AR604))*90/N(M604))</f>
        <v/>
      </c>
      <c r="AU604" s="5">
        <f>IFERROR(AS604-VLOOKUP($C604,Assumptions!$A$36:$C$39,3,FALSE),"")</f>
        <v/>
      </c>
      <c r="AV604" s="3">
        <f>IFERROR(AU604/F604,"")</f>
        <v/>
      </c>
      <c r="AW604">
        <f>IF(AND($E604=TRUE,$C604="GKP"),AS604,"")</f>
        <v/>
      </c>
      <c r="AX604">
        <f>IF(AND($E604=TRUE,$C604="DEF"),AS604,"")</f>
        <v/>
      </c>
      <c r="AY604">
        <f>IF(AND($E604=TRUE,$C604="MID"),AS604,"")</f>
        <v/>
      </c>
      <c r="AZ604">
        <f>IF(AND($E604=TRUE,$C604="FWD"),AS604,"")</f>
        <v/>
      </c>
      <c r="BA604" t="n">
        <v>2</v>
      </c>
      <c r="BB604" t="n">
        <v>2</v>
      </c>
      <c r="BC604" t="n">
        <v>4</v>
      </c>
      <c r="BD604" t="n">
        <v>6</v>
      </c>
    </row>
    <row r="605">
      <c r="A605" t="inlineStr">
        <is>
          <t>Bobby Thomas</t>
        </is>
      </c>
      <c r="B605" t="inlineStr">
        <is>
          <t>COV</t>
        </is>
      </c>
      <c r="C605" t="inlineStr">
        <is>
          <t>DEF</t>
        </is>
      </c>
      <c r="E605" t="b">
        <v>1</v>
      </c>
      <c r="F605" s="2" t="n">
        <v>4</v>
      </c>
      <c r="G605" t="inlineStr">
        <is>
          <t>a</t>
        </is>
      </c>
      <c r="I605" s="2" t="n"/>
      <c r="K605" s="3" t="n">
        <v>3135</v>
      </c>
      <c r="L605" t="inlineStr">
        <is>
          <t>flat</t>
        </is>
      </c>
      <c r="M605" s="4" t="n">
        <v>3135</v>
      </c>
      <c r="N605" t="inlineStr">
        <is>
          <t>Solio</t>
        </is>
      </c>
      <c r="O605" s="5" t="n">
        <v>85</v>
      </c>
      <c r="P605" t="b">
        <v>0</v>
      </c>
      <c r="Q605" s="5">
        <f>IF(N(O605)&lt;=0,0,MIN(Assumptions!$B$15,N(M605)/N(O605)))</f>
        <v/>
      </c>
      <c r="R605" s="4" t="n">
        <v>0.17</v>
      </c>
      <c r="S605" s="3" t="n"/>
      <c r="T605" t="inlineStr"/>
      <c r="U605" s="3" t="n">
        <v>1</v>
      </c>
      <c r="V605" s="3" t="n"/>
      <c r="W605" s="3" t="n"/>
      <c r="X605" s="3" t="n"/>
      <c r="Y605" s="3" t="n"/>
      <c r="Z605" s="3" t="n">
        <v>0</v>
      </c>
      <c r="AA605" s="3" t="n"/>
      <c r="AB605" s="3" t="n"/>
      <c r="AC605" s="3" t="n">
        <v>3.6194</v>
      </c>
      <c r="AD605" s="3" t="n">
        <v>1.8271</v>
      </c>
      <c r="AE605" s="3" t="n">
        <v>-0.2045226422080557</v>
      </c>
      <c r="AF605" s="4" t="n">
        <v>0</v>
      </c>
      <c r="AG605" s="3" t="n">
        <v>0</v>
      </c>
      <c r="AH605" s="3" t="n">
        <v>0</v>
      </c>
      <c r="AI605" s="3" t="n">
        <v>0</v>
      </c>
      <c r="AJ605" s="3">
        <f>N(R605)*N(BC605)</f>
        <v/>
      </c>
      <c r="AK605" s="3" t="n">
        <v>0</v>
      </c>
      <c r="AL605" s="3" t="n">
        <v>0</v>
      </c>
      <c r="AM605" s="3" t="n">
        <v>-0.670020548738316</v>
      </c>
      <c r="AN605" s="3" t="n">
        <v>-0.2045226422080557</v>
      </c>
      <c r="AO605" s="3">
        <f>SUM(AH605:AN605)</f>
        <v/>
      </c>
      <c r="AP605" s="5">
        <f>IF(OR(N(Q605)&lt;=0,N(BA605)=0),0,N(Q605)*IF(N(M605)/N(Q605)&gt;=60,N(BA605),1))</f>
        <v/>
      </c>
      <c r="AQ605" s="5">
        <f>N(Q605)*N(Z605)*N(BB605)</f>
        <v/>
      </c>
      <c r="AR605" s="5">
        <f>N(AF605)*(Assumptions!$B$13*N(BD605)-(1-Assumptions!$B$13)*Assumptions!$B$14)+N(AG605)</f>
        <v/>
      </c>
      <c r="AS605" s="5">
        <f>N(AO605)*N(M605)/90+N(AP605)+N(AQ605)+N(AR605)</f>
        <v/>
      </c>
      <c r="AT605" s="3">
        <f>IF(N(M605)&lt;=0,0,(N(AS605)-N(AR605))*90/N(M605))</f>
        <v/>
      </c>
      <c r="AU605" s="5">
        <f>IFERROR(AS605-VLOOKUP($C605,Assumptions!$A$36:$C$39,3,FALSE),"")</f>
        <v/>
      </c>
      <c r="AV605" s="3">
        <f>IFERROR(AU605/F605,"")</f>
        <v/>
      </c>
      <c r="AW605">
        <f>IF(AND($E605=TRUE,$C605="GKP"),AS605,"")</f>
        <v/>
      </c>
      <c r="AX605">
        <f>IF(AND($E605=TRUE,$C605="DEF"),AS605,"")</f>
        <v/>
      </c>
      <c r="AY605">
        <f>IF(AND($E605=TRUE,$C605="MID"),AS605,"")</f>
        <v/>
      </c>
      <c r="AZ605">
        <f>IF(AND($E605=TRUE,$C605="FWD"),AS605,"")</f>
        <v/>
      </c>
      <c r="BA605" t="n">
        <v>2</v>
      </c>
      <c r="BB605" t="n">
        <v>2</v>
      </c>
      <c r="BC605" t="n">
        <v>4</v>
      </c>
      <c r="BD605" t="n">
        <v>6</v>
      </c>
    </row>
    <row r="606">
      <c r="A606" t="inlineStr">
        <is>
          <t>Bashir Humphreys</t>
        </is>
      </c>
      <c r="D606" t="inlineStr">
        <is>
          <t>DEF</t>
        </is>
      </c>
      <c r="E606" t="b">
        <v>0</v>
      </c>
      <c r="F606" s="2" t="n"/>
      <c r="I606" s="2" t="n">
        <v>1578</v>
      </c>
      <c r="K606" s="3" t="n"/>
      <c r="M606" s="4" t="n">
        <v>1578</v>
      </c>
      <c r="N606" t="inlineStr">
        <is>
          <t>25/26 actual</t>
        </is>
      </c>
      <c r="O606" s="5" t="n">
        <v>87.59999999999999</v>
      </c>
      <c r="P606" t="b">
        <v>1</v>
      </c>
      <c r="Q606" s="5">
        <f>IF(N(O606)&lt;=0,0,MIN(Assumptions!$B$15,N(M606)/N(O606)))</f>
        <v/>
      </c>
      <c r="R606" s="4" t="n"/>
      <c r="S606" s="3" t="n">
        <v>0.0245</v>
      </c>
      <c r="T606" t="inlineStr">
        <is>
          <t>adjusted xGOT</t>
        </is>
      </c>
      <c r="U606" s="3" t="n">
        <v>1</v>
      </c>
      <c r="V606" s="3" t="n">
        <v>1.021</v>
      </c>
      <c r="W606" s="3" t="n">
        <v>0.4</v>
      </c>
      <c r="X606" s="3" t="n">
        <v>0.0493</v>
      </c>
      <c r="Y606" s="3" t="n">
        <v>7.944</v>
      </c>
      <c r="Z606" s="3" t="n">
        <v>0</v>
      </c>
      <c r="AA606" s="3" t="n">
        <v>0</v>
      </c>
      <c r="AB606" s="3" t="n">
        <v>38</v>
      </c>
      <c r="AC606" s="3" t="n"/>
      <c r="AD606" s="3" t="n"/>
      <c r="AE606" s="3" t="n"/>
      <c r="AF606" s="4" t="n">
        <v>0</v>
      </c>
      <c r="AG606" s="3" t="n">
        <v>0</v>
      </c>
      <c r="AH606" s="3" t="n">
        <v>0</v>
      </c>
      <c r="AI606" s="3" t="n">
        <v>0</v>
      </c>
      <c r="AJ606" s="3">
        <f>N(R606)*N(BC606)</f>
        <v/>
      </c>
      <c r="AK606" s="3" t="n">
        <v>0</v>
      </c>
      <c r="AL606" s="3" t="n">
        <v>0</v>
      </c>
      <c r="AM606" s="3" t="n">
        <v>0</v>
      </c>
      <c r="AN606" s="3" t="n">
        <v>0</v>
      </c>
      <c r="AO606" s="3">
        <f>SUM(AH606:AN606)</f>
        <v/>
      </c>
      <c r="AP606" s="5">
        <f>IF(OR(N(Q606)&lt;=0,N(BA606)=0),0,N(Q606)*IF(N(M606)/N(Q606)&gt;=60,N(BA606),1))</f>
        <v/>
      </c>
      <c r="AQ606" s="5">
        <f>N(Q606)*N(Z606)*N(BB606)</f>
        <v/>
      </c>
      <c r="AR606" s="5">
        <f>N(AF606)*(Assumptions!$B$13*N(BD606)-(1-Assumptions!$B$13)*Assumptions!$B$14)+N(AG606)</f>
        <v/>
      </c>
      <c r="AS606" s="5">
        <f>N(AO606)*N(M606)/90+N(AP606)+N(AQ606)+N(AR606)</f>
        <v/>
      </c>
      <c r="AT606" s="3">
        <f>IF(N(M606)&lt;=0,0,(N(AS606)-N(AR606))*90/N(M606))</f>
        <v/>
      </c>
      <c r="AU606" s="5">
        <f>IFERROR(AS606-VLOOKUP($C606,Assumptions!$A$36:$C$39,3,FALSE),"")</f>
        <v/>
      </c>
      <c r="AV606" s="3">
        <f>IFERROR(AU606/F606,"")</f>
        <v/>
      </c>
      <c r="AW606">
        <f>IF(AND($E606=TRUE,$C606="GKP"),AS606,"")</f>
        <v/>
      </c>
      <c r="AX606">
        <f>IF(AND($E606=TRUE,$C606="DEF"),AS606,"")</f>
        <v/>
      </c>
      <c r="AY606">
        <f>IF(AND($E606=TRUE,$C606="MID"),AS606,"")</f>
        <v/>
      </c>
      <c r="AZ606">
        <f>IF(AND($E606=TRUE,$C606="FWD"),AS606,"")</f>
        <v/>
      </c>
      <c r="BA606" t="n">
        <v>0</v>
      </c>
      <c r="BB606" t="n">
        <v>0</v>
      </c>
      <c r="BC606" t="n">
        <v>0</v>
      </c>
      <c r="BD606" t="n">
        <v>0</v>
      </c>
    </row>
    <row r="607">
      <c r="A607" t="inlineStr">
        <is>
          <t>Dennis Cirkin</t>
        </is>
      </c>
      <c r="D607" t="inlineStr">
        <is>
          <t>DEF</t>
        </is>
      </c>
      <c r="E607" t="b">
        <v>0</v>
      </c>
      <c r="F607" s="2" t="n"/>
      <c r="I607" s="2" t="n">
        <v>320</v>
      </c>
      <c r="K607" s="3" t="n"/>
      <c r="M607" s="4" t="n">
        <v>320</v>
      </c>
      <c r="N607" t="inlineStr">
        <is>
          <t>25/26 actual</t>
        </is>
      </c>
      <c r="O607" s="5" t="n">
        <v>79.3</v>
      </c>
      <c r="P607" t="b">
        <v>1</v>
      </c>
      <c r="Q607" s="5">
        <f>IF(N(O607)&lt;=0,0,MIN(Assumptions!$B$15,N(M607)/N(O607)))</f>
        <v/>
      </c>
      <c r="R607" s="4" t="n"/>
      <c r="S607" s="3" t="n">
        <v>0.0222</v>
      </c>
      <c r="T607" t="inlineStr">
        <is>
          <t>adjusted xGOT</t>
        </is>
      </c>
      <c r="U607" s="3" t="n">
        <v>1</v>
      </c>
      <c r="V607" s="3" t="n">
        <v>0.99</v>
      </c>
      <c r="W607" s="3" t="n">
        <v>0.1</v>
      </c>
      <c r="X607" s="3" t="n">
        <v>0</v>
      </c>
      <c r="Y607" s="3" t="n">
        <v>7.751</v>
      </c>
      <c r="Z607" s="3" t="n">
        <v>0</v>
      </c>
      <c r="AA607" s="3" t="n">
        <v>0</v>
      </c>
      <c r="AB607" s="3" t="n">
        <v>10</v>
      </c>
      <c r="AC607" s="3" t="n"/>
      <c r="AD607" s="3" t="n"/>
      <c r="AE607" s="3" t="n"/>
      <c r="AF607" s="4" t="n">
        <v>0</v>
      </c>
      <c r="AG607" s="3" t="n">
        <v>0</v>
      </c>
      <c r="AH607" s="3" t="n">
        <v>0</v>
      </c>
      <c r="AI607" s="3" t="n">
        <v>0</v>
      </c>
      <c r="AJ607" s="3">
        <f>N(R607)*N(BC607)</f>
        <v/>
      </c>
      <c r="AK607" s="3" t="n">
        <v>0</v>
      </c>
      <c r="AL607" s="3" t="n">
        <v>0</v>
      </c>
      <c r="AM607" s="3" t="n">
        <v>0</v>
      </c>
      <c r="AN607" s="3" t="n">
        <v>0</v>
      </c>
      <c r="AO607" s="3">
        <f>SUM(AH607:AN607)</f>
        <v/>
      </c>
      <c r="AP607" s="5">
        <f>IF(OR(N(Q607)&lt;=0,N(BA607)=0),0,N(Q607)*IF(N(M607)/N(Q607)&gt;=60,N(BA607),1))</f>
        <v/>
      </c>
      <c r="AQ607" s="5">
        <f>N(Q607)*N(Z607)*N(BB607)</f>
        <v/>
      </c>
      <c r="AR607" s="5">
        <f>N(AF607)*(Assumptions!$B$13*N(BD607)-(1-Assumptions!$B$13)*Assumptions!$B$14)+N(AG607)</f>
        <v/>
      </c>
      <c r="AS607" s="5">
        <f>N(AO607)*N(M607)/90+N(AP607)+N(AQ607)+N(AR607)</f>
        <v/>
      </c>
      <c r="AT607" s="3">
        <f>IF(N(M607)&lt;=0,0,(N(AS607)-N(AR607))*90/N(M607))</f>
        <v/>
      </c>
      <c r="AU607" s="5">
        <f>IFERROR(AS607-VLOOKUP($C607,Assumptions!$A$36:$C$39,3,FALSE),"")</f>
        <v/>
      </c>
      <c r="AV607" s="3">
        <f>IFERROR(AU607/F607,"")</f>
        <v/>
      </c>
      <c r="AW607">
        <f>IF(AND($E607=TRUE,$C607="GKP"),AS607,"")</f>
        <v/>
      </c>
      <c r="AX607">
        <f>IF(AND($E607=TRUE,$C607="DEF"),AS607,"")</f>
        <v/>
      </c>
      <c r="AY607">
        <f>IF(AND($E607=TRUE,$C607="MID"),AS607,"")</f>
        <v/>
      </c>
      <c r="AZ607">
        <f>IF(AND($E607=TRUE,$C607="FWD"),AS607,"")</f>
        <v/>
      </c>
      <c r="BA607" t="n">
        <v>0</v>
      </c>
      <c r="BB607" t="n">
        <v>0</v>
      </c>
      <c r="BC607" t="n">
        <v>0</v>
      </c>
      <c r="BD607" t="n">
        <v>0</v>
      </c>
    </row>
    <row r="608">
      <c r="A608" t="inlineStr">
        <is>
          <t>Kasey McAteer</t>
        </is>
      </c>
      <c r="B608" t="inlineStr">
        <is>
          <t>IPS</t>
        </is>
      </c>
      <c r="C608" t="inlineStr">
        <is>
          <t>MID</t>
        </is>
      </c>
      <c r="E608" t="b">
        <v>1</v>
      </c>
      <c r="F608" s="2" t="n">
        <v>4.5</v>
      </c>
      <c r="G608" t="inlineStr">
        <is>
          <t>a</t>
        </is>
      </c>
      <c r="I608" s="2" t="n"/>
      <c r="K608" s="3" t="n">
        <v>0</v>
      </c>
      <c r="L608" t="inlineStr">
        <is>
          <t>flat</t>
        </is>
      </c>
      <c r="M608" s="4" t="n">
        <v>0</v>
      </c>
      <c r="N608" t="inlineStr">
        <is>
          <t>Solio</t>
        </is>
      </c>
      <c r="O608" s="5" t="n">
        <v>85</v>
      </c>
      <c r="P608" t="b">
        <v>0</v>
      </c>
      <c r="Q608" s="5">
        <f>IF(N(O608)&lt;=0,0,MIN(Assumptions!$B$15,N(M608)/N(O608)))</f>
        <v/>
      </c>
      <c r="R608" s="4" t="n">
        <v>0.17</v>
      </c>
      <c r="S608" s="3" t="n"/>
      <c r="T608" t="inlineStr"/>
      <c r="U608" s="3" t="n">
        <v>1</v>
      </c>
      <c r="V608" s="3" t="n"/>
      <c r="W608" s="3" t="n"/>
      <c r="X608" s="3" t="n"/>
      <c r="Y608" s="3" t="n"/>
      <c r="Z608" s="3" t="n">
        <v>0</v>
      </c>
      <c r="AA608" s="3" t="n"/>
      <c r="AB608" s="3" t="n"/>
      <c r="AC608" s="3" t="n">
        <v>3.5741</v>
      </c>
      <c r="AD608" s="3" t="n">
        <v>1.8319</v>
      </c>
      <c r="AE608" s="3" t="n">
        <v>-0.2472511313587093</v>
      </c>
      <c r="AF608" s="4" t="n">
        <v>0</v>
      </c>
      <c r="AG608" s="3" t="n">
        <v>0</v>
      </c>
      <c r="AH608" s="3" t="n">
        <v>0</v>
      </c>
      <c r="AI608" s="3" t="n">
        <v>0</v>
      </c>
      <c r="AJ608" s="3">
        <f>N(R608)*N(BC608)</f>
        <v/>
      </c>
      <c r="AK608" s="3" t="n">
        <v>0</v>
      </c>
      <c r="AL608" s="3" t="n">
        <v>0</v>
      </c>
      <c r="AM608" s="3" t="n">
        <v>-0</v>
      </c>
      <c r="AN608" s="3" t="n">
        <v>-0.2472511313587093</v>
      </c>
      <c r="AO608" s="3">
        <f>SUM(AH608:AN608)</f>
        <v/>
      </c>
      <c r="AP608" s="5">
        <f>IF(OR(N(Q608)&lt;=0,N(BA608)=0),0,N(Q608)*IF(N(M608)/N(Q608)&gt;=60,N(BA608),1))</f>
        <v/>
      </c>
      <c r="AQ608" s="5">
        <f>N(Q608)*N(Z608)*N(BB608)</f>
        <v/>
      </c>
      <c r="AR608" s="5">
        <f>N(AF608)*(Assumptions!$B$13*N(BD608)-(1-Assumptions!$B$13)*Assumptions!$B$14)+N(AG608)</f>
        <v/>
      </c>
      <c r="AS608" s="5">
        <f>N(AO608)*N(M608)/90+N(AP608)+N(AQ608)+N(AR608)</f>
        <v/>
      </c>
      <c r="AT608" s="3">
        <f>IF(N(M608)&lt;=0,0,(N(AS608)-N(AR608))*90/N(M608))</f>
        <v/>
      </c>
      <c r="AU608" s="5">
        <f>IFERROR(AS608-VLOOKUP($C608,Assumptions!$A$36:$C$39,3,FALSE),"")</f>
        <v/>
      </c>
      <c r="AV608" s="3">
        <f>IFERROR(AU608/F608,"")</f>
        <v/>
      </c>
      <c r="AW608">
        <f>IF(AND($E608=TRUE,$C608="GKP"),AS608,"")</f>
        <v/>
      </c>
      <c r="AX608">
        <f>IF(AND($E608=TRUE,$C608="DEF"),AS608,"")</f>
        <v/>
      </c>
      <c r="AY608">
        <f>IF(AND($E608=TRUE,$C608="MID"),AS608,"")</f>
        <v/>
      </c>
      <c r="AZ608">
        <f>IF(AND($E608=TRUE,$C608="FWD"),AS608,"")</f>
        <v/>
      </c>
      <c r="BA608" t="n">
        <v>2</v>
      </c>
      <c r="BB608" t="n">
        <v>2</v>
      </c>
      <c r="BC608" t="n">
        <v>1</v>
      </c>
      <c r="BD608" t="n">
        <v>5</v>
      </c>
    </row>
    <row r="609">
      <c r="A609" t="inlineStr">
        <is>
          <t>Jean-Clair Todibo</t>
        </is>
      </c>
      <c r="D609" t="inlineStr">
        <is>
          <t>DEF</t>
        </is>
      </c>
      <c r="E609" t="b">
        <v>0</v>
      </c>
      <c r="F609" s="2" t="n"/>
      <c r="I609" s="2" t="n">
        <v>1817</v>
      </c>
      <c r="K609" s="3" t="n"/>
      <c r="M609" s="4" t="n">
        <v>1817</v>
      </c>
      <c r="N609" t="inlineStr">
        <is>
          <t>25/26 actual</t>
        </is>
      </c>
      <c r="O609" s="5" t="n">
        <v>82.5</v>
      </c>
      <c r="P609" t="b">
        <v>1</v>
      </c>
      <c r="Q609" s="5">
        <f>IF(N(O609)&lt;=0,0,MIN(Assumptions!$B$15,N(M609)/N(O609)))</f>
        <v/>
      </c>
      <c r="R609" s="4" t="n"/>
      <c r="S609" s="3" t="n">
        <v>0.0115</v>
      </c>
      <c r="T609" t="inlineStr">
        <is>
          <t>adjusted xGOT</t>
        </is>
      </c>
      <c r="U609" s="3" t="n">
        <v>1</v>
      </c>
      <c r="V609" s="3" t="n">
        <v>0.929</v>
      </c>
      <c r="W609" s="3" t="n">
        <v>0.6</v>
      </c>
      <c r="X609" s="3" t="n">
        <v>0.0188</v>
      </c>
      <c r="Y609" s="3" t="n">
        <v>8.034000000000001</v>
      </c>
      <c r="Z609" s="3" t="n">
        <v>0</v>
      </c>
      <c r="AA609" s="3" t="n">
        <v>0.0495</v>
      </c>
      <c r="AB609" s="3" t="n">
        <v>42</v>
      </c>
      <c r="AC609" s="3" t="n"/>
      <c r="AD609" s="3" t="n"/>
      <c r="AE609" s="3" t="n"/>
      <c r="AF609" s="4" t="n">
        <v>0</v>
      </c>
      <c r="AG609" s="3" t="n">
        <v>0</v>
      </c>
      <c r="AH609" s="3" t="n">
        <v>0</v>
      </c>
      <c r="AI609" s="3" t="n">
        <v>0</v>
      </c>
      <c r="AJ609" s="3">
        <f>N(R609)*N(BC609)</f>
        <v/>
      </c>
      <c r="AK609" s="3" t="n">
        <v>0</v>
      </c>
      <c r="AL609" s="3" t="n">
        <v>0</v>
      </c>
      <c r="AM609" s="3" t="n">
        <v>0</v>
      </c>
      <c r="AN609" s="3" t="n">
        <v>0</v>
      </c>
      <c r="AO609" s="3">
        <f>SUM(AH609:AN609)</f>
        <v/>
      </c>
      <c r="AP609" s="5">
        <f>IF(OR(N(Q609)&lt;=0,N(BA609)=0),0,N(Q609)*IF(N(M609)/N(Q609)&gt;=60,N(BA609),1))</f>
        <v/>
      </c>
      <c r="AQ609" s="5">
        <f>N(Q609)*N(Z609)*N(BB609)</f>
        <v/>
      </c>
      <c r="AR609" s="5">
        <f>N(AF609)*(Assumptions!$B$13*N(BD609)-(1-Assumptions!$B$13)*Assumptions!$B$14)+N(AG609)</f>
        <v/>
      </c>
      <c r="AS609" s="5">
        <f>N(AO609)*N(M609)/90+N(AP609)+N(AQ609)+N(AR609)</f>
        <v/>
      </c>
      <c r="AT609" s="3">
        <f>IF(N(M609)&lt;=0,0,(N(AS609)-N(AR609))*90/N(M609))</f>
        <v/>
      </c>
      <c r="AU609" s="5">
        <f>IFERROR(AS609-VLOOKUP($C609,Assumptions!$A$36:$C$39,3,FALSE),"")</f>
        <v/>
      </c>
      <c r="AV609" s="3">
        <f>IFERROR(AU609/F609,"")</f>
        <v/>
      </c>
      <c r="AW609">
        <f>IF(AND($E609=TRUE,$C609="GKP"),AS609,"")</f>
        <v/>
      </c>
      <c r="AX609">
        <f>IF(AND($E609=TRUE,$C609="DEF"),AS609,"")</f>
        <v/>
      </c>
      <c r="AY609">
        <f>IF(AND($E609=TRUE,$C609="MID"),AS609,"")</f>
        <v/>
      </c>
      <c r="AZ609">
        <f>IF(AND($E609=TRUE,$C609="FWD"),AS609,"")</f>
        <v/>
      </c>
      <c r="BA609" t="n">
        <v>0</v>
      </c>
      <c r="BB609" t="n">
        <v>0</v>
      </c>
      <c r="BC609" t="n">
        <v>0</v>
      </c>
      <c r="BD609" t="n">
        <v>0</v>
      </c>
    </row>
    <row r="610">
      <c r="A610" t="inlineStr">
        <is>
          <t>Ali Al-Hamadi</t>
        </is>
      </c>
      <c r="B610" t="inlineStr">
        <is>
          <t>IPS</t>
        </is>
      </c>
      <c r="C610" t="inlineStr">
        <is>
          <t>FWD</t>
        </is>
      </c>
      <c r="E610" t="b">
        <v>1</v>
      </c>
      <c r="F610" s="2" t="n">
        <v>5</v>
      </c>
      <c r="G610" t="inlineStr">
        <is>
          <t>a</t>
        </is>
      </c>
      <c r="I610" s="2" t="n"/>
      <c r="K610" s="3" t="n">
        <v>38</v>
      </c>
      <c r="L610" t="inlineStr">
        <is>
          <t>flat</t>
        </is>
      </c>
      <c r="M610" s="4" t="n">
        <v>38</v>
      </c>
      <c r="N610" t="inlineStr">
        <is>
          <t>Solio</t>
        </is>
      </c>
      <c r="O610" s="5" t="n">
        <v>85</v>
      </c>
      <c r="P610" t="b">
        <v>0</v>
      </c>
      <c r="Q610" s="5">
        <f>IF(N(O610)&lt;=0,0,MIN(Assumptions!$B$15,N(M610)/N(O610)))</f>
        <v/>
      </c>
      <c r="R610" s="4" t="n">
        <v>0.17</v>
      </c>
      <c r="S610" s="3" t="n"/>
      <c r="T610" t="inlineStr"/>
      <c r="U610" s="3" t="n">
        <v>1</v>
      </c>
      <c r="V610" s="3" t="n"/>
      <c r="W610" s="3" t="n"/>
      <c r="X610" s="3" t="n"/>
      <c r="Y610" s="3" t="n"/>
      <c r="Z610" s="3" t="n">
        <v>0</v>
      </c>
      <c r="AA610" s="3" t="n"/>
      <c r="AB610" s="3" t="n"/>
      <c r="AC610" s="3" t="n">
        <v>3.5741</v>
      </c>
      <c r="AD610" s="3" t="n">
        <v>1.8319</v>
      </c>
      <c r="AE610" s="3" t="n">
        <v>-0.2735494569383802</v>
      </c>
      <c r="AF610" s="4" t="n">
        <v>0</v>
      </c>
      <c r="AG610" s="3" t="n">
        <v>0</v>
      </c>
      <c r="AH610" s="3" t="n">
        <v>0</v>
      </c>
      <c r="AI610" s="3" t="n">
        <v>0</v>
      </c>
      <c r="AJ610" s="3">
        <f>N(R610)*N(BC610)</f>
        <v/>
      </c>
      <c r="AK610" s="3" t="n">
        <v>0</v>
      </c>
      <c r="AL610" s="3" t="n">
        <v>0</v>
      </c>
      <c r="AM610" s="3" t="n">
        <v>-0</v>
      </c>
      <c r="AN610" s="3" t="n">
        <v>-0.2735494569383802</v>
      </c>
      <c r="AO610" s="3">
        <f>SUM(AH610:AN610)</f>
        <v/>
      </c>
      <c r="AP610" s="5">
        <f>IF(OR(N(Q610)&lt;=0,N(BA610)=0),0,N(Q610)*IF(N(M610)/N(Q610)&gt;=60,N(BA610),1))</f>
        <v/>
      </c>
      <c r="AQ610" s="5">
        <f>N(Q610)*N(Z610)*N(BB610)</f>
        <v/>
      </c>
      <c r="AR610" s="5">
        <f>N(AF610)*(Assumptions!$B$13*N(BD610)-(1-Assumptions!$B$13)*Assumptions!$B$14)+N(AG610)</f>
        <v/>
      </c>
      <c r="AS610" s="5">
        <f>N(AO610)*N(M610)/90+N(AP610)+N(AQ610)+N(AR610)</f>
        <v/>
      </c>
      <c r="AT610" s="3">
        <f>IF(N(M610)&lt;=0,0,(N(AS610)-N(AR610))*90/N(M610))</f>
        <v/>
      </c>
      <c r="AU610" s="5">
        <f>IFERROR(AS610-VLOOKUP($C610,Assumptions!$A$36:$C$39,3,FALSE),"")</f>
        <v/>
      </c>
      <c r="AV610" s="3">
        <f>IFERROR(AU610/F610,"")</f>
        <v/>
      </c>
      <c r="AW610">
        <f>IF(AND($E610=TRUE,$C610="GKP"),AS610,"")</f>
        <v/>
      </c>
      <c r="AX610">
        <f>IF(AND($E610=TRUE,$C610="DEF"),AS610,"")</f>
        <v/>
      </c>
      <c r="AY610">
        <f>IF(AND($E610=TRUE,$C610="MID"),AS610,"")</f>
        <v/>
      </c>
      <c r="AZ610">
        <f>IF(AND($E610=TRUE,$C610="FWD"),AS610,"")</f>
        <v/>
      </c>
      <c r="BA610" t="n">
        <v>2</v>
      </c>
      <c r="BB610" t="n">
        <v>2</v>
      </c>
      <c r="BC610" t="n">
        <v>0</v>
      </c>
      <c r="BD610" t="n">
        <v>4</v>
      </c>
    </row>
    <row r="611">
      <c r="A611" t="inlineStr">
        <is>
          <t>Shea Charles</t>
        </is>
      </c>
      <c r="B611" t="inlineStr">
        <is>
          <t>FUL</t>
        </is>
      </c>
      <c r="C611" t="inlineStr">
        <is>
          <t>MID</t>
        </is>
      </c>
      <c r="E611" t="b">
        <v>1</v>
      </c>
      <c r="F611" s="2" t="n">
        <v>5</v>
      </c>
      <c r="G611" t="inlineStr">
        <is>
          <t>a</t>
        </is>
      </c>
      <c r="I611" s="2" t="n"/>
      <c r="K611" s="3" t="n">
        <v>1305</v>
      </c>
      <c r="L611" t="inlineStr">
        <is>
          <t>flat</t>
        </is>
      </c>
      <c r="M611" s="4" t="n">
        <v>1305</v>
      </c>
      <c r="N611" t="inlineStr">
        <is>
          <t>Solio</t>
        </is>
      </c>
      <c r="O611" s="5" t="n">
        <v>85</v>
      </c>
      <c r="P611" t="b">
        <v>0</v>
      </c>
      <c r="Q611" s="5">
        <f>IF(N(O611)&lt;=0,0,MIN(Assumptions!$B$15,N(M611)/N(O611)))</f>
        <v/>
      </c>
      <c r="R611" s="4" t="n">
        <v>0.214</v>
      </c>
      <c r="S611" s="3" t="n"/>
      <c r="T611" t="inlineStr"/>
      <c r="U611" s="3" t="n">
        <v>1</v>
      </c>
      <c r="V611" s="3" t="n"/>
      <c r="W611" s="3" t="n"/>
      <c r="X611" s="3" t="n"/>
      <c r="Y611" s="3" t="n"/>
      <c r="Z611" s="3" t="n">
        <v>0</v>
      </c>
      <c r="AA611" s="3" t="n"/>
      <c r="AB611" s="3" t="n"/>
      <c r="AC611" s="3" t="n">
        <v>3.22</v>
      </c>
      <c r="AD611" s="3" t="n">
        <v>1.6019</v>
      </c>
      <c r="AE611" s="3" t="n">
        <v>-0.2160434166173144</v>
      </c>
      <c r="AF611" s="4" t="n">
        <v>0</v>
      </c>
      <c r="AG611" s="3" t="n">
        <v>0</v>
      </c>
      <c r="AH611" s="3" t="n">
        <v>0</v>
      </c>
      <c r="AI611" s="3" t="n">
        <v>0</v>
      </c>
      <c r="AJ611" s="3">
        <f>N(R611)*N(BC611)</f>
        <v/>
      </c>
      <c r="AK611" s="3" t="n">
        <v>0</v>
      </c>
      <c r="AL611" s="3" t="n">
        <v>0</v>
      </c>
      <c r="AM611" s="3" t="n">
        <v>-0</v>
      </c>
      <c r="AN611" s="3" t="n">
        <v>-0.2160434166173144</v>
      </c>
      <c r="AO611" s="3">
        <f>SUM(AH611:AN611)</f>
        <v/>
      </c>
      <c r="AP611" s="5">
        <f>IF(OR(N(Q611)&lt;=0,N(BA611)=0),0,N(Q611)*IF(N(M611)/N(Q611)&gt;=60,N(BA611),1))</f>
        <v/>
      </c>
      <c r="AQ611" s="5">
        <f>N(Q611)*N(Z611)*N(BB611)</f>
        <v/>
      </c>
      <c r="AR611" s="5">
        <f>N(AF611)*(Assumptions!$B$13*N(BD611)-(1-Assumptions!$B$13)*Assumptions!$B$14)+N(AG611)</f>
        <v/>
      </c>
      <c r="AS611" s="5">
        <f>N(AO611)*N(M611)/90+N(AP611)+N(AQ611)+N(AR611)</f>
        <v/>
      </c>
      <c r="AT611" s="3">
        <f>IF(N(M611)&lt;=0,0,(N(AS611)-N(AR611))*90/N(M611))</f>
        <v/>
      </c>
      <c r="AU611" s="5">
        <f>IFERROR(AS611-VLOOKUP($C611,Assumptions!$A$36:$C$39,3,FALSE),"")</f>
        <v/>
      </c>
      <c r="AV611" s="3">
        <f>IFERROR(AU611/F611,"")</f>
        <v/>
      </c>
      <c r="AW611">
        <f>IF(AND($E611=TRUE,$C611="GKP"),AS611,"")</f>
        <v/>
      </c>
      <c r="AX611">
        <f>IF(AND($E611=TRUE,$C611="DEF"),AS611,"")</f>
        <v/>
      </c>
      <c r="AY611">
        <f>IF(AND($E611=TRUE,$C611="MID"),AS611,"")</f>
        <v/>
      </c>
      <c r="AZ611">
        <f>IF(AND($E611=TRUE,$C611="FWD"),AS611,"")</f>
        <v/>
      </c>
      <c r="BA611" t="n">
        <v>2</v>
      </c>
      <c r="BB611" t="n">
        <v>2</v>
      </c>
      <c r="BC611" t="n">
        <v>1</v>
      </c>
      <c r="BD611" t="n">
        <v>5</v>
      </c>
    </row>
    <row r="612">
      <c r="A612" t="inlineStr">
        <is>
          <t>Harvey Davies</t>
        </is>
      </c>
      <c r="B612" t="inlineStr">
        <is>
          <t>LIV</t>
        </is>
      </c>
      <c r="C612" t="inlineStr">
        <is>
          <t>GKP</t>
        </is>
      </c>
      <c r="E612" t="b">
        <v>1</v>
      </c>
      <c r="F612" s="2" t="n">
        <v>4</v>
      </c>
      <c r="G612" t="inlineStr">
        <is>
          <t>a</t>
        </is>
      </c>
      <c r="I612" s="2" t="n"/>
      <c r="K612" s="3" t="n">
        <v>0</v>
      </c>
      <c r="L612" t="inlineStr">
        <is>
          <t>flat</t>
        </is>
      </c>
      <c r="M612" s="4" t="n">
        <v>0</v>
      </c>
      <c r="N612" t="inlineStr">
        <is>
          <t>Solio</t>
        </is>
      </c>
      <c r="O612" s="5" t="n">
        <v>85</v>
      </c>
      <c r="P612" t="b">
        <v>0</v>
      </c>
      <c r="Q612" s="5">
        <f>IF(N(O612)&lt;=0,0,MIN(Assumptions!$B$15,N(M612)/N(O612)))</f>
        <v/>
      </c>
      <c r="R612" s="4" t="n">
        <v>0.342</v>
      </c>
      <c r="S612" s="3" t="n"/>
      <c r="T612" t="inlineStr"/>
      <c r="U612" s="3" t="n">
        <v>1</v>
      </c>
      <c r="V612" s="3" t="n"/>
      <c r="W612" s="3" t="n"/>
      <c r="X612" s="3" t="n"/>
      <c r="Y612" s="3" t="n">
        <v>0</v>
      </c>
      <c r="Z612" s="3" t="n">
        <v>0</v>
      </c>
      <c r="AA612" s="3" t="n"/>
      <c r="AB612" s="3" t="n"/>
      <c r="AC612" s="3" t="n">
        <v>2.409</v>
      </c>
      <c r="AD612" s="3" t="n">
        <v>1.1228</v>
      </c>
      <c r="AE612" s="3" t="n">
        <v>-0.0763216474948735</v>
      </c>
      <c r="AF612" s="4" t="n">
        <v>0</v>
      </c>
      <c r="AG612" s="3" t="n">
        <v>0</v>
      </c>
      <c r="AH612" s="3" t="n">
        <v>0</v>
      </c>
      <c r="AI612" s="3" t="n">
        <v>0</v>
      </c>
      <c r="AJ612" s="3">
        <f>N(R612)*N(BC612)</f>
        <v/>
      </c>
      <c r="AK612" s="3" t="n">
        <v>0</v>
      </c>
      <c r="AL612" s="3" t="n">
        <v>0.4697511244203511</v>
      </c>
      <c r="AM612" s="3" t="n">
        <v>-0.3378660007281162</v>
      </c>
      <c r="AN612" s="3" t="n">
        <v>-0.0763216474948735</v>
      </c>
      <c r="AO612" s="3">
        <f>SUM(AH612:AN612)</f>
        <v/>
      </c>
      <c r="AP612" s="5">
        <f>IF(OR(N(Q612)&lt;=0,N(BA612)=0),0,N(Q612)*IF(N(M612)/N(Q612)&gt;=60,N(BA612),1))</f>
        <v/>
      </c>
      <c r="AQ612" s="5">
        <f>N(Q612)*N(Z612)*N(BB612)</f>
        <v/>
      </c>
      <c r="AR612" s="5">
        <f>N(AF612)*(Assumptions!$B$13*N(BD612)-(1-Assumptions!$B$13)*Assumptions!$B$14)+N(AG612)</f>
        <v/>
      </c>
      <c r="AS612" s="5">
        <f>N(AO612)*N(M612)/90+N(AP612)+N(AQ612)+N(AR612)</f>
        <v/>
      </c>
      <c r="AT612" s="3">
        <f>IF(N(M612)&lt;=0,0,(N(AS612)-N(AR612))*90/N(M612))</f>
        <v/>
      </c>
      <c r="AU612" s="5">
        <f>IFERROR(AS612-VLOOKUP($C612,Assumptions!$A$36:$C$39,3,FALSE),"")</f>
        <v/>
      </c>
      <c r="AV612" s="3">
        <f>IFERROR(AU612/F612,"")</f>
        <v/>
      </c>
      <c r="AW612">
        <f>IF(AND($E612=TRUE,$C612="GKP"),AS612,"")</f>
        <v/>
      </c>
      <c r="AX612">
        <f>IF(AND($E612=TRUE,$C612="DEF"),AS612,"")</f>
        <v/>
      </c>
      <c r="AY612">
        <f>IF(AND($E612=TRUE,$C612="MID"),AS612,"")</f>
        <v/>
      </c>
      <c r="AZ612">
        <f>IF(AND($E612=TRUE,$C612="FWD"),AS612,"")</f>
        <v/>
      </c>
      <c r="BA612" t="n">
        <v>2</v>
      </c>
      <c r="BB612" t="n">
        <v>0</v>
      </c>
      <c r="BC612" t="n">
        <v>4</v>
      </c>
      <c r="BD612" t="n">
        <v>10</v>
      </c>
    </row>
    <row r="613">
      <c r="A613" t="inlineStr">
        <is>
          <t>Kaine Kesler-Hayden</t>
        </is>
      </c>
      <c r="B613" t="inlineStr">
        <is>
          <t>COV</t>
        </is>
      </c>
      <c r="C613" t="inlineStr">
        <is>
          <t>DEF</t>
        </is>
      </c>
      <c r="E613" t="b">
        <v>1</v>
      </c>
      <c r="F613" s="2" t="n">
        <v>4</v>
      </c>
      <c r="G613" t="inlineStr">
        <is>
          <t>a</t>
        </is>
      </c>
      <c r="I613" s="2" t="n"/>
      <c r="K613" s="3" t="n">
        <v>253</v>
      </c>
      <c r="L613" t="inlineStr">
        <is>
          <t>flat</t>
        </is>
      </c>
      <c r="M613" s="4" t="n">
        <v>253</v>
      </c>
      <c r="N613" t="inlineStr">
        <is>
          <t>Solio</t>
        </is>
      </c>
      <c r="O613" s="5" t="n">
        <v>85</v>
      </c>
      <c r="P613" t="b">
        <v>0</v>
      </c>
      <c r="Q613" s="5">
        <f>IF(N(O613)&lt;=0,0,MIN(Assumptions!$B$15,N(M613)/N(O613)))</f>
        <v/>
      </c>
      <c r="R613" s="4" t="n">
        <v>0.17</v>
      </c>
      <c r="S613" s="3" t="n"/>
      <c r="T613" t="inlineStr"/>
      <c r="U613" s="3" t="n">
        <v>1</v>
      </c>
      <c r="V613" s="3" t="n"/>
      <c r="W613" s="3" t="n"/>
      <c r="X613" s="3" t="n"/>
      <c r="Y613" s="3" t="n"/>
      <c r="Z613" s="3" t="n">
        <v>0</v>
      </c>
      <c r="AA613" s="3" t="n"/>
      <c r="AB613" s="3" t="n"/>
      <c r="AC613" s="3" t="n">
        <v>3.6194</v>
      </c>
      <c r="AD613" s="3" t="n">
        <v>1.8271</v>
      </c>
      <c r="AE613" s="3" t="n">
        <v>-0.2042683792492344</v>
      </c>
      <c r="AF613" s="4" t="n">
        <v>0</v>
      </c>
      <c r="AG613" s="3" t="n">
        <v>0</v>
      </c>
      <c r="AH613" s="3" t="n">
        <v>0</v>
      </c>
      <c r="AI613" s="3" t="n">
        <v>0</v>
      </c>
      <c r="AJ613" s="3">
        <f>N(R613)*N(BC613)</f>
        <v/>
      </c>
      <c r="AK613" s="3" t="n">
        <v>0</v>
      </c>
      <c r="AL613" s="3" t="n">
        <v>0</v>
      </c>
      <c r="AM613" s="3" t="n">
        <v>-0.670020548738316</v>
      </c>
      <c r="AN613" s="3" t="n">
        <v>-0.2042683792492344</v>
      </c>
      <c r="AO613" s="3">
        <f>SUM(AH613:AN613)</f>
        <v/>
      </c>
      <c r="AP613" s="5">
        <f>IF(OR(N(Q613)&lt;=0,N(BA613)=0),0,N(Q613)*IF(N(M613)/N(Q613)&gt;=60,N(BA613),1))</f>
        <v/>
      </c>
      <c r="AQ613" s="5">
        <f>N(Q613)*N(Z613)*N(BB613)</f>
        <v/>
      </c>
      <c r="AR613" s="5">
        <f>N(AF613)*(Assumptions!$B$13*N(BD613)-(1-Assumptions!$B$13)*Assumptions!$B$14)+N(AG613)</f>
        <v/>
      </c>
      <c r="AS613" s="5">
        <f>N(AO613)*N(M613)/90+N(AP613)+N(AQ613)+N(AR613)</f>
        <v/>
      </c>
      <c r="AT613" s="3">
        <f>IF(N(M613)&lt;=0,0,(N(AS613)-N(AR613))*90/N(M613))</f>
        <v/>
      </c>
      <c r="AU613" s="5">
        <f>IFERROR(AS613-VLOOKUP($C613,Assumptions!$A$36:$C$39,3,FALSE),"")</f>
        <v/>
      </c>
      <c r="AV613" s="3">
        <f>IFERROR(AU613/F613,"")</f>
        <v/>
      </c>
      <c r="AW613">
        <f>IF(AND($E613=TRUE,$C613="GKP"),AS613,"")</f>
        <v/>
      </c>
      <c r="AX613">
        <f>IF(AND($E613=TRUE,$C613="DEF"),AS613,"")</f>
        <v/>
      </c>
      <c r="AY613">
        <f>IF(AND($E613=TRUE,$C613="MID"),AS613,"")</f>
        <v/>
      </c>
      <c r="AZ613">
        <f>IF(AND($E613=TRUE,$C613="FWD"),AS613,"")</f>
        <v/>
      </c>
      <c r="BA613" t="n">
        <v>2</v>
      </c>
      <c r="BB613" t="n">
        <v>2</v>
      </c>
      <c r="BC613" t="n">
        <v>4</v>
      </c>
      <c r="BD613" t="n">
        <v>6</v>
      </c>
    </row>
    <row r="614">
      <c r="A614" t="inlineStr">
        <is>
          <t>Eliot Matazo</t>
        </is>
      </c>
      <c r="B614" t="inlineStr">
        <is>
          <t>HUL</t>
        </is>
      </c>
      <c r="C614" t="inlineStr">
        <is>
          <t>MID</t>
        </is>
      </c>
      <c r="E614" t="b">
        <v>1</v>
      </c>
      <c r="F614" s="2" t="n">
        <v>4.5</v>
      </c>
      <c r="G614" t="inlineStr">
        <is>
          <t>i</t>
        </is>
      </c>
      <c r="H614" t="inlineStr">
        <is>
          <t>Knee injury - Unknown return date</t>
        </is>
      </c>
      <c r="I614" s="2" t="n"/>
      <c r="K614" s="3" t="n">
        <v>0</v>
      </c>
      <c r="L614" t="inlineStr">
        <is>
          <t>flat</t>
        </is>
      </c>
      <c r="M614" s="4" t="n">
        <v>0</v>
      </c>
      <c r="N614" t="inlineStr">
        <is>
          <t>Solio</t>
        </is>
      </c>
      <c r="O614" s="5" t="n">
        <v>85</v>
      </c>
      <c r="P614" t="b">
        <v>0</v>
      </c>
      <c r="Q614" s="5">
        <f>IF(N(O614)&lt;=0,0,MIN(Assumptions!$B$15,N(M614)/N(O614)))</f>
        <v/>
      </c>
      <c r="R614" s="4" t="n">
        <v>0.143</v>
      </c>
      <c r="S614" s="3" t="n"/>
      <c r="T614" t="inlineStr"/>
      <c r="U614" s="3" t="n">
        <v>1</v>
      </c>
      <c r="V614" s="3" t="n"/>
      <c r="W614" s="3" t="n"/>
      <c r="X614" s="3" t="n"/>
      <c r="Y614" s="3" t="n"/>
      <c r="Z614" s="3" t="n">
        <v>0</v>
      </c>
      <c r="AA614" s="3" t="n"/>
      <c r="AB614" s="3" t="n"/>
      <c r="AC614" s="3" t="n">
        <v>3.9421</v>
      </c>
      <c r="AD614" s="3" t="n">
        <v>1.99</v>
      </c>
      <c r="AE614" s="3" t="n">
        <v>-0.2160434166173144</v>
      </c>
      <c r="AF614" s="4" t="n">
        <v>0</v>
      </c>
      <c r="AG614" s="3" t="n">
        <v>0</v>
      </c>
      <c r="AH614" s="3" t="n">
        <v>0</v>
      </c>
      <c r="AI614" s="3" t="n">
        <v>0</v>
      </c>
      <c r="AJ614" s="3">
        <f>N(R614)*N(BC614)</f>
        <v/>
      </c>
      <c r="AK614" s="3" t="n">
        <v>0</v>
      </c>
      <c r="AL614" s="3" t="n">
        <v>0</v>
      </c>
      <c r="AM614" s="3" t="n">
        <v>-0</v>
      </c>
      <c r="AN614" s="3" t="n">
        <v>-0.2160434166173144</v>
      </c>
      <c r="AO614" s="3">
        <f>SUM(AH614:AN614)</f>
        <v/>
      </c>
      <c r="AP614" s="5">
        <f>IF(OR(N(Q614)&lt;=0,N(BA614)=0),0,N(Q614)*IF(N(M614)/N(Q614)&gt;=60,N(BA614),1))</f>
        <v/>
      </c>
      <c r="AQ614" s="5">
        <f>N(Q614)*N(Z614)*N(BB614)</f>
        <v/>
      </c>
      <c r="AR614" s="5">
        <f>N(AF614)*(Assumptions!$B$13*N(BD614)-(1-Assumptions!$B$13)*Assumptions!$B$14)+N(AG614)</f>
        <v/>
      </c>
      <c r="AS614" s="5">
        <f>N(AO614)*N(M614)/90+N(AP614)+N(AQ614)+N(AR614)</f>
        <v/>
      </c>
      <c r="AT614" s="3">
        <f>IF(N(M614)&lt;=0,0,(N(AS614)-N(AR614))*90/N(M614))</f>
        <v/>
      </c>
      <c r="AU614" s="5">
        <f>IFERROR(AS614-VLOOKUP($C614,Assumptions!$A$36:$C$39,3,FALSE),"")</f>
        <v/>
      </c>
      <c r="AV614" s="3">
        <f>IFERROR(AU614/F614,"")</f>
        <v/>
      </c>
      <c r="AW614">
        <f>IF(AND($E614=TRUE,$C614="GKP"),AS614,"")</f>
        <v/>
      </c>
      <c r="AX614">
        <f>IF(AND($E614=TRUE,$C614="DEF"),AS614,"")</f>
        <v/>
      </c>
      <c r="AY614">
        <f>IF(AND($E614=TRUE,$C614="MID"),AS614,"")</f>
        <v/>
      </c>
      <c r="AZ614">
        <f>IF(AND($E614=TRUE,$C614="FWD"),AS614,"")</f>
        <v/>
      </c>
      <c r="BA614" t="n">
        <v>2</v>
      </c>
      <c r="BB614" t="n">
        <v>2</v>
      </c>
      <c r="BC614" t="n">
        <v>1</v>
      </c>
      <c r="BD614" t="n">
        <v>5</v>
      </c>
    </row>
    <row r="615">
      <c r="A615" t="inlineStr">
        <is>
          <t>Hannibal Mejbri</t>
        </is>
      </c>
      <c r="D615" t="inlineStr">
        <is>
          <t>MID</t>
        </is>
      </c>
      <c r="E615" t="b">
        <v>0</v>
      </c>
      <c r="F615" s="2" t="n"/>
      <c r="I615" s="2" t="n">
        <v>1231</v>
      </c>
      <c r="K615" s="3" t="n"/>
      <c r="M615" s="4" t="n">
        <v>1231</v>
      </c>
      <c r="N615" t="inlineStr">
        <is>
          <t>25/26 actual</t>
        </is>
      </c>
      <c r="O615" s="5" t="n">
        <v>69.90000000000001</v>
      </c>
      <c r="P615" t="b">
        <v>1</v>
      </c>
      <c r="Q615" s="5">
        <f>IF(N(O615)&lt;=0,0,MIN(Assumptions!$B$15,N(M615)/N(O615)))</f>
        <v/>
      </c>
      <c r="R615" s="4" t="n"/>
      <c r="S615" s="3" t="n">
        <v>0.06619999999999999</v>
      </c>
      <c r="T615" t="inlineStr">
        <is>
          <t>adjusted xGOT</t>
        </is>
      </c>
      <c r="U615" s="3" t="n">
        <v>1</v>
      </c>
      <c r="V615" s="3" t="n">
        <v>0.996</v>
      </c>
      <c r="W615" s="3" t="n">
        <v>0.9</v>
      </c>
      <c r="X615" s="3" t="n">
        <v>0.2075</v>
      </c>
      <c r="Y615" s="3" t="n">
        <v>8.337</v>
      </c>
      <c r="Z615" s="3" t="n">
        <v>0</v>
      </c>
      <c r="AA615" s="3" t="n">
        <v>0.2924</v>
      </c>
      <c r="AB615" s="3" t="n">
        <v>39</v>
      </c>
      <c r="AC615" s="3" t="n"/>
      <c r="AD615" s="3" t="n"/>
      <c r="AE615" s="3" t="n"/>
      <c r="AF615" s="4" t="n">
        <v>0</v>
      </c>
      <c r="AG615" s="3" t="n">
        <v>0</v>
      </c>
      <c r="AH615" s="3" t="n">
        <v>0</v>
      </c>
      <c r="AI615" s="3" t="n">
        <v>0</v>
      </c>
      <c r="AJ615" s="3">
        <f>N(R615)*N(BC615)</f>
        <v/>
      </c>
      <c r="AK615" s="3" t="n">
        <v>0</v>
      </c>
      <c r="AL615" s="3" t="n">
        <v>0</v>
      </c>
      <c r="AM615" s="3" t="n">
        <v>0</v>
      </c>
      <c r="AN615" s="3" t="n">
        <v>0</v>
      </c>
      <c r="AO615" s="3">
        <f>SUM(AH615:AN615)</f>
        <v/>
      </c>
      <c r="AP615" s="5">
        <f>IF(OR(N(Q615)&lt;=0,N(BA615)=0),0,N(Q615)*IF(N(M615)/N(Q615)&gt;=60,N(BA615),1))</f>
        <v/>
      </c>
      <c r="AQ615" s="5">
        <f>N(Q615)*N(Z615)*N(BB615)</f>
        <v/>
      </c>
      <c r="AR615" s="5">
        <f>N(AF615)*(Assumptions!$B$13*N(BD615)-(1-Assumptions!$B$13)*Assumptions!$B$14)+N(AG615)</f>
        <v/>
      </c>
      <c r="AS615" s="5">
        <f>N(AO615)*N(M615)/90+N(AP615)+N(AQ615)+N(AR615)</f>
        <v/>
      </c>
      <c r="AT615" s="3">
        <f>IF(N(M615)&lt;=0,0,(N(AS615)-N(AR615))*90/N(M615))</f>
        <v/>
      </c>
      <c r="AU615" s="5">
        <f>IFERROR(AS615-VLOOKUP($C615,Assumptions!$A$36:$C$39,3,FALSE),"")</f>
        <v/>
      </c>
      <c r="AV615" s="3">
        <f>IFERROR(AU615/F615,"")</f>
        <v/>
      </c>
      <c r="AW615">
        <f>IF(AND($E615=TRUE,$C615="GKP"),AS615,"")</f>
        <v/>
      </c>
      <c r="AX615">
        <f>IF(AND($E615=TRUE,$C615="DEF"),AS615,"")</f>
        <v/>
      </c>
      <c r="AY615">
        <f>IF(AND($E615=TRUE,$C615="MID"),AS615,"")</f>
        <v/>
      </c>
      <c r="AZ615">
        <f>IF(AND($E615=TRUE,$C615="FWD"),AS615,"")</f>
        <v/>
      </c>
      <c r="BA615" t="n">
        <v>0</v>
      </c>
      <c r="BB615" t="n">
        <v>0</v>
      </c>
      <c r="BC615" t="n">
        <v>0</v>
      </c>
      <c r="BD615" t="n">
        <v>0</v>
      </c>
    </row>
    <row r="616">
      <c r="A616" t="inlineStr">
        <is>
          <t>Mads Hermansen</t>
        </is>
      </c>
      <c r="D616" t="inlineStr">
        <is>
          <t>GKP</t>
        </is>
      </c>
      <c r="E616" t="b">
        <v>0</v>
      </c>
      <c r="F616" s="2" t="n"/>
      <c r="I616" s="2" t="n">
        <v>1620</v>
      </c>
      <c r="K616" s="3" t="n"/>
      <c r="M616" s="4" t="n">
        <v>1620</v>
      </c>
      <c r="N616" t="inlineStr">
        <is>
          <t>25/26 actual</t>
        </is>
      </c>
      <c r="O616" s="5" t="n">
        <v>90</v>
      </c>
      <c r="P616" t="b">
        <v>1</v>
      </c>
      <c r="Q616" s="5">
        <f>IF(N(O616)&lt;=0,0,MIN(Assumptions!$B$15,N(M616)/N(O616)))</f>
        <v/>
      </c>
      <c r="R616" s="4" t="n"/>
      <c r="S616" s="3" t="n">
        <v>0</v>
      </c>
      <c r="T616" t="inlineStr">
        <is>
          <t>blended xG</t>
        </is>
      </c>
      <c r="U616" s="3" t="n">
        <v>1</v>
      </c>
      <c r="V616" s="3" t="n">
        <v>1</v>
      </c>
      <c r="W616" s="3" t="n">
        <v>0</v>
      </c>
      <c r="X616" s="3" t="n">
        <v>0.0021</v>
      </c>
      <c r="Y616" s="3" t="n">
        <v>0</v>
      </c>
      <c r="Z616" s="3" t="n">
        <v>0</v>
      </c>
      <c r="AA616" s="3" t="n">
        <v>0.4444</v>
      </c>
      <c r="AB616" s="3" t="n">
        <v>36</v>
      </c>
      <c r="AC616" s="3" t="n"/>
      <c r="AD616" s="3" t="n"/>
      <c r="AE616" s="3" t="n"/>
      <c r="AF616" s="4" t="n">
        <v>0</v>
      </c>
      <c r="AG616" s="3" t="n">
        <v>0</v>
      </c>
      <c r="AH616" s="3" t="n">
        <v>0</v>
      </c>
      <c r="AI616" s="3" t="n">
        <v>0</v>
      </c>
      <c r="AJ616" s="3">
        <f>N(R616)*N(BC616)</f>
        <v/>
      </c>
      <c r="AK616" s="3" t="n">
        <v>0</v>
      </c>
      <c r="AL616" s="3" t="n">
        <v>0</v>
      </c>
      <c r="AM616" s="3" t="n">
        <v>0</v>
      </c>
      <c r="AN616" s="3" t="n">
        <v>0</v>
      </c>
      <c r="AO616" s="3">
        <f>SUM(AH616:AN616)</f>
        <v/>
      </c>
      <c r="AP616" s="5">
        <f>IF(OR(N(Q616)&lt;=0,N(BA616)=0),0,N(Q616)*IF(N(M616)/N(Q616)&gt;=60,N(BA616),1))</f>
        <v/>
      </c>
      <c r="AQ616" s="5">
        <f>N(Q616)*N(Z616)*N(BB616)</f>
        <v/>
      </c>
      <c r="AR616" s="5">
        <f>N(AF616)*(Assumptions!$B$13*N(BD616)-(1-Assumptions!$B$13)*Assumptions!$B$14)+N(AG616)</f>
        <v/>
      </c>
      <c r="AS616" s="5">
        <f>N(AO616)*N(M616)/90+N(AP616)+N(AQ616)+N(AR616)</f>
        <v/>
      </c>
      <c r="AT616" s="3">
        <f>IF(N(M616)&lt;=0,0,(N(AS616)-N(AR616))*90/N(M616))</f>
        <v/>
      </c>
      <c r="AU616" s="5">
        <f>IFERROR(AS616-VLOOKUP($C616,Assumptions!$A$36:$C$39,3,FALSE),"")</f>
        <v/>
      </c>
      <c r="AV616" s="3">
        <f>IFERROR(AU616/F616,"")</f>
        <v/>
      </c>
      <c r="AW616">
        <f>IF(AND($E616=TRUE,$C616="GKP"),AS616,"")</f>
        <v/>
      </c>
      <c r="AX616">
        <f>IF(AND($E616=TRUE,$C616="DEF"),AS616,"")</f>
        <v/>
      </c>
      <c r="AY616">
        <f>IF(AND($E616=TRUE,$C616="MID"),AS616,"")</f>
        <v/>
      </c>
      <c r="AZ616">
        <f>IF(AND($E616=TRUE,$C616="FWD"),AS616,"")</f>
        <v/>
      </c>
      <c r="BA616" t="n">
        <v>0</v>
      </c>
      <c r="BB616" t="n">
        <v>0</v>
      </c>
      <c r="BC616" t="n">
        <v>0</v>
      </c>
      <c r="BD616" t="n">
        <v>0</v>
      </c>
    </row>
    <row r="617">
      <c r="A617" t="inlineStr">
        <is>
          <t>Lorenzo Lucca</t>
        </is>
      </c>
      <c r="D617" t="inlineStr">
        <is>
          <t>FWD</t>
        </is>
      </c>
      <c r="E617" t="b">
        <v>0</v>
      </c>
      <c r="F617" s="2" t="n"/>
      <c r="I617" s="2" t="n">
        <v>127</v>
      </c>
      <c r="K617" s="3" t="n"/>
      <c r="M617" s="4" t="n">
        <v>127</v>
      </c>
      <c r="N617" t="inlineStr">
        <is>
          <t>25/26 actual</t>
        </is>
      </c>
      <c r="O617" s="5" t="n">
        <v>70</v>
      </c>
      <c r="P617" t="b">
        <v>1</v>
      </c>
      <c r="Q617" s="5">
        <f>IF(N(O617)&lt;=0,0,MIN(Assumptions!$B$15,N(M617)/N(O617)))</f>
        <v/>
      </c>
      <c r="R617" s="4" t="n"/>
      <c r="S617" s="3" t="n">
        <v>0.5223</v>
      </c>
      <c r="T617" t="inlineStr">
        <is>
          <t>adjusted xGOT</t>
        </is>
      </c>
      <c r="U617" s="3" t="n">
        <v>1</v>
      </c>
      <c r="V617" s="3" t="n">
        <v>0.9330000000000001</v>
      </c>
      <c r="W617" s="3" t="n">
        <v>0.8</v>
      </c>
      <c r="X617" s="3" t="n">
        <v>0.026</v>
      </c>
      <c r="Y617" s="3" t="n">
        <v>4.824</v>
      </c>
      <c r="Z617" s="3" t="n">
        <v>0</v>
      </c>
      <c r="AA617" s="3" t="n">
        <v>0</v>
      </c>
      <c r="AB617" s="3" t="n">
        <v>5</v>
      </c>
      <c r="AC617" s="3" t="n"/>
      <c r="AD617" s="3" t="n"/>
      <c r="AE617" s="3" t="n"/>
      <c r="AF617" s="4" t="n">
        <v>0</v>
      </c>
      <c r="AG617" s="3" t="n">
        <v>0</v>
      </c>
      <c r="AH617" s="3" t="n">
        <v>0</v>
      </c>
      <c r="AI617" s="3" t="n">
        <v>0</v>
      </c>
      <c r="AJ617" s="3">
        <f>N(R617)*N(BC617)</f>
        <v/>
      </c>
      <c r="AK617" s="3" t="n">
        <v>0</v>
      </c>
      <c r="AL617" s="3" t="n">
        <v>0</v>
      </c>
      <c r="AM617" s="3" t="n">
        <v>0</v>
      </c>
      <c r="AN617" s="3" t="n">
        <v>0</v>
      </c>
      <c r="AO617" s="3">
        <f>SUM(AH617:AN617)</f>
        <v/>
      </c>
      <c r="AP617" s="5">
        <f>IF(OR(N(Q617)&lt;=0,N(BA617)=0),0,N(Q617)*IF(N(M617)/N(Q617)&gt;=60,N(BA617),1))</f>
        <v/>
      </c>
      <c r="AQ617" s="5">
        <f>N(Q617)*N(Z617)*N(BB617)</f>
        <v/>
      </c>
      <c r="AR617" s="5">
        <f>N(AF617)*(Assumptions!$B$13*N(BD617)-(1-Assumptions!$B$13)*Assumptions!$B$14)+N(AG617)</f>
        <v/>
      </c>
      <c r="AS617" s="5">
        <f>N(AO617)*N(M617)/90+N(AP617)+N(AQ617)+N(AR617)</f>
        <v/>
      </c>
      <c r="AT617" s="3">
        <f>IF(N(M617)&lt;=0,0,(N(AS617)-N(AR617))*90/N(M617))</f>
        <v/>
      </c>
      <c r="AU617" s="5">
        <f>IFERROR(AS617-VLOOKUP($C617,Assumptions!$A$36:$C$39,3,FALSE),"")</f>
        <v/>
      </c>
      <c r="AV617" s="3">
        <f>IFERROR(AU617/F617,"")</f>
        <v/>
      </c>
      <c r="AW617">
        <f>IF(AND($E617=TRUE,$C617="GKP"),AS617,"")</f>
        <v/>
      </c>
      <c r="AX617">
        <f>IF(AND($E617=TRUE,$C617="DEF"),AS617,"")</f>
        <v/>
      </c>
      <c r="AY617">
        <f>IF(AND($E617=TRUE,$C617="MID"),AS617,"")</f>
        <v/>
      </c>
      <c r="AZ617">
        <f>IF(AND($E617=TRUE,$C617="FWD"),AS617,"")</f>
        <v/>
      </c>
      <c r="BA617" t="n">
        <v>0</v>
      </c>
      <c r="BB617" t="n">
        <v>0</v>
      </c>
      <c r="BC617" t="n">
        <v>0</v>
      </c>
      <c r="BD617" t="n">
        <v>0</v>
      </c>
    </row>
    <row r="618">
      <c r="A618" t="inlineStr">
        <is>
          <t>Lukás Hornícek</t>
        </is>
      </c>
      <c r="B618" t="inlineStr">
        <is>
          <t>NEW</t>
        </is>
      </c>
      <c r="C618" t="inlineStr">
        <is>
          <t>GKP</t>
        </is>
      </c>
      <c r="E618" t="b">
        <v>1</v>
      </c>
      <c r="F618" s="2" t="n">
        <v>5</v>
      </c>
      <c r="G618" t="inlineStr">
        <is>
          <t>a</t>
        </is>
      </c>
      <c r="I618" s="2" t="n"/>
      <c r="K618" s="3" t="n">
        <v>3374</v>
      </c>
      <c r="L618" t="inlineStr">
        <is>
          <t>flat</t>
        </is>
      </c>
      <c r="M618" s="4" t="n">
        <v>3374</v>
      </c>
      <c r="N618" t="inlineStr">
        <is>
          <t>Solio</t>
        </is>
      </c>
      <c r="O618" s="5" t="n">
        <v>85</v>
      </c>
      <c r="P618" t="b">
        <v>0</v>
      </c>
      <c r="Q618" s="5">
        <f>IF(N(O618)&lt;=0,0,MIN(Assumptions!$B$15,N(M618)/N(O618)))</f>
        <v/>
      </c>
      <c r="R618" s="4" t="n">
        <v>0.248</v>
      </c>
      <c r="S618" s="3" t="n"/>
      <c r="T618" t="inlineStr"/>
      <c r="U618" s="3" t="n">
        <v>1</v>
      </c>
      <c r="V618" s="3" t="n"/>
      <c r="W618" s="3" t="n"/>
      <c r="X618" s="3" t="n"/>
      <c r="Y618" s="3" t="n">
        <v>0</v>
      </c>
      <c r="Z618" s="3" t="n">
        <v>0</v>
      </c>
      <c r="AA618" s="3" t="n"/>
      <c r="AB618" s="3" t="n"/>
      <c r="AC618" s="3" t="n">
        <v>3.0912</v>
      </c>
      <c r="AD618" s="3" t="n">
        <v>1.4534</v>
      </c>
      <c r="AE618" s="3" t="n">
        <v>-0.0763216474948735</v>
      </c>
      <c r="AF618" s="4" t="n">
        <v>0</v>
      </c>
      <c r="AG618" s="3" t="n">
        <v>3.061003533120678</v>
      </c>
      <c r="AH618" s="3" t="n">
        <v>0</v>
      </c>
      <c r="AI618" s="3" t="n">
        <v>0</v>
      </c>
      <c r="AJ618" s="3">
        <f>N(R618)*N(BC618)</f>
        <v/>
      </c>
      <c r="AK618" s="3" t="n">
        <v>0</v>
      </c>
      <c r="AL618" s="3" t="n">
        <v>0.6950146973483665</v>
      </c>
      <c r="AM618" s="3" t="n">
        <v>-0.4903625828545308</v>
      </c>
      <c r="AN618" s="3" t="n">
        <v>-0.0763216474948735</v>
      </c>
      <c r="AO618" s="3">
        <f>SUM(AH618:AN618)</f>
        <v/>
      </c>
      <c r="AP618" s="5">
        <f>IF(OR(N(Q618)&lt;=0,N(BA618)=0),0,N(Q618)*IF(N(M618)/N(Q618)&gt;=60,N(BA618),1))</f>
        <v/>
      </c>
      <c r="AQ618" s="5">
        <f>N(Q618)*N(Z618)*N(BB618)</f>
        <v/>
      </c>
      <c r="AR618" s="5">
        <f>N(AF618)*(Assumptions!$B$13*N(BD618)-(1-Assumptions!$B$13)*Assumptions!$B$14)+N(AG618)</f>
        <v/>
      </c>
      <c r="AS618" s="5">
        <f>N(AO618)*N(M618)/90+N(AP618)+N(AQ618)+N(AR618)</f>
        <v/>
      </c>
      <c r="AT618" s="3">
        <f>IF(N(M618)&lt;=0,0,(N(AS618)-N(AR618))*90/N(M618))</f>
        <v/>
      </c>
      <c r="AU618" s="5">
        <f>IFERROR(AS618-VLOOKUP($C618,Assumptions!$A$36:$C$39,3,FALSE),"")</f>
        <v/>
      </c>
      <c r="AV618" s="3">
        <f>IFERROR(AU618/F618,"")</f>
        <v/>
      </c>
      <c r="AW618">
        <f>IF(AND($E618=TRUE,$C618="GKP"),AS618,"")</f>
        <v/>
      </c>
      <c r="AX618">
        <f>IF(AND($E618=TRUE,$C618="DEF"),AS618,"")</f>
        <v/>
      </c>
      <c r="AY618">
        <f>IF(AND($E618=TRUE,$C618="MID"),AS618,"")</f>
        <v/>
      </c>
      <c r="AZ618">
        <f>IF(AND($E618=TRUE,$C618="FWD"),AS618,"")</f>
        <v/>
      </c>
      <c r="BA618" t="n">
        <v>2</v>
      </c>
      <c r="BB618" t="n">
        <v>0</v>
      </c>
      <c r="BC618" t="n">
        <v>4</v>
      </c>
      <c r="BD618" t="n">
        <v>10</v>
      </c>
    </row>
    <row r="619">
      <c r="A619" t="inlineStr">
        <is>
          <t>Konstantinos Tzolakis</t>
        </is>
      </c>
      <c r="B619" t="inlineStr">
        <is>
          <t>HUL</t>
        </is>
      </c>
      <c r="C619" t="inlineStr">
        <is>
          <t>GKP</t>
        </is>
      </c>
      <c r="E619" t="b">
        <v>1</v>
      </c>
      <c r="F619" s="2" t="n">
        <v>4.5</v>
      </c>
      <c r="G619" t="inlineStr">
        <is>
          <t>a</t>
        </is>
      </c>
      <c r="I619" s="2" t="n"/>
      <c r="K619" s="3" t="n">
        <v>3385</v>
      </c>
      <c r="L619" t="inlineStr">
        <is>
          <t>flat</t>
        </is>
      </c>
      <c r="M619" s="4" t="n">
        <v>3385</v>
      </c>
      <c r="N619" t="inlineStr">
        <is>
          <t>Solio</t>
        </is>
      </c>
      <c r="O619" s="5" t="n">
        <v>85</v>
      </c>
      <c r="P619" t="b">
        <v>0</v>
      </c>
      <c r="Q619" s="5">
        <f>IF(N(O619)&lt;=0,0,MIN(Assumptions!$B$15,N(M619)/N(O619)))</f>
        <v/>
      </c>
      <c r="R619" s="4" t="n">
        <v>0.143</v>
      </c>
      <c r="S619" s="3" t="n"/>
      <c r="T619" t="inlineStr"/>
      <c r="U619" s="3" t="n">
        <v>1</v>
      </c>
      <c r="V619" s="3" t="n"/>
      <c r="W619" s="3" t="n"/>
      <c r="X619" s="3" t="n"/>
      <c r="Y619" s="3" t="n">
        <v>0</v>
      </c>
      <c r="Z619" s="3" t="n">
        <v>0</v>
      </c>
      <c r="AA619" s="3" t="n"/>
      <c r="AB619" s="3" t="n"/>
      <c r="AC619" s="3" t="n">
        <v>3.9421</v>
      </c>
      <c r="AD619" s="3" t="n">
        <v>1.99</v>
      </c>
      <c r="AE619" s="3" t="n">
        <v>-0.0763216474948735</v>
      </c>
      <c r="AF619" s="4" t="n">
        <v>0</v>
      </c>
      <c r="AG619" s="3" t="n">
        <v>4.204835782491481</v>
      </c>
      <c r="AH619" s="3" t="n">
        <v>0</v>
      </c>
      <c r="AI619" s="3" t="n">
        <v>0</v>
      </c>
      <c r="AJ619" s="3">
        <f>N(R619)*N(BC619)</f>
        <v/>
      </c>
      <c r="AK619" s="3" t="n">
        <v>0</v>
      </c>
      <c r="AL619" s="3" t="n">
        <v>0.979692031005534</v>
      </c>
      <c r="AM619" s="3" t="n">
        <v>-0.7496714098286652</v>
      </c>
      <c r="AN619" s="3" t="n">
        <v>-0.0763216474948735</v>
      </c>
      <c r="AO619" s="3">
        <f>SUM(AH619:AN619)</f>
        <v/>
      </c>
      <c r="AP619" s="5">
        <f>IF(OR(N(Q619)&lt;=0,N(BA619)=0),0,N(Q619)*IF(N(M619)/N(Q619)&gt;=60,N(BA619),1))</f>
        <v/>
      </c>
      <c r="AQ619" s="5">
        <f>N(Q619)*N(Z619)*N(BB619)</f>
        <v/>
      </c>
      <c r="AR619" s="5">
        <f>N(AF619)*(Assumptions!$B$13*N(BD619)-(1-Assumptions!$B$13)*Assumptions!$B$14)+N(AG619)</f>
        <v/>
      </c>
      <c r="AS619" s="5">
        <f>N(AO619)*N(M619)/90+N(AP619)+N(AQ619)+N(AR619)</f>
        <v/>
      </c>
      <c r="AT619" s="3">
        <f>IF(N(M619)&lt;=0,0,(N(AS619)-N(AR619))*90/N(M619))</f>
        <v/>
      </c>
      <c r="AU619" s="5">
        <f>IFERROR(AS619-VLOOKUP($C619,Assumptions!$A$36:$C$39,3,FALSE),"")</f>
        <v/>
      </c>
      <c r="AV619" s="3">
        <f>IFERROR(AU619/F619,"")</f>
        <v/>
      </c>
      <c r="AW619">
        <f>IF(AND($E619=TRUE,$C619="GKP"),AS619,"")</f>
        <v/>
      </c>
      <c r="AX619">
        <f>IF(AND($E619=TRUE,$C619="DEF"),AS619,"")</f>
        <v/>
      </c>
      <c r="AY619">
        <f>IF(AND($E619=TRUE,$C619="MID"),AS619,"")</f>
        <v/>
      </c>
      <c r="AZ619">
        <f>IF(AND($E619=TRUE,$C619="FWD"),AS619,"")</f>
        <v/>
      </c>
      <c r="BA619" t="n">
        <v>2</v>
      </c>
      <c r="BB619" t="n">
        <v>0</v>
      </c>
      <c r="BC619" t="n">
        <v>4</v>
      </c>
      <c r="BD619" t="n">
        <v>10</v>
      </c>
    </row>
    <row r="620">
      <c r="A620" t="inlineStr">
        <is>
          <t>Maxime Estève</t>
        </is>
      </c>
      <c r="D620" t="inlineStr">
        <is>
          <t>DEF</t>
        </is>
      </c>
      <c r="E620" t="b">
        <v>0</v>
      </c>
      <c r="F620" s="2" t="n"/>
      <c r="I620" s="2" t="n">
        <v>2937</v>
      </c>
      <c r="K620" s="3" t="n"/>
      <c r="M620" s="4" t="n">
        <v>2937</v>
      </c>
      <c r="N620" t="inlineStr">
        <is>
          <t>25/26 actual</t>
        </is>
      </c>
      <c r="O620" s="5" t="n">
        <v>86.3</v>
      </c>
      <c r="P620" t="b">
        <v>1</v>
      </c>
      <c r="Q620" s="5">
        <f>IF(N(O620)&lt;=0,0,MIN(Assumptions!$B$15,N(M620)/N(O620)))</f>
        <v/>
      </c>
      <c r="R620" s="4" t="n"/>
      <c r="S620" s="3" t="n">
        <v>0.0201</v>
      </c>
      <c r="T620" t="inlineStr">
        <is>
          <t>adjusted xGOT</t>
        </is>
      </c>
      <c r="U620" s="3" t="n">
        <v>1</v>
      </c>
      <c r="V620" s="3" t="n">
        <v>0.9</v>
      </c>
      <c r="W620" s="3" t="n">
        <v>1</v>
      </c>
      <c r="X620" s="3" t="n">
        <v>0.0215</v>
      </c>
      <c r="Y620" s="3" t="n">
        <v>9.744</v>
      </c>
      <c r="Z620" s="3" t="n">
        <v>0</v>
      </c>
      <c r="AA620" s="3" t="n">
        <v>0</v>
      </c>
      <c r="AB620" s="3" t="n">
        <v>67</v>
      </c>
      <c r="AC620" s="3" t="n"/>
      <c r="AD620" s="3" t="n"/>
      <c r="AE620" s="3" t="n"/>
      <c r="AF620" s="4" t="n">
        <v>0</v>
      </c>
      <c r="AG620" s="3" t="n">
        <v>0</v>
      </c>
      <c r="AH620" s="3" t="n">
        <v>0</v>
      </c>
      <c r="AI620" s="3" t="n">
        <v>0</v>
      </c>
      <c r="AJ620" s="3">
        <f>N(R620)*N(BC620)</f>
        <v/>
      </c>
      <c r="AK620" s="3" t="n">
        <v>0</v>
      </c>
      <c r="AL620" s="3" t="n">
        <v>0</v>
      </c>
      <c r="AM620" s="3" t="n">
        <v>0</v>
      </c>
      <c r="AN620" s="3" t="n">
        <v>0</v>
      </c>
      <c r="AO620" s="3">
        <f>SUM(AH620:AN620)</f>
        <v/>
      </c>
      <c r="AP620" s="5">
        <f>IF(OR(N(Q620)&lt;=0,N(BA620)=0),0,N(Q620)*IF(N(M620)/N(Q620)&gt;=60,N(BA620),1))</f>
        <v/>
      </c>
      <c r="AQ620" s="5">
        <f>N(Q620)*N(Z620)*N(BB620)</f>
        <v/>
      </c>
      <c r="AR620" s="5">
        <f>N(AF620)*(Assumptions!$B$13*N(BD620)-(1-Assumptions!$B$13)*Assumptions!$B$14)+N(AG620)</f>
        <v/>
      </c>
      <c r="AS620" s="5">
        <f>N(AO620)*N(M620)/90+N(AP620)+N(AQ620)+N(AR620)</f>
        <v/>
      </c>
      <c r="AT620" s="3">
        <f>IF(N(M620)&lt;=0,0,(N(AS620)-N(AR620))*90/N(M620))</f>
        <v/>
      </c>
      <c r="AU620" s="5">
        <f>IFERROR(AS620-VLOOKUP($C620,Assumptions!$A$36:$C$39,3,FALSE),"")</f>
        <v/>
      </c>
      <c r="AV620" s="3">
        <f>IFERROR(AU620/F620,"")</f>
        <v/>
      </c>
      <c r="AW620">
        <f>IF(AND($E620=TRUE,$C620="GKP"),AS620,"")</f>
        <v/>
      </c>
      <c r="AX620">
        <f>IF(AND($E620=TRUE,$C620="DEF"),AS620,"")</f>
        <v/>
      </c>
      <c r="AY620">
        <f>IF(AND($E620=TRUE,$C620="MID"),AS620,"")</f>
        <v/>
      </c>
      <c r="AZ620">
        <f>IF(AND($E620=TRUE,$C620="FWD"),AS620,"")</f>
        <v/>
      </c>
      <c r="BA620" t="n">
        <v>0</v>
      </c>
      <c r="BB620" t="n">
        <v>0</v>
      </c>
      <c r="BC620" t="n">
        <v>0</v>
      </c>
      <c r="BD620" t="n">
        <v>0</v>
      </c>
    </row>
    <row r="621">
      <c r="A621" t="inlineStr">
        <is>
          <t>Hjalmar Ekdal</t>
        </is>
      </c>
      <c r="D621" t="inlineStr">
        <is>
          <t>DEF</t>
        </is>
      </c>
      <c r="E621" t="b">
        <v>0</v>
      </c>
      <c r="F621" s="2" t="n"/>
      <c r="I621" s="2" t="n">
        <v>1539</v>
      </c>
      <c r="K621" s="3" t="n"/>
      <c r="M621" s="4" t="n">
        <v>1539</v>
      </c>
      <c r="N621" t="inlineStr">
        <is>
          <t>25/26 actual</t>
        </is>
      </c>
      <c r="O621" s="5" t="n">
        <v>89.5</v>
      </c>
      <c r="P621" t="b">
        <v>1</v>
      </c>
      <c r="Q621" s="5">
        <f>IF(N(O621)&lt;=0,0,MIN(Assumptions!$B$15,N(M621)/N(O621)))</f>
        <v/>
      </c>
      <c r="R621" s="4" t="n"/>
      <c r="S621" s="3" t="n">
        <v>0.0143</v>
      </c>
      <c r="T621" t="inlineStr">
        <is>
          <t>adjusted xGOT</t>
        </is>
      </c>
      <c r="U621" s="3" t="n">
        <v>1</v>
      </c>
      <c r="V621" s="3" t="n">
        <v>0.975</v>
      </c>
      <c r="W621" s="3" t="n">
        <v>0.3</v>
      </c>
      <c r="X621" s="3" t="n">
        <v>0.0098</v>
      </c>
      <c r="Y621" s="3" t="n">
        <v>9.382</v>
      </c>
      <c r="Z621" s="3" t="n">
        <v>0</v>
      </c>
      <c r="AA621" s="3" t="n">
        <v>0.117</v>
      </c>
      <c r="AB621" s="3" t="n">
        <v>36</v>
      </c>
      <c r="AC621" s="3" t="n"/>
      <c r="AD621" s="3" t="n"/>
      <c r="AE621" s="3" t="n"/>
      <c r="AF621" s="4" t="n">
        <v>0</v>
      </c>
      <c r="AG621" s="3" t="n">
        <v>0</v>
      </c>
      <c r="AH621" s="3" t="n">
        <v>0</v>
      </c>
      <c r="AI621" s="3" t="n">
        <v>0</v>
      </c>
      <c r="AJ621" s="3">
        <f>N(R621)*N(BC621)</f>
        <v/>
      </c>
      <c r="AK621" s="3" t="n">
        <v>0</v>
      </c>
      <c r="AL621" s="3" t="n">
        <v>0</v>
      </c>
      <c r="AM621" s="3" t="n">
        <v>0</v>
      </c>
      <c r="AN621" s="3" t="n">
        <v>0</v>
      </c>
      <c r="AO621" s="3">
        <f>SUM(AH621:AN621)</f>
        <v/>
      </c>
      <c r="AP621" s="5">
        <f>IF(OR(N(Q621)&lt;=0,N(BA621)=0),0,N(Q621)*IF(N(M621)/N(Q621)&gt;=60,N(BA621),1))</f>
        <v/>
      </c>
      <c r="AQ621" s="5">
        <f>N(Q621)*N(Z621)*N(BB621)</f>
        <v/>
      </c>
      <c r="AR621" s="5">
        <f>N(AF621)*(Assumptions!$B$13*N(BD621)-(1-Assumptions!$B$13)*Assumptions!$B$14)+N(AG621)</f>
        <v/>
      </c>
      <c r="AS621" s="5">
        <f>N(AO621)*N(M621)/90+N(AP621)+N(AQ621)+N(AR621)</f>
        <v/>
      </c>
      <c r="AT621" s="3">
        <f>IF(N(M621)&lt;=0,0,(N(AS621)-N(AR621))*90/N(M621))</f>
        <v/>
      </c>
      <c r="AU621" s="5">
        <f>IFERROR(AS621-VLOOKUP($C621,Assumptions!$A$36:$C$39,3,FALSE),"")</f>
        <v/>
      </c>
      <c r="AV621" s="3">
        <f>IFERROR(AU621/F621,"")</f>
        <v/>
      </c>
      <c r="AW621">
        <f>IF(AND($E621=TRUE,$C621="GKP"),AS621,"")</f>
        <v/>
      </c>
      <c r="AX621">
        <f>IF(AND($E621=TRUE,$C621="DEF"),AS621,"")</f>
        <v/>
      </c>
      <c r="AY621">
        <f>IF(AND($E621=TRUE,$C621="MID"),AS621,"")</f>
        <v/>
      </c>
      <c r="AZ621">
        <f>IF(AND($E621=TRUE,$C621="FWD"),AS621,"")</f>
        <v/>
      </c>
      <c r="BA621" t="n">
        <v>0</v>
      </c>
      <c r="BB621" t="n">
        <v>0</v>
      </c>
      <c r="BC621" t="n">
        <v>0</v>
      </c>
      <c r="BD621" t="n">
        <v>0</v>
      </c>
    </row>
    <row r="622">
      <c r="A622" t="inlineStr">
        <is>
          <t>Jack Rudoni</t>
        </is>
      </c>
      <c r="B622" t="inlineStr">
        <is>
          <t>COV</t>
        </is>
      </c>
      <c r="C622" t="inlineStr">
        <is>
          <t>MID</t>
        </is>
      </c>
      <c r="E622" t="b">
        <v>1</v>
      </c>
      <c r="F622" s="2" t="n">
        <v>5</v>
      </c>
      <c r="G622" t="inlineStr">
        <is>
          <t>d</t>
        </is>
      </c>
      <c r="H622" t="inlineStr">
        <is>
          <t>Shoulder injury - 75% chance of playing</t>
        </is>
      </c>
      <c r="I622" s="2" t="n"/>
      <c r="K622" s="3" t="n">
        <v>948</v>
      </c>
      <c r="L622" t="inlineStr">
        <is>
          <t>flat</t>
        </is>
      </c>
      <c r="M622" s="4" t="n">
        <v>948</v>
      </c>
      <c r="N622" t="inlineStr">
        <is>
          <t>Solio</t>
        </is>
      </c>
      <c r="O622" s="5" t="n">
        <v>85</v>
      </c>
      <c r="P622" t="b">
        <v>0</v>
      </c>
      <c r="Q622" s="5">
        <f>IF(N(O622)&lt;=0,0,MIN(Assumptions!$B$15,N(M622)/N(O622)))</f>
        <v/>
      </c>
      <c r="R622" s="4" t="n">
        <v>0.17</v>
      </c>
      <c r="S622" s="3" t="n"/>
      <c r="T622" t="inlineStr"/>
      <c r="U622" s="3" t="n">
        <v>1</v>
      </c>
      <c r="V622" s="3" t="n"/>
      <c r="W622" s="3" t="n"/>
      <c r="X622" s="3" t="n"/>
      <c r="Y622" s="3" t="n"/>
      <c r="Z622" s="3" t="n">
        <v>0</v>
      </c>
      <c r="AA622" s="3" t="n"/>
      <c r="AB622" s="3" t="n"/>
      <c r="AC622" s="3" t="n">
        <v>3.6194</v>
      </c>
      <c r="AD622" s="3" t="n">
        <v>1.8271</v>
      </c>
      <c r="AE622" s="3" t="n">
        <v>-0.2160434166173144</v>
      </c>
      <c r="AF622" s="4" t="n">
        <v>0</v>
      </c>
      <c r="AG622" s="3" t="n">
        <v>0</v>
      </c>
      <c r="AH622" s="3" t="n">
        <v>0</v>
      </c>
      <c r="AI622" s="3" t="n">
        <v>0</v>
      </c>
      <c r="AJ622" s="3">
        <f>N(R622)*N(BC622)</f>
        <v/>
      </c>
      <c r="AK622" s="3" t="n">
        <v>0</v>
      </c>
      <c r="AL622" s="3" t="n">
        <v>0</v>
      </c>
      <c r="AM622" s="3" t="n">
        <v>-0</v>
      </c>
      <c r="AN622" s="3" t="n">
        <v>-0.2160434166173144</v>
      </c>
      <c r="AO622" s="3">
        <f>SUM(AH622:AN622)</f>
        <v/>
      </c>
      <c r="AP622" s="5">
        <f>IF(OR(N(Q622)&lt;=0,N(BA622)=0),0,N(Q622)*IF(N(M622)/N(Q622)&gt;=60,N(BA622),1))</f>
        <v/>
      </c>
      <c r="AQ622" s="5">
        <f>N(Q622)*N(Z622)*N(BB622)</f>
        <v/>
      </c>
      <c r="AR622" s="5">
        <f>N(AF622)*(Assumptions!$B$13*N(BD622)-(1-Assumptions!$B$13)*Assumptions!$B$14)+N(AG622)</f>
        <v/>
      </c>
      <c r="AS622" s="5">
        <f>N(AO622)*N(M622)/90+N(AP622)+N(AQ622)+N(AR622)</f>
        <v/>
      </c>
      <c r="AT622" s="3">
        <f>IF(N(M622)&lt;=0,0,(N(AS622)-N(AR622))*90/N(M622))</f>
        <v/>
      </c>
      <c r="AU622" s="5">
        <f>IFERROR(AS622-VLOOKUP($C622,Assumptions!$A$36:$C$39,3,FALSE),"")</f>
        <v/>
      </c>
      <c r="AV622" s="3">
        <f>IFERROR(AU622/F622,"")</f>
        <v/>
      </c>
      <c r="AW622">
        <f>IF(AND($E622=TRUE,$C622="GKP"),AS622,"")</f>
        <v/>
      </c>
      <c r="AX622">
        <f>IF(AND($E622=TRUE,$C622="DEF"),AS622,"")</f>
        <v/>
      </c>
      <c r="AY622">
        <f>IF(AND($E622=TRUE,$C622="MID"),AS622,"")</f>
        <v/>
      </c>
      <c r="AZ622">
        <f>IF(AND($E622=TRUE,$C622="FWD"),AS622,"")</f>
        <v/>
      </c>
      <c r="BA622" t="n">
        <v>2</v>
      </c>
      <c r="BB622" t="n">
        <v>2</v>
      </c>
      <c r="BC622" t="n">
        <v>1</v>
      </c>
      <c r="BD622" t="n">
        <v>5</v>
      </c>
    </row>
    <row r="623">
      <c r="A623" t="inlineStr">
        <is>
          <t>Jaden Philogene</t>
        </is>
      </c>
      <c r="B623" t="inlineStr">
        <is>
          <t>IPS</t>
        </is>
      </c>
      <c r="C623" t="inlineStr">
        <is>
          <t>MID</t>
        </is>
      </c>
      <c r="E623" t="b">
        <v>1</v>
      </c>
      <c r="F623" s="2" t="n">
        <v>5.5</v>
      </c>
      <c r="G623" t="inlineStr">
        <is>
          <t>a</t>
        </is>
      </c>
      <c r="I623" s="2" t="n"/>
      <c r="K623" s="3" t="n">
        <v>958</v>
      </c>
      <c r="L623" t="inlineStr">
        <is>
          <t>flat</t>
        </is>
      </c>
      <c r="M623" s="4" t="n">
        <v>958</v>
      </c>
      <c r="N623" t="inlineStr">
        <is>
          <t>Solio</t>
        </is>
      </c>
      <c r="O623" s="5" t="n">
        <v>85</v>
      </c>
      <c r="P623" t="b">
        <v>0</v>
      </c>
      <c r="Q623" s="5">
        <f>IF(N(O623)&lt;=0,0,MIN(Assumptions!$B$15,N(M623)/N(O623)))</f>
        <v/>
      </c>
      <c r="R623" s="4" t="n">
        <v>0.17</v>
      </c>
      <c r="S623" s="3" t="n"/>
      <c r="T623" t="inlineStr"/>
      <c r="U623" s="3" t="n">
        <v>1</v>
      </c>
      <c r="V623" s="3" t="n"/>
      <c r="W623" s="3" t="n"/>
      <c r="X623" s="3" t="n"/>
      <c r="Y623" s="3" t="n"/>
      <c r="Z623" s="3" t="n">
        <v>0</v>
      </c>
      <c r="AA623" s="3" t="n"/>
      <c r="AB623" s="3" t="n"/>
      <c r="AC623" s="3" t="n">
        <v>3.5741</v>
      </c>
      <c r="AD623" s="3" t="n">
        <v>1.8319</v>
      </c>
      <c r="AE623" s="3" t="n">
        <v>-0.250712540920903</v>
      </c>
      <c r="AF623" s="4" t="n">
        <v>0.1719394686876215</v>
      </c>
      <c r="AG623" s="3" t="n">
        <v>0</v>
      </c>
      <c r="AH623" s="3" t="n">
        <v>0</v>
      </c>
      <c r="AI623" s="3" t="n">
        <v>0</v>
      </c>
      <c r="AJ623" s="3">
        <f>N(R623)*N(BC623)</f>
        <v/>
      </c>
      <c r="AK623" s="3" t="n">
        <v>0</v>
      </c>
      <c r="AL623" s="3" t="n">
        <v>0</v>
      </c>
      <c r="AM623" s="3" t="n">
        <v>-0</v>
      </c>
      <c r="AN623" s="3" t="n">
        <v>-0.250712540920903</v>
      </c>
      <c r="AO623" s="3">
        <f>SUM(AH623:AN623)</f>
        <v/>
      </c>
      <c r="AP623" s="5">
        <f>IF(OR(N(Q623)&lt;=0,N(BA623)=0),0,N(Q623)*IF(N(M623)/N(Q623)&gt;=60,N(BA623),1))</f>
        <v/>
      </c>
      <c r="AQ623" s="5">
        <f>N(Q623)*N(Z623)*N(BB623)</f>
        <v/>
      </c>
      <c r="AR623" s="5">
        <f>N(AF623)*(Assumptions!$B$13*N(BD623)-(1-Assumptions!$B$13)*Assumptions!$B$14)+N(AG623)</f>
        <v/>
      </c>
      <c r="AS623" s="5">
        <f>N(AO623)*N(M623)/90+N(AP623)+N(AQ623)+N(AR623)</f>
        <v/>
      </c>
      <c r="AT623" s="3">
        <f>IF(N(M623)&lt;=0,0,(N(AS623)-N(AR623))*90/N(M623))</f>
        <v/>
      </c>
      <c r="AU623" s="5">
        <f>IFERROR(AS623-VLOOKUP($C623,Assumptions!$A$36:$C$39,3,FALSE),"")</f>
        <v/>
      </c>
      <c r="AV623" s="3">
        <f>IFERROR(AU623/F623,"")</f>
        <v/>
      </c>
      <c r="AW623">
        <f>IF(AND($E623=TRUE,$C623="GKP"),AS623,"")</f>
        <v/>
      </c>
      <c r="AX623">
        <f>IF(AND($E623=TRUE,$C623="DEF"),AS623,"")</f>
        <v/>
      </c>
      <c r="AY623">
        <f>IF(AND($E623=TRUE,$C623="MID"),AS623,"")</f>
        <v/>
      </c>
      <c r="AZ623">
        <f>IF(AND($E623=TRUE,$C623="FWD"),AS623,"")</f>
        <v/>
      </c>
      <c r="BA623" t="n">
        <v>2</v>
      </c>
      <c r="BB623" t="n">
        <v>2</v>
      </c>
      <c r="BC623" t="n">
        <v>1</v>
      </c>
      <c r="BD623" t="n">
        <v>5</v>
      </c>
    </row>
    <row r="624">
      <c r="A624" t="inlineStr">
        <is>
          <t>António João Pereira de Albuquerque Tavares da Silva</t>
        </is>
      </c>
      <c r="B624" t="inlineStr">
        <is>
          <t>BOU</t>
        </is>
      </c>
      <c r="C624" t="inlineStr">
        <is>
          <t>DEF</t>
        </is>
      </c>
      <c r="E624" t="b">
        <v>1</v>
      </c>
      <c r="F624" s="2" t="n">
        <v>5</v>
      </c>
      <c r="G624" t="inlineStr">
        <is>
          <t>a</t>
        </is>
      </c>
      <c r="I624" s="2" t="n"/>
      <c r="K624" s="3" t="n">
        <v>3175</v>
      </c>
      <c r="L624" t="inlineStr">
        <is>
          <t>flat</t>
        </is>
      </c>
      <c r="M624" s="4" t="n">
        <v>3175</v>
      </c>
      <c r="N624" t="inlineStr">
        <is>
          <t>Solio</t>
        </is>
      </c>
      <c r="O624" s="5" t="n">
        <v>85</v>
      </c>
      <c r="P624" t="b">
        <v>0</v>
      </c>
      <c r="Q624" s="5">
        <f>IF(N(O624)&lt;=0,0,MIN(Assumptions!$B$15,N(M624)/N(O624)))</f>
        <v/>
      </c>
      <c r="R624" s="4" t="n">
        <v>0.23</v>
      </c>
      <c r="S624" s="3" t="n"/>
      <c r="T624" t="inlineStr"/>
      <c r="U624" s="3" t="n">
        <v>1</v>
      </c>
      <c r="V624" s="3" t="n"/>
      <c r="W624" s="3" t="n"/>
      <c r="X624" s="3" t="n"/>
      <c r="Y624" s="3" t="n"/>
      <c r="Z624" s="3" t="n">
        <v>0</v>
      </c>
      <c r="AA624" s="3" t="n"/>
      <c r="AB624" s="3" t="n"/>
      <c r="AC624" s="3" t="n">
        <v>3.0957</v>
      </c>
      <c r="AD624" s="3" t="n">
        <v>1.53</v>
      </c>
      <c r="AE624" s="3" t="n">
        <v>-0.2045226422080557</v>
      </c>
      <c r="AF624" s="4" t="n">
        <v>0</v>
      </c>
      <c r="AG624" s="3" t="n">
        <v>0</v>
      </c>
      <c r="AH624" s="3" t="n">
        <v>0</v>
      </c>
      <c r="AI624" s="3" t="n">
        <v>0</v>
      </c>
      <c r="AJ624" s="3">
        <f>N(R624)*N(BC624)</f>
        <v/>
      </c>
      <c r="AK624" s="3" t="n">
        <v>0</v>
      </c>
      <c r="AL624" s="3" t="n">
        <v>0</v>
      </c>
      <c r="AM624" s="3" t="n">
        <v>-0.5267219238049191</v>
      </c>
      <c r="AN624" s="3" t="n">
        <v>-0.2045226422080557</v>
      </c>
      <c r="AO624" s="3">
        <f>SUM(AH624:AN624)</f>
        <v/>
      </c>
      <c r="AP624" s="5">
        <f>IF(OR(N(Q624)&lt;=0,N(BA624)=0),0,N(Q624)*IF(N(M624)/N(Q624)&gt;=60,N(BA624),1))</f>
        <v/>
      </c>
      <c r="AQ624" s="5">
        <f>N(Q624)*N(Z624)*N(BB624)</f>
        <v/>
      </c>
      <c r="AR624" s="5">
        <f>N(AF624)*(Assumptions!$B$13*N(BD624)-(1-Assumptions!$B$13)*Assumptions!$B$14)+N(AG624)</f>
        <v/>
      </c>
      <c r="AS624" s="5">
        <f>N(AO624)*N(M624)/90+N(AP624)+N(AQ624)+N(AR624)</f>
        <v/>
      </c>
      <c r="AT624" s="3">
        <f>IF(N(M624)&lt;=0,0,(N(AS624)-N(AR624))*90/N(M624))</f>
        <v/>
      </c>
      <c r="AU624" s="5">
        <f>IFERROR(AS624-VLOOKUP($C624,Assumptions!$A$36:$C$39,3,FALSE),"")</f>
        <v/>
      </c>
      <c r="AV624" s="3">
        <f>IFERROR(AU624/F624,"")</f>
        <v/>
      </c>
      <c r="AW624">
        <f>IF(AND($E624=TRUE,$C624="GKP"),AS624,"")</f>
        <v/>
      </c>
      <c r="AX624">
        <f>IF(AND($E624=TRUE,$C624="DEF"),AS624,"")</f>
        <v/>
      </c>
      <c r="AY624">
        <f>IF(AND($E624=TRUE,$C624="MID"),AS624,"")</f>
        <v/>
      </c>
      <c r="AZ624">
        <f>IF(AND($E624=TRUE,$C624="FWD"),AS624,"")</f>
        <v/>
      </c>
      <c r="BA624" t="n">
        <v>2</v>
      </c>
      <c r="BB624" t="n">
        <v>2</v>
      </c>
      <c r="BC624" t="n">
        <v>4</v>
      </c>
      <c r="BD624" t="n">
        <v>6</v>
      </c>
    </row>
    <row r="625">
      <c r="A625" t="inlineStr">
        <is>
          <t>Rodrigo Gomes</t>
        </is>
      </c>
      <c r="D625" t="inlineStr">
        <is>
          <t>DEF</t>
        </is>
      </c>
      <c r="E625" t="b">
        <v>0</v>
      </c>
      <c r="F625" s="2" t="n"/>
      <c r="I625" s="2" t="n">
        <v>960</v>
      </c>
      <c r="K625" s="3" t="n"/>
      <c r="M625" s="4" t="n">
        <v>960</v>
      </c>
      <c r="N625" t="inlineStr">
        <is>
          <t>25/26 actual</t>
        </is>
      </c>
      <c r="O625" s="5" t="n">
        <v>72.3</v>
      </c>
      <c r="P625" t="b">
        <v>1</v>
      </c>
      <c r="Q625" s="5">
        <f>IF(N(O625)&lt;=0,0,MIN(Assumptions!$B$15,N(M625)/N(O625)))</f>
        <v/>
      </c>
      <c r="R625" s="4" t="n"/>
      <c r="S625" s="3" t="n">
        <v>0.1877</v>
      </c>
      <c r="T625" t="inlineStr">
        <is>
          <t>adjusted xGOT</t>
        </is>
      </c>
      <c r="U625" s="3" t="n">
        <v>1</v>
      </c>
      <c r="V625" s="3" t="n">
        <v>0.9399999999999999</v>
      </c>
      <c r="W625" s="3" t="n">
        <v>2.8</v>
      </c>
      <c r="X625" s="3" t="n">
        <v>0.0142</v>
      </c>
      <c r="Y625" s="3" t="n">
        <v>5.725</v>
      </c>
      <c r="Z625" s="3" t="n">
        <v>0</v>
      </c>
      <c r="AA625" s="3" t="n">
        <v>0</v>
      </c>
      <c r="AB625" s="3" t="n">
        <v>29</v>
      </c>
      <c r="AC625" s="3" t="n"/>
      <c r="AD625" s="3" t="n"/>
      <c r="AE625" s="3" t="n"/>
      <c r="AF625" s="4" t="n">
        <v>0</v>
      </c>
      <c r="AG625" s="3" t="n">
        <v>0</v>
      </c>
      <c r="AH625" s="3" t="n">
        <v>0</v>
      </c>
      <c r="AI625" s="3" t="n">
        <v>0</v>
      </c>
      <c r="AJ625" s="3">
        <f>N(R625)*N(BC625)</f>
        <v/>
      </c>
      <c r="AK625" s="3" t="n">
        <v>0</v>
      </c>
      <c r="AL625" s="3" t="n">
        <v>0</v>
      </c>
      <c r="AM625" s="3" t="n">
        <v>0</v>
      </c>
      <c r="AN625" s="3" t="n">
        <v>0</v>
      </c>
      <c r="AO625" s="3">
        <f>SUM(AH625:AN625)</f>
        <v/>
      </c>
      <c r="AP625" s="5">
        <f>IF(OR(N(Q625)&lt;=0,N(BA625)=0),0,N(Q625)*IF(N(M625)/N(Q625)&gt;=60,N(BA625),1))</f>
        <v/>
      </c>
      <c r="AQ625" s="5">
        <f>N(Q625)*N(Z625)*N(BB625)</f>
        <v/>
      </c>
      <c r="AR625" s="5">
        <f>N(AF625)*(Assumptions!$B$13*N(BD625)-(1-Assumptions!$B$13)*Assumptions!$B$14)+N(AG625)</f>
        <v/>
      </c>
      <c r="AS625" s="5">
        <f>N(AO625)*N(M625)/90+N(AP625)+N(AQ625)+N(AR625)</f>
        <v/>
      </c>
      <c r="AT625" s="3">
        <f>IF(N(M625)&lt;=0,0,(N(AS625)-N(AR625))*90/N(M625))</f>
        <v/>
      </c>
      <c r="AU625" s="5">
        <f>IFERROR(AS625-VLOOKUP($C625,Assumptions!$A$36:$C$39,3,FALSE),"")</f>
        <v/>
      </c>
      <c r="AV625" s="3">
        <f>IFERROR(AU625/F625,"")</f>
        <v/>
      </c>
      <c r="AW625">
        <f>IF(AND($E625=TRUE,$C625="GKP"),AS625,"")</f>
        <v/>
      </c>
      <c r="AX625">
        <f>IF(AND($E625=TRUE,$C625="DEF"),AS625,"")</f>
        <v/>
      </c>
      <c r="AY625">
        <f>IF(AND($E625=TRUE,$C625="MID"),AS625,"")</f>
        <v/>
      </c>
      <c r="AZ625">
        <f>IF(AND($E625=TRUE,$C625="FWD"),AS625,"")</f>
        <v/>
      </c>
      <c r="BA625" t="n">
        <v>0</v>
      </c>
      <c r="BB625" t="n">
        <v>0</v>
      </c>
      <c r="BC625" t="n">
        <v>0</v>
      </c>
      <c r="BD625" t="n">
        <v>0</v>
      </c>
    </row>
    <row r="626">
      <c r="A626" t="inlineStr">
        <is>
          <t>Oliver Dovin</t>
        </is>
      </c>
      <c r="B626" t="inlineStr">
        <is>
          <t>COV</t>
        </is>
      </c>
      <c r="C626" t="inlineStr">
        <is>
          <t>GKP</t>
        </is>
      </c>
      <c r="E626" t="b">
        <v>1</v>
      </c>
      <c r="F626" s="2" t="n">
        <v>4</v>
      </c>
      <c r="G626" t="inlineStr">
        <is>
          <t>a</t>
        </is>
      </c>
      <c r="I626" s="2" t="n"/>
      <c r="K626" s="3" t="n">
        <v>0</v>
      </c>
      <c r="L626" t="inlineStr">
        <is>
          <t>flat</t>
        </is>
      </c>
      <c r="M626" s="4" t="n">
        <v>0</v>
      </c>
      <c r="N626" t="inlineStr">
        <is>
          <t>Solio</t>
        </is>
      </c>
      <c r="O626" s="5" t="n">
        <v>85</v>
      </c>
      <c r="P626" t="b">
        <v>0</v>
      </c>
      <c r="Q626" s="5">
        <f>IF(N(O626)&lt;=0,0,MIN(Assumptions!$B$15,N(M626)/N(O626)))</f>
        <v/>
      </c>
      <c r="R626" s="4" t="n">
        <v>0.17</v>
      </c>
      <c r="S626" s="3" t="n"/>
      <c r="T626" t="inlineStr"/>
      <c r="U626" s="3" t="n">
        <v>1</v>
      </c>
      <c r="V626" s="3" t="n"/>
      <c r="W626" s="3" t="n"/>
      <c r="X626" s="3" t="n"/>
      <c r="Y626" s="3" t="n">
        <v>0</v>
      </c>
      <c r="Z626" s="3" t="n">
        <v>0</v>
      </c>
      <c r="AA626" s="3" t="n"/>
      <c r="AB626" s="3" t="n"/>
      <c r="AC626" s="3" t="n">
        <v>3.6194</v>
      </c>
      <c r="AD626" s="3" t="n">
        <v>1.8271</v>
      </c>
      <c r="AE626" s="3" t="n">
        <v>-0.0763216474948735</v>
      </c>
      <c r="AF626" s="4" t="n">
        <v>0</v>
      </c>
      <c r="AG626" s="3" t="n">
        <v>0</v>
      </c>
      <c r="AH626" s="3" t="n">
        <v>0</v>
      </c>
      <c r="AI626" s="3" t="n">
        <v>0</v>
      </c>
      <c r="AJ626" s="3">
        <f>N(R626)*N(BC626)</f>
        <v/>
      </c>
      <c r="AK626" s="3" t="n">
        <v>0</v>
      </c>
      <c r="AL626" s="3" t="n">
        <v>0.8716770173844571</v>
      </c>
      <c r="AM626" s="3" t="n">
        <v>-0.670020548738316</v>
      </c>
      <c r="AN626" s="3" t="n">
        <v>-0.0763216474948735</v>
      </c>
      <c r="AO626" s="3">
        <f>SUM(AH626:AN626)</f>
        <v/>
      </c>
      <c r="AP626" s="5">
        <f>IF(OR(N(Q626)&lt;=0,N(BA626)=0),0,N(Q626)*IF(N(M626)/N(Q626)&gt;=60,N(BA626),1))</f>
        <v/>
      </c>
      <c r="AQ626" s="5">
        <f>N(Q626)*N(Z626)*N(BB626)</f>
        <v/>
      </c>
      <c r="AR626" s="5">
        <f>N(AF626)*(Assumptions!$B$13*N(BD626)-(1-Assumptions!$B$13)*Assumptions!$B$14)+N(AG626)</f>
        <v/>
      </c>
      <c r="AS626" s="5">
        <f>N(AO626)*N(M626)/90+N(AP626)+N(AQ626)+N(AR626)</f>
        <v/>
      </c>
      <c r="AT626" s="3">
        <f>IF(N(M626)&lt;=0,0,(N(AS626)-N(AR626))*90/N(M626))</f>
        <v/>
      </c>
      <c r="AU626" s="5">
        <f>IFERROR(AS626-VLOOKUP($C626,Assumptions!$A$36:$C$39,3,FALSE),"")</f>
        <v/>
      </c>
      <c r="AV626" s="3">
        <f>IFERROR(AU626/F626,"")</f>
        <v/>
      </c>
      <c r="AW626">
        <f>IF(AND($E626=TRUE,$C626="GKP"),AS626,"")</f>
        <v/>
      </c>
      <c r="AX626">
        <f>IF(AND($E626=TRUE,$C626="DEF"),AS626,"")</f>
        <v/>
      </c>
      <c r="AY626">
        <f>IF(AND($E626=TRUE,$C626="MID"),AS626,"")</f>
        <v/>
      </c>
      <c r="AZ626">
        <f>IF(AND($E626=TRUE,$C626="FWD"),AS626,"")</f>
        <v/>
      </c>
      <c r="BA626" t="n">
        <v>2</v>
      </c>
      <c r="BB626" t="n">
        <v>0</v>
      </c>
      <c r="BC626" t="n">
        <v>4</v>
      </c>
      <c r="BD626" t="n">
        <v>10</v>
      </c>
    </row>
    <row r="627">
      <c r="A627" t="inlineStr">
        <is>
          <t>Tolu Arokodare</t>
        </is>
      </c>
      <c r="D627" t="inlineStr">
        <is>
          <t>FWD</t>
        </is>
      </c>
      <c r="E627" t="b">
        <v>0</v>
      </c>
      <c r="F627" s="2" t="n"/>
      <c r="I627" s="2" t="n">
        <v>1407</v>
      </c>
      <c r="K627" s="3" t="n"/>
      <c r="M627" s="4" t="n">
        <v>1407</v>
      </c>
      <c r="N627" t="inlineStr">
        <is>
          <t>25/26 actual</t>
        </is>
      </c>
      <c r="O627" s="5" t="n">
        <v>81.8</v>
      </c>
      <c r="P627" t="b">
        <v>1</v>
      </c>
      <c r="Q627" s="5">
        <f>IF(N(O627)&lt;=0,0,MIN(Assumptions!$B$15,N(M627)/N(O627)))</f>
        <v/>
      </c>
      <c r="R627" s="4" t="n"/>
      <c r="S627" s="3" t="n">
        <v>0.2804</v>
      </c>
      <c r="T627" t="inlineStr">
        <is>
          <t>adjusted xGOT</t>
        </is>
      </c>
      <c r="U627" s="3" t="n">
        <v>0.898</v>
      </c>
      <c r="V627" s="3" t="n">
        <v>0.89</v>
      </c>
      <c r="W627" s="3" t="n">
        <v>5.5</v>
      </c>
      <c r="X627" s="3" t="n">
        <v>0.0742</v>
      </c>
      <c r="Y627" s="3" t="n">
        <v>5.147</v>
      </c>
      <c r="Z627" s="3" t="n">
        <v>0</v>
      </c>
      <c r="AA627" s="3" t="n">
        <v>0.3198</v>
      </c>
      <c r="AB627" s="3" t="n">
        <v>47</v>
      </c>
      <c r="AC627" s="3" t="n"/>
      <c r="AD627" s="3" t="n"/>
      <c r="AE627" s="3" t="n"/>
      <c r="AF627" s="4" t="n">
        <v>0</v>
      </c>
      <c r="AG627" s="3" t="n">
        <v>0</v>
      </c>
      <c r="AH627" s="3" t="n">
        <v>0</v>
      </c>
      <c r="AI627" s="3" t="n">
        <v>0</v>
      </c>
      <c r="AJ627" s="3">
        <f>N(R627)*N(BC627)</f>
        <v/>
      </c>
      <c r="AK627" s="3" t="n">
        <v>0</v>
      </c>
      <c r="AL627" s="3" t="n">
        <v>0</v>
      </c>
      <c r="AM627" s="3" t="n">
        <v>0</v>
      </c>
      <c r="AN627" s="3" t="n">
        <v>0</v>
      </c>
      <c r="AO627" s="3">
        <f>SUM(AH627:AN627)</f>
        <v/>
      </c>
      <c r="AP627" s="5">
        <f>IF(OR(N(Q627)&lt;=0,N(BA627)=0),0,N(Q627)*IF(N(M627)/N(Q627)&gt;=60,N(BA627),1))</f>
        <v/>
      </c>
      <c r="AQ627" s="5">
        <f>N(Q627)*N(Z627)*N(BB627)</f>
        <v/>
      </c>
      <c r="AR627" s="5">
        <f>N(AF627)*(Assumptions!$B$13*N(BD627)-(1-Assumptions!$B$13)*Assumptions!$B$14)+N(AG627)</f>
        <v/>
      </c>
      <c r="AS627" s="5">
        <f>N(AO627)*N(M627)/90+N(AP627)+N(AQ627)+N(AR627)</f>
        <v/>
      </c>
      <c r="AT627" s="3">
        <f>IF(N(M627)&lt;=0,0,(N(AS627)-N(AR627))*90/N(M627))</f>
        <v/>
      </c>
      <c r="AU627" s="5">
        <f>IFERROR(AS627-VLOOKUP($C627,Assumptions!$A$36:$C$39,3,FALSE),"")</f>
        <v/>
      </c>
      <c r="AV627" s="3">
        <f>IFERROR(AU627/F627,"")</f>
        <v/>
      </c>
      <c r="AW627">
        <f>IF(AND($E627=TRUE,$C627="GKP"),AS627,"")</f>
        <v/>
      </c>
      <c r="AX627">
        <f>IF(AND($E627=TRUE,$C627="DEF"),AS627,"")</f>
        <v/>
      </c>
      <c r="AY627">
        <f>IF(AND($E627=TRUE,$C627="MID"),AS627,"")</f>
        <v/>
      </c>
      <c r="AZ627">
        <f>IF(AND($E627=TRUE,$C627="FWD"),AS627,"")</f>
        <v/>
      </c>
      <c r="BA627" t="n">
        <v>0</v>
      </c>
      <c r="BB627" t="n">
        <v>0</v>
      </c>
      <c r="BC627" t="n">
        <v>0</v>
      </c>
      <c r="BD627" t="n">
        <v>0</v>
      </c>
    </row>
    <row r="628">
      <c r="A628" t="inlineStr">
        <is>
          <t>Freddie Potts</t>
        </is>
      </c>
      <c r="D628" t="inlineStr">
        <is>
          <t>MID</t>
        </is>
      </c>
      <c r="E628" t="b">
        <v>0</v>
      </c>
      <c r="F628" s="2" t="n"/>
      <c r="I628" s="2" t="n">
        <v>1167</v>
      </c>
      <c r="K628" s="3" t="n"/>
      <c r="M628" s="4" t="n">
        <v>1167</v>
      </c>
      <c r="N628" t="inlineStr">
        <is>
          <t>25/26 actual</t>
        </is>
      </c>
      <c r="O628" s="5" t="n">
        <v>77</v>
      </c>
      <c r="P628" t="b">
        <v>1</v>
      </c>
      <c r="Q628" s="5">
        <f>IF(N(O628)&lt;=0,0,MIN(Assumptions!$B$15,N(M628)/N(O628)))</f>
        <v/>
      </c>
      <c r="R628" s="4" t="n"/>
      <c r="S628" s="3" t="n">
        <v>0.0167</v>
      </c>
      <c r="T628" t="inlineStr">
        <is>
          <t>adjusted xGOT</t>
        </is>
      </c>
      <c r="U628" s="3" t="n">
        <v>1</v>
      </c>
      <c r="V628" s="3" t="n">
        <v>1.035</v>
      </c>
      <c r="W628" s="3" t="n">
        <v>0.2</v>
      </c>
      <c r="X628" s="3" t="n">
        <v>0.0931</v>
      </c>
      <c r="Y628" s="3" t="n">
        <v>8.972</v>
      </c>
      <c r="Z628" s="3" t="n">
        <v>0</v>
      </c>
      <c r="AA628" s="3" t="n">
        <v>0</v>
      </c>
      <c r="AB628" s="3" t="n">
        <v>32</v>
      </c>
      <c r="AC628" s="3" t="n"/>
      <c r="AD628" s="3" t="n"/>
      <c r="AE628" s="3" t="n"/>
      <c r="AF628" s="4" t="n">
        <v>0</v>
      </c>
      <c r="AG628" s="3" t="n">
        <v>0</v>
      </c>
      <c r="AH628" s="3" t="n">
        <v>0</v>
      </c>
      <c r="AI628" s="3" t="n">
        <v>0</v>
      </c>
      <c r="AJ628" s="3">
        <f>N(R628)*N(BC628)</f>
        <v/>
      </c>
      <c r="AK628" s="3" t="n">
        <v>0</v>
      </c>
      <c r="AL628" s="3" t="n">
        <v>0</v>
      </c>
      <c r="AM628" s="3" t="n">
        <v>0</v>
      </c>
      <c r="AN628" s="3" t="n">
        <v>0</v>
      </c>
      <c r="AO628" s="3">
        <f>SUM(AH628:AN628)</f>
        <v/>
      </c>
      <c r="AP628" s="5">
        <f>IF(OR(N(Q628)&lt;=0,N(BA628)=0),0,N(Q628)*IF(N(M628)/N(Q628)&gt;=60,N(BA628),1))</f>
        <v/>
      </c>
      <c r="AQ628" s="5">
        <f>N(Q628)*N(Z628)*N(BB628)</f>
        <v/>
      </c>
      <c r="AR628" s="5">
        <f>N(AF628)*(Assumptions!$B$13*N(BD628)-(1-Assumptions!$B$13)*Assumptions!$B$14)+N(AG628)</f>
        <v/>
      </c>
      <c r="AS628" s="5">
        <f>N(AO628)*N(M628)/90+N(AP628)+N(AQ628)+N(AR628)</f>
        <v/>
      </c>
      <c r="AT628" s="3">
        <f>IF(N(M628)&lt;=0,0,(N(AS628)-N(AR628))*90/N(M628))</f>
        <v/>
      </c>
      <c r="AU628" s="5">
        <f>IFERROR(AS628-VLOOKUP($C628,Assumptions!$A$36:$C$39,3,FALSE),"")</f>
        <v/>
      </c>
      <c r="AV628" s="3">
        <f>IFERROR(AU628/F628,"")</f>
        <v/>
      </c>
      <c r="AW628">
        <f>IF(AND($E628=TRUE,$C628="GKP"),AS628,"")</f>
        <v/>
      </c>
      <c r="AX628">
        <f>IF(AND($E628=TRUE,$C628="DEF"),AS628,"")</f>
        <v/>
      </c>
      <c r="AY628">
        <f>IF(AND($E628=TRUE,$C628="MID"),AS628,"")</f>
        <v/>
      </c>
      <c r="AZ628">
        <f>IF(AND($E628=TRUE,$C628="FWD"),AS628,"")</f>
        <v/>
      </c>
      <c r="BA628" t="n">
        <v>0</v>
      </c>
      <c r="BB628" t="n">
        <v>0</v>
      </c>
      <c r="BC628" t="n">
        <v>0</v>
      </c>
      <c r="BD628" t="n">
        <v>0</v>
      </c>
    </row>
    <row r="629">
      <c r="A629" t="inlineStr">
        <is>
          <t>Abu Kamara</t>
        </is>
      </c>
      <c r="B629" t="inlineStr">
        <is>
          <t>HUL</t>
        </is>
      </c>
      <c r="C629" t="inlineStr">
        <is>
          <t>MID</t>
        </is>
      </c>
      <c r="E629" t="b">
        <v>1</v>
      </c>
      <c r="F629" s="2" t="n">
        <v>5</v>
      </c>
      <c r="G629" t="inlineStr">
        <is>
          <t>u</t>
        </is>
      </c>
      <c r="H629" t="inlineStr">
        <is>
          <t>Has joined Portsmouth permanently</t>
        </is>
      </c>
      <c r="I629" s="2" t="n"/>
      <c r="K629" s="3" t="n"/>
      <c r="M629" s="4" t="n"/>
      <c r="N629" t="inlineStr"/>
      <c r="O629" s="5" t="n">
        <v>85</v>
      </c>
      <c r="P629" t="b">
        <v>0</v>
      </c>
      <c r="Q629" s="5">
        <f>IF(N(O629)&lt;=0,0,MIN(Assumptions!$B$15,N(M629)/N(O629)))</f>
        <v/>
      </c>
      <c r="R629" s="4" t="n">
        <v>0.143</v>
      </c>
      <c r="S629" s="3" t="n"/>
      <c r="T629" t="inlineStr"/>
      <c r="U629" s="3" t="n">
        <v>1</v>
      </c>
      <c r="V629" s="3" t="n"/>
      <c r="W629" s="3" t="n"/>
      <c r="X629" s="3" t="n"/>
      <c r="Y629" s="3" t="n"/>
      <c r="Z629" s="3" t="n">
        <v>0</v>
      </c>
      <c r="AA629" s="3" t="n"/>
      <c r="AB629" s="3" t="n"/>
      <c r="AC629" s="3" t="n">
        <v>3.9421</v>
      </c>
      <c r="AD629" s="3" t="n">
        <v>1.99</v>
      </c>
      <c r="AE629" s="3" t="n">
        <v>-0.2160434166173144</v>
      </c>
      <c r="AF629" s="4" t="n">
        <v>0</v>
      </c>
      <c r="AG629" s="3" t="n">
        <v>0</v>
      </c>
      <c r="AH629" s="3" t="n">
        <v>0</v>
      </c>
      <c r="AI629" s="3" t="n">
        <v>0</v>
      </c>
      <c r="AJ629" s="3">
        <f>N(R629)*N(BC629)</f>
        <v/>
      </c>
      <c r="AK629" s="3" t="n">
        <v>0</v>
      </c>
      <c r="AL629" s="3" t="n">
        <v>0</v>
      </c>
      <c r="AM629" s="3" t="n">
        <v>-0</v>
      </c>
      <c r="AN629" s="3" t="n">
        <v>-0.2160434166173144</v>
      </c>
      <c r="AO629" s="3">
        <f>SUM(AH629:AN629)</f>
        <v/>
      </c>
      <c r="AP629" s="5">
        <f>IF(OR(N(Q629)&lt;=0,N(BA629)=0),0,N(Q629)*IF(N(M629)/N(Q629)&gt;=60,N(BA629),1))</f>
        <v/>
      </c>
      <c r="AQ629" s="5">
        <f>N(Q629)*N(Z629)*N(BB629)</f>
        <v/>
      </c>
      <c r="AR629" s="5">
        <f>N(AF629)*(Assumptions!$B$13*N(BD629)-(1-Assumptions!$B$13)*Assumptions!$B$14)+N(AG629)</f>
        <v/>
      </c>
      <c r="AS629" s="5">
        <f>N(AO629)*N(M629)/90+N(AP629)+N(AQ629)+N(AR629)</f>
        <v/>
      </c>
      <c r="AT629" s="3">
        <f>IF(N(M629)&lt;=0,0,(N(AS629)-N(AR629))*90/N(M629))</f>
        <v/>
      </c>
      <c r="AU629" s="5">
        <f>IFERROR(AS629-VLOOKUP($C629,Assumptions!$A$36:$C$39,3,FALSE),"")</f>
        <v/>
      </c>
      <c r="AV629" s="3">
        <f>IFERROR(AU629/F629,"")</f>
        <v/>
      </c>
      <c r="AW629">
        <f>IF(AND($E629=TRUE,$C629="GKP"),AS629,"")</f>
        <v/>
      </c>
      <c r="AX629">
        <f>IF(AND($E629=TRUE,$C629="DEF"),AS629,"")</f>
        <v/>
      </c>
      <c r="AY629">
        <f>IF(AND($E629=TRUE,$C629="MID"),AS629,"")</f>
        <v/>
      </c>
      <c r="AZ629">
        <f>IF(AND($E629=TRUE,$C629="FWD"),AS629,"")</f>
        <v/>
      </c>
      <c r="BA629" t="n">
        <v>2</v>
      </c>
      <c r="BB629" t="n">
        <v>2</v>
      </c>
      <c r="BC629" t="n">
        <v>1</v>
      </c>
      <c r="BD629" t="n">
        <v>5</v>
      </c>
    </row>
    <row r="630">
      <c r="A630" t="inlineStr">
        <is>
          <t>Hugo Bueno</t>
        </is>
      </c>
      <c r="D630" t="inlineStr">
        <is>
          <t>DEF</t>
        </is>
      </c>
      <c r="E630" t="b">
        <v>0</v>
      </c>
      <c r="F630" s="2" t="n"/>
      <c r="I630" s="2" t="n">
        <v>2364</v>
      </c>
      <c r="K630" s="3" t="n"/>
      <c r="M630" s="4" t="n">
        <v>2364</v>
      </c>
      <c r="N630" t="inlineStr">
        <is>
          <t>25/26 actual</t>
        </is>
      </c>
      <c r="O630" s="5" t="n">
        <v>84</v>
      </c>
      <c r="P630" t="b">
        <v>1</v>
      </c>
      <c r="Q630" s="5">
        <f>IF(N(O630)&lt;=0,0,MIN(Assumptions!$B$15,N(M630)/N(O630)))</f>
        <v/>
      </c>
      <c r="R630" s="4" t="n"/>
      <c r="S630" s="3" t="n">
        <v>0.0326</v>
      </c>
      <c r="T630" t="inlineStr">
        <is>
          <t>adjusted xGOT</t>
        </is>
      </c>
      <c r="U630" s="3" t="n">
        <v>1</v>
      </c>
      <c r="V630" s="3" t="n">
        <v>0.996</v>
      </c>
      <c r="W630" s="3" t="n">
        <v>1.3</v>
      </c>
      <c r="X630" s="3" t="n">
        <v>0.1402</v>
      </c>
      <c r="Y630" s="3" t="n">
        <v>6.825</v>
      </c>
      <c r="Z630" s="3" t="n">
        <v>0</v>
      </c>
      <c r="AA630" s="3" t="n">
        <v>0.1904</v>
      </c>
      <c r="AB630" s="3" t="n">
        <v>59</v>
      </c>
      <c r="AC630" s="3" t="n"/>
      <c r="AD630" s="3" t="n"/>
      <c r="AE630" s="3" t="n"/>
      <c r="AF630" s="4" t="n">
        <v>0</v>
      </c>
      <c r="AG630" s="3" t="n">
        <v>0</v>
      </c>
      <c r="AH630" s="3" t="n">
        <v>0</v>
      </c>
      <c r="AI630" s="3" t="n">
        <v>0</v>
      </c>
      <c r="AJ630" s="3">
        <f>N(R630)*N(BC630)</f>
        <v/>
      </c>
      <c r="AK630" s="3" t="n">
        <v>0</v>
      </c>
      <c r="AL630" s="3" t="n">
        <v>0</v>
      </c>
      <c r="AM630" s="3" t="n">
        <v>0</v>
      </c>
      <c r="AN630" s="3" t="n">
        <v>0</v>
      </c>
      <c r="AO630" s="3">
        <f>SUM(AH630:AN630)</f>
        <v/>
      </c>
      <c r="AP630" s="5">
        <f>IF(OR(N(Q630)&lt;=0,N(BA630)=0),0,N(Q630)*IF(N(M630)/N(Q630)&gt;=60,N(BA630),1))</f>
        <v/>
      </c>
      <c r="AQ630" s="5">
        <f>N(Q630)*N(Z630)*N(BB630)</f>
        <v/>
      </c>
      <c r="AR630" s="5">
        <f>N(AF630)*(Assumptions!$B$13*N(BD630)-(1-Assumptions!$B$13)*Assumptions!$B$14)+N(AG630)</f>
        <v/>
      </c>
      <c r="AS630" s="5">
        <f>N(AO630)*N(M630)/90+N(AP630)+N(AQ630)+N(AR630)</f>
        <v/>
      </c>
      <c r="AT630" s="3">
        <f>IF(N(M630)&lt;=0,0,(N(AS630)-N(AR630))*90/N(M630))</f>
        <v/>
      </c>
      <c r="AU630" s="5">
        <f>IFERROR(AS630-VLOOKUP($C630,Assumptions!$A$36:$C$39,3,FALSE),"")</f>
        <v/>
      </c>
      <c r="AV630" s="3">
        <f>IFERROR(AU630/F630,"")</f>
        <v/>
      </c>
      <c r="AW630">
        <f>IF(AND($E630=TRUE,$C630="GKP"),AS630,"")</f>
        <v/>
      </c>
      <c r="AX630">
        <f>IF(AND($E630=TRUE,$C630="DEF"),AS630,"")</f>
        <v/>
      </c>
      <c r="AY630">
        <f>IF(AND($E630=TRUE,$C630="MID"),AS630,"")</f>
        <v/>
      </c>
      <c r="AZ630">
        <f>IF(AND($E630=TRUE,$C630="FWD"),AS630,"")</f>
        <v/>
      </c>
      <c r="BA630" t="n">
        <v>0</v>
      </c>
      <c r="BB630" t="n">
        <v>0</v>
      </c>
      <c r="BC630" t="n">
        <v>0</v>
      </c>
      <c r="BD630" t="n">
        <v>0</v>
      </c>
    </row>
    <row r="631">
      <c r="A631" t="inlineStr">
        <is>
          <t>George Earthy</t>
        </is>
      </c>
      <c r="D631" t="inlineStr">
        <is>
          <t>MID</t>
        </is>
      </c>
      <c r="E631" t="b">
        <v>0</v>
      </c>
      <c r="F631" s="2" t="n"/>
      <c r="I631" s="2" t="n">
        <v>8</v>
      </c>
      <c r="K631" s="3" t="n"/>
      <c r="M631" s="4" t="n">
        <v>8</v>
      </c>
      <c r="N631" t="inlineStr">
        <is>
          <t>25/26 actual</t>
        </is>
      </c>
      <c r="O631" s="5" t="n">
        <v>85</v>
      </c>
      <c r="P631" t="b">
        <v>1</v>
      </c>
      <c r="Q631" s="5">
        <f>IF(N(O631)&lt;=0,0,MIN(Assumptions!$B$15,N(M631)/N(O631)))</f>
        <v/>
      </c>
      <c r="R631" s="4" t="n"/>
      <c r="S631" s="3" t="n">
        <v>0</v>
      </c>
      <c r="T631" t="inlineStr">
        <is>
          <t>adjusted xGOT</t>
        </is>
      </c>
      <c r="U631" s="3" t="n">
        <v>1</v>
      </c>
      <c r="V631" s="3" t="n">
        <v>1.054</v>
      </c>
      <c r="W631" s="3" t="n">
        <v>0.4</v>
      </c>
      <c r="X631" s="3" t="n">
        <v>0</v>
      </c>
      <c r="Y631" s="3" t="n">
        <v>8.483000000000001</v>
      </c>
      <c r="Z631" s="3" t="n">
        <v>0</v>
      </c>
      <c r="AA631" s="3" t="n">
        <v>0</v>
      </c>
      <c r="AB631" s="3" t="n">
        <v>1</v>
      </c>
      <c r="AC631" s="3" t="n"/>
      <c r="AD631" s="3" t="n"/>
      <c r="AE631" s="3" t="n"/>
      <c r="AF631" s="4" t="n">
        <v>0</v>
      </c>
      <c r="AG631" s="3" t="n">
        <v>0</v>
      </c>
      <c r="AH631" s="3" t="n">
        <v>0</v>
      </c>
      <c r="AI631" s="3" t="n">
        <v>0</v>
      </c>
      <c r="AJ631" s="3">
        <f>N(R631)*N(BC631)</f>
        <v/>
      </c>
      <c r="AK631" s="3" t="n">
        <v>0</v>
      </c>
      <c r="AL631" s="3" t="n">
        <v>0</v>
      </c>
      <c r="AM631" s="3" t="n">
        <v>0</v>
      </c>
      <c r="AN631" s="3" t="n">
        <v>0</v>
      </c>
      <c r="AO631" s="3">
        <f>SUM(AH631:AN631)</f>
        <v/>
      </c>
      <c r="AP631" s="5">
        <f>IF(OR(N(Q631)&lt;=0,N(BA631)=0),0,N(Q631)*IF(N(M631)/N(Q631)&gt;=60,N(BA631),1))</f>
        <v/>
      </c>
      <c r="AQ631" s="5">
        <f>N(Q631)*N(Z631)*N(BB631)</f>
        <v/>
      </c>
      <c r="AR631" s="5">
        <f>N(AF631)*(Assumptions!$B$13*N(BD631)-(1-Assumptions!$B$13)*Assumptions!$B$14)+N(AG631)</f>
        <v/>
      </c>
      <c r="AS631" s="5">
        <f>N(AO631)*N(M631)/90+N(AP631)+N(AQ631)+N(AR631)</f>
        <v/>
      </c>
      <c r="AT631" s="3">
        <f>IF(N(M631)&lt;=0,0,(N(AS631)-N(AR631))*90/N(M631))</f>
        <v/>
      </c>
      <c r="AU631" s="5">
        <f>IFERROR(AS631-VLOOKUP($C631,Assumptions!$A$36:$C$39,3,FALSE),"")</f>
        <v/>
      </c>
      <c r="AV631" s="3">
        <f>IFERROR(AU631/F631,"")</f>
        <v/>
      </c>
      <c r="AW631">
        <f>IF(AND($E631=TRUE,$C631="GKP"),AS631,"")</f>
        <v/>
      </c>
      <c r="AX631">
        <f>IF(AND($E631=TRUE,$C631="DEF"),AS631,"")</f>
        <v/>
      </c>
      <c r="AY631">
        <f>IF(AND($E631=TRUE,$C631="MID"),AS631,"")</f>
        <v/>
      </c>
      <c r="AZ631">
        <f>IF(AND($E631=TRUE,$C631="FWD"),AS631,"")</f>
        <v/>
      </c>
      <c r="BA631" t="n">
        <v>0</v>
      </c>
      <c r="BB631" t="n">
        <v>0</v>
      </c>
      <c r="BC631" t="n">
        <v>0</v>
      </c>
      <c r="BD631" t="n">
        <v>0</v>
      </c>
    </row>
    <row r="632">
      <c r="A632" t="inlineStr">
        <is>
          <t>Raphael Borges Rodrigues</t>
        </is>
      </c>
      <c r="B632" t="inlineStr">
        <is>
          <t>COV</t>
        </is>
      </c>
      <c r="C632" t="inlineStr">
        <is>
          <t>MID</t>
        </is>
      </c>
      <c r="E632" t="b">
        <v>1</v>
      </c>
      <c r="F632" s="2" t="n">
        <v>4.5</v>
      </c>
      <c r="G632" t="inlineStr">
        <is>
          <t>a</t>
        </is>
      </c>
      <c r="I632" s="2" t="n"/>
      <c r="K632" s="3" t="n">
        <v>0</v>
      </c>
      <c r="L632" t="inlineStr">
        <is>
          <t>flat</t>
        </is>
      </c>
      <c r="M632" s="4" t="n">
        <v>0</v>
      </c>
      <c r="N632" t="inlineStr">
        <is>
          <t>Solio</t>
        </is>
      </c>
      <c r="O632" s="5" t="n">
        <v>85</v>
      </c>
      <c r="P632" t="b">
        <v>0</v>
      </c>
      <c r="Q632" s="5">
        <f>IF(N(O632)&lt;=0,0,MIN(Assumptions!$B$15,N(M632)/N(O632)))</f>
        <v/>
      </c>
      <c r="R632" s="4" t="n">
        <v>0.17</v>
      </c>
      <c r="S632" s="3" t="n"/>
      <c r="T632" t="inlineStr"/>
      <c r="U632" s="3" t="n">
        <v>1</v>
      </c>
      <c r="V632" s="3" t="n"/>
      <c r="W632" s="3" t="n"/>
      <c r="X632" s="3" t="n"/>
      <c r="Y632" s="3" t="n"/>
      <c r="Z632" s="3" t="n">
        <v>0</v>
      </c>
      <c r="AA632" s="3" t="n"/>
      <c r="AB632" s="3" t="n"/>
      <c r="AC632" s="3" t="n">
        <v>3.6194</v>
      </c>
      <c r="AD632" s="3" t="n">
        <v>1.8271</v>
      </c>
      <c r="AE632" s="3" t="n">
        <v>-0.2160434166173144</v>
      </c>
      <c r="AF632" s="4" t="n">
        <v>0</v>
      </c>
      <c r="AG632" s="3" t="n">
        <v>0</v>
      </c>
      <c r="AH632" s="3" t="n">
        <v>0</v>
      </c>
      <c r="AI632" s="3" t="n">
        <v>0</v>
      </c>
      <c r="AJ632" s="3">
        <f>N(R632)*N(BC632)</f>
        <v/>
      </c>
      <c r="AK632" s="3" t="n">
        <v>0</v>
      </c>
      <c r="AL632" s="3" t="n">
        <v>0</v>
      </c>
      <c r="AM632" s="3" t="n">
        <v>-0</v>
      </c>
      <c r="AN632" s="3" t="n">
        <v>-0.2160434166173144</v>
      </c>
      <c r="AO632" s="3">
        <f>SUM(AH632:AN632)</f>
        <v/>
      </c>
      <c r="AP632" s="5">
        <f>IF(OR(N(Q632)&lt;=0,N(BA632)=0),0,N(Q632)*IF(N(M632)/N(Q632)&gt;=60,N(BA632),1))</f>
        <v/>
      </c>
      <c r="AQ632" s="5">
        <f>N(Q632)*N(Z632)*N(BB632)</f>
        <v/>
      </c>
      <c r="AR632" s="5">
        <f>N(AF632)*(Assumptions!$B$13*N(BD632)-(1-Assumptions!$B$13)*Assumptions!$B$14)+N(AG632)</f>
        <v/>
      </c>
      <c r="AS632" s="5">
        <f>N(AO632)*N(M632)/90+N(AP632)+N(AQ632)+N(AR632)</f>
        <v/>
      </c>
      <c r="AT632" s="3">
        <f>IF(N(M632)&lt;=0,0,(N(AS632)-N(AR632))*90/N(M632))</f>
        <v/>
      </c>
      <c r="AU632" s="5">
        <f>IFERROR(AS632-VLOOKUP($C632,Assumptions!$A$36:$C$39,3,FALSE),"")</f>
        <v/>
      </c>
      <c r="AV632" s="3">
        <f>IFERROR(AU632/F632,"")</f>
        <v/>
      </c>
      <c r="AW632">
        <f>IF(AND($E632=TRUE,$C632="GKP"),AS632,"")</f>
        <v/>
      </c>
      <c r="AX632">
        <f>IF(AND($E632=TRUE,$C632="DEF"),AS632,"")</f>
        <v/>
      </c>
      <c r="AY632">
        <f>IF(AND($E632=TRUE,$C632="MID"),AS632,"")</f>
        <v/>
      </c>
      <c r="AZ632">
        <f>IF(AND($E632=TRUE,$C632="FWD"),AS632,"")</f>
        <v/>
      </c>
      <c r="BA632" t="n">
        <v>2</v>
      </c>
      <c r="BB632" t="n">
        <v>2</v>
      </c>
      <c r="BC632" t="n">
        <v>1</v>
      </c>
      <c r="BD632" t="n">
        <v>5</v>
      </c>
    </row>
    <row r="633">
      <c r="A633" t="inlineStr">
        <is>
          <t>Zeki Amdouni</t>
        </is>
      </c>
      <c r="D633" t="inlineStr">
        <is>
          <t>FWD</t>
        </is>
      </c>
      <c r="E633" t="b">
        <v>0</v>
      </c>
      <c r="F633" s="2" t="n"/>
      <c r="I633" s="2" t="n">
        <v>69</v>
      </c>
      <c r="K633" s="3" t="n"/>
      <c r="M633" s="4" t="n">
        <v>69</v>
      </c>
      <c r="N633" t="inlineStr">
        <is>
          <t>25/26 actual</t>
        </is>
      </c>
      <c r="O633" s="5" t="n">
        <v>85</v>
      </c>
      <c r="P633" t="b">
        <v>1</v>
      </c>
      <c r="Q633" s="5">
        <f>IF(N(O633)&lt;=0,0,MIN(Assumptions!$B$15,N(M633)/N(O633)))</f>
        <v/>
      </c>
      <c r="R633" s="4" t="n"/>
      <c r="S633" s="3" t="n">
        <v>0.3196</v>
      </c>
      <c r="T633" t="inlineStr">
        <is>
          <t>adjusted xGOT</t>
        </is>
      </c>
      <c r="U633" s="3" t="n">
        <v>1</v>
      </c>
      <c r="V633" s="3" t="n">
        <v>1.022</v>
      </c>
      <c r="W633" s="3" t="n">
        <v>5.8</v>
      </c>
      <c r="X633" s="3" t="n">
        <v>0</v>
      </c>
      <c r="Y633" s="3" t="n">
        <v>4.488</v>
      </c>
      <c r="Z633" s="3" t="n">
        <v>0</v>
      </c>
      <c r="AA633" s="3" t="n">
        <v>0</v>
      </c>
      <c r="AB633" s="3" t="n">
        <v>4</v>
      </c>
      <c r="AC633" s="3" t="n"/>
      <c r="AD633" s="3" t="n"/>
      <c r="AE633" s="3" t="n"/>
      <c r="AF633" s="4" t="n">
        <v>0</v>
      </c>
      <c r="AG633" s="3" t="n">
        <v>0</v>
      </c>
      <c r="AH633" s="3" t="n">
        <v>0</v>
      </c>
      <c r="AI633" s="3" t="n">
        <v>0</v>
      </c>
      <c r="AJ633" s="3">
        <f>N(R633)*N(BC633)</f>
        <v/>
      </c>
      <c r="AK633" s="3" t="n">
        <v>0</v>
      </c>
      <c r="AL633" s="3" t="n">
        <v>0</v>
      </c>
      <c r="AM633" s="3" t="n">
        <v>0</v>
      </c>
      <c r="AN633" s="3" t="n">
        <v>0</v>
      </c>
      <c r="AO633" s="3">
        <f>SUM(AH633:AN633)</f>
        <v/>
      </c>
      <c r="AP633" s="5">
        <f>IF(OR(N(Q633)&lt;=0,N(BA633)=0),0,N(Q633)*IF(N(M633)/N(Q633)&gt;=60,N(BA633),1))</f>
        <v/>
      </c>
      <c r="AQ633" s="5">
        <f>N(Q633)*N(Z633)*N(BB633)</f>
        <v/>
      </c>
      <c r="AR633" s="5">
        <f>N(AF633)*(Assumptions!$B$13*N(BD633)-(1-Assumptions!$B$13)*Assumptions!$B$14)+N(AG633)</f>
        <v/>
      </c>
      <c r="AS633" s="5">
        <f>N(AO633)*N(M633)/90+N(AP633)+N(AQ633)+N(AR633)</f>
        <v/>
      </c>
      <c r="AT633" s="3">
        <f>IF(N(M633)&lt;=0,0,(N(AS633)-N(AR633))*90/N(M633))</f>
        <v/>
      </c>
      <c r="AU633" s="5">
        <f>IFERROR(AS633-VLOOKUP($C633,Assumptions!$A$36:$C$39,3,FALSE),"")</f>
        <v/>
      </c>
      <c r="AV633" s="3">
        <f>IFERROR(AU633/F633,"")</f>
        <v/>
      </c>
      <c r="AW633">
        <f>IF(AND($E633=TRUE,$C633="GKP"),AS633,"")</f>
        <v/>
      </c>
      <c r="AX633">
        <f>IF(AND($E633=TRUE,$C633="DEF"),AS633,"")</f>
        <v/>
      </c>
      <c r="AY633">
        <f>IF(AND($E633=TRUE,$C633="MID"),AS633,"")</f>
        <v/>
      </c>
      <c r="AZ633">
        <f>IF(AND($E633=TRUE,$C633="FWD"),AS633,"")</f>
        <v/>
      </c>
      <c r="BA633" t="n">
        <v>0</v>
      </c>
      <c r="BB633" t="n">
        <v>0</v>
      </c>
      <c r="BC633" t="n">
        <v>0</v>
      </c>
      <c r="BD633" t="n">
        <v>0</v>
      </c>
    </row>
    <row r="634">
      <c r="A634" t="inlineStr">
        <is>
          <t>Radu Dragusin</t>
        </is>
      </c>
      <c r="D634" t="inlineStr">
        <is>
          <t>DEF</t>
        </is>
      </c>
      <c r="E634" t="b">
        <v>0</v>
      </c>
      <c r="F634" s="2" t="n"/>
      <c r="I634" s="2" t="n">
        <v>515</v>
      </c>
      <c r="K634" s="3" t="n"/>
      <c r="M634" s="4" t="n">
        <v>515</v>
      </c>
      <c r="N634" t="inlineStr">
        <is>
          <t>25/26 actual</t>
        </is>
      </c>
      <c r="O634" s="5" t="n">
        <v>89.8</v>
      </c>
      <c r="P634" t="b">
        <v>1</v>
      </c>
      <c r="Q634" s="5">
        <f>IF(N(O634)&lt;=0,0,MIN(Assumptions!$B$15,N(M634)/N(O634)))</f>
        <v/>
      </c>
      <c r="R634" s="4" t="n"/>
      <c r="S634" s="3" t="n">
        <v>0.0505</v>
      </c>
      <c r="T634" t="inlineStr">
        <is>
          <t>adjusted xGOT</t>
        </is>
      </c>
      <c r="U634" s="3" t="n">
        <v>1</v>
      </c>
      <c r="V634" s="3" t="n">
        <v>0.9320000000000001</v>
      </c>
      <c r="W634" s="3" t="n">
        <v>0.6</v>
      </c>
      <c r="X634" s="3" t="n">
        <v>0</v>
      </c>
      <c r="Y634" s="3" t="n">
        <v>9.946</v>
      </c>
      <c r="Z634" s="3" t="n">
        <v>0</v>
      </c>
      <c r="AA634" s="3" t="n">
        <v>0</v>
      </c>
      <c r="AB634" s="3" t="n">
        <v>15</v>
      </c>
      <c r="AC634" s="3" t="n"/>
      <c r="AD634" s="3" t="n"/>
      <c r="AE634" s="3" t="n"/>
      <c r="AF634" s="4" t="n">
        <v>0</v>
      </c>
      <c r="AG634" s="3" t="n">
        <v>0</v>
      </c>
      <c r="AH634" s="3" t="n">
        <v>0</v>
      </c>
      <c r="AI634" s="3" t="n">
        <v>0</v>
      </c>
      <c r="AJ634" s="3">
        <f>N(R634)*N(BC634)</f>
        <v/>
      </c>
      <c r="AK634" s="3" t="n">
        <v>0</v>
      </c>
      <c r="AL634" s="3" t="n">
        <v>0</v>
      </c>
      <c r="AM634" s="3" t="n">
        <v>0</v>
      </c>
      <c r="AN634" s="3" t="n">
        <v>0</v>
      </c>
      <c r="AO634" s="3">
        <f>SUM(AH634:AN634)</f>
        <v/>
      </c>
      <c r="AP634" s="5">
        <f>IF(OR(N(Q634)&lt;=0,N(BA634)=0),0,N(Q634)*IF(N(M634)/N(Q634)&gt;=60,N(BA634),1))</f>
        <v/>
      </c>
      <c r="AQ634" s="5">
        <f>N(Q634)*N(Z634)*N(BB634)</f>
        <v/>
      </c>
      <c r="AR634" s="5">
        <f>N(AF634)*(Assumptions!$B$13*N(BD634)-(1-Assumptions!$B$13)*Assumptions!$B$14)+N(AG634)</f>
        <v/>
      </c>
      <c r="AS634" s="5">
        <f>N(AO634)*N(M634)/90+N(AP634)+N(AQ634)+N(AR634)</f>
        <v/>
      </c>
      <c r="AT634" s="3">
        <f>IF(N(M634)&lt;=0,0,(N(AS634)-N(AR634))*90/N(M634))</f>
        <v/>
      </c>
      <c r="AU634" s="5">
        <f>IFERROR(AS634-VLOOKUP($C634,Assumptions!$A$36:$C$39,3,FALSE),"")</f>
        <v/>
      </c>
      <c r="AV634" s="3">
        <f>IFERROR(AU634/F634,"")</f>
        <v/>
      </c>
      <c r="AW634">
        <f>IF(AND($E634=TRUE,$C634="GKP"),AS634,"")</f>
        <v/>
      </c>
      <c r="AX634">
        <f>IF(AND($E634=TRUE,$C634="DEF"),AS634,"")</f>
        <v/>
      </c>
      <c r="AY634">
        <f>IF(AND($E634=TRUE,$C634="MID"),AS634,"")</f>
        <v/>
      </c>
      <c r="AZ634">
        <f>IF(AND($E634=TRUE,$C634="FWD"),AS634,"")</f>
        <v/>
      </c>
      <c r="BA634" t="n">
        <v>0</v>
      </c>
      <c r="BB634" t="n">
        <v>0</v>
      </c>
      <c r="BC634" t="n">
        <v>0</v>
      </c>
      <c r="BD634" t="n">
        <v>0</v>
      </c>
    </row>
    <row r="635">
      <c r="A635" t="inlineStr">
        <is>
          <t>Juanlu Sánchez</t>
        </is>
      </c>
      <c r="B635" t="inlineStr">
        <is>
          <t>BOU</t>
        </is>
      </c>
      <c r="C635" t="inlineStr">
        <is>
          <t>DEF</t>
        </is>
      </c>
      <c r="E635" t="b">
        <v>1</v>
      </c>
      <c r="F635" s="2" t="n">
        <v>4.5</v>
      </c>
      <c r="G635" t="inlineStr">
        <is>
          <t>a</t>
        </is>
      </c>
      <c r="I635" s="2" t="n"/>
      <c r="K635" s="3" t="n">
        <v>3098</v>
      </c>
      <c r="L635" t="inlineStr">
        <is>
          <t>flat</t>
        </is>
      </c>
      <c r="M635" s="4" t="n">
        <v>3098</v>
      </c>
      <c r="N635" t="inlineStr">
        <is>
          <t>Solio</t>
        </is>
      </c>
      <c r="O635" s="5" t="n">
        <v>85</v>
      </c>
      <c r="P635" t="b">
        <v>0</v>
      </c>
      <c r="Q635" s="5">
        <f>IF(N(O635)&lt;=0,0,MIN(Assumptions!$B$15,N(M635)/N(O635)))</f>
        <v/>
      </c>
      <c r="R635" s="4" t="n">
        <v>0.23</v>
      </c>
      <c r="S635" s="3" t="n"/>
      <c r="T635" t="inlineStr"/>
      <c r="U635" s="3" t="n">
        <v>1</v>
      </c>
      <c r="V635" s="3" t="n"/>
      <c r="W635" s="3" t="n"/>
      <c r="X635" s="3" t="n"/>
      <c r="Y635" s="3" t="n"/>
      <c r="Z635" s="3" t="n">
        <v>0</v>
      </c>
      <c r="AA635" s="3" t="n"/>
      <c r="AB635" s="3" t="n"/>
      <c r="AC635" s="3" t="n">
        <v>3.0957</v>
      </c>
      <c r="AD635" s="3" t="n">
        <v>1.53</v>
      </c>
      <c r="AE635" s="3" t="n">
        <v>-0.2045226422080557</v>
      </c>
      <c r="AF635" s="4" t="n">
        <v>0</v>
      </c>
      <c r="AG635" s="3" t="n">
        <v>0</v>
      </c>
      <c r="AH635" s="3" t="n">
        <v>0</v>
      </c>
      <c r="AI635" s="3" t="n">
        <v>0</v>
      </c>
      <c r="AJ635" s="3">
        <f>N(R635)*N(BC635)</f>
        <v/>
      </c>
      <c r="AK635" s="3" t="n">
        <v>0</v>
      </c>
      <c r="AL635" s="3" t="n">
        <v>0</v>
      </c>
      <c r="AM635" s="3" t="n">
        <v>-0.5267219238049191</v>
      </c>
      <c r="AN635" s="3" t="n">
        <v>-0.2045226422080557</v>
      </c>
      <c r="AO635" s="3">
        <f>SUM(AH635:AN635)</f>
        <v/>
      </c>
      <c r="AP635" s="5">
        <f>IF(OR(N(Q635)&lt;=0,N(BA635)=0),0,N(Q635)*IF(N(M635)/N(Q635)&gt;=60,N(BA635),1))</f>
        <v/>
      </c>
      <c r="AQ635" s="5">
        <f>N(Q635)*N(Z635)*N(BB635)</f>
        <v/>
      </c>
      <c r="AR635" s="5">
        <f>N(AF635)*(Assumptions!$B$13*N(BD635)-(1-Assumptions!$B$13)*Assumptions!$B$14)+N(AG635)</f>
        <v/>
      </c>
      <c r="AS635" s="5">
        <f>N(AO635)*N(M635)/90+N(AP635)+N(AQ635)+N(AR635)</f>
        <v/>
      </c>
      <c r="AT635" s="3">
        <f>IF(N(M635)&lt;=0,0,(N(AS635)-N(AR635))*90/N(M635))</f>
        <v/>
      </c>
      <c r="AU635" s="5">
        <f>IFERROR(AS635-VLOOKUP($C635,Assumptions!$A$36:$C$39,3,FALSE),"")</f>
        <v/>
      </c>
      <c r="AV635" s="3">
        <f>IFERROR(AU635/F635,"")</f>
        <v/>
      </c>
      <c r="AW635">
        <f>IF(AND($E635=TRUE,$C635="GKP"),AS635,"")</f>
        <v/>
      </c>
      <c r="AX635">
        <f>IF(AND($E635=TRUE,$C635="DEF"),AS635,"")</f>
        <v/>
      </c>
      <c r="AY635">
        <f>IF(AND($E635=TRUE,$C635="MID"),AS635,"")</f>
        <v/>
      </c>
      <c r="AZ635">
        <f>IF(AND($E635=TRUE,$C635="FWD"),AS635,"")</f>
        <v/>
      </c>
      <c r="BA635" t="n">
        <v>2</v>
      </c>
      <c r="BB635" t="n">
        <v>2</v>
      </c>
      <c r="BC635" t="n">
        <v>4</v>
      </c>
      <c r="BD635" t="n">
        <v>6</v>
      </c>
    </row>
    <row r="636">
      <c r="A636" t="inlineStr">
        <is>
          <t>Harvey Cartwright</t>
        </is>
      </c>
      <c r="B636" t="inlineStr">
        <is>
          <t>HUL</t>
        </is>
      </c>
      <c r="C636" t="inlineStr">
        <is>
          <t>GKP</t>
        </is>
      </c>
      <c r="E636" t="b">
        <v>1</v>
      </c>
      <c r="F636" s="2" t="n">
        <v>4</v>
      </c>
      <c r="G636" t="inlineStr">
        <is>
          <t>u</t>
        </is>
      </c>
      <c r="H636" t="inlineStr">
        <is>
          <t>Has joined Grimsby Town on loan for the rest of the season</t>
        </is>
      </c>
      <c r="I636" s="2" t="n"/>
      <c r="K636" s="3" t="n"/>
      <c r="M636" s="4" t="n"/>
      <c r="N636" t="inlineStr"/>
      <c r="O636" s="5" t="n">
        <v>85</v>
      </c>
      <c r="P636" t="b">
        <v>0</v>
      </c>
      <c r="Q636" s="5">
        <f>IF(N(O636)&lt;=0,0,MIN(Assumptions!$B$15,N(M636)/N(O636)))</f>
        <v/>
      </c>
      <c r="R636" s="4" t="n">
        <v>0.143</v>
      </c>
      <c r="S636" s="3" t="n"/>
      <c r="T636" t="inlineStr"/>
      <c r="U636" s="3" t="n">
        <v>1</v>
      </c>
      <c r="V636" s="3" t="n"/>
      <c r="W636" s="3" t="n"/>
      <c r="X636" s="3" t="n"/>
      <c r="Y636" s="3" t="n">
        <v>0</v>
      </c>
      <c r="Z636" s="3" t="n">
        <v>0</v>
      </c>
      <c r="AA636" s="3" t="n"/>
      <c r="AB636" s="3" t="n"/>
      <c r="AC636" s="3" t="n">
        <v>3.9421</v>
      </c>
      <c r="AD636" s="3" t="n">
        <v>1.99</v>
      </c>
      <c r="AE636" s="3" t="n">
        <v>-0.0763216474948735</v>
      </c>
      <c r="AF636" s="4" t="n">
        <v>0</v>
      </c>
      <c r="AG636" s="3" t="n">
        <v>0</v>
      </c>
      <c r="AH636" s="3" t="n">
        <v>0</v>
      </c>
      <c r="AI636" s="3" t="n">
        <v>0</v>
      </c>
      <c r="AJ636" s="3">
        <f>N(R636)*N(BC636)</f>
        <v/>
      </c>
      <c r="AK636" s="3" t="n">
        <v>0</v>
      </c>
      <c r="AL636" s="3" t="n">
        <v>0.979692031005534</v>
      </c>
      <c r="AM636" s="3" t="n">
        <v>-0.7496714098286652</v>
      </c>
      <c r="AN636" s="3" t="n">
        <v>-0.0763216474948735</v>
      </c>
      <c r="AO636" s="3">
        <f>SUM(AH636:AN636)</f>
        <v/>
      </c>
      <c r="AP636" s="5">
        <f>IF(OR(N(Q636)&lt;=0,N(BA636)=0),0,N(Q636)*IF(N(M636)/N(Q636)&gt;=60,N(BA636),1))</f>
        <v/>
      </c>
      <c r="AQ636" s="5">
        <f>N(Q636)*N(Z636)*N(BB636)</f>
        <v/>
      </c>
      <c r="AR636" s="5">
        <f>N(AF636)*(Assumptions!$B$13*N(BD636)-(1-Assumptions!$B$13)*Assumptions!$B$14)+N(AG636)</f>
        <v/>
      </c>
      <c r="AS636" s="5">
        <f>N(AO636)*N(M636)/90+N(AP636)+N(AQ636)+N(AR636)</f>
        <v/>
      </c>
      <c r="AT636" s="3">
        <f>IF(N(M636)&lt;=0,0,(N(AS636)-N(AR636))*90/N(M636))</f>
        <v/>
      </c>
      <c r="AU636" s="5">
        <f>IFERROR(AS636-VLOOKUP($C636,Assumptions!$A$36:$C$39,3,FALSE),"")</f>
        <v/>
      </c>
      <c r="AV636" s="3">
        <f>IFERROR(AU636/F636,"")</f>
        <v/>
      </c>
      <c r="AW636">
        <f>IF(AND($E636=TRUE,$C636="GKP"),AS636,"")</f>
        <v/>
      </c>
      <c r="AX636">
        <f>IF(AND($E636=TRUE,$C636="DEF"),AS636,"")</f>
        <v/>
      </c>
      <c r="AY636">
        <f>IF(AND($E636=TRUE,$C636="MID"),AS636,"")</f>
        <v/>
      </c>
      <c r="AZ636">
        <f>IF(AND($E636=TRUE,$C636="FWD"),AS636,"")</f>
        <v/>
      </c>
      <c r="BA636" t="n">
        <v>2</v>
      </c>
      <c r="BB636" t="n">
        <v>0</v>
      </c>
      <c r="BC636" t="n">
        <v>4</v>
      </c>
      <c r="BD636" t="n">
        <v>10</v>
      </c>
    </row>
    <row r="637">
      <c r="A637" t="inlineStr">
        <is>
          <t>Quilindschy Hartman</t>
        </is>
      </c>
      <c r="D637" t="inlineStr">
        <is>
          <t>DEF</t>
        </is>
      </c>
      <c r="E637" t="b">
        <v>0</v>
      </c>
      <c r="F637" s="2" t="n"/>
      <c r="I637" s="2" t="n">
        <v>1830</v>
      </c>
      <c r="K637" s="3" t="n"/>
      <c r="M637" s="4" t="n">
        <v>1830</v>
      </c>
      <c r="N637" t="inlineStr">
        <is>
          <t>25/26 actual</t>
        </is>
      </c>
      <c r="O637" s="5" t="n">
        <v>86.90000000000001</v>
      </c>
      <c r="P637" t="b">
        <v>1</v>
      </c>
      <c r="Q637" s="5">
        <f>IF(N(O637)&lt;=0,0,MIN(Assumptions!$B$15,N(M637)/N(O637)))</f>
        <v/>
      </c>
      <c r="R637" s="4" t="n"/>
      <c r="S637" s="3" t="n">
        <v>0.0155</v>
      </c>
      <c r="T637" t="inlineStr">
        <is>
          <t>adjusted xGOT</t>
        </is>
      </c>
      <c r="U637" s="3" t="n">
        <v>1</v>
      </c>
      <c r="V637" s="3" t="n">
        <v>0.986</v>
      </c>
      <c r="W637" s="3" t="n">
        <v>0.3</v>
      </c>
      <c r="X637" s="3" t="n">
        <v>0.1372</v>
      </c>
      <c r="Y637" s="3" t="n">
        <v>7.585</v>
      </c>
      <c r="Z637" s="3" t="n">
        <v>0</v>
      </c>
      <c r="AA637" s="3" t="n">
        <v>0</v>
      </c>
      <c r="AB637" s="3" t="n">
        <v>42</v>
      </c>
      <c r="AC637" s="3" t="n"/>
      <c r="AD637" s="3" t="n"/>
      <c r="AE637" s="3" t="n"/>
      <c r="AF637" s="4" t="n">
        <v>0</v>
      </c>
      <c r="AG637" s="3" t="n">
        <v>0</v>
      </c>
      <c r="AH637" s="3" t="n">
        <v>0</v>
      </c>
      <c r="AI637" s="3" t="n">
        <v>0</v>
      </c>
      <c r="AJ637" s="3">
        <f>N(R637)*N(BC637)</f>
        <v/>
      </c>
      <c r="AK637" s="3" t="n">
        <v>0</v>
      </c>
      <c r="AL637" s="3" t="n">
        <v>0</v>
      </c>
      <c r="AM637" s="3" t="n">
        <v>0</v>
      </c>
      <c r="AN637" s="3" t="n">
        <v>0</v>
      </c>
      <c r="AO637" s="3">
        <f>SUM(AH637:AN637)</f>
        <v/>
      </c>
      <c r="AP637" s="5">
        <f>IF(OR(N(Q637)&lt;=0,N(BA637)=0),0,N(Q637)*IF(N(M637)/N(Q637)&gt;=60,N(BA637),1))</f>
        <v/>
      </c>
      <c r="AQ637" s="5">
        <f>N(Q637)*N(Z637)*N(BB637)</f>
        <v/>
      </c>
      <c r="AR637" s="5">
        <f>N(AF637)*(Assumptions!$B$13*N(BD637)-(1-Assumptions!$B$13)*Assumptions!$B$14)+N(AG637)</f>
        <v/>
      </c>
      <c r="AS637" s="5">
        <f>N(AO637)*N(M637)/90+N(AP637)+N(AQ637)+N(AR637)</f>
        <v/>
      </c>
      <c r="AT637" s="3">
        <f>IF(N(M637)&lt;=0,0,(N(AS637)-N(AR637))*90/N(M637))</f>
        <v/>
      </c>
      <c r="AU637" s="5">
        <f>IFERROR(AS637-VLOOKUP($C637,Assumptions!$A$36:$C$39,3,FALSE),"")</f>
        <v/>
      </c>
      <c r="AV637" s="3">
        <f>IFERROR(AU637/F637,"")</f>
        <v/>
      </c>
      <c r="AW637">
        <f>IF(AND($E637=TRUE,$C637="GKP"),AS637,"")</f>
        <v/>
      </c>
      <c r="AX637">
        <f>IF(AND($E637=TRUE,$C637="DEF"),AS637,"")</f>
        <v/>
      </c>
      <c r="AY637">
        <f>IF(AND($E637=TRUE,$C637="MID"),AS637,"")</f>
        <v/>
      </c>
      <c r="AZ637">
        <f>IF(AND($E637=TRUE,$C637="FWD"),AS637,"")</f>
        <v/>
      </c>
      <c r="BA637" t="n">
        <v>0</v>
      </c>
      <c r="BB637" t="n">
        <v>0</v>
      </c>
      <c r="BC637" t="n">
        <v>0</v>
      </c>
      <c r="BD637" t="n">
        <v>0</v>
      </c>
    </row>
    <row r="638">
      <c r="A638" t="inlineStr">
        <is>
          <t>Tawanda Chirewa</t>
        </is>
      </c>
      <c r="D638" t="inlineStr">
        <is>
          <t>MID</t>
        </is>
      </c>
      <c r="E638" t="b">
        <v>0</v>
      </c>
      <c r="F638" s="2" t="n"/>
      <c r="I638" s="2" t="n">
        <v>25</v>
      </c>
      <c r="K638" s="3" t="n"/>
      <c r="M638" s="4" t="n">
        <v>25</v>
      </c>
      <c r="N638" t="inlineStr">
        <is>
          <t>25/26 actual</t>
        </is>
      </c>
      <c r="O638" s="5" t="n">
        <v>85</v>
      </c>
      <c r="P638" t="b">
        <v>1</v>
      </c>
      <c r="Q638" s="5">
        <f>IF(N(O638)&lt;=0,0,MIN(Assumptions!$B$15,N(M638)/N(O638)))</f>
        <v/>
      </c>
      <c r="R638" s="4" t="n"/>
      <c r="S638" s="3" t="n">
        <v>0</v>
      </c>
      <c r="T638" t="inlineStr">
        <is>
          <t>adjusted xGOT</t>
        </is>
      </c>
      <c r="U638" s="3" t="n">
        <v>1</v>
      </c>
      <c r="V638" s="3" t="n">
        <v>0.993</v>
      </c>
      <c r="W638" s="3" t="n">
        <v>0.2</v>
      </c>
      <c r="X638" s="3" t="n">
        <v>0</v>
      </c>
      <c r="Y638" s="3" t="n">
        <v>8.772</v>
      </c>
      <c r="Z638" s="3" t="n">
        <v>0</v>
      </c>
      <c r="AA638" s="3" t="n">
        <v>0</v>
      </c>
      <c r="AB638" s="3" t="n">
        <v>2</v>
      </c>
      <c r="AC638" s="3" t="n"/>
      <c r="AD638" s="3" t="n"/>
      <c r="AE638" s="3" t="n"/>
      <c r="AF638" s="4" t="n">
        <v>0</v>
      </c>
      <c r="AG638" s="3" t="n">
        <v>0</v>
      </c>
      <c r="AH638" s="3" t="n">
        <v>0</v>
      </c>
      <c r="AI638" s="3" t="n">
        <v>0</v>
      </c>
      <c r="AJ638" s="3">
        <f>N(R638)*N(BC638)</f>
        <v/>
      </c>
      <c r="AK638" s="3" t="n">
        <v>0</v>
      </c>
      <c r="AL638" s="3" t="n">
        <v>0</v>
      </c>
      <c r="AM638" s="3" t="n">
        <v>0</v>
      </c>
      <c r="AN638" s="3" t="n">
        <v>0</v>
      </c>
      <c r="AO638" s="3">
        <f>SUM(AH638:AN638)</f>
        <v/>
      </c>
      <c r="AP638" s="5">
        <f>IF(OR(N(Q638)&lt;=0,N(BA638)=0),0,N(Q638)*IF(N(M638)/N(Q638)&gt;=60,N(BA638),1))</f>
        <v/>
      </c>
      <c r="AQ638" s="5">
        <f>N(Q638)*N(Z638)*N(BB638)</f>
        <v/>
      </c>
      <c r="AR638" s="5">
        <f>N(AF638)*(Assumptions!$B$13*N(BD638)-(1-Assumptions!$B$13)*Assumptions!$B$14)+N(AG638)</f>
        <v/>
      </c>
      <c r="AS638" s="5">
        <f>N(AO638)*N(M638)/90+N(AP638)+N(AQ638)+N(AR638)</f>
        <v/>
      </c>
      <c r="AT638" s="3">
        <f>IF(N(M638)&lt;=0,0,(N(AS638)-N(AR638))*90/N(M638))</f>
        <v/>
      </c>
      <c r="AU638" s="5">
        <f>IFERROR(AS638-VLOOKUP($C638,Assumptions!$A$36:$C$39,3,FALSE),"")</f>
        <v/>
      </c>
      <c r="AV638" s="3">
        <f>IFERROR(AU638/F638,"")</f>
        <v/>
      </c>
      <c r="AW638">
        <f>IF(AND($E638=TRUE,$C638="GKP"),AS638,"")</f>
        <v/>
      </c>
      <c r="AX638">
        <f>IF(AND($E638=TRUE,$C638="DEF"),AS638,"")</f>
        <v/>
      </c>
      <c r="AY638">
        <f>IF(AND($E638=TRUE,$C638="MID"),AS638,"")</f>
        <v/>
      </c>
      <c r="AZ638">
        <f>IF(AND($E638=TRUE,$C638="FWD"),AS638,"")</f>
        <v/>
      </c>
      <c r="BA638" t="n">
        <v>0</v>
      </c>
      <c r="BB638" t="n">
        <v>0</v>
      </c>
      <c r="BC638" t="n">
        <v>0</v>
      </c>
      <c r="BD638" t="n">
        <v>0</v>
      </c>
    </row>
    <row r="639">
      <c r="A639" t="inlineStr">
        <is>
          <t>David Møller Wolfe</t>
        </is>
      </c>
      <c r="D639" t="inlineStr">
        <is>
          <t>DEF</t>
        </is>
      </c>
      <c r="E639" t="b">
        <v>0</v>
      </c>
      <c r="F639" s="2" t="n"/>
      <c r="I639" s="2" t="n">
        <v>1049</v>
      </c>
      <c r="K639" s="3" t="n"/>
      <c r="M639" s="4" t="n">
        <v>1049</v>
      </c>
      <c r="N639" t="inlineStr">
        <is>
          <t>25/26 actual</t>
        </is>
      </c>
      <c r="O639" s="5" t="n">
        <v>79.5</v>
      </c>
      <c r="P639" t="b">
        <v>1</v>
      </c>
      <c r="Q639" s="5">
        <f>IF(N(O639)&lt;=0,0,MIN(Assumptions!$B$15,N(M639)/N(O639)))</f>
        <v/>
      </c>
      <c r="R639" s="4" t="n"/>
      <c r="S639" s="3" t="n">
        <v>0.011</v>
      </c>
      <c r="T639" t="inlineStr">
        <is>
          <t>adjusted xGOT</t>
        </is>
      </c>
      <c r="U639" s="3" t="n">
        <v>1</v>
      </c>
      <c r="V639" s="3" t="n">
        <v>0.984</v>
      </c>
      <c r="W639" s="3" t="n">
        <v>0.1</v>
      </c>
      <c r="X639" s="3" t="n">
        <v>0.1119</v>
      </c>
      <c r="Y639" s="3" t="n">
        <v>5.694</v>
      </c>
      <c r="Z639" s="3" t="n">
        <v>0</v>
      </c>
      <c r="AA639" s="3" t="n">
        <v>0</v>
      </c>
      <c r="AB639" s="3" t="n">
        <v>32</v>
      </c>
      <c r="AC639" s="3" t="n"/>
      <c r="AD639" s="3" t="n"/>
      <c r="AE639" s="3" t="n"/>
      <c r="AF639" s="4" t="n">
        <v>0</v>
      </c>
      <c r="AG639" s="3" t="n">
        <v>0</v>
      </c>
      <c r="AH639" s="3" t="n">
        <v>0</v>
      </c>
      <c r="AI639" s="3" t="n">
        <v>0</v>
      </c>
      <c r="AJ639" s="3">
        <f>N(R639)*N(BC639)</f>
        <v/>
      </c>
      <c r="AK639" s="3" t="n">
        <v>0</v>
      </c>
      <c r="AL639" s="3" t="n">
        <v>0</v>
      </c>
      <c r="AM639" s="3" t="n">
        <v>0</v>
      </c>
      <c r="AN639" s="3" t="n">
        <v>0</v>
      </c>
      <c r="AO639" s="3">
        <f>SUM(AH639:AN639)</f>
        <v/>
      </c>
      <c r="AP639" s="5">
        <f>IF(OR(N(Q639)&lt;=0,N(BA639)=0),0,N(Q639)*IF(N(M639)/N(Q639)&gt;=60,N(BA639),1))</f>
        <v/>
      </c>
      <c r="AQ639" s="5">
        <f>N(Q639)*N(Z639)*N(BB639)</f>
        <v/>
      </c>
      <c r="AR639" s="5">
        <f>N(AF639)*(Assumptions!$B$13*N(BD639)-(1-Assumptions!$B$13)*Assumptions!$B$14)+N(AG639)</f>
        <v/>
      </c>
      <c r="AS639" s="5">
        <f>N(AO639)*N(M639)/90+N(AP639)+N(AQ639)+N(AR639)</f>
        <v/>
      </c>
      <c r="AT639" s="3">
        <f>IF(N(M639)&lt;=0,0,(N(AS639)-N(AR639))*90/N(M639))</f>
        <v/>
      </c>
      <c r="AU639" s="5">
        <f>IFERROR(AS639-VLOOKUP($C639,Assumptions!$A$36:$C$39,3,FALSE),"")</f>
        <v/>
      </c>
      <c r="AV639" s="3">
        <f>IFERROR(AU639/F639,"")</f>
        <v/>
      </c>
      <c r="AW639">
        <f>IF(AND($E639=TRUE,$C639="GKP"),AS639,"")</f>
        <v/>
      </c>
      <c r="AX639">
        <f>IF(AND($E639=TRUE,$C639="DEF"),AS639,"")</f>
        <v/>
      </c>
      <c r="AY639">
        <f>IF(AND($E639=TRUE,$C639="MID"),AS639,"")</f>
        <v/>
      </c>
      <c r="AZ639">
        <f>IF(AND($E639=TRUE,$C639="FWD"),AS639,"")</f>
        <v/>
      </c>
      <c r="BA639" t="n">
        <v>0</v>
      </c>
      <c r="BB639" t="n">
        <v>0</v>
      </c>
      <c r="BC639" t="n">
        <v>0</v>
      </c>
      <c r="BD639" t="n">
        <v>0</v>
      </c>
    </row>
    <row r="640">
      <c r="A640" t="inlineStr">
        <is>
          <t>Pep Chavarría</t>
        </is>
      </c>
      <c r="B640" t="inlineStr">
        <is>
          <t>CHE</t>
        </is>
      </c>
      <c r="C640" t="inlineStr">
        <is>
          <t>DEF</t>
        </is>
      </c>
      <c r="E640" t="b">
        <v>1</v>
      </c>
      <c r="F640" s="2" t="n">
        <v>5</v>
      </c>
      <c r="G640" t="inlineStr">
        <is>
          <t>a</t>
        </is>
      </c>
      <c r="I640" s="2" t="n"/>
      <c r="K640" s="3" t="n">
        <v>534</v>
      </c>
      <c r="L640" t="inlineStr">
        <is>
          <t>flat</t>
        </is>
      </c>
      <c r="M640" s="4" t="n">
        <v>534</v>
      </c>
      <c r="N640" t="inlineStr">
        <is>
          <t>Solio</t>
        </is>
      </c>
      <c r="O640" s="5" t="n">
        <v>85</v>
      </c>
      <c r="P640" t="b">
        <v>0</v>
      </c>
      <c r="Q640" s="5">
        <f>IF(N(O640)&lt;=0,0,MIN(Assumptions!$B$15,N(M640)/N(O640)))</f>
        <v/>
      </c>
      <c r="R640" s="4" t="n">
        <v>0.322</v>
      </c>
      <c r="S640" s="3" t="n"/>
      <c r="T640" t="inlineStr"/>
      <c r="U640" s="3" t="n">
        <v>1</v>
      </c>
      <c r="V640" s="3" t="n"/>
      <c r="W640" s="3" t="n"/>
      <c r="X640" s="3" t="n"/>
      <c r="Y640" s="3" t="n"/>
      <c r="Z640" s="3" t="n">
        <v>0</v>
      </c>
      <c r="AA640" s="3" t="n"/>
      <c r="AB640" s="3" t="n"/>
      <c r="AC640" s="3" t="n">
        <v>2.4232</v>
      </c>
      <c r="AD640" s="3" t="n">
        <v>1.1851</v>
      </c>
      <c r="AE640" s="3" t="n">
        <v>-0.2045226422080557</v>
      </c>
      <c r="AF640" s="4" t="n">
        <v>0</v>
      </c>
      <c r="AG640" s="3" t="n">
        <v>0</v>
      </c>
      <c r="AH640" s="3" t="n">
        <v>0</v>
      </c>
      <c r="AI640" s="3" t="n">
        <v>0</v>
      </c>
      <c r="AJ640" s="3">
        <f>N(R640)*N(BC640)</f>
        <v/>
      </c>
      <c r="AK640" s="3" t="n">
        <v>0</v>
      </c>
      <c r="AL640" s="3" t="n">
        <v>0</v>
      </c>
      <c r="AM640" s="3" t="n">
        <v>-0.365915508000572</v>
      </c>
      <c r="AN640" s="3" t="n">
        <v>-0.2045226422080557</v>
      </c>
      <c r="AO640" s="3">
        <f>SUM(AH640:AN640)</f>
        <v/>
      </c>
      <c r="AP640" s="5">
        <f>IF(OR(N(Q640)&lt;=0,N(BA640)=0),0,N(Q640)*IF(N(M640)/N(Q640)&gt;=60,N(BA640),1))</f>
        <v/>
      </c>
      <c r="AQ640" s="5">
        <f>N(Q640)*N(Z640)*N(BB640)</f>
        <v/>
      </c>
      <c r="AR640" s="5">
        <f>N(AF640)*(Assumptions!$B$13*N(BD640)-(1-Assumptions!$B$13)*Assumptions!$B$14)+N(AG640)</f>
        <v/>
      </c>
      <c r="AS640" s="5">
        <f>N(AO640)*N(M640)/90+N(AP640)+N(AQ640)+N(AR640)</f>
        <v/>
      </c>
      <c r="AT640" s="3">
        <f>IF(N(M640)&lt;=0,0,(N(AS640)-N(AR640))*90/N(M640))</f>
        <v/>
      </c>
      <c r="AU640" s="5">
        <f>IFERROR(AS640-VLOOKUP($C640,Assumptions!$A$36:$C$39,3,FALSE),"")</f>
        <v/>
      </c>
      <c r="AV640" s="3">
        <f>IFERROR(AU640/F640,"")</f>
        <v/>
      </c>
      <c r="AW640">
        <f>IF(AND($E640=TRUE,$C640="GKP"),AS640,"")</f>
        <v/>
      </c>
      <c r="AX640">
        <f>IF(AND($E640=TRUE,$C640="DEF"),AS640,"")</f>
        <v/>
      </c>
      <c r="AY640">
        <f>IF(AND($E640=TRUE,$C640="MID"),AS640,"")</f>
        <v/>
      </c>
      <c r="AZ640">
        <f>IF(AND($E640=TRUE,$C640="FWD"),AS640,"")</f>
        <v/>
      </c>
      <c r="BA640" t="n">
        <v>2</v>
      </c>
      <c r="BB640" t="n">
        <v>2</v>
      </c>
      <c r="BC640" t="n">
        <v>4</v>
      </c>
      <c r="BD640" t="n">
        <v>6</v>
      </c>
    </row>
    <row r="641">
      <c r="A641" t="inlineStr">
        <is>
          <t>Enis Destan</t>
        </is>
      </c>
      <c r="B641" t="inlineStr">
        <is>
          <t>HUL</t>
        </is>
      </c>
      <c r="C641" t="inlineStr">
        <is>
          <t>FWD</t>
        </is>
      </c>
      <c r="E641" t="b">
        <v>1</v>
      </c>
      <c r="F641" s="2" t="n">
        <v>4.5</v>
      </c>
      <c r="G641" t="inlineStr">
        <is>
          <t>a</t>
        </is>
      </c>
      <c r="I641" s="2" t="n"/>
      <c r="K641" s="3" t="n">
        <v>93</v>
      </c>
      <c r="L641" t="inlineStr">
        <is>
          <t>flat</t>
        </is>
      </c>
      <c r="M641" s="4" t="n">
        <v>93</v>
      </c>
      <c r="N641" t="inlineStr">
        <is>
          <t>Solio</t>
        </is>
      </c>
      <c r="O641" s="5" t="n">
        <v>85</v>
      </c>
      <c r="P641" t="b">
        <v>0</v>
      </c>
      <c r="Q641" s="5">
        <f>IF(N(O641)&lt;=0,0,MIN(Assumptions!$B$15,N(M641)/N(O641)))</f>
        <v/>
      </c>
      <c r="R641" s="4" t="n">
        <v>0.143</v>
      </c>
      <c r="S641" s="3" t="n"/>
      <c r="T641" t="inlineStr"/>
      <c r="U641" s="3" t="n">
        <v>1</v>
      </c>
      <c r="V641" s="3" t="n"/>
      <c r="W641" s="3" t="n"/>
      <c r="X641" s="3" t="n"/>
      <c r="Y641" s="3" t="n"/>
      <c r="Z641" s="3" t="n">
        <v>0</v>
      </c>
      <c r="AA641" s="3" t="n"/>
      <c r="AB641" s="3" t="n"/>
      <c r="AC641" s="3" t="n">
        <v>3.9421</v>
      </c>
      <c r="AD641" s="3" t="n">
        <v>1.99</v>
      </c>
      <c r="AE641" s="3" t="n">
        <v>-0.174691292596322</v>
      </c>
      <c r="AF641" s="4" t="n">
        <v>0</v>
      </c>
      <c r="AG641" s="3" t="n">
        <v>0</v>
      </c>
      <c r="AH641" s="3" t="n">
        <v>0</v>
      </c>
      <c r="AI641" s="3" t="n">
        <v>0</v>
      </c>
      <c r="AJ641" s="3">
        <f>N(R641)*N(BC641)</f>
        <v/>
      </c>
      <c r="AK641" s="3" t="n">
        <v>0</v>
      </c>
      <c r="AL641" s="3" t="n">
        <v>0</v>
      </c>
      <c r="AM641" s="3" t="n">
        <v>-0</v>
      </c>
      <c r="AN641" s="3" t="n">
        <v>-0.174691292596322</v>
      </c>
      <c r="AO641" s="3">
        <f>SUM(AH641:AN641)</f>
        <v/>
      </c>
      <c r="AP641" s="5">
        <f>IF(OR(N(Q641)&lt;=0,N(BA641)=0),0,N(Q641)*IF(N(M641)/N(Q641)&gt;=60,N(BA641),1))</f>
        <v/>
      </c>
      <c r="AQ641" s="5">
        <f>N(Q641)*N(Z641)*N(BB641)</f>
        <v/>
      </c>
      <c r="AR641" s="5">
        <f>N(AF641)*(Assumptions!$B$13*N(BD641)-(1-Assumptions!$B$13)*Assumptions!$B$14)+N(AG641)</f>
        <v/>
      </c>
      <c r="AS641" s="5">
        <f>N(AO641)*N(M641)/90+N(AP641)+N(AQ641)+N(AR641)</f>
        <v/>
      </c>
      <c r="AT641" s="3">
        <f>IF(N(M641)&lt;=0,0,(N(AS641)-N(AR641))*90/N(M641))</f>
        <v/>
      </c>
      <c r="AU641" s="5">
        <f>IFERROR(AS641-VLOOKUP($C641,Assumptions!$A$36:$C$39,3,FALSE),"")</f>
        <v/>
      </c>
      <c r="AV641" s="3">
        <f>IFERROR(AU641/F641,"")</f>
        <v/>
      </c>
      <c r="AW641">
        <f>IF(AND($E641=TRUE,$C641="GKP"),AS641,"")</f>
        <v/>
      </c>
      <c r="AX641">
        <f>IF(AND($E641=TRUE,$C641="DEF"),AS641,"")</f>
        <v/>
      </c>
      <c r="AY641">
        <f>IF(AND($E641=TRUE,$C641="MID"),AS641,"")</f>
        <v/>
      </c>
      <c r="AZ641">
        <f>IF(AND($E641=TRUE,$C641="FWD"),AS641,"")</f>
        <v/>
      </c>
      <c r="BA641" t="n">
        <v>2</v>
      </c>
      <c r="BB641" t="n">
        <v>2</v>
      </c>
      <c r="BC641" t="n">
        <v>0</v>
      </c>
      <c r="BD641" t="n">
        <v>4</v>
      </c>
    </row>
    <row r="642">
      <c r="A642" t="inlineStr">
        <is>
          <t>Marcelino Núñez</t>
        </is>
      </c>
      <c r="B642" t="inlineStr">
        <is>
          <t>IPS</t>
        </is>
      </c>
      <c r="C642" t="inlineStr">
        <is>
          <t>MID</t>
        </is>
      </c>
      <c r="E642" t="b">
        <v>1</v>
      </c>
      <c r="F642" s="2" t="n">
        <v>5</v>
      </c>
      <c r="G642" t="inlineStr">
        <is>
          <t>a</t>
        </is>
      </c>
      <c r="I642" s="2" t="n"/>
      <c r="K642" s="3" t="n">
        <v>2736</v>
      </c>
      <c r="L642" t="inlineStr">
        <is>
          <t>flat</t>
        </is>
      </c>
      <c r="M642" s="4" t="n">
        <v>2736</v>
      </c>
      <c r="N642" t="inlineStr">
        <is>
          <t>Solio</t>
        </is>
      </c>
      <c r="O642" s="5" t="n">
        <v>85</v>
      </c>
      <c r="P642" t="b">
        <v>0</v>
      </c>
      <c r="Q642" s="5">
        <f>IF(N(O642)&lt;=0,0,MIN(Assumptions!$B$15,N(M642)/N(O642)))</f>
        <v/>
      </c>
      <c r="R642" s="4" t="n">
        <v>0.17</v>
      </c>
      <c r="S642" s="3" t="n"/>
      <c r="T642" t="inlineStr"/>
      <c r="U642" s="3" t="n">
        <v>1</v>
      </c>
      <c r="V642" s="3" t="n"/>
      <c r="W642" s="3" t="n"/>
      <c r="X642" s="3" t="n"/>
      <c r="Y642" s="3" t="n"/>
      <c r="Z642" s="3" t="n">
        <v>0</v>
      </c>
      <c r="AA642" s="3" t="n"/>
      <c r="AB642" s="3" t="n"/>
      <c r="AC642" s="3" t="n">
        <v>3.5741</v>
      </c>
      <c r="AD642" s="3" t="n">
        <v>1.8319</v>
      </c>
      <c r="AE642" s="3" t="n">
        <v>-0.2160434166173144</v>
      </c>
      <c r="AF642" s="4" t="n">
        <v>0</v>
      </c>
      <c r="AG642" s="3" t="n">
        <v>0</v>
      </c>
      <c r="AH642" s="3" t="n">
        <v>0</v>
      </c>
      <c r="AI642" s="3" t="n">
        <v>0</v>
      </c>
      <c r="AJ642" s="3">
        <f>N(R642)*N(BC642)</f>
        <v/>
      </c>
      <c r="AK642" s="3" t="n">
        <v>0</v>
      </c>
      <c r="AL642" s="3" t="n">
        <v>0</v>
      </c>
      <c r="AM642" s="3" t="n">
        <v>-0</v>
      </c>
      <c r="AN642" s="3" t="n">
        <v>-0.2160434166173144</v>
      </c>
      <c r="AO642" s="3">
        <f>SUM(AH642:AN642)</f>
        <v/>
      </c>
      <c r="AP642" s="5">
        <f>IF(OR(N(Q642)&lt;=0,N(BA642)=0),0,N(Q642)*IF(N(M642)/N(Q642)&gt;=60,N(BA642),1))</f>
        <v/>
      </c>
      <c r="AQ642" s="5">
        <f>N(Q642)*N(Z642)*N(BB642)</f>
        <v/>
      </c>
      <c r="AR642" s="5">
        <f>N(AF642)*(Assumptions!$B$13*N(BD642)-(1-Assumptions!$B$13)*Assumptions!$B$14)+N(AG642)</f>
        <v/>
      </c>
      <c r="AS642" s="5">
        <f>N(AO642)*N(M642)/90+N(AP642)+N(AQ642)+N(AR642)</f>
        <v/>
      </c>
      <c r="AT642" s="3">
        <f>IF(N(M642)&lt;=0,0,(N(AS642)-N(AR642))*90/N(M642))</f>
        <v/>
      </c>
      <c r="AU642" s="5">
        <f>IFERROR(AS642-VLOOKUP($C642,Assumptions!$A$36:$C$39,3,FALSE),"")</f>
        <v/>
      </c>
      <c r="AV642" s="3">
        <f>IFERROR(AU642/F642,"")</f>
        <v/>
      </c>
      <c r="AW642">
        <f>IF(AND($E642=TRUE,$C642="GKP"),AS642,"")</f>
        <v/>
      </c>
      <c r="AX642">
        <f>IF(AND($E642=TRUE,$C642="DEF"),AS642,"")</f>
        <v/>
      </c>
      <c r="AY642">
        <f>IF(AND($E642=TRUE,$C642="MID"),AS642,"")</f>
        <v/>
      </c>
      <c r="AZ642">
        <f>IF(AND($E642=TRUE,$C642="FWD"),AS642,"")</f>
        <v/>
      </c>
      <c r="BA642" t="n">
        <v>2</v>
      </c>
      <c r="BB642" t="n">
        <v>2</v>
      </c>
      <c r="BC642" t="n">
        <v>1</v>
      </c>
      <c r="BD642" t="n">
        <v>5</v>
      </c>
    </row>
    <row r="643">
      <c r="A643" t="inlineStr">
        <is>
          <t>Tatsuhiro Sakamoto</t>
        </is>
      </c>
      <c r="B643" t="inlineStr">
        <is>
          <t>COV</t>
        </is>
      </c>
      <c r="C643" t="inlineStr">
        <is>
          <t>MID</t>
        </is>
      </c>
      <c r="E643" t="b">
        <v>1</v>
      </c>
      <c r="F643" s="2" t="n">
        <v>5</v>
      </c>
      <c r="G643" t="inlineStr">
        <is>
          <t>a</t>
        </is>
      </c>
      <c r="I643" s="2" t="n"/>
      <c r="K643" s="3" t="n">
        <v>1927</v>
      </c>
      <c r="L643" t="inlineStr">
        <is>
          <t>flat</t>
        </is>
      </c>
      <c r="M643" s="4" t="n">
        <v>1927</v>
      </c>
      <c r="N643" t="inlineStr">
        <is>
          <t>Solio</t>
        </is>
      </c>
      <c r="O643" s="5" t="n">
        <v>85</v>
      </c>
      <c r="P643" t="b">
        <v>0</v>
      </c>
      <c r="Q643" s="5">
        <f>IF(N(O643)&lt;=0,0,MIN(Assumptions!$B$15,N(M643)/N(O643)))</f>
        <v/>
      </c>
      <c r="R643" s="4" t="n">
        <v>0.17</v>
      </c>
      <c r="S643" s="3" t="n"/>
      <c r="T643" t="inlineStr"/>
      <c r="U643" s="3" t="n">
        <v>1</v>
      </c>
      <c r="V643" s="3" t="n"/>
      <c r="W643" s="3" t="n"/>
      <c r="X643" s="3" t="n"/>
      <c r="Y643" s="3" t="n"/>
      <c r="Z643" s="3" t="n">
        <v>0</v>
      </c>
      <c r="AA643" s="3" t="n"/>
      <c r="AB643" s="3" t="n"/>
      <c r="AC643" s="3" t="n">
        <v>3.6194</v>
      </c>
      <c r="AD643" s="3" t="n">
        <v>1.8271</v>
      </c>
      <c r="AE643" s="3" t="n">
        <v>-0.2160434166173144</v>
      </c>
      <c r="AF643" s="4" t="n">
        <v>0</v>
      </c>
      <c r="AG643" s="3" t="n">
        <v>0</v>
      </c>
      <c r="AH643" s="3" t="n">
        <v>0</v>
      </c>
      <c r="AI643" s="3" t="n">
        <v>0</v>
      </c>
      <c r="AJ643" s="3">
        <f>N(R643)*N(BC643)</f>
        <v/>
      </c>
      <c r="AK643" s="3" t="n">
        <v>0</v>
      </c>
      <c r="AL643" s="3" t="n">
        <v>0</v>
      </c>
      <c r="AM643" s="3" t="n">
        <v>-0</v>
      </c>
      <c r="AN643" s="3" t="n">
        <v>-0.2160434166173144</v>
      </c>
      <c r="AO643" s="3">
        <f>SUM(AH643:AN643)</f>
        <v/>
      </c>
      <c r="AP643" s="5">
        <f>IF(OR(N(Q643)&lt;=0,N(BA643)=0),0,N(Q643)*IF(N(M643)/N(Q643)&gt;=60,N(BA643),1))</f>
        <v/>
      </c>
      <c r="AQ643" s="5">
        <f>N(Q643)*N(Z643)*N(BB643)</f>
        <v/>
      </c>
      <c r="AR643" s="5">
        <f>N(AF643)*(Assumptions!$B$13*N(BD643)-(1-Assumptions!$B$13)*Assumptions!$B$14)+N(AG643)</f>
        <v/>
      </c>
      <c r="AS643" s="5">
        <f>N(AO643)*N(M643)/90+N(AP643)+N(AQ643)+N(AR643)</f>
        <v/>
      </c>
      <c r="AT643" s="3">
        <f>IF(N(M643)&lt;=0,0,(N(AS643)-N(AR643))*90/N(M643))</f>
        <v/>
      </c>
      <c r="AU643" s="5">
        <f>IFERROR(AS643-VLOOKUP($C643,Assumptions!$A$36:$C$39,3,FALSE),"")</f>
        <v/>
      </c>
      <c r="AV643" s="3">
        <f>IFERROR(AU643/F643,"")</f>
        <v/>
      </c>
      <c r="AW643">
        <f>IF(AND($E643=TRUE,$C643="GKP"),AS643,"")</f>
        <v/>
      </c>
      <c r="AX643">
        <f>IF(AND($E643=TRUE,$C643="DEF"),AS643,"")</f>
        <v/>
      </c>
      <c r="AY643">
        <f>IF(AND($E643=TRUE,$C643="MID"),AS643,"")</f>
        <v/>
      </c>
      <c r="AZ643">
        <f>IF(AND($E643=TRUE,$C643="FWD"),AS643,"")</f>
        <v/>
      </c>
      <c r="BA643" t="n">
        <v>2</v>
      </c>
      <c r="BB643" t="n">
        <v>2</v>
      </c>
      <c r="BC643" t="n">
        <v>1</v>
      </c>
      <c r="BD643" t="n">
        <v>5</v>
      </c>
    </row>
    <row r="644">
      <c r="A644" t="inlineStr">
        <is>
          <t>Yerson Mosquera</t>
        </is>
      </c>
      <c r="D644" t="inlineStr">
        <is>
          <t>DEF</t>
        </is>
      </c>
      <c r="E644" t="b">
        <v>0</v>
      </c>
      <c r="F644" s="2" t="n"/>
      <c r="I644" s="2" t="n">
        <v>2142</v>
      </c>
      <c r="K644" s="3" t="n"/>
      <c r="M644" s="4" t="n">
        <v>2142</v>
      </c>
      <c r="N644" t="inlineStr">
        <is>
          <t>25/26 actual</t>
        </is>
      </c>
      <c r="O644" s="5" t="n">
        <v>85.8</v>
      </c>
      <c r="P644" t="b">
        <v>1</v>
      </c>
      <c r="Q644" s="5">
        <f>IF(N(O644)&lt;=0,0,MIN(Assumptions!$B$15,N(M644)/N(O644)))</f>
        <v/>
      </c>
      <c r="R644" s="4" t="n"/>
      <c r="S644" s="3" t="n">
        <v>0.0837</v>
      </c>
      <c r="T644" t="inlineStr">
        <is>
          <t>adjusted xGOT</t>
        </is>
      </c>
      <c r="U644" s="3" t="n">
        <v>1</v>
      </c>
      <c r="V644" s="3" t="n">
        <v>0.793</v>
      </c>
      <c r="W644" s="3" t="n">
        <v>2.8</v>
      </c>
      <c r="X644" s="3" t="n">
        <v>0.0505</v>
      </c>
      <c r="Y644" s="3" t="n">
        <v>8.836</v>
      </c>
      <c r="Z644" s="3" t="n">
        <v>0</v>
      </c>
      <c r="AA644" s="3" t="n">
        <v>0.1261</v>
      </c>
      <c r="AB644" s="3" t="n">
        <v>51</v>
      </c>
      <c r="AC644" s="3" t="n"/>
      <c r="AD644" s="3" t="n"/>
      <c r="AE644" s="3" t="n"/>
      <c r="AF644" s="4" t="n">
        <v>0</v>
      </c>
      <c r="AG644" s="3" t="n">
        <v>0</v>
      </c>
      <c r="AH644" s="3" t="n">
        <v>0</v>
      </c>
      <c r="AI644" s="3" t="n">
        <v>0</v>
      </c>
      <c r="AJ644" s="3">
        <f>N(R644)*N(BC644)</f>
        <v/>
      </c>
      <c r="AK644" s="3" t="n">
        <v>0</v>
      </c>
      <c r="AL644" s="3" t="n">
        <v>0</v>
      </c>
      <c r="AM644" s="3" t="n">
        <v>0</v>
      </c>
      <c r="AN644" s="3" t="n">
        <v>0</v>
      </c>
      <c r="AO644" s="3">
        <f>SUM(AH644:AN644)</f>
        <v/>
      </c>
      <c r="AP644" s="5">
        <f>IF(OR(N(Q644)&lt;=0,N(BA644)=0),0,N(Q644)*IF(N(M644)/N(Q644)&gt;=60,N(BA644),1))</f>
        <v/>
      </c>
      <c r="AQ644" s="5">
        <f>N(Q644)*N(Z644)*N(BB644)</f>
        <v/>
      </c>
      <c r="AR644" s="5">
        <f>N(AF644)*(Assumptions!$B$13*N(BD644)-(1-Assumptions!$B$13)*Assumptions!$B$14)+N(AG644)</f>
        <v/>
      </c>
      <c r="AS644" s="5">
        <f>N(AO644)*N(M644)/90+N(AP644)+N(AQ644)+N(AR644)</f>
        <v/>
      </c>
      <c r="AT644" s="3">
        <f>IF(N(M644)&lt;=0,0,(N(AS644)-N(AR644))*90/N(M644))</f>
        <v/>
      </c>
      <c r="AU644" s="5">
        <f>IFERROR(AS644-VLOOKUP($C644,Assumptions!$A$36:$C$39,3,FALSE),"")</f>
        <v/>
      </c>
      <c r="AV644" s="3">
        <f>IFERROR(AU644/F644,"")</f>
        <v/>
      </c>
      <c r="AW644">
        <f>IF(AND($E644=TRUE,$C644="GKP"),AS644,"")</f>
        <v/>
      </c>
      <c r="AX644">
        <f>IF(AND($E644=TRUE,$C644="DEF"),AS644,"")</f>
        <v/>
      </c>
      <c r="AY644">
        <f>IF(AND($E644=TRUE,$C644="MID"),AS644,"")</f>
        <v/>
      </c>
      <c r="AZ644">
        <f>IF(AND($E644=TRUE,$C644="FWD"),AS644,"")</f>
        <v/>
      </c>
      <c r="BA644" t="n">
        <v>0</v>
      </c>
      <c r="BB644" t="n">
        <v>0</v>
      </c>
      <c r="BC644" t="n">
        <v>0</v>
      </c>
      <c r="BD644" t="n">
        <v>0</v>
      </c>
    </row>
    <row r="645">
      <c r="A645" t="inlineStr">
        <is>
          <t>Charlie Hughes</t>
        </is>
      </c>
      <c r="B645" t="inlineStr">
        <is>
          <t>HUL</t>
        </is>
      </c>
      <c r="C645" t="inlineStr">
        <is>
          <t>DEF</t>
        </is>
      </c>
      <c r="E645" t="b">
        <v>1</v>
      </c>
      <c r="F645" s="2" t="n">
        <v>4</v>
      </c>
      <c r="G645" t="inlineStr">
        <is>
          <t>i</t>
        </is>
      </c>
      <c r="H645" t="inlineStr">
        <is>
          <t>Groin injury - Unknown return date</t>
        </is>
      </c>
      <c r="I645" s="2" t="n"/>
      <c r="K645" s="3" t="n">
        <v>2673</v>
      </c>
      <c r="L645" t="inlineStr">
        <is>
          <t>ramp-up (injury / late WC return)</t>
        </is>
      </c>
      <c r="M645" s="4" t="n">
        <v>2673</v>
      </c>
      <c r="N645" t="inlineStr">
        <is>
          <t>Solio</t>
        </is>
      </c>
      <c r="O645" s="5" t="n">
        <v>85</v>
      </c>
      <c r="P645" t="b">
        <v>0</v>
      </c>
      <c r="Q645" s="5">
        <f>IF(N(O645)&lt;=0,0,MIN(Assumptions!$B$15,N(M645)/N(O645)))</f>
        <v/>
      </c>
      <c r="R645" s="4" t="n">
        <v>0.143</v>
      </c>
      <c r="S645" s="3" t="n"/>
      <c r="T645" t="inlineStr"/>
      <c r="U645" s="3" t="n">
        <v>1</v>
      </c>
      <c r="V645" s="3" t="n"/>
      <c r="W645" s="3" t="n"/>
      <c r="X645" s="3" t="n"/>
      <c r="Y645" s="3" t="n"/>
      <c r="Z645" s="3" t="n">
        <v>0</v>
      </c>
      <c r="AA645" s="3" t="n"/>
      <c r="AB645" s="3" t="n"/>
      <c r="AC645" s="3" t="n">
        <v>3.9421</v>
      </c>
      <c r="AD645" s="3" t="n">
        <v>1.99</v>
      </c>
      <c r="AE645" s="3" t="n">
        <v>-0.2045226422080557</v>
      </c>
      <c r="AF645" s="4" t="n">
        <v>0</v>
      </c>
      <c r="AG645" s="3" t="n">
        <v>0</v>
      </c>
      <c r="AH645" s="3" t="n">
        <v>0</v>
      </c>
      <c r="AI645" s="3" t="n">
        <v>0</v>
      </c>
      <c r="AJ645" s="3">
        <f>N(R645)*N(BC645)</f>
        <v/>
      </c>
      <c r="AK645" s="3" t="n">
        <v>0</v>
      </c>
      <c r="AL645" s="3" t="n">
        <v>0</v>
      </c>
      <c r="AM645" s="3" t="n">
        <v>-0.7496714098286652</v>
      </c>
      <c r="AN645" s="3" t="n">
        <v>-0.2045226422080557</v>
      </c>
      <c r="AO645" s="3">
        <f>SUM(AH645:AN645)</f>
        <v/>
      </c>
      <c r="AP645" s="5">
        <f>IF(OR(N(Q645)&lt;=0,N(BA645)=0),0,N(Q645)*IF(N(M645)/N(Q645)&gt;=60,N(BA645),1))</f>
        <v/>
      </c>
      <c r="AQ645" s="5">
        <f>N(Q645)*N(Z645)*N(BB645)</f>
        <v/>
      </c>
      <c r="AR645" s="5">
        <f>N(AF645)*(Assumptions!$B$13*N(BD645)-(1-Assumptions!$B$13)*Assumptions!$B$14)+N(AG645)</f>
        <v/>
      </c>
      <c r="AS645" s="5">
        <f>N(AO645)*N(M645)/90+N(AP645)+N(AQ645)+N(AR645)</f>
        <v/>
      </c>
      <c r="AT645" s="3">
        <f>IF(N(M645)&lt;=0,0,(N(AS645)-N(AR645))*90/N(M645))</f>
        <v/>
      </c>
      <c r="AU645" s="5">
        <f>IFERROR(AS645-VLOOKUP($C645,Assumptions!$A$36:$C$39,3,FALSE),"")</f>
        <v/>
      </c>
      <c r="AV645" s="3">
        <f>IFERROR(AU645/F645,"")</f>
        <v/>
      </c>
      <c r="AW645">
        <f>IF(AND($E645=TRUE,$C645="GKP"),AS645,"")</f>
        <v/>
      </c>
      <c r="AX645">
        <f>IF(AND($E645=TRUE,$C645="DEF"),AS645,"")</f>
        <v/>
      </c>
      <c r="AY645">
        <f>IF(AND($E645=TRUE,$C645="MID"),AS645,"")</f>
        <v/>
      </c>
      <c r="AZ645">
        <f>IF(AND($E645=TRUE,$C645="FWD"),AS645,"")</f>
        <v/>
      </c>
      <c r="BA645" t="n">
        <v>2</v>
      </c>
      <c r="BB645" t="n">
        <v>2</v>
      </c>
      <c r="BC645" t="n">
        <v>4</v>
      </c>
      <c r="BD645" t="n">
        <v>6</v>
      </c>
    </row>
    <row r="646">
      <c r="A646" t="inlineStr">
        <is>
          <t>Emmanuel Emegha</t>
        </is>
      </c>
      <c r="B646" t="inlineStr">
        <is>
          <t>CHE</t>
        </is>
      </c>
      <c r="C646" t="inlineStr">
        <is>
          <t>FWD</t>
        </is>
      </c>
      <c r="E646" t="b">
        <v>1</v>
      </c>
      <c r="F646" s="2" t="n">
        <v>5</v>
      </c>
      <c r="G646" t="inlineStr">
        <is>
          <t>d</t>
        </is>
      </c>
      <c r="H646" t="inlineStr">
        <is>
          <t>Hamstring injury - 75% chance of playing</t>
        </is>
      </c>
      <c r="I646" s="2" t="n"/>
      <c r="K646" s="3" t="n">
        <v>0</v>
      </c>
      <c r="L646" t="inlineStr">
        <is>
          <t>flat</t>
        </is>
      </c>
      <c r="M646" s="4" t="n">
        <v>0</v>
      </c>
      <c r="N646" t="inlineStr">
        <is>
          <t>Solio</t>
        </is>
      </c>
      <c r="O646" s="5" t="n">
        <v>85</v>
      </c>
      <c r="P646" t="b">
        <v>0</v>
      </c>
      <c r="Q646" s="5">
        <f>IF(N(O646)&lt;=0,0,MIN(Assumptions!$B$15,N(M646)/N(O646)))</f>
        <v/>
      </c>
      <c r="R646" s="4" t="n">
        <v>0.322</v>
      </c>
      <c r="S646" s="3" t="n"/>
      <c r="T646" t="inlineStr"/>
      <c r="U646" s="3" t="n">
        <v>1</v>
      </c>
      <c r="V646" s="3" t="n"/>
      <c r="W646" s="3" t="n"/>
      <c r="X646" s="3" t="n"/>
      <c r="Y646" s="3" t="n"/>
      <c r="Z646" s="3" t="n">
        <v>0</v>
      </c>
      <c r="AA646" s="3" t="n"/>
      <c r="AB646" s="3" t="n"/>
      <c r="AC646" s="3" t="n">
        <v>2.4232</v>
      </c>
      <c r="AD646" s="3" t="n">
        <v>1.1851</v>
      </c>
      <c r="AE646" s="3" t="n">
        <v>-0.174691292596322</v>
      </c>
      <c r="AF646" s="4" t="n">
        <v>0</v>
      </c>
      <c r="AG646" s="3" t="n">
        <v>0</v>
      </c>
      <c r="AH646" s="3" t="n">
        <v>0</v>
      </c>
      <c r="AI646" s="3" t="n">
        <v>0</v>
      </c>
      <c r="AJ646" s="3">
        <f>N(R646)*N(BC646)</f>
        <v/>
      </c>
      <c r="AK646" s="3" t="n">
        <v>0</v>
      </c>
      <c r="AL646" s="3" t="n">
        <v>0</v>
      </c>
      <c r="AM646" s="3" t="n">
        <v>-0</v>
      </c>
      <c r="AN646" s="3" t="n">
        <v>-0.174691292596322</v>
      </c>
      <c r="AO646" s="3">
        <f>SUM(AH646:AN646)</f>
        <v/>
      </c>
      <c r="AP646" s="5">
        <f>IF(OR(N(Q646)&lt;=0,N(BA646)=0),0,N(Q646)*IF(N(M646)/N(Q646)&gt;=60,N(BA646),1))</f>
        <v/>
      </c>
      <c r="AQ646" s="5">
        <f>N(Q646)*N(Z646)*N(BB646)</f>
        <v/>
      </c>
      <c r="AR646" s="5">
        <f>N(AF646)*(Assumptions!$B$13*N(BD646)-(1-Assumptions!$B$13)*Assumptions!$B$14)+N(AG646)</f>
        <v/>
      </c>
      <c r="AS646" s="5">
        <f>N(AO646)*N(M646)/90+N(AP646)+N(AQ646)+N(AR646)</f>
        <v/>
      </c>
      <c r="AT646" s="3">
        <f>IF(N(M646)&lt;=0,0,(N(AS646)-N(AR646))*90/N(M646))</f>
        <v/>
      </c>
      <c r="AU646" s="5">
        <f>IFERROR(AS646-VLOOKUP($C646,Assumptions!$A$36:$C$39,3,FALSE),"")</f>
        <v/>
      </c>
      <c r="AV646" s="3">
        <f>IFERROR(AU646/F646,"")</f>
        <v/>
      </c>
      <c r="AW646">
        <f>IF(AND($E646=TRUE,$C646="GKP"),AS646,"")</f>
        <v/>
      </c>
      <c r="AX646">
        <f>IF(AND($E646=TRUE,$C646="DEF"),AS646,"")</f>
        <v/>
      </c>
      <c r="AY646">
        <f>IF(AND($E646=TRUE,$C646="MID"),AS646,"")</f>
        <v/>
      </c>
      <c r="AZ646">
        <f>IF(AND($E646=TRUE,$C646="FWD"),AS646,"")</f>
        <v/>
      </c>
      <c r="BA646" t="n">
        <v>2</v>
      </c>
      <c r="BB646" t="n">
        <v>2</v>
      </c>
      <c r="BC646" t="n">
        <v>0</v>
      </c>
      <c r="BD646" t="n">
        <v>4</v>
      </c>
    </row>
    <row r="647">
      <c r="A647" t="inlineStr">
        <is>
          <t>Lesley Ugochukwu</t>
        </is>
      </c>
      <c r="D647" t="inlineStr">
        <is>
          <t>MID</t>
        </is>
      </c>
      <c r="E647" t="b">
        <v>0</v>
      </c>
      <c r="F647" s="2" t="n"/>
      <c r="I647" s="2" t="n">
        <v>2350</v>
      </c>
      <c r="K647" s="3" t="n"/>
      <c r="M647" s="4" t="n">
        <v>2350</v>
      </c>
      <c r="N647" t="inlineStr">
        <is>
          <t>25/26 actual</t>
        </is>
      </c>
      <c r="O647" s="5" t="n">
        <v>77.90000000000001</v>
      </c>
      <c r="P647" t="b">
        <v>1</v>
      </c>
      <c r="Q647" s="5">
        <f>IF(N(O647)&lt;=0,0,MIN(Assumptions!$B$15,N(M647)/N(O647)))</f>
        <v/>
      </c>
      <c r="R647" s="4" t="n"/>
      <c r="S647" s="3" t="n">
        <v>0.0936</v>
      </c>
      <c r="T647" t="inlineStr">
        <is>
          <t>adjusted xGOT</t>
        </is>
      </c>
      <c r="U647" s="3" t="n">
        <v>1</v>
      </c>
      <c r="V647" s="3" t="n">
        <v>0.978</v>
      </c>
      <c r="W647" s="3" t="n">
        <v>3.4</v>
      </c>
      <c r="X647" s="3" t="n">
        <v>0.0172</v>
      </c>
      <c r="Y647" s="3" t="n">
        <v>8.339</v>
      </c>
      <c r="Z647" s="3" t="n">
        <v>0</v>
      </c>
      <c r="AA647" s="3" t="n">
        <v>0.1532</v>
      </c>
      <c r="AB647" s="3" t="n">
        <v>61</v>
      </c>
      <c r="AC647" s="3" t="n"/>
      <c r="AD647" s="3" t="n"/>
      <c r="AE647" s="3" t="n"/>
      <c r="AF647" s="4" t="n">
        <v>0</v>
      </c>
      <c r="AG647" s="3" t="n">
        <v>0</v>
      </c>
      <c r="AH647" s="3" t="n">
        <v>0</v>
      </c>
      <c r="AI647" s="3" t="n">
        <v>0</v>
      </c>
      <c r="AJ647" s="3">
        <f>N(R647)*N(BC647)</f>
        <v/>
      </c>
      <c r="AK647" s="3" t="n">
        <v>0</v>
      </c>
      <c r="AL647" s="3" t="n">
        <v>0</v>
      </c>
      <c r="AM647" s="3" t="n">
        <v>0</v>
      </c>
      <c r="AN647" s="3" t="n">
        <v>0</v>
      </c>
      <c r="AO647" s="3">
        <f>SUM(AH647:AN647)</f>
        <v/>
      </c>
      <c r="AP647" s="5">
        <f>IF(OR(N(Q647)&lt;=0,N(BA647)=0),0,N(Q647)*IF(N(M647)/N(Q647)&gt;=60,N(BA647),1))</f>
        <v/>
      </c>
      <c r="AQ647" s="5">
        <f>N(Q647)*N(Z647)*N(BB647)</f>
        <v/>
      </c>
      <c r="AR647" s="5">
        <f>N(AF647)*(Assumptions!$B$13*N(BD647)-(1-Assumptions!$B$13)*Assumptions!$B$14)+N(AG647)</f>
        <v/>
      </c>
      <c r="AS647" s="5">
        <f>N(AO647)*N(M647)/90+N(AP647)+N(AQ647)+N(AR647)</f>
        <v/>
      </c>
      <c r="AT647" s="3">
        <f>IF(N(M647)&lt;=0,0,(N(AS647)-N(AR647))*90/N(M647))</f>
        <v/>
      </c>
      <c r="AU647" s="5">
        <f>IFERROR(AS647-VLOOKUP($C647,Assumptions!$A$36:$C$39,3,FALSE),"")</f>
        <v/>
      </c>
      <c r="AV647" s="3">
        <f>IFERROR(AU647/F647,"")</f>
        <v/>
      </c>
      <c r="AW647">
        <f>IF(AND($E647=TRUE,$C647="GKP"),AS647,"")</f>
        <v/>
      </c>
      <c r="AX647">
        <f>IF(AND($E647=TRUE,$C647="DEF"),AS647,"")</f>
        <v/>
      </c>
      <c r="AY647">
        <f>IF(AND($E647=TRUE,$C647="MID"),AS647,"")</f>
        <v/>
      </c>
      <c r="AZ647">
        <f>IF(AND($E647=TRUE,$C647="FWD"),AS647,"")</f>
        <v/>
      </c>
      <c r="BA647" t="n">
        <v>0</v>
      </c>
      <c r="BB647" t="n">
        <v>0</v>
      </c>
      <c r="BC647" t="n">
        <v>0</v>
      </c>
      <c r="BD647" t="n">
        <v>0</v>
      </c>
    </row>
    <row r="648">
      <c r="A648" t="inlineStr">
        <is>
          <t>André</t>
        </is>
      </c>
      <c r="D648" t="inlineStr">
        <is>
          <t>MID</t>
        </is>
      </c>
      <c r="E648" t="b">
        <v>0</v>
      </c>
      <c r="F648" s="2" t="n"/>
      <c r="I648" s="2" t="n">
        <v>2766</v>
      </c>
      <c r="K648" s="3" t="n"/>
      <c r="M648" s="4" t="n">
        <v>2766</v>
      </c>
      <c r="N648" t="inlineStr">
        <is>
          <t>25/26 actual</t>
        </is>
      </c>
      <c r="O648" s="5" t="n">
        <v>86.40000000000001</v>
      </c>
      <c r="P648" t="b">
        <v>1</v>
      </c>
      <c r="Q648" s="5">
        <f>IF(N(O648)&lt;=0,0,MIN(Assumptions!$B$15,N(M648)/N(O648)))</f>
        <v/>
      </c>
      <c r="R648" s="4" t="n"/>
      <c r="S648" s="3" t="n">
        <v>0.0154</v>
      </c>
      <c r="T648" t="inlineStr">
        <is>
          <t>adjusted xGOT</t>
        </is>
      </c>
      <c r="U648" s="3" t="n">
        <v>1</v>
      </c>
      <c r="V648" s="3" t="n">
        <v>0.907</v>
      </c>
      <c r="W648" s="3" t="n">
        <v>0.9</v>
      </c>
      <c r="X648" s="3" t="n">
        <v>0.0406</v>
      </c>
      <c r="Y648" s="3" t="n">
        <v>11.68</v>
      </c>
      <c r="Z648" s="3" t="n">
        <v>0</v>
      </c>
      <c r="AA648" s="3" t="n">
        <v>0.1302</v>
      </c>
      <c r="AB648" s="3" t="n">
        <v>65</v>
      </c>
      <c r="AC648" s="3" t="n"/>
      <c r="AD648" s="3" t="n"/>
      <c r="AE648" s="3" t="n"/>
      <c r="AF648" s="4" t="n">
        <v>0</v>
      </c>
      <c r="AG648" s="3" t="n">
        <v>0</v>
      </c>
      <c r="AH648" s="3" t="n">
        <v>0</v>
      </c>
      <c r="AI648" s="3" t="n">
        <v>0</v>
      </c>
      <c r="AJ648" s="3">
        <f>N(R648)*N(BC648)</f>
        <v/>
      </c>
      <c r="AK648" s="3" t="n">
        <v>0</v>
      </c>
      <c r="AL648" s="3" t="n">
        <v>0</v>
      </c>
      <c r="AM648" s="3" t="n">
        <v>0</v>
      </c>
      <c r="AN648" s="3" t="n">
        <v>0</v>
      </c>
      <c r="AO648" s="3">
        <f>SUM(AH648:AN648)</f>
        <v/>
      </c>
      <c r="AP648" s="5">
        <f>IF(OR(N(Q648)&lt;=0,N(BA648)=0),0,N(Q648)*IF(N(M648)/N(Q648)&gt;=60,N(BA648),1))</f>
        <v/>
      </c>
      <c r="AQ648" s="5">
        <f>N(Q648)*N(Z648)*N(BB648)</f>
        <v/>
      </c>
      <c r="AR648" s="5">
        <f>N(AF648)*(Assumptions!$B$13*N(BD648)-(1-Assumptions!$B$13)*Assumptions!$B$14)+N(AG648)</f>
        <v/>
      </c>
      <c r="AS648" s="5">
        <f>N(AO648)*N(M648)/90+N(AP648)+N(AQ648)+N(AR648)</f>
        <v/>
      </c>
      <c r="AT648" s="3">
        <f>IF(N(M648)&lt;=0,0,(N(AS648)-N(AR648))*90/N(M648))</f>
        <v/>
      </c>
      <c r="AU648" s="5">
        <f>IFERROR(AS648-VLOOKUP($C648,Assumptions!$A$36:$C$39,3,FALSE),"")</f>
        <v/>
      </c>
      <c r="AV648" s="3">
        <f>IFERROR(AU648/F648,"")</f>
        <v/>
      </c>
      <c r="AW648">
        <f>IF(AND($E648=TRUE,$C648="GKP"),AS648,"")</f>
        <v/>
      </c>
      <c r="AX648">
        <f>IF(AND($E648=TRUE,$C648="DEF"),AS648,"")</f>
        <v/>
      </c>
      <c r="AY648">
        <f>IF(AND($E648=TRUE,$C648="MID"),AS648,"")</f>
        <v/>
      </c>
      <c r="AZ648">
        <f>IF(AND($E648=TRUE,$C648="FWD"),AS648,"")</f>
        <v/>
      </c>
      <c r="BA648" t="n">
        <v>0</v>
      </c>
      <c r="BB648" t="n">
        <v>0</v>
      </c>
      <c r="BC648" t="n">
        <v>0</v>
      </c>
      <c r="BD648" t="n">
        <v>0</v>
      </c>
    </row>
    <row r="649">
      <c r="A649" t="inlineStr">
        <is>
          <t>Toti Gomes</t>
        </is>
      </c>
      <c r="D649" t="inlineStr">
        <is>
          <t>DEF</t>
        </is>
      </c>
      <c r="E649" t="b">
        <v>0</v>
      </c>
      <c r="F649" s="2" t="n"/>
      <c r="I649" s="2" t="n">
        <v>1427</v>
      </c>
      <c r="K649" s="3" t="n"/>
      <c r="M649" s="4" t="n">
        <v>1427</v>
      </c>
      <c r="N649" t="inlineStr">
        <is>
          <t>25/26 actual</t>
        </is>
      </c>
      <c r="O649" s="5" t="n">
        <v>82.2</v>
      </c>
      <c r="P649" t="b">
        <v>1</v>
      </c>
      <c r="Q649" s="5">
        <f>IF(N(O649)&lt;=0,0,MIN(Assumptions!$B$15,N(M649)/N(O649)))</f>
        <v/>
      </c>
      <c r="R649" s="4" t="n"/>
      <c r="S649" s="3" t="n">
        <v>0.0307</v>
      </c>
      <c r="T649" t="inlineStr">
        <is>
          <t>adjusted xGOT</t>
        </is>
      </c>
      <c r="U649" s="3" t="n">
        <v>1</v>
      </c>
      <c r="V649" s="3" t="n">
        <v>0.917</v>
      </c>
      <c r="W649" s="3" t="n">
        <v>3.2</v>
      </c>
      <c r="X649" s="3" t="n">
        <v>0.01</v>
      </c>
      <c r="Y649" s="3" t="n">
        <v>8.587999999999999</v>
      </c>
      <c r="Z649" s="3" t="n">
        <v>0</v>
      </c>
      <c r="AA649" s="3" t="n">
        <v>0</v>
      </c>
      <c r="AB649" s="3" t="n">
        <v>34</v>
      </c>
      <c r="AC649" s="3" t="n"/>
      <c r="AD649" s="3" t="n"/>
      <c r="AE649" s="3" t="n"/>
      <c r="AF649" s="4" t="n">
        <v>0</v>
      </c>
      <c r="AG649" s="3" t="n">
        <v>0</v>
      </c>
      <c r="AH649" s="3" t="n">
        <v>0</v>
      </c>
      <c r="AI649" s="3" t="n">
        <v>0</v>
      </c>
      <c r="AJ649" s="3">
        <f>N(R649)*N(BC649)</f>
        <v/>
      </c>
      <c r="AK649" s="3" t="n">
        <v>0</v>
      </c>
      <c r="AL649" s="3" t="n">
        <v>0</v>
      </c>
      <c r="AM649" s="3" t="n">
        <v>0</v>
      </c>
      <c r="AN649" s="3" t="n">
        <v>0</v>
      </c>
      <c r="AO649" s="3">
        <f>SUM(AH649:AN649)</f>
        <v/>
      </c>
      <c r="AP649" s="5">
        <f>IF(OR(N(Q649)&lt;=0,N(BA649)=0),0,N(Q649)*IF(N(M649)/N(Q649)&gt;=60,N(BA649),1))</f>
        <v/>
      </c>
      <c r="AQ649" s="5">
        <f>N(Q649)*N(Z649)*N(BB649)</f>
        <v/>
      </c>
      <c r="AR649" s="5">
        <f>N(AF649)*(Assumptions!$B$13*N(BD649)-(1-Assumptions!$B$13)*Assumptions!$B$14)+N(AG649)</f>
        <v/>
      </c>
      <c r="AS649" s="5">
        <f>N(AO649)*N(M649)/90+N(AP649)+N(AQ649)+N(AR649)</f>
        <v/>
      </c>
      <c r="AT649" s="3">
        <f>IF(N(M649)&lt;=0,0,(N(AS649)-N(AR649))*90/N(M649))</f>
        <v/>
      </c>
      <c r="AU649" s="5">
        <f>IFERROR(AS649-VLOOKUP($C649,Assumptions!$A$36:$C$39,3,FALSE),"")</f>
        <v/>
      </c>
      <c r="AV649" s="3">
        <f>IFERROR(AU649/F649,"")</f>
        <v/>
      </c>
      <c r="AW649">
        <f>IF(AND($E649=TRUE,$C649="GKP"),AS649,"")</f>
        <v/>
      </c>
      <c r="AX649">
        <f>IF(AND($E649=TRUE,$C649="DEF"),AS649,"")</f>
        <v/>
      </c>
      <c r="AY649">
        <f>IF(AND($E649=TRUE,$C649="MID"),AS649,"")</f>
        <v/>
      </c>
      <c r="AZ649">
        <f>IF(AND($E649=TRUE,$C649="FWD"),AS649,"")</f>
        <v/>
      </c>
      <c r="BA649" t="n">
        <v>0</v>
      </c>
      <c r="BB649" t="n">
        <v>0</v>
      </c>
      <c r="BC649" t="n">
        <v>0</v>
      </c>
      <c r="BD649" t="n">
        <v>0</v>
      </c>
    </row>
    <row r="650">
      <c r="A650" t="inlineStr">
        <is>
          <t>Jota Silva</t>
        </is>
      </c>
      <c r="D650" t="inlineStr">
        <is>
          <t>MID</t>
        </is>
      </c>
      <c r="E650" t="b">
        <v>0</v>
      </c>
      <c r="F650" s="2" t="n"/>
      <c r="I650" s="2" t="n">
        <v>11</v>
      </c>
      <c r="K650" s="3" t="n"/>
      <c r="M650" s="4" t="n">
        <v>11</v>
      </c>
      <c r="N650" t="inlineStr">
        <is>
          <t>25/26 actual</t>
        </is>
      </c>
      <c r="O650" s="5" t="n">
        <v>85</v>
      </c>
      <c r="P650" t="b">
        <v>1</v>
      </c>
      <c r="Q650" s="5">
        <f>IF(N(O650)&lt;=0,0,MIN(Assumptions!$B$15,N(M650)/N(O650)))</f>
        <v/>
      </c>
      <c r="R650" s="4" t="n"/>
      <c r="S650" s="3" t="n">
        <v>0</v>
      </c>
      <c r="T650" t="inlineStr">
        <is>
          <t>adjusted xGOT</t>
        </is>
      </c>
      <c r="U650" s="3" t="n">
        <v>1</v>
      </c>
      <c r="V650" s="3" t="n">
        <v>0.987</v>
      </c>
      <c r="W650" s="3" t="n">
        <v>2.1</v>
      </c>
      <c r="X650" s="3" t="n">
        <v>0</v>
      </c>
      <c r="Y650" s="3" t="n">
        <v>8.817</v>
      </c>
      <c r="Z650" s="3" t="n">
        <v>0</v>
      </c>
      <c r="AA650" s="3" t="n">
        <v>0</v>
      </c>
      <c r="AB650" s="3" t="n">
        <v>1</v>
      </c>
      <c r="AC650" s="3" t="n"/>
      <c r="AD650" s="3" t="n"/>
      <c r="AE650" s="3" t="n"/>
      <c r="AF650" s="4" t="n">
        <v>0</v>
      </c>
      <c r="AG650" s="3" t="n">
        <v>0</v>
      </c>
      <c r="AH650" s="3" t="n">
        <v>0</v>
      </c>
      <c r="AI650" s="3" t="n">
        <v>0</v>
      </c>
      <c r="AJ650" s="3">
        <f>N(R650)*N(BC650)</f>
        <v/>
      </c>
      <c r="AK650" s="3" t="n">
        <v>0</v>
      </c>
      <c r="AL650" s="3" t="n">
        <v>0</v>
      </c>
      <c r="AM650" s="3" t="n">
        <v>0</v>
      </c>
      <c r="AN650" s="3" t="n">
        <v>0</v>
      </c>
      <c r="AO650" s="3">
        <f>SUM(AH650:AN650)</f>
        <v/>
      </c>
      <c r="AP650" s="5">
        <f>IF(OR(N(Q650)&lt;=0,N(BA650)=0),0,N(Q650)*IF(N(M650)/N(Q650)&gt;=60,N(BA650),1))</f>
        <v/>
      </c>
      <c r="AQ650" s="5">
        <f>N(Q650)*N(Z650)*N(BB650)</f>
        <v/>
      </c>
      <c r="AR650" s="5">
        <f>N(AF650)*(Assumptions!$B$13*N(BD650)-(1-Assumptions!$B$13)*Assumptions!$B$14)+N(AG650)</f>
        <v/>
      </c>
      <c r="AS650" s="5">
        <f>N(AO650)*N(M650)/90+N(AP650)+N(AQ650)+N(AR650)</f>
        <v/>
      </c>
      <c r="AT650" s="3">
        <f>IF(N(M650)&lt;=0,0,(N(AS650)-N(AR650))*90/N(M650))</f>
        <v/>
      </c>
      <c r="AU650" s="5">
        <f>IFERROR(AS650-VLOOKUP($C650,Assumptions!$A$36:$C$39,3,FALSE),"")</f>
        <v/>
      </c>
      <c r="AV650" s="3">
        <f>IFERROR(AU650/F650,"")</f>
        <v/>
      </c>
      <c r="AW650">
        <f>IF(AND($E650=TRUE,$C650="GKP"),AS650,"")</f>
        <v/>
      </c>
      <c r="AX650">
        <f>IF(AND($E650=TRUE,$C650="DEF"),AS650,"")</f>
        <v/>
      </c>
      <c r="AY650">
        <f>IF(AND($E650=TRUE,$C650="MID"),AS650,"")</f>
        <v/>
      </c>
      <c r="AZ650">
        <f>IF(AND($E650=TRUE,$C650="FWD"),AS650,"")</f>
        <v/>
      </c>
      <c r="BA650" t="n">
        <v>0</v>
      </c>
      <c r="BB650" t="n">
        <v>0</v>
      </c>
      <c r="BC650" t="n">
        <v>0</v>
      </c>
      <c r="BD650" t="n">
        <v>0</v>
      </c>
    </row>
    <row r="651">
      <c r="A651" t="inlineStr">
        <is>
          <t>Jannik Schuster</t>
        </is>
      </c>
      <c r="B651" t="inlineStr">
        <is>
          <t>BRE</t>
        </is>
      </c>
      <c r="C651" t="inlineStr">
        <is>
          <t>DEF</t>
        </is>
      </c>
      <c r="E651" t="b">
        <v>1</v>
      </c>
      <c r="F651" s="2" t="n">
        <v>4.5</v>
      </c>
      <c r="G651" t="inlineStr">
        <is>
          <t>a</t>
        </is>
      </c>
      <c r="I651" s="2" t="n"/>
      <c r="K651" s="3" t="n">
        <v>80</v>
      </c>
      <c r="L651" t="inlineStr">
        <is>
          <t>flat</t>
        </is>
      </c>
      <c r="M651" s="4" t="n">
        <v>80</v>
      </c>
      <c r="N651" t="inlineStr">
        <is>
          <t>Solio</t>
        </is>
      </c>
      <c r="O651" s="5" t="n">
        <v>85</v>
      </c>
      <c r="P651" t="b">
        <v>0</v>
      </c>
      <c r="Q651" s="5">
        <f>IF(N(O651)&lt;=0,0,MIN(Assumptions!$B$15,N(M651)/N(O651)))</f>
        <v/>
      </c>
      <c r="R651" s="4" t="n">
        <v>0.228</v>
      </c>
      <c r="S651" s="3" t="n"/>
      <c r="T651" t="inlineStr"/>
      <c r="U651" s="3" t="n">
        <v>1</v>
      </c>
      <c r="V651" s="3" t="n"/>
      <c r="W651" s="3" t="n"/>
      <c r="X651" s="3" t="n"/>
      <c r="Y651" s="3" t="n"/>
      <c r="Z651" s="3" t="n">
        <v>0</v>
      </c>
      <c r="AA651" s="3" t="n"/>
      <c r="AB651" s="3" t="n"/>
      <c r="AC651" s="3" t="n">
        <v>3.2371</v>
      </c>
      <c r="AD651" s="3" t="n">
        <v>1.5396</v>
      </c>
      <c r="AE651" s="3" t="n">
        <v>-0.2045226422080557</v>
      </c>
      <c r="AF651" s="4" t="n">
        <v>0</v>
      </c>
      <c r="AG651" s="3" t="n">
        <v>0</v>
      </c>
      <c r="AH651" s="3" t="n">
        <v>0</v>
      </c>
      <c r="AI651" s="3" t="n">
        <v>0</v>
      </c>
      <c r="AJ651" s="3">
        <f>N(R651)*N(BC651)</f>
        <v/>
      </c>
      <c r="AK651" s="3" t="n">
        <v>0</v>
      </c>
      <c r="AL651" s="3" t="n">
        <v>0</v>
      </c>
      <c r="AM651" s="3" t="n">
        <v>-0.5312990096912251</v>
      </c>
      <c r="AN651" s="3" t="n">
        <v>-0.2045226422080557</v>
      </c>
      <c r="AO651" s="3">
        <f>SUM(AH651:AN651)</f>
        <v/>
      </c>
      <c r="AP651" s="5">
        <f>IF(OR(N(Q651)&lt;=0,N(BA651)=0),0,N(Q651)*IF(N(M651)/N(Q651)&gt;=60,N(BA651),1))</f>
        <v/>
      </c>
      <c r="AQ651" s="5">
        <f>N(Q651)*N(Z651)*N(BB651)</f>
        <v/>
      </c>
      <c r="AR651" s="5">
        <f>N(AF651)*(Assumptions!$B$13*N(BD651)-(1-Assumptions!$B$13)*Assumptions!$B$14)+N(AG651)</f>
        <v/>
      </c>
      <c r="AS651" s="5">
        <f>N(AO651)*N(M651)/90+N(AP651)+N(AQ651)+N(AR651)</f>
        <v/>
      </c>
      <c r="AT651" s="3">
        <f>IF(N(M651)&lt;=0,0,(N(AS651)-N(AR651))*90/N(M651))</f>
        <v/>
      </c>
      <c r="AU651" s="5">
        <f>IFERROR(AS651-VLOOKUP($C651,Assumptions!$A$36:$C$39,3,FALSE),"")</f>
        <v/>
      </c>
      <c r="AV651" s="3">
        <f>IFERROR(AU651/F651,"")</f>
        <v/>
      </c>
      <c r="AW651">
        <f>IF(AND($E651=TRUE,$C651="GKP"),AS651,"")</f>
        <v/>
      </c>
      <c r="AX651">
        <f>IF(AND($E651=TRUE,$C651="DEF"),AS651,"")</f>
        <v/>
      </c>
      <c r="AY651">
        <f>IF(AND($E651=TRUE,$C651="MID"),AS651,"")</f>
        <v/>
      </c>
      <c r="AZ651">
        <f>IF(AND($E651=TRUE,$C651="FWD"),AS651,"")</f>
        <v/>
      </c>
      <c r="BA651" t="n">
        <v>2</v>
      </c>
      <c r="BB651" t="n">
        <v>2</v>
      </c>
      <c r="BC651" t="n">
        <v>4</v>
      </c>
      <c r="BD651" t="n">
        <v>6</v>
      </c>
    </row>
    <row r="652">
      <c r="A652" t="inlineStr">
        <is>
          <t>Brajan Gruda</t>
        </is>
      </c>
      <c r="D652" t="inlineStr">
        <is>
          <t>MID</t>
        </is>
      </c>
      <c r="E652" t="b">
        <v>0</v>
      </c>
      <c r="F652" s="2" t="n"/>
      <c r="I652" s="2" t="n">
        <v>715</v>
      </c>
      <c r="K652" s="3" t="n"/>
      <c r="M652" s="4" t="n">
        <v>715</v>
      </c>
      <c r="N652" t="inlineStr">
        <is>
          <t>25/26 actual</t>
        </is>
      </c>
      <c r="O652" s="5" t="n">
        <v>68.90000000000001</v>
      </c>
      <c r="P652" t="b">
        <v>1</v>
      </c>
      <c r="Q652" s="5">
        <f>IF(N(O652)&lt;=0,0,MIN(Assumptions!$B$15,N(M652)/N(O652)))</f>
        <v/>
      </c>
      <c r="R652" s="4" t="n"/>
      <c r="S652" s="3" t="n">
        <v>0.2424</v>
      </c>
      <c r="T652" t="inlineStr">
        <is>
          <t>adjusted xGOT</t>
        </is>
      </c>
      <c r="U652" s="3" t="n">
        <v>1</v>
      </c>
      <c r="V652" s="3" t="n">
        <v>1.035</v>
      </c>
      <c r="W652" s="3" t="n">
        <v>3</v>
      </c>
      <c r="X652" s="3" t="n">
        <v>0.153</v>
      </c>
      <c r="Y652" s="3" t="n">
        <v>7.98</v>
      </c>
      <c r="Z652" s="3" t="n">
        <v>0</v>
      </c>
      <c r="AA652" s="3" t="n">
        <v>0.3776</v>
      </c>
      <c r="AB652" s="3" t="n">
        <v>25</v>
      </c>
      <c r="AC652" s="3" t="n"/>
      <c r="AD652" s="3" t="n"/>
      <c r="AE652" s="3" t="n"/>
      <c r="AF652" s="4" t="n">
        <v>0</v>
      </c>
      <c r="AG652" s="3" t="n">
        <v>0</v>
      </c>
      <c r="AH652" s="3" t="n">
        <v>0</v>
      </c>
      <c r="AI652" s="3" t="n">
        <v>0</v>
      </c>
      <c r="AJ652" s="3">
        <f>N(R652)*N(BC652)</f>
        <v/>
      </c>
      <c r="AK652" s="3" t="n">
        <v>0</v>
      </c>
      <c r="AL652" s="3" t="n">
        <v>0</v>
      </c>
      <c r="AM652" s="3" t="n">
        <v>0</v>
      </c>
      <c r="AN652" s="3" t="n">
        <v>0</v>
      </c>
      <c r="AO652" s="3">
        <f>SUM(AH652:AN652)</f>
        <v/>
      </c>
      <c r="AP652" s="5">
        <f>IF(OR(N(Q652)&lt;=0,N(BA652)=0),0,N(Q652)*IF(N(M652)/N(Q652)&gt;=60,N(BA652),1))</f>
        <v/>
      </c>
      <c r="AQ652" s="5">
        <f>N(Q652)*N(Z652)*N(BB652)</f>
        <v/>
      </c>
      <c r="AR652" s="5">
        <f>N(AF652)*(Assumptions!$B$13*N(BD652)-(1-Assumptions!$B$13)*Assumptions!$B$14)+N(AG652)</f>
        <v/>
      </c>
      <c r="AS652" s="5">
        <f>N(AO652)*N(M652)/90+N(AP652)+N(AQ652)+N(AR652)</f>
        <v/>
      </c>
      <c r="AT652" s="3">
        <f>IF(N(M652)&lt;=0,0,(N(AS652)-N(AR652))*90/N(M652))</f>
        <v/>
      </c>
      <c r="AU652" s="5">
        <f>IFERROR(AS652-VLOOKUP($C652,Assumptions!$A$36:$C$39,3,FALSE),"")</f>
        <v/>
      </c>
      <c r="AV652" s="3">
        <f>IFERROR(AU652/F652,"")</f>
        <v/>
      </c>
      <c r="AW652">
        <f>IF(AND($E652=TRUE,$C652="GKP"),AS652,"")</f>
        <v/>
      </c>
      <c r="AX652">
        <f>IF(AND($E652=TRUE,$C652="DEF"),AS652,"")</f>
        <v/>
      </c>
      <c r="AY652">
        <f>IF(AND($E652=TRUE,$C652="MID"),AS652,"")</f>
        <v/>
      </c>
      <c r="AZ652">
        <f>IF(AND($E652=TRUE,$C652="FWD"),AS652,"")</f>
        <v/>
      </c>
      <c r="BA652" t="n">
        <v>0</v>
      </c>
      <c r="BB652" t="n">
        <v>0</v>
      </c>
      <c r="BC652" t="n">
        <v>0</v>
      </c>
      <c r="BD652" t="n">
        <v>0</v>
      </c>
    </row>
    <row r="653">
      <c r="A653" t="inlineStr">
        <is>
          <t>Mamadou Sangaré</t>
        </is>
      </c>
      <c r="B653" t="inlineStr">
        <is>
          <t>BRE</t>
        </is>
      </c>
      <c r="C653" t="inlineStr">
        <is>
          <t>MID</t>
        </is>
      </c>
      <c r="E653" t="b">
        <v>1</v>
      </c>
      <c r="F653" s="2" t="n">
        <v>5.5</v>
      </c>
      <c r="G653" t="inlineStr">
        <is>
          <t>a</t>
        </is>
      </c>
      <c r="I653" s="2" t="n"/>
      <c r="K653" s="3" t="n">
        <v>3050</v>
      </c>
      <c r="L653" t="inlineStr">
        <is>
          <t>flat</t>
        </is>
      </c>
      <c r="M653" s="4" t="n">
        <v>3050</v>
      </c>
      <c r="N653" t="inlineStr">
        <is>
          <t>Solio</t>
        </is>
      </c>
      <c r="O653" s="5" t="n">
        <v>85</v>
      </c>
      <c r="P653" t="b">
        <v>0</v>
      </c>
      <c r="Q653" s="5">
        <f>IF(N(O653)&lt;=0,0,MIN(Assumptions!$B$15,N(M653)/N(O653)))</f>
        <v/>
      </c>
      <c r="R653" s="4" t="n">
        <v>0.228</v>
      </c>
      <c r="S653" s="3" t="n"/>
      <c r="T653" t="inlineStr"/>
      <c r="U653" s="3" t="n">
        <v>1</v>
      </c>
      <c r="V653" s="3" t="n"/>
      <c r="W653" s="3" t="n"/>
      <c r="X653" s="3" t="n"/>
      <c r="Y653" s="3" t="n"/>
      <c r="Z653" s="3" t="n">
        <v>0</v>
      </c>
      <c r="AA653" s="3" t="n"/>
      <c r="AB653" s="3" t="n"/>
      <c r="AC653" s="3" t="n">
        <v>3.2371</v>
      </c>
      <c r="AD653" s="3" t="n">
        <v>1.5396</v>
      </c>
      <c r="AE653" s="3" t="n">
        <v>-0.2160434166173144</v>
      </c>
      <c r="AF653" s="4" t="n">
        <v>0</v>
      </c>
      <c r="AG653" s="3" t="n">
        <v>0</v>
      </c>
      <c r="AH653" s="3" t="n">
        <v>0</v>
      </c>
      <c r="AI653" s="3" t="n">
        <v>0</v>
      </c>
      <c r="AJ653" s="3">
        <f>N(R653)*N(BC653)</f>
        <v/>
      </c>
      <c r="AK653" s="3" t="n">
        <v>0</v>
      </c>
      <c r="AL653" s="3" t="n">
        <v>0</v>
      </c>
      <c r="AM653" s="3" t="n">
        <v>-0</v>
      </c>
      <c r="AN653" s="3" t="n">
        <v>-0.2160434166173144</v>
      </c>
      <c r="AO653" s="3">
        <f>SUM(AH653:AN653)</f>
        <v/>
      </c>
      <c r="AP653" s="5">
        <f>IF(OR(N(Q653)&lt;=0,N(BA653)=0),0,N(Q653)*IF(N(M653)/N(Q653)&gt;=60,N(BA653),1))</f>
        <v/>
      </c>
      <c r="AQ653" s="5">
        <f>N(Q653)*N(Z653)*N(BB653)</f>
        <v/>
      </c>
      <c r="AR653" s="5">
        <f>N(AF653)*(Assumptions!$B$13*N(BD653)-(1-Assumptions!$B$13)*Assumptions!$B$14)+N(AG653)</f>
        <v/>
      </c>
      <c r="AS653" s="5">
        <f>N(AO653)*N(M653)/90+N(AP653)+N(AQ653)+N(AR653)</f>
        <v/>
      </c>
      <c r="AT653" s="3">
        <f>IF(N(M653)&lt;=0,0,(N(AS653)-N(AR653))*90/N(M653))</f>
        <v/>
      </c>
      <c r="AU653" s="5">
        <f>IFERROR(AS653-VLOOKUP($C653,Assumptions!$A$36:$C$39,3,FALSE),"")</f>
        <v/>
      </c>
      <c r="AV653" s="3">
        <f>IFERROR(AU653/F653,"")</f>
        <v/>
      </c>
      <c r="AW653">
        <f>IF(AND($E653=TRUE,$C653="GKP"),AS653,"")</f>
        <v/>
      </c>
      <c r="AX653">
        <f>IF(AND($E653=TRUE,$C653="DEF"),AS653,"")</f>
        <v/>
      </c>
      <c r="AY653">
        <f>IF(AND($E653=TRUE,$C653="MID"),AS653,"")</f>
        <v/>
      </c>
      <c r="AZ653">
        <f>IF(AND($E653=TRUE,$C653="FWD"),AS653,"")</f>
        <v/>
      </c>
      <c r="BA653" t="n">
        <v>2</v>
      </c>
      <c r="BB653" t="n">
        <v>2</v>
      </c>
      <c r="BC653" t="n">
        <v>1</v>
      </c>
      <c r="BD653" t="n">
        <v>5</v>
      </c>
    </row>
    <row r="654">
      <c r="A654" t="inlineStr">
        <is>
          <t>Lewis Koumas</t>
        </is>
      </c>
      <c r="B654" t="inlineStr">
        <is>
          <t>LIV</t>
        </is>
      </c>
      <c r="C654" t="inlineStr">
        <is>
          <t>MID</t>
        </is>
      </c>
      <c r="E654" t="b">
        <v>1</v>
      </c>
      <c r="F654" s="2" t="n">
        <v>5</v>
      </c>
      <c r="G654" t="inlineStr">
        <is>
          <t>a</t>
        </is>
      </c>
      <c r="I654" s="2" t="n"/>
      <c r="K654" s="3" t="n">
        <v>0</v>
      </c>
      <c r="L654" t="inlineStr">
        <is>
          <t>flat</t>
        </is>
      </c>
      <c r="M654" s="4" t="n">
        <v>0</v>
      </c>
      <c r="N654" t="inlineStr">
        <is>
          <t>Solio</t>
        </is>
      </c>
      <c r="O654" s="5" t="n">
        <v>85</v>
      </c>
      <c r="P654" t="b">
        <v>0</v>
      </c>
      <c r="Q654" s="5">
        <f>IF(N(O654)&lt;=0,0,MIN(Assumptions!$B$15,N(M654)/N(O654)))</f>
        <v/>
      </c>
      <c r="R654" s="4" t="n">
        <v>0.342</v>
      </c>
      <c r="S654" s="3" t="n"/>
      <c r="T654" t="inlineStr"/>
      <c r="U654" s="3" t="n">
        <v>1</v>
      </c>
      <c r="V654" s="3" t="n"/>
      <c r="W654" s="3" t="n"/>
      <c r="X654" s="3" t="n"/>
      <c r="Y654" s="3" t="n"/>
      <c r="Z654" s="3" t="n">
        <v>0</v>
      </c>
      <c r="AA654" s="3" t="n"/>
      <c r="AB654" s="3" t="n"/>
      <c r="AC654" s="3" t="n">
        <v>2.409</v>
      </c>
      <c r="AD654" s="3" t="n">
        <v>1.1228</v>
      </c>
      <c r="AE654" s="3" t="n">
        <v>-0.2160434166173144</v>
      </c>
      <c r="AF654" s="4" t="n">
        <v>0</v>
      </c>
      <c r="AG654" s="3" t="n">
        <v>0</v>
      </c>
      <c r="AH654" s="3" t="n">
        <v>0</v>
      </c>
      <c r="AI654" s="3" t="n">
        <v>0</v>
      </c>
      <c r="AJ654" s="3">
        <f>N(R654)*N(BC654)</f>
        <v/>
      </c>
      <c r="AK654" s="3" t="n">
        <v>0</v>
      </c>
      <c r="AL654" s="3" t="n">
        <v>0</v>
      </c>
      <c r="AM654" s="3" t="n">
        <v>-0</v>
      </c>
      <c r="AN654" s="3" t="n">
        <v>-0.2160434166173144</v>
      </c>
      <c r="AO654" s="3">
        <f>SUM(AH654:AN654)</f>
        <v/>
      </c>
      <c r="AP654" s="5">
        <f>IF(OR(N(Q654)&lt;=0,N(BA654)=0),0,N(Q654)*IF(N(M654)/N(Q654)&gt;=60,N(BA654),1))</f>
        <v/>
      </c>
      <c r="AQ654" s="5">
        <f>N(Q654)*N(Z654)*N(BB654)</f>
        <v/>
      </c>
      <c r="AR654" s="5">
        <f>N(AF654)*(Assumptions!$B$13*N(BD654)-(1-Assumptions!$B$13)*Assumptions!$B$14)+N(AG654)</f>
        <v/>
      </c>
      <c r="AS654" s="5">
        <f>N(AO654)*N(M654)/90+N(AP654)+N(AQ654)+N(AR654)</f>
        <v/>
      </c>
      <c r="AT654" s="3">
        <f>IF(N(M654)&lt;=0,0,(N(AS654)-N(AR654))*90/N(M654))</f>
        <v/>
      </c>
      <c r="AU654" s="5">
        <f>IFERROR(AS654-VLOOKUP($C654,Assumptions!$A$36:$C$39,3,FALSE),"")</f>
        <v/>
      </c>
      <c r="AV654" s="3">
        <f>IFERROR(AU654/F654,"")</f>
        <v/>
      </c>
      <c r="AW654">
        <f>IF(AND($E654=TRUE,$C654="GKP"),AS654,"")</f>
        <v/>
      </c>
      <c r="AX654">
        <f>IF(AND($E654=TRUE,$C654="DEF"),AS654,"")</f>
        <v/>
      </c>
      <c r="AY654">
        <f>IF(AND($E654=TRUE,$C654="MID"),AS654,"")</f>
        <v/>
      </c>
      <c r="AZ654">
        <f>IF(AND($E654=TRUE,$C654="FWD"),AS654,"")</f>
        <v/>
      </c>
      <c r="BA654" t="n">
        <v>2</v>
      </c>
      <c r="BB654" t="n">
        <v>2</v>
      </c>
      <c r="BC654" t="n">
        <v>1</v>
      </c>
      <c r="BD654" t="n">
        <v>5</v>
      </c>
    </row>
    <row r="655">
      <c r="A655" t="inlineStr">
        <is>
          <t>Emmanuel Agbadou</t>
        </is>
      </c>
      <c r="D655" t="inlineStr">
        <is>
          <t>DEF</t>
        </is>
      </c>
      <c r="E655" t="b">
        <v>0</v>
      </c>
      <c r="F655" s="2" t="n"/>
      <c r="I655" s="2" t="n">
        <v>1101</v>
      </c>
      <c r="K655" s="3" t="n"/>
      <c r="M655" s="4" t="n">
        <v>1101</v>
      </c>
      <c r="N655" t="inlineStr">
        <is>
          <t>25/26 actual</t>
        </is>
      </c>
      <c r="O655" s="5" t="n">
        <v>85.40000000000001</v>
      </c>
      <c r="P655" t="b">
        <v>1</v>
      </c>
      <c r="Q655" s="5">
        <f>IF(N(O655)&lt;=0,0,MIN(Assumptions!$B$15,N(M655)/N(O655)))</f>
        <v/>
      </c>
      <c r="R655" s="4" t="n"/>
      <c r="S655" s="3" t="n">
        <v>0.0468</v>
      </c>
      <c r="T655" t="inlineStr">
        <is>
          <t>adjusted xGOT</t>
        </is>
      </c>
      <c r="U655" s="3" t="n">
        <v>1</v>
      </c>
      <c r="V655" s="3" t="n">
        <v>1.003</v>
      </c>
      <c r="W655" s="3" t="n">
        <v>1.5</v>
      </c>
      <c r="X655" s="3" t="n">
        <v>0.014</v>
      </c>
      <c r="Y655" s="3" t="n">
        <v>9.222</v>
      </c>
      <c r="Z655" s="3" t="n">
        <v>0</v>
      </c>
      <c r="AA655" s="3" t="n">
        <v>0</v>
      </c>
      <c r="AB655" s="3" t="n">
        <v>25</v>
      </c>
      <c r="AC655" s="3" t="n"/>
      <c r="AD655" s="3" t="n"/>
      <c r="AE655" s="3" t="n"/>
      <c r="AF655" s="4" t="n">
        <v>0</v>
      </c>
      <c r="AG655" s="3" t="n">
        <v>0</v>
      </c>
      <c r="AH655" s="3" t="n">
        <v>0</v>
      </c>
      <c r="AI655" s="3" t="n">
        <v>0</v>
      </c>
      <c r="AJ655" s="3">
        <f>N(R655)*N(BC655)</f>
        <v/>
      </c>
      <c r="AK655" s="3" t="n">
        <v>0</v>
      </c>
      <c r="AL655" s="3" t="n">
        <v>0</v>
      </c>
      <c r="AM655" s="3" t="n">
        <v>0</v>
      </c>
      <c r="AN655" s="3" t="n">
        <v>0</v>
      </c>
      <c r="AO655" s="3">
        <f>SUM(AH655:AN655)</f>
        <v/>
      </c>
      <c r="AP655" s="5">
        <f>IF(OR(N(Q655)&lt;=0,N(BA655)=0),0,N(Q655)*IF(N(M655)/N(Q655)&gt;=60,N(BA655),1))</f>
        <v/>
      </c>
      <c r="AQ655" s="5">
        <f>N(Q655)*N(Z655)*N(BB655)</f>
        <v/>
      </c>
      <c r="AR655" s="5">
        <f>N(AF655)*(Assumptions!$B$13*N(BD655)-(1-Assumptions!$B$13)*Assumptions!$B$14)+N(AG655)</f>
        <v/>
      </c>
      <c r="AS655" s="5">
        <f>N(AO655)*N(M655)/90+N(AP655)+N(AQ655)+N(AR655)</f>
        <v/>
      </c>
      <c r="AT655" s="3">
        <f>IF(N(M655)&lt;=0,0,(N(AS655)-N(AR655))*90/N(M655))</f>
        <v/>
      </c>
      <c r="AU655" s="5">
        <f>IFERROR(AS655-VLOOKUP($C655,Assumptions!$A$36:$C$39,3,FALSE),"")</f>
        <v/>
      </c>
      <c r="AV655" s="3">
        <f>IFERROR(AU655/F655,"")</f>
        <v/>
      </c>
      <c r="AW655">
        <f>IF(AND($E655=TRUE,$C655="GKP"),AS655,"")</f>
        <v/>
      </c>
      <c r="AX655">
        <f>IF(AND($E655=TRUE,$C655="DEF"),AS655,"")</f>
        <v/>
      </c>
      <c r="AY655">
        <f>IF(AND($E655=TRUE,$C655="MID"),AS655,"")</f>
        <v/>
      </c>
      <c r="AZ655">
        <f>IF(AND($E655=TRUE,$C655="FWD"),AS655,"")</f>
        <v/>
      </c>
      <c r="BA655" t="n">
        <v>0</v>
      </c>
      <c r="BB655" t="n">
        <v>0</v>
      </c>
      <c r="BC655" t="n">
        <v>0</v>
      </c>
      <c r="BD655" t="n">
        <v>0</v>
      </c>
    </row>
    <row r="656">
      <c r="A656" t="inlineStr">
        <is>
          <t>Max Weiss</t>
        </is>
      </c>
      <c r="D656" t="inlineStr">
        <is>
          <t>GKP</t>
        </is>
      </c>
      <c r="E656" t="b">
        <v>0</v>
      </c>
      <c r="F656" s="2" t="n"/>
      <c r="I656" s="2" t="n">
        <v>270</v>
      </c>
      <c r="K656" s="3" t="n"/>
      <c r="M656" s="4" t="n">
        <v>270</v>
      </c>
      <c r="N656" t="inlineStr">
        <is>
          <t>25/26 actual</t>
        </is>
      </c>
      <c r="O656" s="5" t="n">
        <v>90</v>
      </c>
      <c r="P656" t="b">
        <v>1</v>
      </c>
      <c r="Q656" s="5">
        <f>IF(N(O656)&lt;=0,0,MIN(Assumptions!$B$15,N(M656)/N(O656)))</f>
        <v/>
      </c>
      <c r="R656" s="4" t="n"/>
      <c r="S656" s="3" t="n">
        <v>0</v>
      </c>
      <c r="T656" t="inlineStr">
        <is>
          <t>blended xG</t>
        </is>
      </c>
      <c r="U656" s="3" t="n">
        <v>1</v>
      </c>
      <c r="V656" s="3" t="n">
        <v>1</v>
      </c>
      <c r="W656" s="3" t="n">
        <v>0</v>
      </c>
      <c r="X656" s="3" t="n">
        <v>0.0536</v>
      </c>
      <c r="Y656" s="3" t="n">
        <v>0</v>
      </c>
      <c r="Z656" s="3" t="n">
        <v>0</v>
      </c>
      <c r="AA656" s="3" t="n">
        <v>0</v>
      </c>
      <c r="AB656" s="3" t="n">
        <v>6</v>
      </c>
      <c r="AC656" s="3" t="n"/>
      <c r="AD656" s="3" t="n"/>
      <c r="AE656" s="3" t="n"/>
      <c r="AF656" s="4" t="n">
        <v>0</v>
      </c>
      <c r="AG656" s="3" t="n">
        <v>0</v>
      </c>
      <c r="AH656" s="3" t="n">
        <v>0</v>
      </c>
      <c r="AI656" s="3" t="n">
        <v>0</v>
      </c>
      <c r="AJ656" s="3">
        <f>N(R656)*N(BC656)</f>
        <v/>
      </c>
      <c r="AK656" s="3" t="n">
        <v>0</v>
      </c>
      <c r="AL656" s="3" t="n">
        <v>0</v>
      </c>
      <c r="AM656" s="3" t="n">
        <v>0</v>
      </c>
      <c r="AN656" s="3" t="n">
        <v>0</v>
      </c>
      <c r="AO656" s="3">
        <f>SUM(AH656:AN656)</f>
        <v/>
      </c>
      <c r="AP656" s="5">
        <f>IF(OR(N(Q656)&lt;=0,N(BA656)=0),0,N(Q656)*IF(N(M656)/N(Q656)&gt;=60,N(BA656),1))</f>
        <v/>
      </c>
      <c r="AQ656" s="5">
        <f>N(Q656)*N(Z656)*N(BB656)</f>
        <v/>
      </c>
      <c r="AR656" s="5">
        <f>N(AF656)*(Assumptions!$B$13*N(BD656)-(1-Assumptions!$B$13)*Assumptions!$B$14)+N(AG656)</f>
        <v/>
      </c>
      <c r="AS656" s="5">
        <f>N(AO656)*N(M656)/90+N(AP656)+N(AQ656)+N(AR656)</f>
        <v/>
      </c>
      <c r="AT656" s="3">
        <f>IF(N(M656)&lt;=0,0,(N(AS656)-N(AR656))*90/N(M656))</f>
        <v/>
      </c>
      <c r="AU656" s="5">
        <f>IFERROR(AS656-VLOOKUP($C656,Assumptions!$A$36:$C$39,3,FALSE),"")</f>
        <v/>
      </c>
      <c r="AV656" s="3">
        <f>IFERROR(AU656/F656,"")</f>
        <v/>
      </c>
      <c r="AW656">
        <f>IF(AND($E656=TRUE,$C656="GKP"),AS656,"")</f>
        <v/>
      </c>
      <c r="AX656">
        <f>IF(AND($E656=TRUE,$C656="DEF"),AS656,"")</f>
        <v/>
      </c>
      <c r="AY656">
        <f>IF(AND($E656=TRUE,$C656="MID"),AS656,"")</f>
        <v/>
      </c>
      <c r="AZ656">
        <f>IF(AND($E656=TRUE,$C656="FWD"),AS656,"")</f>
        <v/>
      </c>
      <c r="BA656" t="n">
        <v>0</v>
      </c>
      <c r="BB656" t="n">
        <v>0</v>
      </c>
      <c r="BC656" t="n">
        <v>0</v>
      </c>
      <c r="BD656" t="n">
        <v>0</v>
      </c>
    </row>
    <row r="657">
      <c r="A657" t="inlineStr">
        <is>
          <t>Oliver Sonne</t>
        </is>
      </c>
      <c r="D657" t="inlineStr">
        <is>
          <t>DEF</t>
        </is>
      </c>
      <c r="E657" t="b">
        <v>0</v>
      </c>
      <c r="F657" s="2" t="n"/>
      <c r="I657" s="2" t="n">
        <v>165</v>
      </c>
      <c r="K657" s="3" t="n"/>
      <c r="M657" s="4" t="n">
        <v>165</v>
      </c>
      <c r="N657" t="inlineStr">
        <is>
          <t>25/26 actual</t>
        </is>
      </c>
      <c r="O657" s="5" t="n">
        <v>73</v>
      </c>
      <c r="P657" t="b">
        <v>1</v>
      </c>
      <c r="Q657" s="5">
        <f>IF(N(O657)&lt;=0,0,MIN(Assumptions!$B$15,N(M657)/N(O657)))</f>
        <v/>
      </c>
      <c r="R657" s="4" t="n"/>
      <c r="S657" s="3" t="n">
        <v>0.3125</v>
      </c>
      <c r="T657" t="inlineStr">
        <is>
          <t>adjusted xGOT</t>
        </is>
      </c>
      <c r="U657" s="3" t="n">
        <v>1</v>
      </c>
      <c r="V657" s="3" t="n">
        <v>1.041</v>
      </c>
      <c r="W657" s="3" t="n">
        <v>0.6</v>
      </c>
      <c r="X657" s="3" t="n">
        <v>0.0147</v>
      </c>
      <c r="Y657" s="3" t="n">
        <v>6.972</v>
      </c>
      <c r="Z657" s="3" t="n">
        <v>0</v>
      </c>
      <c r="AA657" s="3" t="n">
        <v>0</v>
      </c>
      <c r="AB657" s="3" t="n">
        <v>8</v>
      </c>
      <c r="AC657" s="3" t="n"/>
      <c r="AD657" s="3" t="n"/>
      <c r="AE657" s="3" t="n"/>
      <c r="AF657" s="4" t="n">
        <v>0</v>
      </c>
      <c r="AG657" s="3" t="n">
        <v>0</v>
      </c>
      <c r="AH657" s="3" t="n">
        <v>0</v>
      </c>
      <c r="AI657" s="3" t="n">
        <v>0</v>
      </c>
      <c r="AJ657" s="3">
        <f>N(R657)*N(BC657)</f>
        <v/>
      </c>
      <c r="AK657" s="3" t="n">
        <v>0</v>
      </c>
      <c r="AL657" s="3" t="n">
        <v>0</v>
      </c>
      <c r="AM657" s="3" t="n">
        <v>0</v>
      </c>
      <c r="AN657" s="3" t="n">
        <v>0</v>
      </c>
      <c r="AO657" s="3">
        <f>SUM(AH657:AN657)</f>
        <v/>
      </c>
      <c r="AP657" s="5">
        <f>IF(OR(N(Q657)&lt;=0,N(BA657)=0),0,N(Q657)*IF(N(M657)/N(Q657)&gt;=60,N(BA657),1))</f>
        <v/>
      </c>
      <c r="AQ657" s="5">
        <f>N(Q657)*N(Z657)*N(BB657)</f>
        <v/>
      </c>
      <c r="AR657" s="5">
        <f>N(AF657)*(Assumptions!$B$13*N(BD657)-(1-Assumptions!$B$13)*Assumptions!$B$14)+N(AG657)</f>
        <v/>
      </c>
      <c r="AS657" s="5">
        <f>N(AO657)*N(M657)/90+N(AP657)+N(AQ657)+N(AR657)</f>
        <v/>
      </c>
      <c r="AT657" s="3">
        <f>IF(N(M657)&lt;=0,0,(N(AS657)-N(AR657))*90/N(M657))</f>
        <v/>
      </c>
      <c r="AU657" s="5">
        <f>IFERROR(AS657-VLOOKUP($C657,Assumptions!$A$36:$C$39,3,FALSE),"")</f>
        <v/>
      </c>
      <c r="AV657" s="3">
        <f>IFERROR(AU657/F657,"")</f>
        <v/>
      </c>
      <c r="AW657">
        <f>IF(AND($E657=TRUE,$C657="GKP"),AS657,"")</f>
        <v/>
      </c>
      <c r="AX657">
        <f>IF(AND($E657=TRUE,$C657="DEF"),AS657,"")</f>
        <v/>
      </c>
      <c r="AY657">
        <f>IF(AND($E657=TRUE,$C657="MID"),AS657,"")</f>
        <v/>
      </c>
      <c r="AZ657">
        <f>IF(AND($E657=TRUE,$C657="FWD"),AS657,"")</f>
        <v/>
      </c>
      <c r="BA657" t="n">
        <v>0</v>
      </c>
      <c r="BB657" t="n">
        <v>0</v>
      </c>
      <c r="BC657" t="n">
        <v>0</v>
      </c>
      <c r="BD657" t="n">
        <v>0</v>
      </c>
    </row>
    <row r="658">
      <c r="A658" t="inlineStr">
        <is>
          <t>Tarik Muharemović</t>
        </is>
      </c>
      <c r="B658" t="inlineStr">
        <is>
          <t>LEE</t>
        </is>
      </c>
      <c r="C658" t="inlineStr">
        <is>
          <t>DEF</t>
        </is>
      </c>
      <c r="E658" t="b">
        <v>1</v>
      </c>
      <c r="F658" s="2" t="n">
        <v>5</v>
      </c>
      <c r="G658" t="inlineStr">
        <is>
          <t>a</t>
        </is>
      </c>
      <c r="I658" s="2" t="n"/>
      <c r="K658" s="3" t="n">
        <v>3209</v>
      </c>
      <c r="L658" t="inlineStr">
        <is>
          <t>flat</t>
        </is>
      </c>
      <c r="M658" s="4" t="n">
        <v>3209</v>
      </c>
      <c r="N658" t="inlineStr">
        <is>
          <t>Solio</t>
        </is>
      </c>
      <c r="O658" s="5" t="n">
        <v>85</v>
      </c>
      <c r="P658" t="b">
        <v>0</v>
      </c>
      <c r="Q658" s="5">
        <f>IF(N(O658)&lt;=0,0,MIN(Assumptions!$B$15,N(M658)/N(O658)))</f>
        <v/>
      </c>
      <c r="R658" s="4" t="n">
        <v>0.218</v>
      </c>
      <c r="S658" s="3" t="n"/>
      <c r="T658" t="inlineStr"/>
      <c r="U658" s="3" t="n">
        <v>1</v>
      </c>
      <c r="V658" s="3" t="n"/>
      <c r="W658" s="3" t="n"/>
      <c r="X658" s="3" t="n"/>
      <c r="Y658" s="3" t="n"/>
      <c r="Z658" s="3" t="n">
        <v>0</v>
      </c>
      <c r="AA658" s="3" t="n"/>
      <c r="AB658" s="3" t="n"/>
      <c r="AC658" s="3" t="n">
        <v>3.0611</v>
      </c>
      <c r="AD658" s="3" t="n">
        <v>1.5875</v>
      </c>
      <c r="AE658" s="3" t="n">
        <v>-0.2045226422080557</v>
      </c>
      <c r="AF658" s="4" t="n">
        <v>0</v>
      </c>
      <c r="AG658" s="3" t="n">
        <v>0</v>
      </c>
      <c r="AH658" s="3" t="n">
        <v>0</v>
      </c>
      <c r="AI658" s="3" t="n">
        <v>0</v>
      </c>
      <c r="AJ658" s="3">
        <f>N(R658)*N(BC658)</f>
        <v/>
      </c>
      <c r="AK658" s="3" t="n">
        <v>0</v>
      </c>
      <c r="AL658" s="3" t="n">
        <v>0</v>
      </c>
      <c r="AM658" s="3" t="n">
        <v>-0.5541985260210861</v>
      </c>
      <c r="AN658" s="3" t="n">
        <v>-0.2045226422080557</v>
      </c>
      <c r="AO658" s="3">
        <f>SUM(AH658:AN658)</f>
        <v/>
      </c>
      <c r="AP658" s="5">
        <f>IF(OR(N(Q658)&lt;=0,N(BA658)=0),0,N(Q658)*IF(N(M658)/N(Q658)&gt;=60,N(BA658),1))</f>
        <v/>
      </c>
      <c r="AQ658" s="5">
        <f>N(Q658)*N(Z658)*N(BB658)</f>
        <v/>
      </c>
      <c r="AR658" s="5">
        <f>N(AF658)*(Assumptions!$B$13*N(BD658)-(1-Assumptions!$B$13)*Assumptions!$B$14)+N(AG658)</f>
        <v/>
      </c>
      <c r="AS658" s="5">
        <f>N(AO658)*N(M658)/90+N(AP658)+N(AQ658)+N(AR658)</f>
        <v/>
      </c>
      <c r="AT658" s="3">
        <f>IF(N(M658)&lt;=0,0,(N(AS658)-N(AR658))*90/N(M658))</f>
        <v/>
      </c>
      <c r="AU658" s="5">
        <f>IFERROR(AS658-VLOOKUP($C658,Assumptions!$A$36:$C$39,3,FALSE),"")</f>
        <v/>
      </c>
      <c r="AV658" s="3">
        <f>IFERROR(AU658/F658,"")</f>
        <v/>
      </c>
      <c r="AW658">
        <f>IF(AND($E658=TRUE,$C658="GKP"),AS658,"")</f>
        <v/>
      </c>
      <c r="AX658">
        <f>IF(AND($E658=TRUE,$C658="DEF"),AS658,"")</f>
        <v/>
      </c>
      <c r="AY658">
        <f>IF(AND($E658=TRUE,$C658="MID"),AS658,"")</f>
        <v/>
      </c>
      <c r="AZ658">
        <f>IF(AND($E658=TRUE,$C658="FWD"),AS658,"")</f>
        <v/>
      </c>
      <c r="BA658" t="n">
        <v>2</v>
      </c>
      <c r="BB658" t="n">
        <v>2</v>
      </c>
      <c r="BC658" t="n">
        <v>4</v>
      </c>
      <c r="BD658" t="n">
        <v>6</v>
      </c>
    </row>
    <row r="659">
      <c r="A659" t="inlineStr">
        <is>
          <t>Jackson Tchatchoua</t>
        </is>
      </c>
      <c r="D659" t="inlineStr">
        <is>
          <t>DEF</t>
        </is>
      </c>
      <c r="E659" t="b">
        <v>0</v>
      </c>
      <c r="F659" s="2" t="n"/>
      <c r="I659" s="2" t="n">
        <v>1837</v>
      </c>
      <c r="K659" s="3" t="n"/>
      <c r="M659" s="4" t="n">
        <v>1837</v>
      </c>
      <c r="N659" t="inlineStr">
        <is>
          <t>25/26 actual</t>
        </is>
      </c>
      <c r="O659" s="5" t="n">
        <v>82.2</v>
      </c>
      <c r="P659" t="b">
        <v>1</v>
      </c>
      <c r="Q659" s="5">
        <f>IF(N(O659)&lt;=0,0,MIN(Assumptions!$B$15,N(M659)/N(O659)))</f>
        <v/>
      </c>
      <c r="R659" s="4" t="n"/>
      <c r="S659" s="3" t="n">
        <v>0.0159</v>
      </c>
      <c r="T659" t="inlineStr">
        <is>
          <t>adjusted xGOT</t>
        </is>
      </c>
      <c r="U659" s="3" t="n">
        <v>1</v>
      </c>
      <c r="V659" s="3" t="n">
        <v>0.984</v>
      </c>
      <c r="W659" s="3" t="n">
        <v>0.3</v>
      </c>
      <c r="X659" s="3" t="n">
        <v>0.1099</v>
      </c>
      <c r="Y659" s="3" t="n">
        <v>5.972</v>
      </c>
      <c r="Z659" s="3" t="n">
        <v>0</v>
      </c>
      <c r="AA659" s="3" t="n">
        <v>0</v>
      </c>
      <c r="AB659" s="3" t="n">
        <v>48</v>
      </c>
      <c r="AC659" s="3" t="n"/>
      <c r="AD659" s="3" t="n"/>
      <c r="AE659" s="3" t="n"/>
      <c r="AF659" s="4" t="n">
        <v>0</v>
      </c>
      <c r="AG659" s="3" t="n">
        <v>0</v>
      </c>
      <c r="AH659" s="3" t="n">
        <v>0</v>
      </c>
      <c r="AI659" s="3" t="n">
        <v>0</v>
      </c>
      <c r="AJ659" s="3">
        <f>N(R659)*N(BC659)</f>
        <v/>
      </c>
      <c r="AK659" s="3" t="n">
        <v>0</v>
      </c>
      <c r="AL659" s="3" t="n">
        <v>0</v>
      </c>
      <c r="AM659" s="3" t="n">
        <v>0</v>
      </c>
      <c r="AN659" s="3" t="n">
        <v>0</v>
      </c>
      <c r="AO659" s="3">
        <f>SUM(AH659:AN659)</f>
        <v/>
      </c>
      <c r="AP659" s="5">
        <f>IF(OR(N(Q659)&lt;=0,N(BA659)=0),0,N(Q659)*IF(N(M659)/N(Q659)&gt;=60,N(BA659),1))</f>
        <v/>
      </c>
      <c r="AQ659" s="5">
        <f>N(Q659)*N(Z659)*N(BB659)</f>
        <v/>
      </c>
      <c r="AR659" s="5">
        <f>N(AF659)*(Assumptions!$B$13*N(BD659)-(1-Assumptions!$B$13)*Assumptions!$B$14)+N(AG659)</f>
        <v/>
      </c>
      <c r="AS659" s="5">
        <f>N(AO659)*N(M659)/90+N(AP659)+N(AQ659)+N(AR659)</f>
        <v/>
      </c>
      <c r="AT659" s="3">
        <f>IF(N(M659)&lt;=0,0,(N(AS659)-N(AR659))*90/N(M659))</f>
        <v/>
      </c>
      <c r="AU659" s="5">
        <f>IFERROR(AS659-VLOOKUP($C659,Assumptions!$A$36:$C$39,3,FALSE),"")</f>
        <v/>
      </c>
      <c r="AV659" s="3">
        <f>IFERROR(AU659/F659,"")</f>
        <v/>
      </c>
      <c r="AW659">
        <f>IF(AND($E659=TRUE,$C659="GKP"),AS659,"")</f>
        <v/>
      </c>
      <c r="AX659">
        <f>IF(AND($E659=TRUE,$C659="DEF"),AS659,"")</f>
        <v/>
      </c>
      <c r="AY659">
        <f>IF(AND($E659=TRUE,$C659="MID"),AS659,"")</f>
        <v/>
      </c>
      <c r="AZ659">
        <f>IF(AND($E659=TRUE,$C659="FWD"),AS659,"")</f>
        <v/>
      </c>
      <c r="BA659" t="n">
        <v>0</v>
      </c>
      <c r="BB659" t="n">
        <v>0</v>
      </c>
      <c r="BC659" t="n">
        <v>0</v>
      </c>
      <c r="BD659" t="n">
        <v>0</v>
      </c>
    </row>
    <row r="660">
      <c r="A660" t="inlineStr">
        <is>
          <t>Kaden Rodney</t>
        </is>
      </c>
      <c r="D660" t="inlineStr">
        <is>
          <t>MID</t>
        </is>
      </c>
      <c r="E660" t="b">
        <v>0</v>
      </c>
      <c r="F660" s="2" t="n"/>
      <c r="I660" s="2" t="n">
        <v>3</v>
      </c>
      <c r="K660" s="3" t="n"/>
      <c r="M660" s="4" t="n">
        <v>3</v>
      </c>
      <c r="N660" t="inlineStr">
        <is>
          <t>25/26 actual</t>
        </is>
      </c>
      <c r="O660" s="5" t="n">
        <v>85</v>
      </c>
      <c r="P660" t="b">
        <v>1</v>
      </c>
      <c r="Q660" s="5">
        <f>IF(N(O660)&lt;=0,0,MIN(Assumptions!$B$15,N(M660)/N(O660)))</f>
        <v/>
      </c>
      <c r="R660" s="4" t="n"/>
      <c r="S660" s="3" t="n"/>
      <c r="T660" t="inlineStr"/>
      <c r="U660" s="3" t="n">
        <v>1</v>
      </c>
      <c r="V660" s="3" t="n">
        <v>1</v>
      </c>
      <c r="W660" s="3" t="n">
        <v>0</v>
      </c>
      <c r="X660" s="3" t="n"/>
      <c r="Y660" s="3" t="n">
        <v>8.541</v>
      </c>
      <c r="Z660" s="3" t="n">
        <v>0</v>
      </c>
      <c r="AA660" s="3" t="n">
        <v>0</v>
      </c>
      <c r="AB660" s="3" t="n">
        <v>1</v>
      </c>
      <c r="AC660" s="3" t="n"/>
      <c r="AD660" s="3" t="n"/>
      <c r="AE660" s="3" t="n"/>
      <c r="AF660" s="4" t="n">
        <v>0</v>
      </c>
      <c r="AG660" s="3" t="n">
        <v>0</v>
      </c>
      <c r="AH660" s="3" t="n">
        <v>0</v>
      </c>
      <c r="AI660" s="3" t="n">
        <v>0</v>
      </c>
      <c r="AJ660" s="3">
        <f>N(R660)*N(BC660)</f>
        <v/>
      </c>
      <c r="AK660" s="3" t="n">
        <v>0</v>
      </c>
      <c r="AL660" s="3" t="n">
        <v>0</v>
      </c>
      <c r="AM660" s="3" t="n">
        <v>0</v>
      </c>
      <c r="AN660" s="3" t="n">
        <v>0</v>
      </c>
      <c r="AO660" s="3">
        <f>SUM(AH660:AN660)</f>
        <v/>
      </c>
      <c r="AP660" s="5">
        <f>IF(OR(N(Q660)&lt;=0,N(BA660)=0),0,N(Q660)*IF(N(M660)/N(Q660)&gt;=60,N(BA660),1))</f>
        <v/>
      </c>
      <c r="AQ660" s="5">
        <f>N(Q660)*N(Z660)*N(BB660)</f>
        <v/>
      </c>
      <c r="AR660" s="5">
        <f>N(AF660)*(Assumptions!$B$13*N(BD660)-(1-Assumptions!$B$13)*Assumptions!$B$14)+N(AG660)</f>
        <v/>
      </c>
      <c r="AS660" s="5">
        <f>N(AO660)*N(M660)/90+N(AP660)+N(AQ660)+N(AR660)</f>
        <v/>
      </c>
      <c r="AT660" s="3">
        <f>IF(N(M660)&lt;=0,0,(N(AS660)-N(AR660))*90/N(M660))</f>
        <v/>
      </c>
      <c r="AU660" s="5">
        <f>IFERROR(AS660-VLOOKUP($C660,Assumptions!$A$36:$C$39,3,FALSE),"")</f>
        <v/>
      </c>
      <c r="AV660" s="3">
        <f>IFERROR(AU660/F660,"")</f>
        <v/>
      </c>
      <c r="AW660">
        <f>IF(AND($E660=TRUE,$C660="GKP"),AS660,"")</f>
        <v/>
      </c>
      <c r="AX660">
        <f>IF(AND($E660=TRUE,$C660="DEF"),AS660,"")</f>
        <v/>
      </c>
      <c r="AY660">
        <f>IF(AND($E660=TRUE,$C660="MID"),AS660,"")</f>
        <v/>
      </c>
      <c r="AZ660">
        <f>IF(AND($E660=TRUE,$C660="FWD"),AS660,"")</f>
        <v/>
      </c>
      <c r="BA660" t="n">
        <v>0</v>
      </c>
      <c r="BB660" t="n">
        <v>0</v>
      </c>
      <c r="BC660" t="n">
        <v>0</v>
      </c>
      <c r="BD660" t="n">
        <v>0</v>
      </c>
    </row>
    <row r="661">
      <c r="A661" t="inlineStr">
        <is>
          <t>Pablo</t>
        </is>
      </c>
      <c r="D661" t="inlineStr">
        <is>
          <t>FWD</t>
        </is>
      </c>
      <c r="E661" t="b">
        <v>0</v>
      </c>
      <c r="F661" s="2" t="n"/>
      <c r="I661" s="2" t="n">
        <v>826</v>
      </c>
      <c r="K661" s="3" t="n"/>
      <c r="M661" s="4" t="n">
        <v>826</v>
      </c>
      <c r="N661" t="inlineStr">
        <is>
          <t>25/26 actual</t>
        </is>
      </c>
      <c r="O661" s="5" t="n">
        <v>73.09999999999999</v>
      </c>
      <c r="P661" t="b">
        <v>1</v>
      </c>
      <c r="Q661" s="5">
        <f>IF(N(O661)&lt;=0,0,MIN(Assumptions!$B$15,N(M661)/N(O661)))</f>
        <v/>
      </c>
      <c r="R661" s="4" t="n"/>
      <c r="S661" s="3" t="n">
        <v>0.1074</v>
      </c>
      <c r="T661" t="inlineStr">
        <is>
          <t>adjusted xGOT</t>
        </is>
      </c>
      <c r="U661" s="3" t="n">
        <v>1</v>
      </c>
      <c r="V661" s="3" t="n">
        <v>0.9389999999999999</v>
      </c>
      <c r="W661" s="3" t="n">
        <v>1</v>
      </c>
      <c r="X661" s="3" t="n">
        <v>0.1409</v>
      </c>
      <c r="Y661" s="3" t="n">
        <v>6.453</v>
      </c>
      <c r="Z661" s="3" t="n">
        <v>0</v>
      </c>
      <c r="AA661" s="3" t="n">
        <v>0</v>
      </c>
      <c r="AB661" s="3" t="n">
        <v>23</v>
      </c>
      <c r="AC661" s="3" t="n"/>
      <c r="AD661" s="3" t="n"/>
      <c r="AE661" s="3" t="n"/>
      <c r="AF661" s="4" t="n">
        <v>0</v>
      </c>
      <c r="AG661" s="3" t="n">
        <v>0</v>
      </c>
      <c r="AH661" s="3" t="n">
        <v>0</v>
      </c>
      <c r="AI661" s="3" t="n">
        <v>0</v>
      </c>
      <c r="AJ661" s="3">
        <f>N(R661)*N(BC661)</f>
        <v/>
      </c>
      <c r="AK661" s="3" t="n">
        <v>0</v>
      </c>
      <c r="AL661" s="3" t="n">
        <v>0</v>
      </c>
      <c r="AM661" s="3" t="n">
        <v>0</v>
      </c>
      <c r="AN661" s="3" t="n">
        <v>0</v>
      </c>
      <c r="AO661" s="3">
        <f>SUM(AH661:AN661)</f>
        <v/>
      </c>
      <c r="AP661" s="5">
        <f>IF(OR(N(Q661)&lt;=0,N(BA661)=0),0,N(Q661)*IF(N(M661)/N(Q661)&gt;=60,N(BA661),1))</f>
        <v/>
      </c>
      <c r="AQ661" s="5">
        <f>N(Q661)*N(Z661)*N(BB661)</f>
        <v/>
      </c>
      <c r="AR661" s="5">
        <f>N(AF661)*(Assumptions!$B$13*N(BD661)-(1-Assumptions!$B$13)*Assumptions!$B$14)+N(AG661)</f>
        <v/>
      </c>
      <c r="AS661" s="5">
        <f>N(AO661)*N(M661)/90+N(AP661)+N(AQ661)+N(AR661)</f>
        <v/>
      </c>
      <c r="AT661" s="3">
        <f>IF(N(M661)&lt;=0,0,(N(AS661)-N(AR661))*90/N(M661))</f>
        <v/>
      </c>
      <c r="AU661" s="5">
        <f>IFERROR(AS661-VLOOKUP($C661,Assumptions!$A$36:$C$39,3,FALSE),"")</f>
        <v/>
      </c>
      <c r="AV661" s="3">
        <f>IFERROR(AU661/F661,"")</f>
        <v/>
      </c>
      <c r="AW661">
        <f>IF(AND($E661=TRUE,$C661="GKP"),AS661,"")</f>
        <v/>
      </c>
      <c r="AX661">
        <f>IF(AND($E661=TRUE,$C661="DEF"),AS661,"")</f>
        <v/>
      </c>
      <c r="AY661">
        <f>IF(AND($E661=TRUE,$C661="MID"),AS661,"")</f>
        <v/>
      </c>
      <c r="AZ661">
        <f>IF(AND($E661=TRUE,$C661="FWD"),AS661,"")</f>
        <v/>
      </c>
      <c r="BA661" t="n">
        <v>0</v>
      </c>
      <c r="BB661" t="n">
        <v>0</v>
      </c>
      <c r="BC661" t="n">
        <v>0</v>
      </c>
      <c r="BD661" t="n">
        <v>0</v>
      </c>
    </row>
    <row r="662">
      <c r="A662" t="inlineStr">
        <is>
          <t>Abdul Fatawu</t>
        </is>
      </c>
      <c r="B662" t="inlineStr">
        <is>
          <t>IPS</t>
        </is>
      </c>
      <c r="C662" t="inlineStr">
        <is>
          <t>MID</t>
        </is>
      </c>
      <c r="E662" t="b">
        <v>1</v>
      </c>
      <c r="F662" s="2" t="n">
        <v>5.5</v>
      </c>
      <c r="G662" t="inlineStr">
        <is>
          <t>a</t>
        </is>
      </c>
      <c r="I662" s="2" t="n"/>
      <c r="K662" s="3" t="n">
        <v>2189</v>
      </c>
      <c r="L662" t="inlineStr">
        <is>
          <t>flat</t>
        </is>
      </c>
      <c r="M662" s="4" t="n">
        <v>2189</v>
      </c>
      <c r="N662" t="inlineStr">
        <is>
          <t>Solio</t>
        </is>
      </c>
      <c r="O662" s="5" t="n">
        <v>85</v>
      </c>
      <c r="P662" t="b">
        <v>0</v>
      </c>
      <c r="Q662" s="5">
        <f>IF(N(O662)&lt;=0,0,MIN(Assumptions!$B$15,N(M662)/N(O662)))</f>
        <v/>
      </c>
      <c r="R662" s="4" t="n">
        <v>0.17</v>
      </c>
      <c r="S662" s="3" t="n"/>
      <c r="T662" t="inlineStr"/>
      <c r="U662" s="3" t="n">
        <v>1</v>
      </c>
      <c r="V662" s="3" t="n"/>
      <c r="W662" s="3" t="n"/>
      <c r="X662" s="3" t="n"/>
      <c r="Y662" s="3" t="n"/>
      <c r="Z662" s="3" t="n">
        <v>0</v>
      </c>
      <c r="AA662" s="3" t="n"/>
      <c r="AB662" s="3" t="n"/>
      <c r="AC662" s="3" t="n">
        <v>3.5741</v>
      </c>
      <c r="AD662" s="3" t="n">
        <v>1.8319</v>
      </c>
      <c r="AE662" s="3" t="n">
        <v>-0.1774481848741362</v>
      </c>
      <c r="AF662" s="4" t="n">
        <v>0</v>
      </c>
      <c r="AG662" s="3" t="n">
        <v>0</v>
      </c>
      <c r="AH662" s="3" t="n">
        <v>0</v>
      </c>
      <c r="AI662" s="3" t="n">
        <v>0</v>
      </c>
      <c r="AJ662" s="3">
        <f>N(R662)*N(BC662)</f>
        <v/>
      </c>
      <c r="AK662" s="3" t="n">
        <v>0</v>
      </c>
      <c r="AL662" s="3" t="n">
        <v>0</v>
      </c>
      <c r="AM662" s="3" t="n">
        <v>-0</v>
      </c>
      <c r="AN662" s="3" t="n">
        <v>-0.1774481848741362</v>
      </c>
      <c r="AO662" s="3">
        <f>SUM(AH662:AN662)</f>
        <v/>
      </c>
      <c r="AP662" s="5">
        <f>IF(OR(N(Q662)&lt;=0,N(BA662)=0),0,N(Q662)*IF(N(M662)/N(Q662)&gt;=60,N(BA662),1))</f>
        <v/>
      </c>
      <c r="AQ662" s="5">
        <f>N(Q662)*N(Z662)*N(BB662)</f>
        <v/>
      </c>
      <c r="AR662" s="5">
        <f>N(AF662)*(Assumptions!$B$13*N(BD662)-(1-Assumptions!$B$13)*Assumptions!$B$14)+N(AG662)</f>
        <v/>
      </c>
      <c r="AS662" s="5">
        <f>N(AO662)*N(M662)/90+N(AP662)+N(AQ662)+N(AR662)</f>
        <v/>
      </c>
      <c r="AT662" s="3">
        <f>IF(N(M662)&lt;=0,0,(N(AS662)-N(AR662))*90/N(M662))</f>
        <v/>
      </c>
      <c r="AU662" s="5">
        <f>IFERROR(AS662-VLOOKUP($C662,Assumptions!$A$36:$C$39,3,FALSE),"")</f>
        <v/>
      </c>
      <c r="AV662" s="3">
        <f>IFERROR(AU662/F662,"")</f>
        <v/>
      </c>
      <c r="AW662">
        <f>IF(AND($E662=TRUE,$C662="GKP"),AS662,"")</f>
        <v/>
      </c>
      <c r="AX662">
        <f>IF(AND($E662=TRUE,$C662="DEF"),AS662,"")</f>
        <v/>
      </c>
      <c r="AY662">
        <f>IF(AND($E662=TRUE,$C662="MID"),AS662,"")</f>
        <v/>
      </c>
      <c r="AZ662">
        <f>IF(AND($E662=TRUE,$C662="FWD"),AS662,"")</f>
        <v/>
      </c>
      <c r="BA662" t="n">
        <v>2</v>
      </c>
      <c r="BB662" t="n">
        <v>2</v>
      </c>
      <c r="BC662" t="n">
        <v>1</v>
      </c>
      <c r="BD662" t="n">
        <v>5</v>
      </c>
    </row>
    <row r="663">
      <c r="A663" t="inlineStr">
        <is>
          <t>Mason Burstow</t>
        </is>
      </c>
      <c r="B663" t="inlineStr">
        <is>
          <t>HUL</t>
        </is>
      </c>
      <c r="C663" t="inlineStr">
        <is>
          <t>FWD</t>
        </is>
      </c>
      <c r="E663" t="b">
        <v>1</v>
      </c>
      <c r="F663" s="2" t="n">
        <v>4.5</v>
      </c>
      <c r="G663" t="inlineStr">
        <is>
          <t>u</t>
        </is>
      </c>
      <c r="H663" t="inlineStr">
        <is>
          <t>Has joined Sheffield Wednesday on loan for the rest of the season</t>
        </is>
      </c>
      <c r="I663" s="2" t="n"/>
      <c r="K663" s="3" t="n"/>
      <c r="M663" s="4" t="n"/>
      <c r="N663" t="inlineStr"/>
      <c r="O663" s="5" t="n">
        <v>85</v>
      </c>
      <c r="P663" t="b">
        <v>0</v>
      </c>
      <c r="Q663" s="5">
        <f>IF(N(O663)&lt;=0,0,MIN(Assumptions!$B$15,N(M663)/N(O663)))</f>
        <v/>
      </c>
      <c r="R663" s="4" t="n">
        <v>0.143</v>
      </c>
      <c r="S663" s="3" t="n"/>
      <c r="T663" t="inlineStr"/>
      <c r="U663" s="3" t="n">
        <v>1</v>
      </c>
      <c r="V663" s="3" t="n"/>
      <c r="W663" s="3" t="n"/>
      <c r="X663" s="3" t="n"/>
      <c r="Y663" s="3" t="n"/>
      <c r="Z663" s="3" t="n">
        <v>0</v>
      </c>
      <c r="AA663" s="3" t="n"/>
      <c r="AB663" s="3" t="n"/>
      <c r="AC663" s="3" t="n">
        <v>3.9421</v>
      </c>
      <c r="AD663" s="3" t="n">
        <v>1.99</v>
      </c>
      <c r="AE663" s="3" t="n">
        <v>-0.1743297292253898</v>
      </c>
      <c r="AF663" s="4" t="n">
        <v>0</v>
      </c>
      <c r="AG663" s="3" t="n">
        <v>0</v>
      </c>
      <c r="AH663" s="3" t="n">
        <v>0</v>
      </c>
      <c r="AI663" s="3" t="n">
        <v>0</v>
      </c>
      <c r="AJ663" s="3">
        <f>N(R663)*N(BC663)</f>
        <v/>
      </c>
      <c r="AK663" s="3" t="n">
        <v>0</v>
      </c>
      <c r="AL663" s="3" t="n">
        <v>0</v>
      </c>
      <c r="AM663" s="3" t="n">
        <v>-0</v>
      </c>
      <c r="AN663" s="3" t="n">
        <v>-0.1743297292253898</v>
      </c>
      <c r="AO663" s="3">
        <f>SUM(AH663:AN663)</f>
        <v/>
      </c>
      <c r="AP663" s="5">
        <f>IF(OR(N(Q663)&lt;=0,N(BA663)=0),0,N(Q663)*IF(N(M663)/N(Q663)&gt;=60,N(BA663),1))</f>
        <v/>
      </c>
      <c r="AQ663" s="5">
        <f>N(Q663)*N(Z663)*N(BB663)</f>
        <v/>
      </c>
      <c r="AR663" s="5">
        <f>N(AF663)*(Assumptions!$B$13*N(BD663)-(1-Assumptions!$B$13)*Assumptions!$B$14)+N(AG663)</f>
        <v/>
      </c>
      <c r="AS663" s="5">
        <f>N(AO663)*N(M663)/90+N(AP663)+N(AQ663)+N(AR663)</f>
        <v/>
      </c>
      <c r="AT663" s="3">
        <f>IF(N(M663)&lt;=0,0,(N(AS663)-N(AR663))*90/N(M663))</f>
        <v/>
      </c>
      <c r="AU663" s="5">
        <f>IFERROR(AS663-VLOOKUP($C663,Assumptions!$A$36:$C$39,3,FALSE),"")</f>
        <v/>
      </c>
      <c r="AV663" s="3">
        <f>IFERROR(AU663/F663,"")</f>
        <v/>
      </c>
      <c r="AW663">
        <f>IF(AND($E663=TRUE,$C663="GKP"),AS663,"")</f>
        <v/>
      </c>
      <c r="AX663">
        <f>IF(AND($E663=TRUE,$C663="DEF"),AS663,"")</f>
        <v/>
      </c>
      <c r="AY663">
        <f>IF(AND($E663=TRUE,$C663="MID"),AS663,"")</f>
        <v/>
      </c>
      <c r="AZ663">
        <f>IF(AND($E663=TRUE,$C663="FWD"),AS663,"")</f>
        <v/>
      </c>
      <c r="BA663" t="n">
        <v>2</v>
      </c>
      <c r="BB663" t="n">
        <v>2</v>
      </c>
      <c r="BC663" t="n">
        <v>0</v>
      </c>
      <c r="BD663" t="n">
        <v>4</v>
      </c>
    </row>
    <row r="664">
      <c r="A664" t="inlineStr">
        <is>
          <t>Ollie Scarles</t>
        </is>
      </c>
      <c r="D664" t="inlineStr">
        <is>
          <t>DEF</t>
        </is>
      </c>
      <c r="E664" t="b">
        <v>0</v>
      </c>
      <c r="F664" s="2" t="n"/>
      <c r="I664" s="2" t="n">
        <v>659</v>
      </c>
      <c r="K664" s="3" t="n"/>
      <c r="M664" s="4" t="n">
        <v>659</v>
      </c>
      <c r="N664" t="inlineStr">
        <is>
          <t>25/26 actual</t>
        </is>
      </c>
      <c r="O664" s="5" t="n">
        <v>69.3</v>
      </c>
      <c r="P664" t="b">
        <v>1</v>
      </c>
      <c r="Q664" s="5">
        <f>IF(N(O664)&lt;=0,0,MIN(Assumptions!$B$15,N(M664)/N(O664)))</f>
        <v/>
      </c>
      <c r="R664" s="4" t="n"/>
      <c r="S664" s="3" t="n">
        <v>0.0238</v>
      </c>
      <c r="T664" t="inlineStr">
        <is>
          <t>adjusted xGOT</t>
        </is>
      </c>
      <c r="U664" s="3" t="n">
        <v>1</v>
      </c>
      <c r="V664" s="3" t="n">
        <v>0.965</v>
      </c>
      <c r="W664" s="3" t="n">
        <v>0.3</v>
      </c>
      <c r="X664" s="3" t="n">
        <v>0.1333</v>
      </c>
      <c r="Y664" s="3" t="n">
        <v>8.861000000000001</v>
      </c>
      <c r="Z664" s="3" t="n">
        <v>0</v>
      </c>
      <c r="AA664" s="3" t="n">
        <v>0</v>
      </c>
      <c r="AB664" s="3" t="n">
        <v>20</v>
      </c>
      <c r="AC664" s="3" t="n"/>
      <c r="AD664" s="3" t="n"/>
      <c r="AE664" s="3" t="n"/>
      <c r="AF664" s="4" t="n">
        <v>0</v>
      </c>
      <c r="AG664" s="3" t="n">
        <v>0</v>
      </c>
      <c r="AH664" s="3" t="n">
        <v>0</v>
      </c>
      <c r="AI664" s="3" t="n">
        <v>0</v>
      </c>
      <c r="AJ664" s="3">
        <f>N(R664)*N(BC664)</f>
        <v/>
      </c>
      <c r="AK664" s="3" t="n">
        <v>0</v>
      </c>
      <c r="AL664" s="3" t="n">
        <v>0</v>
      </c>
      <c r="AM664" s="3" t="n">
        <v>0</v>
      </c>
      <c r="AN664" s="3" t="n">
        <v>0</v>
      </c>
      <c r="AO664" s="3">
        <f>SUM(AH664:AN664)</f>
        <v/>
      </c>
      <c r="AP664" s="5">
        <f>IF(OR(N(Q664)&lt;=0,N(BA664)=0),0,N(Q664)*IF(N(M664)/N(Q664)&gt;=60,N(BA664),1))</f>
        <v/>
      </c>
      <c r="AQ664" s="5">
        <f>N(Q664)*N(Z664)*N(BB664)</f>
        <v/>
      </c>
      <c r="AR664" s="5">
        <f>N(AF664)*(Assumptions!$B$13*N(BD664)-(1-Assumptions!$B$13)*Assumptions!$B$14)+N(AG664)</f>
        <v/>
      </c>
      <c r="AS664" s="5">
        <f>N(AO664)*N(M664)/90+N(AP664)+N(AQ664)+N(AR664)</f>
        <v/>
      </c>
      <c r="AT664" s="3">
        <f>IF(N(M664)&lt;=0,0,(N(AS664)-N(AR664))*90/N(M664))</f>
        <v/>
      </c>
      <c r="AU664" s="5">
        <f>IFERROR(AS664-VLOOKUP($C664,Assumptions!$A$36:$C$39,3,FALSE),"")</f>
        <v/>
      </c>
      <c r="AV664" s="3">
        <f>IFERROR(AU664/F664,"")</f>
        <v/>
      </c>
      <c r="AW664">
        <f>IF(AND($E664=TRUE,$C664="GKP"),AS664,"")</f>
        <v/>
      </c>
      <c r="AX664">
        <f>IF(AND($E664=TRUE,$C664="DEF"),AS664,"")</f>
        <v/>
      </c>
      <c r="AY664">
        <f>IF(AND($E664=TRUE,$C664="MID"),AS664,"")</f>
        <v/>
      </c>
      <c r="AZ664">
        <f>IF(AND($E664=TRUE,$C664="FWD"),AS664,"")</f>
        <v/>
      </c>
      <c r="BA664" t="n">
        <v>0</v>
      </c>
      <c r="BB664" t="n">
        <v>0</v>
      </c>
      <c r="BC664" t="n">
        <v>0</v>
      </c>
      <c r="BD664" t="n">
        <v>0</v>
      </c>
    </row>
    <row r="665">
      <c r="A665" t="inlineStr">
        <is>
          <t>Tyler Bindon</t>
        </is>
      </c>
      <c r="B665" t="inlineStr">
        <is>
          <t>NFO</t>
        </is>
      </c>
      <c r="C665" t="inlineStr">
        <is>
          <t>DEF</t>
        </is>
      </c>
      <c r="E665" t="b">
        <v>1</v>
      </c>
      <c r="F665" s="2" t="n">
        <v>4</v>
      </c>
      <c r="G665" t="inlineStr">
        <is>
          <t>a</t>
        </is>
      </c>
      <c r="I665" s="2" t="n"/>
      <c r="K665" s="3" t="n">
        <v>0</v>
      </c>
      <c r="L665" t="inlineStr">
        <is>
          <t>flat</t>
        </is>
      </c>
      <c r="M665" s="4" t="n">
        <v>0</v>
      </c>
      <c r="N665" t="inlineStr">
        <is>
          <t>Solio</t>
        </is>
      </c>
      <c r="O665" s="5" t="n">
        <v>85</v>
      </c>
      <c r="P665" t="b">
        <v>0</v>
      </c>
      <c r="Q665" s="5">
        <f>IF(N(O665)&lt;=0,0,MIN(Assumptions!$B$15,N(M665)/N(O665)))</f>
        <v/>
      </c>
      <c r="R665" s="4" t="n">
        <v>0.224</v>
      </c>
      <c r="S665" s="3" t="n"/>
      <c r="T665" t="inlineStr"/>
      <c r="U665" s="3" t="n">
        <v>1</v>
      </c>
      <c r="V665" s="3" t="n"/>
      <c r="W665" s="3" t="n"/>
      <c r="X665" s="3" t="n"/>
      <c r="Y665" s="3" t="n"/>
      <c r="Z665" s="3" t="n">
        <v>0</v>
      </c>
      <c r="AA665" s="3" t="n"/>
      <c r="AB665" s="3" t="n"/>
      <c r="AC665" s="3" t="n">
        <v>3.1134</v>
      </c>
      <c r="AD665" s="3" t="n">
        <v>1.5588</v>
      </c>
      <c r="AE665" s="3" t="n">
        <v>-0.2045226422080557</v>
      </c>
      <c r="AF665" s="4" t="n">
        <v>0</v>
      </c>
      <c r="AG665" s="3" t="n">
        <v>0</v>
      </c>
      <c r="AH665" s="3" t="n">
        <v>0</v>
      </c>
      <c r="AI665" s="3" t="n">
        <v>0</v>
      </c>
      <c r="AJ665" s="3">
        <f>N(R665)*N(BC665)</f>
        <v/>
      </c>
      <c r="AK665" s="3" t="n">
        <v>0</v>
      </c>
      <c r="AL665" s="3" t="n">
        <v>0</v>
      </c>
      <c r="AM665" s="3" t="n">
        <v>-0.5404658182244797</v>
      </c>
      <c r="AN665" s="3" t="n">
        <v>-0.2045226422080557</v>
      </c>
      <c r="AO665" s="3">
        <f>SUM(AH665:AN665)</f>
        <v/>
      </c>
      <c r="AP665" s="5">
        <f>IF(OR(N(Q665)&lt;=0,N(BA665)=0),0,N(Q665)*IF(N(M665)/N(Q665)&gt;=60,N(BA665),1))</f>
        <v/>
      </c>
      <c r="AQ665" s="5">
        <f>N(Q665)*N(Z665)*N(BB665)</f>
        <v/>
      </c>
      <c r="AR665" s="5">
        <f>N(AF665)*(Assumptions!$B$13*N(BD665)-(1-Assumptions!$B$13)*Assumptions!$B$14)+N(AG665)</f>
        <v/>
      </c>
      <c r="AS665" s="5">
        <f>N(AO665)*N(M665)/90+N(AP665)+N(AQ665)+N(AR665)</f>
        <v/>
      </c>
      <c r="AT665" s="3">
        <f>IF(N(M665)&lt;=0,0,(N(AS665)-N(AR665))*90/N(M665))</f>
        <v/>
      </c>
      <c r="AU665" s="5">
        <f>IFERROR(AS665-VLOOKUP($C665,Assumptions!$A$36:$C$39,3,FALSE),"")</f>
        <v/>
      </c>
      <c r="AV665" s="3">
        <f>IFERROR(AU665/F665,"")</f>
        <v/>
      </c>
      <c r="AW665">
        <f>IF(AND($E665=TRUE,$C665="GKP"),AS665,"")</f>
        <v/>
      </c>
      <c r="AX665">
        <f>IF(AND($E665=TRUE,$C665="DEF"),AS665,"")</f>
        <v/>
      </c>
      <c r="AY665">
        <f>IF(AND($E665=TRUE,$C665="MID"),AS665,"")</f>
        <v/>
      </c>
      <c r="AZ665">
        <f>IF(AND($E665=TRUE,$C665="FWD"),AS665,"")</f>
        <v/>
      </c>
      <c r="BA665" t="n">
        <v>2</v>
      </c>
      <c r="BB665" t="n">
        <v>2</v>
      </c>
      <c r="BC665" t="n">
        <v>4</v>
      </c>
      <c r="BD665" t="n">
        <v>6</v>
      </c>
    </row>
    <row r="666">
      <c r="A666" t="inlineStr">
        <is>
          <t>Aurèle Amenda</t>
        </is>
      </c>
      <c r="B666" t="inlineStr">
        <is>
          <t>COV</t>
        </is>
      </c>
      <c r="C666" t="inlineStr">
        <is>
          <t>DEF</t>
        </is>
      </c>
      <c r="E666" t="b">
        <v>1</v>
      </c>
      <c r="F666" s="2" t="n">
        <v>4</v>
      </c>
      <c r="G666" t="inlineStr">
        <is>
          <t>a</t>
        </is>
      </c>
      <c r="I666" s="2" t="n"/>
      <c r="K666" s="3" t="n">
        <v>2725</v>
      </c>
      <c r="L666" t="inlineStr">
        <is>
          <t>flat</t>
        </is>
      </c>
      <c r="M666" s="4" t="n">
        <v>2725</v>
      </c>
      <c r="N666" t="inlineStr">
        <is>
          <t>Solio</t>
        </is>
      </c>
      <c r="O666" s="5" t="n">
        <v>85</v>
      </c>
      <c r="P666" t="b">
        <v>0</v>
      </c>
      <c r="Q666" s="5">
        <f>IF(N(O666)&lt;=0,0,MIN(Assumptions!$B$15,N(M666)/N(O666)))</f>
        <v/>
      </c>
      <c r="R666" s="4" t="n">
        <v>0.17</v>
      </c>
      <c r="S666" s="3" t="n"/>
      <c r="T666" t="inlineStr"/>
      <c r="U666" s="3" t="n">
        <v>1</v>
      </c>
      <c r="V666" s="3" t="n"/>
      <c r="W666" s="3" t="n"/>
      <c r="X666" s="3" t="n"/>
      <c r="Y666" s="3" t="n"/>
      <c r="Z666" s="3" t="n">
        <v>0</v>
      </c>
      <c r="AA666" s="3" t="n"/>
      <c r="AB666" s="3" t="n"/>
      <c r="AC666" s="3" t="n">
        <v>3.6194</v>
      </c>
      <c r="AD666" s="3" t="n">
        <v>1.8271</v>
      </c>
      <c r="AE666" s="3" t="n">
        <v>-0.2045226422080557</v>
      </c>
      <c r="AF666" s="4" t="n">
        <v>0</v>
      </c>
      <c r="AG666" s="3" t="n">
        <v>0</v>
      </c>
      <c r="AH666" s="3" t="n">
        <v>0</v>
      </c>
      <c r="AI666" s="3" t="n">
        <v>0</v>
      </c>
      <c r="AJ666" s="3">
        <f>N(R666)*N(BC666)</f>
        <v/>
      </c>
      <c r="AK666" s="3" t="n">
        <v>0</v>
      </c>
      <c r="AL666" s="3" t="n">
        <v>0</v>
      </c>
      <c r="AM666" s="3" t="n">
        <v>-0.670020548738316</v>
      </c>
      <c r="AN666" s="3" t="n">
        <v>-0.2045226422080557</v>
      </c>
      <c r="AO666" s="3">
        <f>SUM(AH666:AN666)</f>
        <v/>
      </c>
      <c r="AP666" s="5">
        <f>IF(OR(N(Q666)&lt;=0,N(BA666)=0),0,N(Q666)*IF(N(M666)/N(Q666)&gt;=60,N(BA666),1))</f>
        <v/>
      </c>
      <c r="AQ666" s="5">
        <f>N(Q666)*N(Z666)*N(BB666)</f>
        <v/>
      </c>
      <c r="AR666" s="5">
        <f>N(AF666)*(Assumptions!$B$13*N(BD666)-(1-Assumptions!$B$13)*Assumptions!$B$14)+N(AG666)</f>
        <v/>
      </c>
      <c r="AS666" s="5">
        <f>N(AO666)*N(M666)/90+N(AP666)+N(AQ666)+N(AR666)</f>
        <v/>
      </c>
      <c r="AT666" s="3">
        <f>IF(N(M666)&lt;=0,0,(N(AS666)-N(AR666))*90/N(M666))</f>
        <v/>
      </c>
      <c r="AU666" s="5">
        <f>IFERROR(AS666-VLOOKUP($C666,Assumptions!$A$36:$C$39,3,FALSE),"")</f>
        <v/>
      </c>
      <c r="AV666" s="3">
        <f>IFERROR(AU666/F666,"")</f>
        <v/>
      </c>
      <c r="AW666">
        <f>IF(AND($E666=TRUE,$C666="GKP"),AS666,"")</f>
        <v/>
      </c>
      <c r="AX666">
        <f>IF(AND($E666=TRUE,$C666="DEF"),AS666,"")</f>
        <v/>
      </c>
      <c r="AY666">
        <f>IF(AND($E666=TRUE,$C666="MID"),AS666,"")</f>
        <v/>
      </c>
      <c r="AZ666">
        <f>IF(AND($E666=TRUE,$C666="FWD"),AS666,"")</f>
        <v/>
      </c>
      <c r="BA666" t="n">
        <v>2</v>
      </c>
      <c r="BB666" t="n">
        <v>2</v>
      </c>
      <c r="BC666" t="n">
        <v>4</v>
      </c>
      <c r="BD666" t="n">
        <v>6</v>
      </c>
    </row>
    <row r="667">
      <c r="A667" t="inlineStr">
        <is>
          <t>Mohamed Belloumi</t>
        </is>
      </c>
      <c r="B667" t="inlineStr">
        <is>
          <t>HUL</t>
        </is>
      </c>
      <c r="C667" t="inlineStr">
        <is>
          <t>MID</t>
        </is>
      </c>
      <c r="E667" t="b">
        <v>1</v>
      </c>
      <c r="F667" s="2" t="n">
        <v>5</v>
      </c>
      <c r="G667" t="inlineStr">
        <is>
          <t>a</t>
        </is>
      </c>
      <c r="I667" s="2" t="n"/>
      <c r="K667" s="3" t="n">
        <v>2257</v>
      </c>
      <c r="L667" t="inlineStr">
        <is>
          <t>flat</t>
        </is>
      </c>
      <c r="M667" s="4" t="n">
        <v>2257</v>
      </c>
      <c r="N667" t="inlineStr">
        <is>
          <t>Solio</t>
        </is>
      </c>
      <c r="O667" s="5" t="n">
        <v>85</v>
      </c>
      <c r="P667" t="b">
        <v>0</v>
      </c>
      <c r="Q667" s="5">
        <f>IF(N(O667)&lt;=0,0,MIN(Assumptions!$B$15,N(M667)/N(O667)))</f>
        <v/>
      </c>
      <c r="R667" s="4" t="n">
        <v>0.143</v>
      </c>
      <c r="S667" s="3" t="n"/>
      <c r="T667" t="inlineStr"/>
      <c r="U667" s="3" t="n">
        <v>1</v>
      </c>
      <c r="V667" s="3" t="n"/>
      <c r="W667" s="3" t="n"/>
      <c r="X667" s="3" t="n"/>
      <c r="Y667" s="3" t="n"/>
      <c r="Z667" s="3" t="n">
        <v>0</v>
      </c>
      <c r="AA667" s="3" t="n"/>
      <c r="AB667" s="3" t="n"/>
      <c r="AC667" s="3" t="n">
        <v>3.9421</v>
      </c>
      <c r="AD667" s="3" t="n">
        <v>1.99</v>
      </c>
      <c r="AE667" s="3" t="n">
        <v>-0.2160434166173144</v>
      </c>
      <c r="AF667" s="4" t="n">
        <v>0</v>
      </c>
      <c r="AG667" s="3" t="n">
        <v>0</v>
      </c>
      <c r="AH667" s="3" t="n">
        <v>0</v>
      </c>
      <c r="AI667" s="3" t="n">
        <v>0</v>
      </c>
      <c r="AJ667" s="3">
        <f>N(R667)*N(BC667)</f>
        <v/>
      </c>
      <c r="AK667" s="3" t="n">
        <v>0</v>
      </c>
      <c r="AL667" s="3" t="n">
        <v>0</v>
      </c>
      <c r="AM667" s="3" t="n">
        <v>-0</v>
      </c>
      <c r="AN667" s="3" t="n">
        <v>-0.2160434166173144</v>
      </c>
      <c r="AO667" s="3">
        <f>SUM(AH667:AN667)</f>
        <v/>
      </c>
      <c r="AP667" s="5">
        <f>IF(OR(N(Q667)&lt;=0,N(BA667)=0),0,N(Q667)*IF(N(M667)/N(Q667)&gt;=60,N(BA667),1))</f>
        <v/>
      </c>
      <c r="AQ667" s="5">
        <f>N(Q667)*N(Z667)*N(BB667)</f>
        <v/>
      </c>
      <c r="AR667" s="5">
        <f>N(AF667)*(Assumptions!$B$13*N(BD667)-(1-Assumptions!$B$13)*Assumptions!$B$14)+N(AG667)</f>
        <v/>
      </c>
      <c r="AS667" s="5">
        <f>N(AO667)*N(M667)/90+N(AP667)+N(AQ667)+N(AR667)</f>
        <v/>
      </c>
      <c r="AT667" s="3">
        <f>IF(N(M667)&lt;=0,0,(N(AS667)-N(AR667))*90/N(M667))</f>
        <v/>
      </c>
      <c r="AU667" s="5">
        <f>IFERROR(AS667-VLOOKUP($C667,Assumptions!$A$36:$C$39,3,FALSE),"")</f>
        <v/>
      </c>
      <c r="AV667" s="3">
        <f>IFERROR(AU667/F667,"")</f>
        <v/>
      </c>
      <c r="AW667">
        <f>IF(AND($E667=TRUE,$C667="GKP"),AS667,"")</f>
        <v/>
      </c>
      <c r="AX667">
        <f>IF(AND($E667=TRUE,$C667="DEF"),AS667,"")</f>
        <v/>
      </c>
      <c r="AY667">
        <f>IF(AND($E667=TRUE,$C667="MID"),AS667,"")</f>
        <v/>
      </c>
      <c r="AZ667">
        <f>IF(AND($E667=TRUE,$C667="FWD"),AS667,"")</f>
        <v/>
      </c>
      <c r="BA667" t="n">
        <v>2</v>
      </c>
      <c r="BB667" t="n">
        <v>2</v>
      </c>
      <c r="BC667" t="n">
        <v>1</v>
      </c>
      <c r="BD667" t="n">
        <v>5</v>
      </c>
    </row>
    <row r="668">
      <c r="A668" t="inlineStr">
        <is>
          <t>Valentín Barco</t>
        </is>
      </c>
      <c r="B668" t="inlineStr">
        <is>
          <t>CHE</t>
        </is>
      </c>
      <c r="C668" t="inlineStr">
        <is>
          <t>MID</t>
        </is>
      </c>
      <c r="E668" t="b">
        <v>1</v>
      </c>
      <c r="F668" s="2" t="n">
        <v>5.5</v>
      </c>
      <c r="G668" t="inlineStr">
        <is>
          <t>a</t>
        </is>
      </c>
      <c r="I668" s="2" t="n"/>
      <c r="K668" s="3" t="n">
        <v>315</v>
      </c>
      <c r="L668" t="inlineStr">
        <is>
          <t>flat</t>
        </is>
      </c>
      <c r="M668" s="4" t="n">
        <v>315</v>
      </c>
      <c r="N668" t="inlineStr">
        <is>
          <t>Solio</t>
        </is>
      </c>
      <c r="O668" s="5" t="n">
        <v>85</v>
      </c>
      <c r="P668" t="b">
        <v>0</v>
      </c>
      <c r="Q668" s="5">
        <f>IF(N(O668)&lt;=0,0,MIN(Assumptions!$B$15,N(M668)/N(O668)))</f>
        <v/>
      </c>
      <c r="R668" s="4" t="n">
        <v>0.322</v>
      </c>
      <c r="S668" s="3" t="n"/>
      <c r="T668" t="inlineStr"/>
      <c r="U668" s="3" t="n">
        <v>1</v>
      </c>
      <c r="V668" s="3" t="n"/>
      <c r="W668" s="3" t="n"/>
      <c r="X668" s="3" t="n"/>
      <c r="Y668" s="3" t="n"/>
      <c r="Z668" s="3" t="n">
        <v>0</v>
      </c>
      <c r="AA668" s="3" t="n"/>
      <c r="AB668" s="3" t="n"/>
      <c r="AC668" s="3" t="n">
        <v>2.4232</v>
      </c>
      <c r="AD668" s="3" t="n">
        <v>1.1851</v>
      </c>
      <c r="AE668" s="3" t="n">
        <v>-0.2234100738777944</v>
      </c>
      <c r="AF668" s="4" t="n">
        <v>0</v>
      </c>
      <c r="AG668" s="3" t="n">
        <v>0</v>
      </c>
      <c r="AH668" s="3" t="n">
        <v>0</v>
      </c>
      <c r="AI668" s="3" t="n">
        <v>0</v>
      </c>
      <c r="AJ668" s="3">
        <f>N(R668)*N(BC668)</f>
        <v/>
      </c>
      <c r="AK668" s="3" t="n">
        <v>0</v>
      </c>
      <c r="AL668" s="3" t="n">
        <v>0</v>
      </c>
      <c r="AM668" s="3" t="n">
        <v>-0</v>
      </c>
      <c r="AN668" s="3" t="n">
        <v>-0.2234100738777944</v>
      </c>
      <c r="AO668" s="3">
        <f>SUM(AH668:AN668)</f>
        <v/>
      </c>
      <c r="AP668" s="5">
        <f>IF(OR(N(Q668)&lt;=0,N(BA668)=0),0,N(Q668)*IF(N(M668)/N(Q668)&gt;=60,N(BA668),1))</f>
        <v/>
      </c>
      <c r="AQ668" s="5">
        <f>N(Q668)*N(Z668)*N(BB668)</f>
        <v/>
      </c>
      <c r="AR668" s="5">
        <f>N(AF668)*(Assumptions!$B$13*N(BD668)-(1-Assumptions!$B$13)*Assumptions!$B$14)+N(AG668)</f>
        <v/>
      </c>
      <c r="AS668" s="5">
        <f>N(AO668)*N(M668)/90+N(AP668)+N(AQ668)+N(AR668)</f>
        <v/>
      </c>
      <c r="AT668" s="3">
        <f>IF(N(M668)&lt;=0,0,(N(AS668)-N(AR668))*90/N(M668))</f>
        <v/>
      </c>
      <c r="AU668" s="5">
        <f>IFERROR(AS668-VLOOKUP($C668,Assumptions!$A$36:$C$39,3,FALSE),"")</f>
        <v/>
      </c>
      <c r="AV668" s="3">
        <f>IFERROR(AU668/F668,"")</f>
        <v/>
      </c>
      <c r="AW668">
        <f>IF(AND($E668=TRUE,$C668="GKP"),AS668,"")</f>
        <v/>
      </c>
      <c r="AX668">
        <f>IF(AND($E668=TRUE,$C668="DEF"),AS668,"")</f>
        <v/>
      </c>
      <c r="AY668">
        <f>IF(AND($E668=TRUE,$C668="MID"),AS668,"")</f>
        <v/>
      </c>
      <c r="AZ668">
        <f>IF(AND($E668=TRUE,$C668="FWD"),AS668,"")</f>
        <v/>
      </c>
      <c r="BA668" t="n">
        <v>2</v>
      </c>
      <c r="BB668" t="n">
        <v>2</v>
      </c>
      <c r="BC668" t="n">
        <v>1</v>
      </c>
      <c r="BD668" t="n">
        <v>5</v>
      </c>
    </row>
    <row r="669">
      <c r="A669" t="inlineStr">
        <is>
          <t>Emersonn Correia da Silva</t>
        </is>
      </c>
      <c r="B669" t="inlineStr">
        <is>
          <t>IPS</t>
        </is>
      </c>
      <c r="C669" t="inlineStr">
        <is>
          <t>FWD</t>
        </is>
      </c>
      <c r="E669" t="b">
        <v>1</v>
      </c>
      <c r="F669" s="2" t="n">
        <v>5.5</v>
      </c>
      <c r="G669" t="inlineStr">
        <is>
          <t>a</t>
        </is>
      </c>
      <c r="I669" s="2" t="n"/>
      <c r="K669" s="3" t="n">
        <v>2366</v>
      </c>
      <c r="L669" t="inlineStr">
        <is>
          <t>flat</t>
        </is>
      </c>
      <c r="M669" s="4" t="n">
        <v>2366</v>
      </c>
      <c r="N669" t="inlineStr">
        <is>
          <t>Solio</t>
        </is>
      </c>
      <c r="O669" s="5" t="n">
        <v>85</v>
      </c>
      <c r="P669" t="b">
        <v>0</v>
      </c>
      <c r="Q669" s="5">
        <f>IF(N(O669)&lt;=0,0,MIN(Assumptions!$B$15,N(M669)/N(O669)))</f>
        <v/>
      </c>
      <c r="R669" s="4" t="n">
        <v>0.17</v>
      </c>
      <c r="S669" s="3" t="n"/>
      <c r="T669" t="inlineStr"/>
      <c r="U669" s="3" t="n">
        <v>1</v>
      </c>
      <c r="V669" s="3" t="n"/>
      <c r="W669" s="3" t="n"/>
      <c r="X669" s="3" t="n"/>
      <c r="Y669" s="3" t="n"/>
      <c r="Z669" s="3" t="n">
        <v>0</v>
      </c>
      <c r="AA669" s="3" t="n"/>
      <c r="AB669" s="3" t="n"/>
      <c r="AC669" s="3" t="n">
        <v>3.5741</v>
      </c>
      <c r="AD669" s="3" t="n">
        <v>1.8319</v>
      </c>
      <c r="AE669" s="3" t="n">
        <v>-0.174691292596322</v>
      </c>
      <c r="AF669" s="4" t="n">
        <v>1.585577986957572</v>
      </c>
      <c r="AG669" s="3" t="n">
        <v>0</v>
      </c>
      <c r="AH669" s="3" t="n">
        <v>0</v>
      </c>
      <c r="AI669" s="3" t="n">
        <v>0</v>
      </c>
      <c r="AJ669" s="3">
        <f>N(R669)*N(BC669)</f>
        <v/>
      </c>
      <c r="AK669" s="3" t="n">
        <v>0</v>
      </c>
      <c r="AL669" s="3" t="n">
        <v>0</v>
      </c>
      <c r="AM669" s="3" t="n">
        <v>-0</v>
      </c>
      <c r="AN669" s="3" t="n">
        <v>-0.174691292596322</v>
      </c>
      <c r="AO669" s="3">
        <f>SUM(AH669:AN669)</f>
        <v/>
      </c>
      <c r="AP669" s="5">
        <f>IF(OR(N(Q669)&lt;=0,N(BA669)=0),0,N(Q669)*IF(N(M669)/N(Q669)&gt;=60,N(BA669),1))</f>
        <v/>
      </c>
      <c r="AQ669" s="5">
        <f>N(Q669)*N(Z669)*N(BB669)</f>
        <v/>
      </c>
      <c r="AR669" s="5">
        <f>N(AF669)*(Assumptions!$B$13*N(BD669)-(1-Assumptions!$B$13)*Assumptions!$B$14)+N(AG669)</f>
        <v/>
      </c>
      <c r="AS669" s="5">
        <f>N(AO669)*N(M669)/90+N(AP669)+N(AQ669)+N(AR669)</f>
        <v/>
      </c>
      <c r="AT669" s="3">
        <f>IF(N(M669)&lt;=0,0,(N(AS669)-N(AR669))*90/N(M669))</f>
        <v/>
      </c>
      <c r="AU669" s="5">
        <f>IFERROR(AS669-VLOOKUP($C669,Assumptions!$A$36:$C$39,3,FALSE),"")</f>
        <v/>
      </c>
      <c r="AV669" s="3">
        <f>IFERROR(AU669/F669,"")</f>
        <v/>
      </c>
      <c r="AW669">
        <f>IF(AND($E669=TRUE,$C669="GKP"),AS669,"")</f>
        <v/>
      </c>
      <c r="AX669">
        <f>IF(AND($E669=TRUE,$C669="DEF"),AS669,"")</f>
        <v/>
      </c>
      <c r="AY669">
        <f>IF(AND($E669=TRUE,$C669="MID"),AS669,"")</f>
        <v/>
      </c>
      <c r="AZ669">
        <f>IF(AND($E669=TRUE,$C669="FWD"),AS669,"")</f>
        <v/>
      </c>
      <c r="BA669" t="n">
        <v>2</v>
      </c>
      <c r="BB669" t="n">
        <v>2</v>
      </c>
      <c r="BC669" t="n">
        <v>0</v>
      </c>
      <c r="BD669" t="n">
        <v>4</v>
      </c>
    </row>
    <row r="670">
      <c r="A670" t="inlineStr">
        <is>
          <t>Kayne van Oevelen</t>
        </is>
      </c>
      <c r="B670" t="inlineStr">
        <is>
          <t>IPS</t>
        </is>
      </c>
      <c r="C670" t="inlineStr">
        <is>
          <t>GKP</t>
        </is>
      </c>
      <c r="E670" t="b">
        <v>1</v>
      </c>
      <c r="F670" s="2" t="n">
        <v>4.5</v>
      </c>
      <c r="G670" t="inlineStr">
        <is>
          <t>a</t>
        </is>
      </c>
      <c r="I670" s="2" t="n"/>
      <c r="K670" s="3" t="n">
        <v>35</v>
      </c>
      <c r="L670" t="inlineStr">
        <is>
          <t>flat</t>
        </is>
      </c>
      <c r="M670" s="4" t="n">
        <v>35</v>
      </c>
      <c r="N670" t="inlineStr">
        <is>
          <t>Solio</t>
        </is>
      </c>
      <c r="O670" s="5" t="n">
        <v>85</v>
      </c>
      <c r="P670" t="b">
        <v>0</v>
      </c>
      <c r="Q670" s="5">
        <f>IF(N(O670)&lt;=0,0,MIN(Assumptions!$B$15,N(M670)/N(O670)))</f>
        <v/>
      </c>
      <c r="R670" s="4" t="n">
        <v>0.17</v>
      </c>
      <c r="S670" s="3" t="n"/>
      <c r="T670" t="inlineStr"/>
      <c r="U670" s="3" t="n">
        <v>1</v>
      </c>
      <c r="V670" s="3" t="n"/>
      <c r="W670" s="3" t="n"/>
      <c r="X670" s="3" t="n"/>
      <c r="Y670" s="3" t="n">
        <v>0</v>
      </c>
      <c r="Z670" s="3" t="n">
        <v>0</v>
      </c>
      <c r="AA670" s="3" t="n"/>
      <c r="AB670" s="3" t="n"/>
      <c r="AC670" s="3" t="n">
        <v>3.5741</v>
      </c>
      <c r="AD670" s="3" t="n">
        <v>1.8319</v>
      </c>
      <c r="AE670" s="3" t="n">
        <v>-0.0763216474948735</v>
      </c>
      <c r="AF670" s="4" t="n">
        <v>0</v>
      </c>
      <c r="AG670" s="3" t="n">
        <v>0.0400226050740512</v>
      </c>
      <c r="AH670" s="3" t="n">
        <v>0</v>
      </c>
      <c r="AI670" s="3" t="n">
        <v>0</v>
      </c>
      <c r="AJ670" s="3">
        <f>N(R670)*N(BC670)</f>
        <v/>
      </c>
      <c r="AK670" s="3" t="n">
        <v>0</v>
      </c>
      <c r="AL670" s="3" t="n">
        <v>0.8565116974562608</v>
      </c>
      <c r="AM670" s="3" t="n">
        <v>-0.6723587286814016</v>
      </c>
      <c r="AN670" s="3" t="n">
        <v>-0.0763216474948735</v>
      </c>
      <c r="AO670" s="3">
        <f>SUM(AH670:AN670)</f>
        <v/>
      </c>
      <c r="AP670" s="5">
        <f>IF(OR(N(Q670)&lt;=0,N(BA670)=0),0,N(Q670)*IF(N(M670)/N(Q670)&gt;=60,N(BA670),1))</f>
        <v/>
      </c>
      <c r="AQ670" s="5">
        <f>N(Q670)*N(Z670)*N(BB670)</f>
        <v/>
      </c>
      <c r="AR670" s="5">
        <f>N(AF670)*(Assumptions!$B$13*N(BD670)-(1-Assumptions!$B$13)*Assumptions!$B$14)+N(AG670)</f>
        <v/>
      </c>
      <c r="AS670" s="5">
        <f>N(AO670)*N(M670)/90+N(AP670)+N(AQ670)+N(AR670)</f>
        <v/>
      </c>
      <c r="AT670" s="3">
        <f>IF(N(M670)&lt;=0,0,(N(AS670)-N(AR670))*90/N(M670))</f>
        <v/>
      </c>
      <c r="AU670" s="5">
        <f>IFERROR(AS670-VLOOKUP($C670,Assumptions!$A$36:$C$39,3,FALSE),"")</f>
        <v/>
      </c>
      <c r="AV670" s="3">
        <f>IFERROR(AU670/F670,"")</f>
        <v/>
      </c>
      <c r="AW670">
        <f>IF(AND($E670=TRUE,$C670="GKP"),AS670,"")</f>
        <v/>
      </c>
      <c r="AX670">
        <f>IF(AND($E670=TRUE,$C670="DEF"),AS670,"")</f>
        <v/>
      </c>
      <c r="AY670">
        <f>IF(AND($E670=TRUE,$C670="MID"),AS670,"")</f>
        <v/>
      </c>
      <c r="AZ670">
        <f>IF(AND($E670=TRUE,$C670="FWD"),AS670,"")</f>
        <v/>
      </c>
      <c r="BA670" t="n">
        <v>2</v>
      </c>
      <c r="BB670" t="n">
        <v>0</v>
      </c>
      <c r="BC670" t="n">
        <v>4</v>
      </c>
      <c r="BD670" t="n">
        <v>10</v>
      </c>
    </row>
    <row r="671">
      <c r="A671" t="inlineStr">
        <is>
          <t>Lucas Pires</t>
        </is>
      </c>
      <c r="D671" t="inlineStr">
        <is>
          <t>DEF</t>
        </is>
      </c>
      <c r="E671" t="b">
        <v>0</v>
      </c>
      <c r="F671" s="2" t="n"/>
      <c r="I671" s="2" t="n">
        <v>1406</v>
      </c>
      <c r="K671" s="3" t="n"/>
      <c r="M671" s="4" t="n">
        <v>1406</v>
      </c>
      <c r="N671" t="inlineStr">
        <is>
          <t>25/26 actual</t>
        </is>
      </c>
      <c r="O671" s="5" t="n">
        <v>86.8</v>
      </c>
      <c r="P671" t="b">
        <v>1</v>
      </c>
      <c r="Q671" s="5">
        <f>IF(N(O671)&lt;=0,0,MIN(Assumptions!$B$15,N(M671)/N(O671)))</f>
        <v/>
      </c>
      <c r="R671" s="4" t="n"/>
      <c r="S671" s="3" t="n">
        <v>0.0371</v>
      </c>
      <c r="T671" t="inlineStr">
        <is>
          <t>adjusted xGOT</t>
        </is>
      </c>
      <c r="U671" s="3" t="n">
        <v>1</v>
      </c>
      <c r="V671" s="3" t="n">
        <v>0.965</v>
      </c>
      <c r="W671" s="3" t="n">
        <v>0.6</v>
      </c>
      <c r="X671" s="3" t="n">
        <v>0.0973</v>
      </c>
      <c r="Y671" s="3" t="n">
        <v>6.543</v>
      </c>
      <c r="Z671" s="3" t="n">
        <v>0</v>
      </c>
      <c r="AA671" s="3" t="n">
        <v>0</v>
      </c>
      <c r="AB671" s="3" t="n">
        <v>34</v>
      </c>
      <c r="AC671" s="3" t="n"/>
      <c r="AD671" s="3" t="n"/>
      <c r="AE671" s="3" t="n"/>
      <c r="AF671" s="4" t="n">
        <v>0</v>
      </c>
      <c r="AG671" s="3" t="n">
        <v>0</v>
      </c>
      <c r="AH671" s="3" t="n">
        <v>0</v>
      </c>
      <c r="AI671" s="3" t="n">
        <v>0</v>
      </c>
      <c r="AJ671" s="3">
        <f>N(R671)*N(BC671)</f>
        <v/>
      </c>
      <c r="AK671" s="3" t="n">
        <v>0</v>
      </c>
      <c r="AL671" s="3" t="n">
        <v>0</v>
      </c>
      <c r="AM671" s="3" t="n">
        <v>0</v>
      </c>
      <c r="AN671" s="3" t="n">
        <v>0</v>
      </c>
      <c r="AO671" s="3">
        <f>SUM(AH671:AN671)</f>
        <v/>
      </c>
      <c r="AP671" s="5">
        <f>IF(OR(N(Q671)&lt;=0,N(BA671)=0),0,N(Q671)*IF(N(M671)/N(Q671)&gt;=60,N(BA671),1))</f>
        <v/>
      </c>
      <c r="AQ671" s="5">
        <f>N(Q671)*N(Z671)*N(BB671)</f>
        <v/>
      </c>
      <c r="AR671" s="5">
        <f>N(AF671)*(Assumptions!$B$13*N(BD671)-(1-Assumptions!$B$13)*Assumptions!$B$14)+N(AG671)</f>
        <v/>
      </c>
      <c r="AS671" s="5">
        <f>N(AO671)*N(M671)/90+N(AP671)+N(AQ671)+N(AR671)</f>
        <v/>
      </c>
      <c r="AT671" s="3">
        <f>IF(N(M671)&lt;=0,0,(N(AS671)-N(AR671))*90/N(M671))</f>
        <v/>
      </c>
      <c r="AU671" s="5">
        <f>IFERROR(AS671-VLOOKUP($C671,Assumptions!$A$36:$C$39,3,FALSE),"")</f>
        <v/>
      </c>
      <c r="AV671" s="3">
        <f>IFERROR(AU671/F671,"")</f>
        <v/>
      </c>
      <c r="AW671">
        <f>IF(AND($E671=TRUE,$C671="GKP"),AS671,"")</f>
        <v/>
      </c>
      <c r="AX671">
        <f>IF(AND($E671=TRUE,$C671="DEF"),AS671,"")</f>
        <v/>
      </c>
      <c r="AY671">
        <f>IF(AND($E671=TRUE,$C671="MID"),AS671,"")</f>
        <v/>
      </c>
      <c r="AZ671">
        <f>IF(AND($E671=TRUE,$C671="FWD"),AS671,"")</f>
        <v/>
      </c>
      <c r="BA671" t="n">
        <v>0</v>
      </c>
      <c r="BB671" t="n">
        <v>0</v>
      </c>
      <c r="BC671" t="n">
        <v>0</v>
      </c>
      <c r="BD671" t="n">
        <v>0</v>
      </c>
    </row>
    <row r="672">
      <c r="A672" t="inlineStr">
        <is>
          <t>Norman Bassette</t>
        </is>
      </c>
      <c r="B672" t="inlineStr">
        <is>
          <t>COV</t>
        </is>
      </c>
      <c r="C672" t="inlineStr">
        <is>
          <t>FWD</t>
        </is>
      </c>
      <c r="E672" t="b">
        <v>1</v>
      </c>
      <c r="F672" s="2" t="n">
        <v>4.5</v>
      </c>
      <c r="G672" t="inlineStr">
        <is>
          <t>u</t>
        </is>
      </c>
      <c r="H672" t="inlineStr">
        <is>
          <t>Has joined KVC Westerlo on loan for the rest of the season</t>
        </is>
      </c>
      <c r="I672" s="2" t="n"/>
      <c r="K672" s="3" t="n"/>
      <c r="M672" s="4" t="n"/>
      <c r="N672" t="inlineStr"/>
      <c r="O672" s="5" t="n">
        <v>85</v>
      </c>
      <c r="P672" t="b">
        <v>0</v>
      </c>
      <c r="Q672" s="5">
        <f>IF(N(O672)&lt;=0,0,MIN(Assumptions!$B$15,N(M672)/N(O672)))</f>
        <v/>
      </c>
      <c r="R672" s="4" t="n">
        <v>0.17</v>
      </c>
      <c r="S672" s="3" t="n"/>
      <c r="T672" t="inlineStr"/>
      <c r="U672" s="3" t="n">
        <v>1</v>
      </c>
      <c r="V672" s="3" t="n"/>
      <c r="W672" s="3" t="n"/>
      <c r="X672" s="3" t="n"/>
      <c r="Y672" s="3" t="n"/>
      <c r="Z672" s="3" t="n">
        <v>0</v>
      </c>
      <c r="AA672" s="3" t="n"/>
      <c r="AB672" s="3" t="n"/>
      <c r="AC672" s="3" t="n">
        <v>3.6194</v>
      </c>
      <c r="AD672" s="3" t="n">
        <v>1.8271</v>
      </c>
      <c r="AE672" s="3" t="n">
        <v>-0.174691292596322</v>
      </c>
      <c r="AF672" s="4" t="n">
        <v>0</v>
      </c>
      <c r="AG672" s="3" t="n">
        <v>0</v>
      </c>
      <c r="AH672" s="3" t="n">
        <v>0</v>
      </c>
      <c r="AI672" s="3" t="n">
        <v>0</v>
      </c>
      <c r="AJ672" s="3">
        <f>N(R672)*N(BC672)</f>
        <v/>
      </c>
      <c r="AK672" s="3" t="n">
        <v>0</v>
      </c>
      <c r="AL672" s="3" t="n">
        <v>0</v>
      </c>
      <c r="AM672" s="3" t="n">
        <v>-0</v>
      </c>
      <c r="AN672" s="3" t="n">
        <v>-0.174691292596322</v>
      </c>
      <c r="AO672" s="3">
        <f>SUM(AH672:AN672)</f>
        <v/>
      </c>
      <c r="AP672" s="5">
        <f>IF(OR(N(Q672)&lt;=0,N(BA672)=0),0,N(Q672)*IF(N(M672)/N(Q672)&gt;=60,N(BA672),1))</f>
        <v/>
      </c>
      <c r="AQ672" s="5">
        <f>N(Q672)*N(Z672)*N(BB672)</f>
        <v/>
      </c>
      <c r="AR672" s="5">
        <f>N(AF672)*(Assumptions!$B$13*N(BD672)-(1-Assumptions!$B$13)*Assumptions!$B$14)+N(AG672)</f>
        <v/>
      </c>
      <c r="AS672" s="5">
        <f>N(AO672)*N(M672)/90+N(AP672)+N(AQ672)+N(AR672)</f>
        <v/>
      </c>
      <c r="AT672" s="3">
        <f>IF(N(M672)&lt;=0,0,(N(AS672)-N(AR672))*90/N(M672))</f>
        <v/>
      </c>
      <c r="AU672" s="5">
        <f>IFERROR(AS672-VLOOKUP($C672,Assumptions!$A$36:$C$39,3,FALSE),"")</f>
        <v/>
      </c>
      <c r="AV672" s="3">
        <f>IFERROR(AU672/F672,"")</f>
        <v/>
      </c>
      <c r="AW672">
        <f>IF(AND($E672=TRUE,$C672="GKP"),AS672,"")</f>
        <v/>
      </c>
      <c r="AX672">
        <f>IF(AND($E672=TRUE,$C672="DEF"),AS672,"")</f>
        <v/>
      </c>
      <c r="AY672">
        <f>IF(AND($E672=TRUE,$C672="MID"),AS672,"")</f>
        <v/>
      </c>
      <c r="AZ672">
        <f>IF(AND($E672=TRUE,$C672="FWD"),AS672,"")</f>
        <v/>
      </c>
      <c r="BA672" t="n">
        <v>2</v>
      </c>
      <c r="BB672" t="n">
        <v>2</v>
      </c>
      <c r="BC672" t="n">
        <v>0</v>
      </c>
      <c r="BD672" t="n">
        <v>4</v>
      </c>
    </row>
    <row r="673">
      <c r="A673" t="inlineStr">
        <is>
          <t>Jaydon Banel</t>
        </is>
      </c>
      <c r="D673" t="inlineStr">
        <is>
          <t>MID</t>
        </is>
      </c>
      <c r="E673" t="b">
        <v>0</v>
      </c>
      <c r="F673" s="2" t="n"/>
      <c r="I673" s="2" t="n">
        <v>9</v>
      </c>
      <c r="K673" s="3" t="n"/>
      <c r="M673" s="4" t="n">
        <v>9</v>
      </c>
      <c r="N673" t="inlineStr">
        <is>
          <t>25/26 actual</t>
        </is>
      </c>
      <c r="O673" s="5" t="n">
        <v>85</v>
      </c>
      <c r="P673" t="b">
        <v>1</v>
      </c>
      <c r="Q673" s="5">
        <f>IF(N(O673)&lt;=0,0,MIN(Assumptions!$B$15,N(M673)/N(O673)))</f>
        <v/>
      </c>
      <c r="R673" s="4" t="n"/>
      <c r="S673" s="3" t="n">
        <v>0</v>
      </c>
      <c r="T673" t="inlineStr">
        <is>
          <t>blended xG</t>
        </is>
      </c>
      <c r="U673" s="3" t="n">
        <v>1</v>
      </c>
      <c r="V673" s="3" t="n">
        <v>1</v>
      </c>
      <c r="W673" s="3" t="n">
        <v>0</v>
      </c>
      <c r="X673" s="3" t="n">
        <v>0</v>
      </c>
      <c r="Y673" s="3" t="n">
        <v>8.471</v>
      </c>
      <c r="Z673" s="3" t="n">
        <v>0</v>
      </c>
      <c r="AA673" s="3" t="n">
        <v>0</v>
      </c>
      <c r="AB673" s="3" t="n">
        <v>1</v>
      </c>
      <c r="AC673" s="3" t="n"/>
      <c r="AD673" s="3" t="n"/>
      <c r="AE673" s="3" t="n"/>
      <c r="AF673" s="4" t="n">
        <v>0</v>
      </c>
      <c r="AG673" s="3" t="n">
        <v>0</v>
      </c>
      <c r="AH673" s="3" t="n">
        <v>0</v>
      </c>
      <c r="AI673" s="3" t="n">
        <v>0</v>
      </c>
      <c r="AJ673" s="3">
        <f>N(R673)*N(BC673)</f>
        <v/>
      </c>
      <c r="AK673" s="3" t="n">
        <v>0</v>
      </c>
      <c r="AL673" s="3" t="n">
        <v>0</v>
      </c>
      <c r="AM673" s="3" t="n">
        <v>0</v>
      </c>
      <c r="AN673" s="3" t="n">
        <v>0</v>
      </c>
      <c r="AO673" s="3">
        <f>SUM(AH673:AN673)</f>
        <v/>
      </c>
      <c r="AP673" s="5">
        <f>IF(OR(N(Q673)&lt;=0,N(BA673)=0),0,N(Q673)*IF(N(M673)/N(Q673)&gt;=60,N(BA673),1))</f>
        <v/>
      </c>
      <c r="AQ673" s="5">
        <f>N(Q673)*N(Z673)*N(BB673)</f>
        <v/>
      </c>
      <c r="AR673" s="5">
        <f>N(AF673)*(Assumptions!$B$13*N(BD673)-(1-Assumptions!$B$13)*Assumptions!$B$14)+N(AG673)</f>
        <v/>
      </c>
      <c r="AS673" s="5">
        <f>N(AO673)*N(M673)/90+N(AP673)+N(AQ673)+N(AR673)</f>
        <v/>
      </c>
      <c r="AT673" s="3">
        <f>IF(N(M673)&lt;=0,0,(N(AS673)-N(AR673))*90/N(M673))</f>
        <v/>
      </c>
      <c r="AU673" s="5">
        <f>IFERROR(AS673-VLOOKUP($C673,Assumptions!$A$36:$C$39,3,FALSE),"")</f>
        <v/>
      </c>
      <c r="AV673" s="3">
        <f>IFERROR(AU673/F673,"")</f>
        <v/>
      </c>
      <c r="AW673">
        <f>IF(AND($E673=TRUE,$C673="GKP"),AS673,"")</f>
        <v/>
      </c>
      <c r="AX673">
        <f>IF(AND($E673=TRUE,$C673="DEF"),AS673,"")</f>
        <v/>
      </c>
      <c r="AY673">
        <f>IF(AND($E673=TRUE,$C673="MID"),AS673,"")</f>
        <v/>
      </c>
      <c r="AZ673">
        <f>IF(AND($E673=TRUE,$C673="FWD"),AS673,"")</f>
        <v/>
      </c>
      <c r="BA673" t="n">
        <v>0</v>
      </c>
      <c r="BB673" t="n">
        <v>0</v>
      </c>
      <c r="BC673" t="n">
        <v>0</v>
      </c>
      <c r="BD673" t="n">
        <v>0</v>
      </c>
    </row>
    <row r="674">
      <c r="A674" t="inlineStr">
        <is>
          <t>Jahnoah Markelo</t>
        </is>
      </c>
      <c r="B674" t="inlineStr">
        <is>
          <t>COV</t>
        </is>
      </c>
      <c r="C674" t="inlineStr">
        <is>
          <t>FWD</t>
        </is>
      </c>
      <c r="E674" t="b">
        <v>1</v>
      </c>
      <c r="F674" s="2" t="n">
        <v>5</v>
      </c>
      <c r="G674" t="inlineStr">
        <is>
          <t>a</t>
        </is>
      </c>
      <c r="I674" s="2" t="n"/>
      <c r="K674" s="3" t="n">
        <v>0</v>
      </c>
      <c r="L674" t="inlineStr">
        <is>
          <t>flat</t>
        </is>
      </c>
      <c r="M674" s="4" t="n">
        <v>0</v>
      </c>
      <c r="N674" t="inlineStr">
        <is>
          <t>Solio</t>
        </is>
      </c>
      <c r="O674" s="5" t="n">
        <v>85</v>
      </c>
      <c r="P674" t="b">
        <v>0</v>
      </c>
      <c r="Q674" s="5">
        <f>IF(N(O674)&lt;=0,0,MIN(Assumptions!$B$15,N(M674)/N(O674)))</f>
        <v/>
      </c>
      <c r="R674" s="4" t="n">
        <v>0.17</v>
      </c>
      <c r="S674" s="3" t="n"/>
      <c r="T674" t="inlineStr"/>
      <c r="U674" s="3" t="n">
        <v>1</v>
      </c>
      <c r="V674" s="3" t="n"/>
      <c r="W674" s="3" t="n"/>
      <c r="X674" s="3" t="n"/>
      <c r="Y674" s="3" t="n"/>
      <c r="Z674" s="3" t="n">
        <v>0</v>
      </c>
      <c r="AA674" s="3" t="n"/>
      <c r="AB674" s="3" t="n"/>
      <c r="AC674" s="3" t="n">
        <v>3.6194</v>
      </c>
      <c r="AD674" s="3" t="n">
        <v>1.8271</v>
      </c>
      <c r="AE674" s="3" t="n">
        <v>-0.174691292596322</v>
      </c>
      <c r="AF674" s="4" t="n">
        <v>0</v>
      </c>
      <c r="AG674" s="3" t="n">
        <v>0</v>
      </c>
      <c r="AH674" s="3" t="n">
        <v>0</v>
      </c>
      <c r="AI674" s="3" t="n">
        <v>0</v>
      </c>
      <c r="AJ674" s="3">
        <f>N(R674)*N(BC674)</f>
        <v/>
      </c>
      <c r="AK674" s="3" t="n">
        <v>0</v>
      </c>
      <c r="AL674" s="3" t="n">
        <v>0</v>
      </c>
      <c r="AM674" s="3" t="n">
        <v>-0</v>
      </c>
      <c r="AN674" s="3" t="n">
        <v>-0.174691292596322</v>
      </c>
      <c r="AO674" s="3">
        <f>SUM(AH674:AN674)</f>
        <v/>
      </c>
      <c r="AP674" s="5">
        <f>IF(OR(N(Q674)&lt;=0,N(BA674)=0),0,N(Q674)*IF(N(M674)/N(Q674)&gt;=60,N(BA674),1))</f>
        <v/>
      </c>
      <c r="AQ674" s="5">
        <f>N(Q674)*N(Z674)*N(BB674)</f>
        <v/>
      </c>
      <c r="AR674" s="5">
        <f>N(AF674)*(Assumptions!$B$13*N(BD674)-(1-Assumptions!$B$13)*Assumptions!$B$14)+N(AG674)</f>
        <v/>
      </c>
      <c r="AS674" s="5">
        <f>N(AO674)*N(M674)/90+N(AP674)+N(AQ674)+N(AR674)</f>
        <v/>
      </c>
      <c r="AT674" s="3">
        <f>IF(N(M674)&lt;=0,0,(N(AS674)-N(AR674))*90/N(M674))</f>
        <v/>
      </c>
      <c r="AU674" s="5">
        <f>IFERROR(AS674-VLOOKUP($C674,Assumptions!$A$36:$C$39,3,FALSE),"")</f>
        <v/>
      </c>
      <c r="AV674" s="3">
        <f>IFERROR(AU674/F674,"")</f>
        <v/>
      </c>
      <c r="AW674">
        <f>IF(AND($E674=TRUE,$C674="GKP"),AS674,"")</f>
        <v/>
      </c>
      <c r="AX674">
        <f>IF(AND($E674=TRUE,$C674="DEF"),AS674,"")</f>
        <v/>
      </c>
      <c r="AY674">
        <f>IF(AND($E674=TRUE,$C674="MID"),AS674,"")</f>
        <v/>
      </c>
      <c r="AZ674">
        <f>IF(AND($E674=TRUE,$C674="FWD"),AS674,"")</f>
        <v/>
      </c>
      <c r="BA674" t="n">
        <v>2</v>
      </c>
      <c r="BB674" t="n">
        <v>2</v>
      </c>
      <c r="BC674" t="n">
        <v>0</v>
      </c>
      <c r="BD674" t="n">
        <v>4</v>
      </c>
    </row>
    <row r="675">
      <c r="A675" t="inlineStr">
        <is>
          <t>Gonzalo García</t>
        </is>
      </c>
      <c r="B675" t="inlineStr">
        <is>
          <t>FUL</t>
        </is>
      </c>
      <c r="C675" t="inlineStr">
        <is>
          <t>FWD</t>
        </is>
      </c>
      <c r="E675" t="b">
        <v>1</v>
      </c>
      <c r="F675" s="2" t="n">
        <v>6</v>
      </c>
      <c r="G675" t="inlineStr">
        <is>
          <t>a</t>
        </is>
      </c>
      <c r="I675" s="2" t="n"/>
      <c r="K675" s="3" t="n">
        <v>2696</v>
      </c>
      <c r="L675" t="inlineStr">
        <is>
          <t>flat</t>
        </is>
      </c>
      <c r="M675" s="4" t="n">
        <v>2696</v>
      </c>
      <c r="N675" t="inlineStr">
        <is>
          <t>Solio</t>
        </is>
      </c>
      <c r="O675" s="5" t="n">
        <v>85</v>
      </c>
      <c r="P675" t="b">
        <v>0</v>
      </c>
      <c r="Q675" s="5">
        <f>IF(N(O675)&lt;=0,0,MIN(Assumptions!$B$15,N(M675)/N(O675)))</f>
        <v/>
      </c>
      <c r="R675" s="4" t="n">
        <v>0.214</v>
      </c>
      <c r="S675" s="3" t="n"/>
      <c r="T675" t="inlineStr"/>
      <c r="U675" s="3" t="n">
        <v>1</v>
      </c>
      <c r="V675" s="3" t="n"/>
      <c r="W675" s="3" t="n"/>
      <c r="X675" s="3" t="n"/>
      <c r="Y675" s="3" t="n"/>
      <c r="Z675" s="3" t="n">
        <v>0</v>
      </c>
      <c r="AA675" s="3" t="n"/>
      <c r="AB675" s="3" t="n"/>
      <c r="AC675" s="3" t="n">
        <v>3.22</v>
      </c>
      <c r="AD675" s="3" t="n">
        <v>1.6019</v>
      </c>
      <c r="AE675" s="3" t="n">
        <v>-0.174691292596322</v>
      </c>
      <c r="AF675" s="4" t="n">
        <v>3.327363353167932</v>
      </c>
      <c r="AG675" s="3" t="n">
        <v>0</v>
      </c>
      <c r="AH675" s="3" t="n">
        <v>0</v>
      </c>
      <c r="AI675" s="3" t="n">
        <v>0</v>
      </c>
      <c r="AJ675" s="3">
        <f>N(R675)*N(BC675)</f>
        <v/>
      </c>
      <c r="AK675" s="3" t="n">
        <v>0</v>
      </c>
      <c r="AL675" s="3" t="n">
        <v>0</v>
      </c>
      <c r="AM675" s="3" t="n">
        <v>-0</v>
      </c>
      <c r="AN675" s="3" t="n">
        <v>-0.174691292596322</v>
      </c>
      <c r="AO675" s="3">
        <f>SUM(AH675:AN675)</f>
        <v/>
      </c>
      <c r="AP675" s="5">
        <f>IF(OR(N(Q675)&lt;=0,N(BA675)=0),0,N(Q675)*IF(N(M675)/N(Q675)&gt;=60,N(BA675),1))</f>
        <v/>
      </c>
      <c r="AQ675" s="5">
        <f>N(Q675)*N(Z675)*N(BB675)</f>
        <v/>
      </c>
      <c r="AR675" s="5">
        <f>N(AF675)*(Assumptions!$B$13*N(BD675)-(1-Assumptions!$B$13)*Assumptions!$B$14)+N(AG675)</f>
        <v/>
      </c>
      <c r="AS675" s="5">
        <f>N(AO675)*N(M675)/90+N(AP675)+N(AQ675)+N(AR675)</f>
        <v/>
      </c>
      <c r="AT675" s="3">
        <f>IF(N(M675)&lt;=0,0,(N(AS675)-N(AR675))*90/N(M675))</f>
        <v/>
      </c>
      <c r="AU675" s="5">
        <f>IFERROR(AS675-VLOOKUP($C675,Assumptions!$A$36:$C$39,3,FALSE),"")</f>
        <v/>
      </c>
      <c r="AV675" s="3">
        <f>IFERROR(AU675/F675,"")</f>
        <v/>
      </c>
      <c r="AW675">
        <f>IF(AND($E675=TRUE,$C675="GKP"),AS675,"")</f>
        <v/>
      </c>
      <c r="AX675">
        <f>IF(AND($E675=TRUE,$C675="DEF"),AS675,"")</f>
        <v/>
      </c>
      <c r="AY675">
        <f>IF(AND($E675=TRUE,$C675="MID"),AS675,"")</f>
        <v/>
      </c>
      <c r="AZ675">
        <f>IF(AND($E675=TRUE,$C675="FWD"),AS675,"")</f>
        <v/>
      </c>
      <c r="BA675" t="n">
        <v>2</v>
      </c>
      <c r="BB675" t="n">
        <v>2</v>
      </c>
      <c r="BC675" t="n">
        <v>0</v>
      </c>
      <c r="BD675" t="n">
        <v>4</v>
      </c>
    </row>
    <row r="676">
      <c r="A676" t="inlineStr">
        <is>
          <t>Álex Jiménez</t>
        </is>
      </c>
      <c r="D676" t="inlineStr">
        <is>
          <t>DEF</t>
        </is>
      </c>
      <c r="E676" t="b">
        <v>0</v>
      </c>
      <c r="F676" s="2" t="n"/>
      <c r="I676" s="2" t="n">
        <v>2323</v>
      </c>
      <c r="K676" s="3" t="n"/>
      <c r="M676" s="4" t="n">
        <v>2323</v>
      </c>
      <c r="N676" t="inlineStr">
        <is>
          <t>25/26 actual</t>
        </is>
      </c>
      <c r="O676" s="5" t="n">
        <v>83.59999999999999</v>
      </c>
      <c r="P676" t="b">
        <v>1</v>
      </c>
      <c r="Q676" s="5">
        <f>IF(N(O676)&lt;=0,0,MIN(Assumptions!$B$15,N(M676)/N(O676)))</f>
        <v/>
      </c>
      <c r="R676" s="4" t="n"/>
      <c r="S676" s="3" t="n">
        <v>0.0423</v>
      </c>
      <c r="T676" t="inlineStr">
        <is>
          <t>adjusted xGOT</t>
        </is>
      </c>
      <c r="U676" s="3" t="n">
        <v>1</v>
      </c>
      <c r="V676" s="3" t="n">
        <v>1.001</v>
      </c>
      <c r="W676" s="3" t="n">
        <v>1.1</v>
      </c>
      <c r="X676" s="3" t="n">
        <v>0.066</v>
      </c>
      <c r="Y676" s="3" t="n">
        <v>6.212</v>
      </c>
      <c r="Z676" s="3" t="n">
        <v>0</v>
      </c>
      <c r="AA676" s="3" t="n">
        <v>0.1162</v>
      </c>
      <c r="AB676" s="3" t="n">
        <v>56</v>
      </c>
      <c r="AC676" s="3" t="n"/>
      <c r="AD676" s="3" t="n"/>
      <c r="AE676" s="3" t="n"/>
      <c r="AF676" s="4" t="n">
        <v>0</v>
      </c>
      <c r="AG676" s="3" t="n">
        <v>0</v>
      </c>
      <c r="AH676" s="3" t="n">
        <v>0</v>
      </c>
      <c r="AI676" s="3" t="n">
        <v>0</v>
      </c>
      <c r="AJ676" s="3">
        <f>N(R676)*N(BC676)</f>
        <v/>
      </c>
      <c r="AK676" s="3" t="n">
        <v>0</v>
      </c>
      <c r="AL676" s="3" t="n">
        <v>0</v>
      </c>
      <c r="AM676" s="3" t="n">
        <v>0</v>
      </c>
      <c r="AN676" s="3" t="n">
        <v>0</v>
      </c>
      <c r="AO676" s="3">
        <f>SUM(AH676:AN676)</f>
        <v/>
      </c>
      <c r="AP676" s="5">
        <f>IF(OR(N(Q676)&lt;=0,N(BA676)=0),0,N(Q676)*IF(N(M676)/N(Q676)&gt;=60,N(BA676),1))</f>
        <v/>
      </c>
      <c r="AQ676" s="5">
        <f>N(Q676)*N(Z676)*N(BB676)</f>
        <v/>
      </c>
      <c r="AR676" s="5">
        <f>N(AF676)*(Assumptions!$B$13*N(BD676)-(1-Assumptions!$B$13)*Assumptions!$B$14)+N(AG676)</f>
        <v/>
      </c>
      <c r="AS676" s="5">
        <f>N(AO676)*N(M676)/90+N(AP676)+N(AQ676)+N(AR676)</f>
        <v/>
      </c>
      <c r="AT676" s="3">
        <f>IF(N(M676)&lt;=0,0,(N(AS676)-N(AR676))*90/N(M676))</f>
        <v/>
      </c>
      <c r="AU676" s="5">
        <f>IFERROR(AS676-VLOOKUP($C676,Assumptions!$A$36:$C$39,3,FALSE),"")</f>
        <v/>
      </c>
      <c r="AV676" s="3">
        <f>IFERROR(AU676/F676,"")</f>
        <v/>
      </c>
      <c r="AW676">
        <f>IF(AND($E676=TRUE,$C676="GKP"),AS676,"")</f>
        <v/>
      </c>
      <c r="AX676">
        <f>IF(AND($E676=TRUE,$C676="DEF"),AS676,"")</f>
        <v/>
      </c>
      <c r="AY676">
        <f>IF(AND($E676=TRUE,$C676="MID"),AS676,"")</f>
        <v/>
      </c>
      <c r="AZ676">
        <f>IF(AND($E676=TRUE,$C676="FWD"),AS676,"")</f>
        <v/>
      </c>
      <c r="BA676" t="n">
        <v>0</v>
      </c>
      <c r="BB676" t="n">
        <v>0</v>
      </c>
      <c r="BC676" t="n">
        <v>0</v>
      </c>
      <c r="BD676" t="n">
        <v>0</v>
      </c>
    </row>
    <row r="677">
      <c r="A677" t="inlineStr">
        <is>
          <t>Victor Munoz</t>
        </is>
      </c>
      <c r="B677" t="inlineStr">
        <is>
          <t>LIV</t>
        </is>
      </c>
      <c r="C677" t="inlineStr">
        <is>
          <t>MID</t>
        </is>
      </c>
      <c r="E677" t="b">
        <v>1</v>
      </c>
      <c r="F677" s="2" t="n">
        <v>6.5</v>
      </c>
      <c r="G677" t="inlineStr">
        <is>
          <t>a</t>
        </is>
      </c>
      <c r="I677" s="2" t="n"/>
      <c r="K677" s="3" t="n">
        <v>796</v>
      </c>
      <c r="L677" t="inlineStr">
        <is>
          <t>flat</t>
        </is>
      </c>
      <c r="M677" s="4" t="n">
        <v>796</v>
      </c>
      <c r="N677" t="inlineStr">
        <is>
          <t>Solio</t>
        </is>
      </c>
      <c r="O677" s="5" t="n">
        <v>85</v>
      </c>
      <c r="P677" t="b">
        <v>0</v>
      </c>
      <c r="Q677" s="5">
        <f>IF(N(O677)&lt;=0,0,MIN(Assumptions!$B$15,N(M677)/N(O677)))</f>
        <v/>
      </c>
      <c r="R677" s="4" t="n">
        <v>0.342</v>
      </c>
      <c r="S677" s="3" t="n"/>
      <c r="T677" t="inlineStr"/>
      <c r="U677" s="3" t="n">
        <v>1</v>
      </c>
      <c r="V677" s="3" t="n"/>
      <c r="W677" s="3" t="n"/>
      <c r="X677" s="3" t="n"/>
      <c r="Y677" s="3" t="n"/>
      <c r="Z677" s="3" t="n">
        <v>0</v>
      </c>
      <c r="AA677" s="3" t="n"/>
      <c r="AB677" s="3" t="n"/>
      <c r="AC677" s="3" t="n">
        <v>2.409</v>
      </c>
      <c r="AD677" s="3" t="n">
        <v>1.1228</v>
      </c>
      <c r="AE677" s="3" t="n">
        <v>-0.2160434166173144</v>
      </c>
      <c r="AF677" s="4" t="n">
        <v>0</v>
      </c>
      <c r="AG677" s="3" t="n">
        <v>0</v>
      </c>
      <c r="AH677" s="3" t="n">
        <v>0</v>
      </c>
      <c r="AI677" s="3" t="n">
        <v>0</v>
      </c>
      <c r="AJ677" s="3">
        <f>N(R677)*N(BC677)</f>
        <v/>
      </c>
      <c r="AK677" s="3" t="n">
        <v>0</v>
      </c>
      <c r="AL677" s="3" t="n">
        <v>0</v>
      </c>
      <c r="AM677" s="3" t="n">
        <v>-0</v>
      </c>
      <c r="AN677" s="3" t="n">
        <v>-0.2160434166173144</v>
      </c>
      <c r="AO677" s="3">
        <f>SUM(AH677:AN677)</f>
        <v/>
      </c>
      <c r="AP677" s="5">
        <f>IF(OR(N(Q677)&lt;=0,N(BA677)=0),0,N(Q677)*IF(N(M677)/N(Q677)&gt;=60,N(BA677),1))</f>
        <v/>
      </c>
      <c r="AQ677" s="5">
        <f>N(Q677)*N(Z677)*N(BB677)</f>
        <v/>
      </c>
      <c r="AR677" s="5">
        <f>N(AF677)*(Assumptions!$B$13*N(BD677)-(1-Assumptions!$B$13)*Assumptions!$B$14)+N(AG677)</f>
        <v/>
      </c>
      <c r="AS677" s="5">
        <f>N(AO677)*N(M677)/90+N(AP677)+N(AQ677)+N(AR677)</f>
        <v/>
      </c>
      <c r="AT677" s="3">
        <f>IF(N(M677)&lt;=0,0,(N(AS677)-N(AR677))*90/N(M677))</f>
        <v/>
      </c>
      <c r="AU677" s="5">
        <f>IFERROR(AS677-VLOOKUP($C677,Assumptions!$A$36:$C$39,3,FALSE),"")</f>
        <v/>
      </c>
      <c r="AV677" s="3">
        <f>IFERROR(AU677/F677,"")</f>
        <v/>
      </c>
      <c r="AW677">
        <f>IF(AND($E677=TRUE,$C677="GKP"),AS677,"")</f>
        <v/>
      </c>
      <c r="AX677">
        <f>IF(AND($E677=TRUE,$C677="DEF"),AS677,"")</f>
        <v/>
      </c>
      <c r="AY677">
        <f>IF(AND($E677=TRUE,$C677="MID"),AS677,"")</f>
        <v/>
      </c>
      <c r="AZ677">
        <f>IF(AND($E677=TRUE,$C677="FWD"),AS677,"")</f>
        <v/>
      </c>
      <c r="BA677" t="n">
        <v>2</v>
      </c>
      <c r="BB677" t="n">
        <v>2</v>
      </c>
      <c r="BC677" t="n">
        <v>1</v>
      </c>
      <c r="BD677" t="n">
        <v>5</v>
      </c>
    </row>
    <row r="678">
      <c r="A678" t="inlineStr">
        <is>
          <t>Jens Hjertø-Dahl</t>
        </is>
      </c>
      <c r="B678" t="inlineStr">
        <is>
          <t>HUL</t>
        </is>
      </c>
      <c r="C678" t="inlineStr">
        <is>
          <t>MID</t>
        </is>
      </c>
      <c r="E678" t="b">
        <v>1</v>
      </c>
      <c r="F678" s="2" t="n">
        <v>5</v>
      </c>
      <c r="G678" t="inlineStr">
        <is>
          <t>a</t>
        </is>
      </c>
      <c r="I678" s="2" t="n"/>
      <c r="K678" s="3" t="n">
        <v>1750</v>
      </c>
      <c r="L678" t="inlineStr">
        <is>
          <t>flat</t>
        </is>
      </c>
      <c r="M678" s="4" t="n">
        <v>1750</v>
      </c>
      <c r="N678" t="inlineStr">
        <is>
          <t>Solio</t>
        </is>
      </c>
      <c r="O678" s="5" t="n">
        <v>85</v>
      </c>
      <c r="P678" t="b">
        <v>0</v>
      </c>
      <c r="Q678" s="5">
        <f>IF(N(O678)&lt;=0,0,MIN(Assumptions!$B$15,N(M678)/N(O678)))</f>
        <v/>
      </c>
      <c r="R678" s="4" t="n">
        <v>0.143</v>
      </c>
      <c r="S678" s="3" t="n"/>
      <c r="T678" t="inlineStr"/>
      <c r="U678" s="3" t="n">
        <v>1</v>
      </c>
      <c r="V678" s="3" t="n"/>
      <c r="W678" s="3" t="n"/>
      <c r="X678" s="3" t="n"/>
      <c r="Y678" s="3" t="n"/>
      <c r="Z678" s="3" t="n">
        <v>0</v>
      </c>
      <c r="AA678" s="3" t="n"/>
      <c r="AB678" s="3" t="n"/>
      <c r="AC678" s="3" t="n">
        <v>3.9421</v>
      </c>
      <c r="AD678" s="3" t="n">
        <v>1.99</v>
      </c>
      <c r="AE678" s="3" t="n">
        <v>-0.2160434166173144</v>
      </c>
      <c r="AF678" s="4" t="n">
        <v>0</v>
      </c>
      <c r="AG678" s="3" t="n">
        <v>0</v>
      </c>
      <c r="AH678" s="3" t="n">
        <v>0</v>
      </c>
      <c r="AI678" s="3" t="n">
        <v>0</v>
      </c>
      <c r="AJ678" s="3">
        <f>N(R678)*N(BC678)</f>
        <v/>
      </c>
      <c r="AK678" s="3" t="n">
        <v>0</v>
      </c>
      <c r="AL678" s="3" t="n">
        <v>0</v>
      </c>
      <c r="AM678" s="3" t="n">
        <v>-0</v>
      </c>
      <c r="AN678" s="3" t="n">
        <v>-0.2160434166173144</v>
      </c>
      <c r="AO678" s="3">
        <f>SUM(AH678:AN678)</f>
        <v/>
      </c>
      <c r="AP678" s="5">
        <f>IF(OR(N(Q678)&lt;=0,N(BA678)=0),0,N(Q678)*IF(N(M678)/N(Q678)&gt;=60,N(BA678),1))</f>
        <v/>
      </c>
      <c r="AQ678" s="5">
        <f>N(Q678)*N(Z678)*N(BB678)</f>
        <v/>
      </c>
      <c r="AR678" s="5">
        <f>N(AF678)*(Assumptions!$B$13*N(BD678)-(1-Assumptions!$B$13)*Assumptions!$B$14)+N(AG678)</f>
        <v/>
      </c>
      <c r="AS678" s="5">
        <f>N(AO678)*N(M678)/90+N(AP678)+N(AQ678)+N(AR678)</f>
        <v/>
      </c>
      <c r="AT678" s="3">
        <f>IF(N(M678)&lt;=0,0,(N(AS678)-N(AR678))*90/N(M678))</f>
        <v/>
      </c>
      <c r="AU678" s="5">
        <f>IFERROR(AS678-VLOOKUP($C678,Assumptions!$A$36:$C$39,3,FALSE),"")</f>
        <v/>
      </c>
      <c r="AV678" s="3">
        <f>IFERROR(AU678/F678,"")</f>
        <v/>
      </c>
      <c r="AW678">
        <f>IF(AND($E678=TRUE,$C678="GKP"),AS678,"")</f>
        <v/>
      </c>
      <c r="AX678">
        <f>IF(AND($E678=TRUE,$C678="DEF"),AS678,"")</f>
        <v/>
      </c>
      <c r="AY678">
        <f>IF(AND($E678=TRUE,$C678="MID"),AS678,"")</f>
        <v/>
      </c>
      <c r="AZ678">
        <f>IF(AND($E678=TRUE,$C678="FWD"),AS678,"")</f>
        <v/>
      </c>
      <c r="BA678" t="n">
        <v>2</v>
      </c>
      <c r="BB678" t="n">
        <v>2</v>
      </c>
      <c r="BC678" t="n">
        <v>1</v>
      </c>
      <c r="BD678" t="n">
        <v>5</v>
      </c>
    </row>
    <row r="679">
      <c r="A679" t="inlineStr">
        <is>
          <t>Óscar Zambrano</t>
        </is>
      </c>
      <c r="B679" t="inlineStr">
        <is>
          <t>HUL</t>
        </is>
      </c>
      <c r="C679" t="inlineStr">
        <is>
          <t>MID</t>
        </is>
      </c>
      <c r="E679" t="b">
        <v>1</v>
      </c>
      <c r="F679" s="2" t="n">
        <v>4.5</v>
      </c>
      <c r="G679" t="inlineStr">
        <is>
          <t>i</t>
        </is>
      </c>
      <c r="H679" t="inlineStr">
        <is>
          <t>Thigh injury - Unknown return date</t>
        </is>
      </c>
      <c r="I679" s="2" t="n"/>
      <c r="K679" s="3" t="n">
        <v>88</v>
      </c>
      <c r="L679" t="inlineStr">
        <is>
          <t>flat</t>
        </is>
      </c>
      <c r="M679" s="4" t="n">
        <v>88</v>
      </c>
      <c r="N679" t="inlineStr">
        <is>
          <t>Solio</t>
        </is>
      </c>
      <c r="O679" s="5" t="n">
        <v>85</v>
      </c>
      <c r="P679" t="b">
        <v>0</v>
      </c>
      <c r="Q679" s="5">
        <f>IF(N(O679)&lt;=0,0,MIN(Assumptions!$B$15,N(M679)/N(O679)))</f>
        <v/>
      </c>
      <c r="R679" s="4" t="n">
        <v>0.143</v>
      </c>
      <c r="S679" s="3" t="n"/>
      <c r="T679" t="inlineStr"/>
      <c r="U679" s="3" t="n">
        <v>1</v>
      </c>
      <c r="V679" s="3" t="n"/>
      <c r="W679" s="3" t="n"/>
      <c r="X679" s="3" t="n"/>
      <c r="Y679" s="3" t="n"/>
      <c r="Z679" s="3" t="n">
        <v>0</v>
      </c>
      <c r="AA679" s="3" t="n"/>
      <c r="AB679" s="3" t="n"/>
      <c r="AC679" s="3" t="n">
        <v>3.9421</v>
      </c>
      <c r="AD679" s="3" t="n">
        <v>1.99</v>
      </c>
      <c r="AE679" s="3" t="n">
        <v>-0.2160434166173144</v>
      </c>
      <c r="AF679" s="4" t="n">
        <v>0</v>
      </c>
      <c r="AG679" s="3" t="n">
        <v>0</v>
      </c>
      <c r="AH679" s="3" t="n">
        <v>0</v>
      </c>
      <c r="AI679" s="3" t="n">
        <v>0</v>
      </c>
      <c r="AJ679" s="3">
        <f>N(R679)*N(BC679)</f>
        <v/>
      </c>
      <c r="AK679" s="3" t="n">
        <v>0</v>
      </c>
      <c r="AL679" s="3" t="n">
        <v>0</v>
      </c>
      <c r="AM679" s="3" t="n">
        <v>-0</v>
      </c>
      <c r="AN679" s="3" t="n">
        <v>-0.2160434166173144</v>
      </c>
      <c r="AO679" s="3">
        <f>SUM(AH679:AN679)</f>
        <v/>
      </c>
      <c r="AP679" s="5">
        <f>IF(OR(N(Q679)&lt;=0,N(BA679)=0),0,N(Q679)*IF(N(M679)/N(Q679)&gt;=60,N(BA679),1))</f>
        <v/>
      </c>
      <c r="AQ679" s="5">
        <f>N(Q679)*N(Z679)*N(BB679)</f>
        <v/>
      </c>
      <c r="AR679" s="5">
        <f>N(AF679)*(Assumptions!$B$13*N(BD679)-(1-Assumptions!$B$13)*Assumptions!$B$14)+N(AG679)</f>
        <v/>
      </c>
      <c r="AS679" s="5">
        <f>N(AO679)*N(M679)/90+N(AP679)+N(AQ679)+N(AR679)</f>
        <v/>
      </c>
      <c r="AT679" s="3">
        <f>IF(N(M679)&lt;=0,0,(N(AS679)-N(AR679))*90/N(M679))</f>
        <v/>
      </c>
      <c r="AU679" s="5">
        <f>IFERROR(AS679-VLOOKUP($C679,Assumptions!$A$36:$C$39,3,FALSE),"")</f>
        <v/>
      </c>
      <c r="AV679" s="3">
        <f>IFERROR(AU679/F679,"")</f>
        <v/>
      </c>
      <c r="AW679">
        <f>IF(AND($E679=TRUE,$C679="GKP"),AS679,"")</f>
        <v/>
      </c>
      <c r="AX679">
        <f>IF(AND($E679=TRUE,$C679="DEF"),AS679,"")</f>
        <v/>
      </c>
      <c r="AY679">
        <f>IF(AND($E679=TRUE,$C679="MID"),AS679,"")</f>
        <v/>
      </c>
      <c r="AZ679">
        <f>IF(AND($E679=TRUE,$C679="FWD"),AS679,"")</f>
        <v/>
      </c>
      <c r="BA679" t="n">
        <v>2</v>
      </c>
      <c r="BB679" t="n">
        <v>2</v>
      </c>
      <c r="BC679" t="n">
        <v>1</v>
      </c>
      <c r="BD679" t="n">
        <v>5</v>
      </c>
    </row>
    <row r="680">
      <c r="A680" t="inlineStr">
        <is>
          <t>Ewen Jaouen</t>
        </is>
      </c>
      <c r="B680" t="inlineStr">
        <is>
          <t>NEW</t>
        </is>
      </c>
      <c r="C680" t="inlineStr">
        <is>
          <t>GKP</t>
        </is>
      </c>
      <c r="E680" t="b">
        <v>1</v>
      </c>
      <c r="F680" s="2" t="n">
        <v>4.5</v>
      </c>
      <c r="G680" t="inlineStr">
        <is>
          <t>a</t>
        </is>
      </c>
      <c r="I680" s="2" t="n"/>
      <c r="K680" s="3" t="n">
        <v>34</v>
      </c>
      <c r="L680" t="inlineStr">
        <is>
          <t>flat</t>
        </is>
      </c>
      <c r="M680" s="4" t="n">
        <v>34</v>
      </c>
      <c r="N680" t="inlineStr">
        <is>
          <t>Solio</t>
        </is>
      </c>
      <c r="O680" s="5" t="n">
        <v>85</v>
      </c>
      <c r="P680" t="b">
        <v>0</v>
      </c>
      <c r="Q680" s="5">
        <f>IF(N(O680)&lt;=0,0,MIN(Assumptions!$B$15,N(M680)/N(O680)))</f>
        <v/>
      </c>
      <c r="R680" s="4" t="n">
        <v>0.248</v>
      </c>
      <c r="S680" s="3" t="n"/>
      <c r="T680" t="inlineStr"/>
      <c r="U680" s="3" t="n">
        <v>1</v>
      </c>
      <c r="V680" s="3" t="n"/>
      <c r="W680" s="3" t="n"/>
      <c r="X680" s="3" t="n"/>
      <c r="Y680" s="3" t="n">
        <v>0</v>
      </c>
      <c r="Z680" s="3" t="n">
        <v>0</v>
      </c>
      <c r="AA680" s="3" t="n"/>
      <c r="AB680" s="3" t="n"/>
      <c r="AC680" s="3" t="n">
        <v>3.0912</v>
      </c>
      <c r="AD680" s="3" t="n">
        <v>1.4534</v>
      </c>
      <c r="AE680" s="3" t="n">
        <v>-0.0763216474948735</v>
      </c>
      <c r="AF680" s="4" t="n">
        <v>0</v>
      </c>
      <c r="AG680" s="3" t="n">
        <v>0.0308459158642866</v>
      </c>
      <c r="AH680" s="3" t="n">
        <v>0</v>
      </c>
      <c r="AI680" s="3" t="n">
        <v>0</v>
      </c>
      <c r="AJ680" s="3">
        <f>N(R680)*N(BC680)</f>
        <v/>
      </c>
      <c r="AK680" s="3" t="n">
        <v>0</v>
      </c>
      <c r="AL680" s="3" t="n">
        <v>0.6950146973483665</v>
      </c>
      <c r="AM680" s="3" t="n">
        <v>-0.4903625828545308</v>
      </c>
      <c r="AN680" s="3" t="n">
        <v>-0.0763216474948735</v>
      </c>
      <c r="AO680" s="3">
        <f>SUM(AH680:AN680)</f>
        <v/>
      </c>
      <c r="AP680" s="5">
        <f>IF(OR(N(Q680)&lt;=0,N(BA680)=0),0,N(Q680)*IF(N(M680)/N(Q680)&gt;=60,N(BA680),1))</f>
        <v/>
      </c>
      <c r="AQ680" s="5">
        <f>N(Q680)*N(Z680)*N(BB680)</f>
        <v/>
      </c>
      <c r="AR680" s="5">
        <f>N(AF680)*(Assumptions!$B$13*N(BD680)-(1-Assumptions!$B$13)*Assumptions!$B$14)+N(AG680)</f>
        <v/>
      </c>
      <c r="AS680" s="5">
        <f>N(AO680)*N(M680)/90+N(AP680)+N(AQ680)+N(AR680)</f>
        <v/>
      </c>
      <c r="AT680" s="3">
        <f>IF(N(M680)&lt;=0,0,(N(AS680)-N(AR680))*90/N(M680))</f>
        <v/>
      </c>
      <c r="AU680" s="5">
        <f>IFERROR(AS680-VLOOKUP($C680,Assumptions!$A$36:$C$39,3,FALSE),"")</f>
        <v/>
      </c>
      <c r="AV680" s="3">
        <f>IFERROR(AU680/F680,"")</f>
        <v/>
      </c>
      <c r="AW680">
        <f>IF(AND($E680=TRUE,$C680="GKP"),AS680,"")</f>
        <v/>
      </c>
      <c r="AX680">
        <f>IF(AND($E680=TRUE,$C680="DEF"),AS680,"")</f>
        <v/>
      </c>
      <c r="AY680">
        <f>IF(AND($E680=TRUE,$C680="MID"),AS680,"")</f>
        <v/>
      </c>
      <c r="AZ680">
        <f>IF(AND($E680=TRUE,$C680="FWD"),AS680,"")</f>
        <v/>
      </c>
      <c r="BA680" t="n">
        <v>2</v>
      </c>
      <c r="BB680" t="n">
        <v>0</v>
      </c>
      <c r="BC680" t="n">
        <v>4</v>
      </c>
      <c r="BD680" t="n">
        <v>10</v>
      </c>
    </row>
    <row r="681">
      <c r="A681" t="inlineStr">
        <is>
          <t>Sindre Walle Egeli</t>
        </is>
      </c>
      <c r="B681" t="inlineStr">
        <is>
          <t>IPS</t>
        </is>
      </c>
      <c r="C681" t="inlineStr">
        <is>
          <t>FWD</t>
        </is>
      </c>
      <c r="E681" t="b">
        <v>1</v>
      </c>
      <c r="F681" s="2" t="n">
        <v>4.5</v>
      </c>
      <c r="G681" t="inlineStr">
        <is>
          <t>a</t>
        </is>
      </c>
      <c r="I681" s="2" t="n"/>
      <c r="K681" s="3" t="n">
        <v>616</v>
      </c>
      <c r="L681" t="inlineStr">
        <is>
          <t>flat</t>
        </is>
      </c>
      <c r="M681" s="4" t="n">
        <v>616</v>
      </c>
      <c r="N681" t="inlineStr">
        <is>
          <t>Solio</t>
        </is>
      </c>
      <c r="O681" s="5" t="n">
        <v>85</v>
      </c>
      <c r="P681" t="b">
        <v>0</v>
      </c>
      <c r="Q681" s="5">
        <f>IF(N(O681)&lt;=0,0,MIN(Assumptions!$B$15,N(M681)/N(O681)))</f>
        <v/>
      </c>
      <c r="R681" s="4" t="n">
        <v>0.17</v>
      </c>
      <c r="S681" s="3" t="n"/>
      <c r="T681" t="inlineStr"/>
      <c r="U681" s="3" t="n">
        <v>1</v>
      </c>
      <c r="V681" s="3" t="n"/>
      <c r="W681" s="3" t="n"/>
      <c r="X681" s="3" t="n"/>
      <c r="Y681" s="3" t="n"/>
      <c r="Z681" s="3" t="n">
        <v>0</v>
      </c>
      <c r="AA681" s="3" t="n"/>
      <c r="AB681" s="3" t="n"/>
      <c r="AC681" s="3" t="n">
        <v>3.5741</v>
      </c>
      <c r="AD681" s="3" t="n">
        <v>1.8319</v>
      </c>
      <c r="AE681" s="3" t="n">
        <v>-0.174691292596322</v>
      </c>
      <c r="AF681" s="4" t="n">
        <v>0</v>
      </c>
      <c r="AG681" s="3" t="n">
        <v>0</v>
      </c>
      <c r="AH681" s="3" t="n">
        <v>0</v>
      </c>
      <c r="AI681" s="3" t="n">
        <v>0</v>
      </c>
      <c r="AJ681" s="3">
        <f>N(R681)*N(BC681)</f>
        <v/>
      </c>
      <c r="AK681" s="3" t="n">
        <v>0</v>
      </c>
      <c r="AL681" s="3" t="n">
        <v>0</v>
      </c>
      <c r="AM681" s="3" t="n">
        <v>-0</v>
      </c>
      <c r="AN681" s="3" t="n">
        <v>-0.174691292596322</v>
      </c>
      <c r="AO681" s="3">
        <f>SUM(AH681:AN681)</f>
        <v/>
      </c>
      <c r="AP681" s="5">
        <f>IF(OR(N(Q681)&lt;=0,N(BA681)=0),0,N(Q681)*IF(N(M681)/N(Q681)&gt;=60,N(BA681),1))</f>
        <v/>
      </c>
      <c r="AQ681" s="5">
        <f>N(Q681)*N(Z681)*N(BB681)</f>
        <v/>
      </c>
      <c r="AR681" s="5">
        <f>N(AF681)*(Assumptions!$B$13*N(BD681)-(1-Assumptions!$B$13)*Assumptions!$B$14)+N(AG681)</f>
        <v/>
      </c>
      <c r="AS681" s="5">
        <f>N(AO681)*N(M681)/90+N(AP681)+N(AQ681)+N(AR681)</f>
        <v/>
      </c>
      <c r="AT681" s="3">
        <f>IF(N(M681)&lt;=0,0,(N(AS681)-N(AR681))*90/N(M681))</f>
        <v/>
      </c>
      <c r="AU681" s="5">
        <f>IFERROR(AS681-VLOOKUP($C681,Assumptions!$A$36:$C$39,3,FALSE),"")</f>
        <v/>
      </c>
      <c r="AV681" s="3">
        <f>IFERROR(AU681/F681,"")</f>
        <v/>
      </c>
      <c r="AW681">
        <f>IF(AND($E681=TRUE,$C681="GKP"),AS681,"")</f>
        <v/>
      </c>
      <c r="AX681">
        <f>IF(AND($E681=TRUE,$C681="DEF"),AS681,"")</f>
        <v/>
      </c>
      <c r="AY681">
        <f>IF(AND($E681=TRUE,$C681="MID"),AS681,"")</f>
        <v/>
      </c>
      <c r="AZ681">
        <f>IF(AND($E681=TRUE,$C681="FWD"),AS681,"")</f>
        <v/>
      </c>
      <c r="BA681" t="n">
        <v>2</v>
      </c>
      <c r="BB681" t="n">
        <v>2</v>
      </c>
      <c r="BC681" t="n">
        <v>0</v>
      </c>
      <c r="BD681" t="n">
        <v>4</v>
      </c>
    </row>
    <row r="682">
      <c r="A682" t="inlineStr">
        <is>
          <t>Jamaldeen Jimoh-Aloba</t>
        </is>
      </c>
      <c r="D682" t="inlineStr">
        <is>
          <t>MID</t>
        </is>
      </c>
      <c r="E682" t="b">
        <v>0</v>
      </c>
      <c r="F682" s="2" t="n"/>
      <c r="I682" s="2" t="n">
        <v>8</v>
      </c>
      <c r="K682" s="3" t="n"/>
      <c r="M682" s="4" t="n">
        <v>8</v>
      </c>
      <c r="N682" t="inlineStr">
        <is>
          <t>25/26 actual</t>
        </is>
      </c>
      <c r="O682" s="5" t="n">
        <v>85</v>
      </c>
      <c r="P682" t="b">
        <v>1</v>
      </c>
      <c r="Q682" s="5">
        <f>IF(N(O682)&lt;=0,0,MIN(Assumptions!$B$15,N(M682)/N(O682)))</f>
        <v/>
      </c>
      <c r="R682" s="4" t="n"/>
      <c r="S682" s="3" t="n"/>
      <c r="T682" t="inlineStr"/>
      <c r="U682" s="3" t="n">
        <v>1</v>
      </c>
      <c r="V682" s="3" t="n">
        <v>1</v>
      </c>
      <c r="W682" s="3" t="n">
        <v>0</v>
      </c>
      <c r="X682" s="3" t="n"/>
      <c r="Y682" s="3" t="n">
        <v>8.606</v>
      </c>
      <c r="Z682" s="3" t="n">
        <v>0</v>
      </c>
      <c r="AA682" s="3" t="n">
        <v>0</v>
      </c>
      <c r="AB682" s="3" t="n">
        <v>1</v>
      </c>
      <c r="AC682" s="3" t="n"/>
      <c r="AD682" s="3" t="n"/>
      <c r="AE682" s="3" t="n"/>
      <c r="AF682" s="4" t="n">
        <v>0</v>
      </c>
      <c r="AG682" s="3" t="n">
        <v>0</v>
      </c>
      <c r="AH682" s="3" t="n">
        <v>0</v>
      </c>
      <c r="AI682" s="3" t="n">
        <v>0</v>
      </c>
      <c r="AJ682" s="3">
        <f>N(R682)*N(BC682)</f>
        <v/>
      </c>
      <c r="AK682" s="3" t="n">
        <v>0</v>
      </c>
      <c r="AL682" s="3" t="n">
        <v>0</v>
      </c>
      <c r="AM682" s="3" t="n">
        <v>0</v>
      </c>
      <c r="AN682" s="3" t="n">
        <v>0</v>
      </c>
      <c r="AO682" s="3">
        <f>SUM(AH682:AN682)</f>
        <v/>
      </c>
      <c r="AP682" s="5">
        <f>IF(OR(N(Q682)&lt;=0,N(BA682)=0),0,N(Q682)*IF(N(M682)/N(Q682)&gt;=60,N(BA682),1))</f>
        <v/>
      </c>
      <c r="AQ682" s="5">
        <f>N(Q682)*N(Z682)*N(BB682)</f>
        <v/>
      </c>
      <c r="AR682" s="5">
        <f>N(AF682)*(Assumptions!$B$13*N(BD682)-(1-Assumptions!$B$13)*Assumptions!$B$14)+N(AG682)</f>
        <v/>
      </c>
      <c r="AS682" s="5">
        <f>N(AO682)*N(M682)/90+N(AP682)+N(AQ682)+N(AR682)</f>
        <v/>
      </c>
      <c r="AT682" s="3">
        <f>IF(N(M682)&lt;=0,0,(N(AS682)-N(AR682))*90/N(M682))</f>
        <v/>
      </c>
      <c r="AU682" s="5">
        <f>IFERROR(AS682-VLOOKUP($C682,Assumptions!$A$36:$C$39,3,FALSE),"")</f>
        <v/>
      </c>
      <c r="AV682" s="3">
        <f>IFERROR(AU682/F682,"")</f>
        <v/>
      </c>
      <c r="AW682">
        <f>IF(AND($E682=TRUE,$C682="GKP"),AS682,"")</f>
        <v/>
      </c>
      <c r="AX682">
        <f>IF(AND($E682=TRUE,$C682="DEF"),AS682,"")</f>
        <v/>
      </c>
      <c r="AY682">
        <f>IF(AND($E682=TRUE,$C682="MID"),AS682,"")</f>
        <v/>
      </c>
      <c r="AZ682">
        <f>IF(AND($E682=TRUE,$C682="FWD"),AS682,"")</f>
        <v/>
      </c>
      <c r="BA682" t="n">
        <v>0</v>
      </c>
      <c r="BB682" t="n">
        <v>0</v>
      </c>
      <c r="BC682" t="n">
        <v>0</v>
      </c>
      <c r="BD682" t="n">
        <v>0</v>
      </c>
    </row>
    <row r="683">
      <c r="A683" t="inlineStr">
        <is>
          <t>Álvaro Rodríguez</t>
        </is>
      </c>
      <c r="B683" t="inlineStr">
        <is>
          <t>BOU</t>
        </is>
      </c>
      <c r="C683" t="inlineStr">
        <is>
          <t>FWD</t>
        </is>
      </c>
      <c r="E683" t="b">
        <v>1</v>
      </c>
      <c r="F683" s="2" t="n">
        <v>6</v>
      </c>
      <c r="G683" t="inlineStr">
        <is>
          <t>a</t>
        </is>
      </c>
      <c r="I683" s="2" t="n"/>
      <c r="K683" s="3" t="n">
        <v>719</v>
      </c>
      <c r="L683" t="inlineStr">
        <is>
          <t>flat</t>
        </is>
      </c>
      <c r="M683" s="4" t="n">
        <v>719</v>
      </c>
      <c r="N683" t="inlineStr">
        <is>
          <t>Solio</t>
        </is>
      </c>
      <c r="O683" s="5" t="n">
        <v>85</v>
      </c>
      <c r="P683" t="b">
        <v>0</v>
      </c>
      <c r="Q683" s="5">
        <f>IF(N(O683)&lt;=0,0,MIN(Assumptions!$B$15,N(M683)/N(O683)))</f>
        <v/>
      </c>
      <c r="R683" s="4" t="n">
        <v>0.23</v>
      </c>
      <c r="S683" s="3" t="n"/>
      <c r="T683" t="inlineStr"/>
      <c r="U683" s="3" t="n">
        <v>1</v>
      </c>
      <c r="V683" s="3" t="n"/>
      <c r="W683" s="3" t="n"/>
      <c r="X683" s="3" t="n"/>
      <c r="Y683" s="3" t="n"/>
      <c r="Z683" s="3" t="n">
        <v>0</v>
      </c>
      <c r="AA683" s="3" t="n"/>
      <c r="AB683" s="3" t="n"/>
      <c r="AC683" s="3" t="n">
        <v>3.0957</v>
      </c>
      <c r="AD683" s="3" t="n">
        <v>1.53</v>
      </c>
      <c r="AE683" s="3" t="n">
        <v>-0.174691292596322</v>
      </c>
      <c r="AF683" s="4" t="n">
        <v>0</v>
      </c>
      <c r="AG683" s="3" t="n">
        <v>0</v>
      </c>
      <c r="AH683" s="3" t="n">
        <v>0</v>
      </c>
      <c r="AI683" s="3" t="n">
        <v>0</v>
      </c>
      <c r="AJ683" s="3">
        <f>N(R683)*N(BC683)</f>
        <v/>
      </c>
      <c r="AK683" s="3" t="n">
        <v>0</v>
      </c>
      <c r="AL683" s="3" t="n">
        <v>0</v>
      </c>
      <c r="AM683" s="3" t="n">
        <v>-0</v>
      </c>
      <c r="AN683" s="3" t="n">
        <v>-0.174691292596322</v>
      </c>
      <c r="AO683" s="3">
        <f>SUM(AH683:AN683)</f>
        <v/>
      </c>
      <c r="AP683" s="5">
        <f>IF(OR(N(Q683)&lt;=0,N(BA683)=0),0,N(Q683)*IF(N(M683)/N(Q683)&gt;=60,N(BA683),1))</f>
        <v/>
      </c>
      <c r="AQ683" s="5">
        <f>N(Q683)*N(Z683)*N(BB683)</f>
        <v/>
      </c>
      <c r="AR683" s="5">
        <f>N(AF683)*(Assumptions!$B$13*N(BD683)-(1-Assumptions!$B$13)*Assumptions!$B$14)+N(AG683)</f>
        <v/>
      </c>
      <c r="AS683" s="5">
        <f>N(AO683)*N(M683)/90+N(AP683)+N(AQ683)+N(AR683)</f>
        <v/>
      </c>
      <c r="AT683" s="3">
        <f>IF(N(M683)&lt;=0,0,(N(AS683)-N(AR683))*90/N(M683))</f>
        <v/>
      </c>
      <c r="AU683" s="5">
        <f>IFERROR(AS683-VLOOKUP($C683,Assumptions!$A$36:$C$39,3,FALSE),"")</f>
        <v/>
      </c>
      <c r="AV683" s="3">
        <f>IFERROR(AU683/F683,"")</f>
        <v/>
      </c>
      <c r="AW683">
        <f>IF(AND($E683=TRUE,$C683="GKP"),AS683,"")</f>
        <v/>
      </c>
      <c r="AX683">
        <f>IF(AND($E683=TRUE,$C683="DEF"),AS683,"")</f>
        <v/>
      </c>
      <c r="AY683">
        <f>IF(AND($E683=TRUE,$C683="MID"),AS683,"")</f>
        <v/>
      </c>
      <c r="AZ683">
        <f>IF(AND($E683=TRUE,$C683="FWD"),AS683,"")</f>
        <v/>
      </c>
      <c r="BA683" t="n">
        <v>2</v>
      </c>
      <c r="BB683" t="n">
        <v>2</v>
      </c>
      <c r="BC683" t="n">
        <v>0</v>
      </c>
      <c r="BD683" t="n">
        <v>4</v>
      </c>
    </row>
    <row r="684">
      <c r="A684" t="inlineStr">
        <is>
          <t>Eliezer Mayenda</t>
        </is>
      </c>
      <c r="D684" t="inlineStr">
        <is>
          <t>FWD</t>
        </is>
      </c>
      <c r="E684" t="b">
        <v>0</v>
      </c>
      <c r="F684" s="2" t="n"/>
      <c r="I684" s="2" t="n">
        <v>756</v>
      </c>
      <c r="K684" s="3" t="n"/>
      <c r="M684" s="4" t="n">
        <v>756</v>
      </c>
      <c r="N684" t="inlineStr">
        <is>
          <t>25/26 actual</t>
        </is>
      </c>
      <c r="O684" s="5" t="n">
        <v>73.90000000000001</v>
      </c>
      <c r="P684" t="b">
        <v>1</v>
      </c>
      <c r="Q684" s="5">
        <f>IF(N(O684)&lt;=0,0,MIN(Assumptions!$B$15,N(M684)/N(O684)))</f>
        <v/>
      </c>
      <c r="R684" s="4" t="n"/>
      <c r="S684" s="3" t="n">
        <v>0.2954</v>
      </c>
      <c r="T684" t="inlineStr">
        <is>
          <t>adjusted xGOT</t>
        </is>
      </c>
      <c r="U684" s="3" t="n">
        <v>1</v>
      </c>
      <c r="V684" s="3" t="n">
        <v>1.165</v>
      </c>
      <c r="W684" s="3" t="n">
        <v>2.1</v>
      </c>
      <c r="X684" s="3" t="n">
        <v>0.08840000000000001</v>
      </c>
      <c r="Y684" s="3" t="n">
        <v>3.937</v>
      </c>
      <c r="Z684" s="3" t="n">
        <v>0</v>
      </c>
      <c r="AA684" s="3" t="n">
        <v>0.5952</v>
      </c>
      <c r="AB684" s="3" t="n">
        <v>27</v>
      </c>
      <c r="AC684" s="3" t="n"/>
      <c r="AD684" s="3" t="n"/>
      <c r="AE684" s="3" t="n"/>
      <c r="AF684" s="4" t="n">
        <v>0</v>
      </c>
      <c r="AG684" s="3" t="n">
        <v>0</v>
      </c>
      <c r="AH684" s="3" t="n">
        <v>0</v>
      </c>
      <c r="AI684" s="3" t="n">
        <v>0</v>
      </c>
      <c r="AJ684" s="3">
        <f>N(R684)*N(BC684)</f>
        <v/>
      </c>
      <c r="AK684" s="3" t="n">
        <v>0</v>
      </c>
      <c r="AL684" s="3" t="n">
        <v>0</v>
      </c>
      <c r="AM684" s="3" t="n">
        <v>0</v>
      </c>
      <c r="AN684" s="3" t="n">
        <v>0</v>
      </c>
      <c r="AO684" s="3">
        <f>SUM(AH684:AN684)</f>
        <v/>
      </c>
      <c r="AP684" s="5">
        <f>IF(OR(N(Q684)&lt;=0,N(BA684)=0),0,N(Q684)*IF(N(M684)/N(Q684)&gt;=60,N(BA684),1))</f>
        <v/>
      </c>
      <c r="AQ684" s="5">
        <f>N(Q684)*N(Z684)*N(BB684)</f>
        <v/>
      </c>
      <c r="AR684" s="5">
        <f>N(AF684)*(Assumptions!$B$13*N(BD684)-(1-Assumptions!$B$13)*Assumptions!$B$14)+N(AG684)</f>
        <v/>
      </c>
      <c r="AS684" s="5">
        <f>N(AO684)*N(M684)/90+N(AP684)+N(AQ684)+N(AR684)</f>
        <v/>
      </c>
      <c r="AT684" s="3">
        <f>IF(N(M684)&lt;=0,0,(N(AS684)-N(AR684))*90/N(M684))</f>
        <v/>
      </c>
      <c r="AU684" s="5">
        <f>IFERROR(AS684-VLOOKUP($C684,Assumptions!$A$36:$C$39,3,FALSE),"")</f>
        <v/>
      </c>
      <c r="AV684" s="3">
        <f>IFERROR(AU684/F684,"")</f>
        <v/>
      </c>
      <c r="AW684">
        <f>IF(AND($E684=TRUE,$C684="GKP"),AS684,"")</f>
        <v/>
      </c>
      <c r="AX684">
        <f>IF(AND($E684=TRUE,$C684="DEF"),AS684,"")</f>
        <v/>
      </c>
      <c r="AY684">
        <f>IF(AND($E684=TRUE,$C684="MID"),AS684,"")</f>
        <v/>
      </c>
      <c r="AZ684">
        <f>IF(AND($E684=TRUE,$C684="FWD"),AS684,"")</f>
        <v/>
      </c>
      <c r="BA684" t="n">
        <v>0</v>
      </c>
      <c r="BB684" t="n">
        <v>0</v>
      </c>
      <c r="BC684" t="n">
        <v>0</v>
      </c>
      <c r="BD684" t="n">
        <v>0</v>
      </c>
    </row>
    <row r="685">
      <c r="A685" t="inlineStr">
        <is>
          <t>Soungoutou Magassa</t>
        </is>
      </c>
      <c r="D685" t="inlineStr">
        <is>
          <t>MID</t>
        </is>
      </c>
      <c r="E685" t="b">
        <v>0</v>
      </c>
      <c r="F685" s="2" t="n"/>
      <c r="I685" s="2" t="n">
        <v>979</v>
      </c>
      <c r="K685" s="3" t="n"/>
      <c r="M685" s="4" t="n">
        <v>979</v>
      </c>
      <c r="N685" t="inlineStr">
        <is>
          <t>25/26 actual</t>
        </is>
      </c>
      <c r="O685" s="5" t="n">
        <v>73.7</v>
      </c>
      <c r="P685" t="b">
        <v>1</v>
      </c>
      <c r="Q685" s="5">
        <f>IF(N(O685)&lt;=0,0,MIN(Assumptions!$B$15,N(M685)/N(O685)))</f>
        <v/>
      </c>
      <c r="R685" s="4" t="n"/>
      <c r="S685" s="3" t="n">
        <v>0.0431</v>
      </c>
      <c r="T685" t="inlineStr">
        <is>
          <t>adjusted xGOT</t>
        </is>
      </c>
      <c r="U685" s="3" t="n">
        <v>1</v>
      </c>
      <c r="V685" s="3" t="n">
        <v>1.066</v>
      </c>
      <c r="W685" s="3" t="n">
        <v>0.4</v>
      </c>
      <c r="X685" s="3" t="n">
        <v>0.06859999999999999</v>
      </c>
      <c r="Y685" s="3" t="n">
        <v>10.411</v>
      </c>
      <c r="Z685" s="3" t="n">
        <v>0</v>
      </c>
      <c r="AA685" s="3" t="n">
        <v>0.1839</v>
      </c>
      <c r="AB685" s="3" t="n">
        <v>31</v>
      </c>
      <c r="AC685" s="3" t="n"/>
      <c r="AD685" s="3" t="n"/>
      <c r="AE685" s="3" t="n"/>
      <c r="AF685" s="4" t="n">
        <v>0</v>
      </c>
      <c r="AG685" s="3" t="n">
        <v>0</v>
      </c>
      <c r="AH685" s="3" t="n">
        <v>0</v>
      </c>
      <c r="AI685" s="3" t="n">
        <v>0</v>
      </c>
      <c r="AJ685" s="3">
        <f>N(R685)*N(BC685)</f>
        <v/>
      </c>
      <c r="AK685" s="3" t="n">
        <v>0</v>
      </c>
      <c r="AL685" s="3" t="n">
        <v>0</v>
      </c>
      <c r="AM685" s="3" t="n">
        <v>0</v>
      </c>
      <c r="AN685" s="3" t="n">
        <v>0</v>
      </c>
      <c r="AO685" s="3">
        <f>SUM(AH685:AN685)</f>
        <v/>
      </c>
      <c r="AP685" s="5">
        <f>IF(OR(N(Q685)&lt;=0,N(BA685)=0),0,N(Q685)*IF(N(M685)/N(Q685)&gt;=60,N(BA685),1))</f>
        <v/>
      </c>
      <c r="AQ685" s="5">
        <f>N(Q685)*N(Z685)*N(BB685)</f>
        <v/>
      </c>
      <c r="AR685" s="5">
        <f>N(AF685)*(Assumptions!$B$13*N(BD685)-(1-Assumptions!$B$13)*Assumptions!$B$14)+N(AG685)</f>
        <v/>
      </c>
      <c r="AS685" s="5">
        <f>N(AO685)*N(M685)/90+N(AP685)+N(AQ685)+N(AR685)</f>
        <v/>
      </c>
      <c r="AT685" s="3">
        <f>IF(N(M685)&lt;=0,0,(N(AS685)-N(AR685))*90/N(M685))</f>
        <v/>
      </c>
      <c r="AU685" s="5">
        <f>IFERROR(AS685-VLOOKUP($C685,Assumptions!$A$36:$C$39,3,FALSE),"")</f>
        <v/>
      </c>
      <c r="AV685" s="3">
        <f>IFERROR(AU685/F685,"")</f>
        <v/>
      </c>
      <c r="AW685">
        <f>IF(AND($E685=TRUE,$C685="GKP"),AS685,"")</f>
        <v/>
      </c>
      <c r="AX685">
        <f>IF(AND($E685=TRUE,$C685="DEF"),AS685,"")</f>
        <v/>
      </c>
      <c r="AY685">
        <f>IF(AND($E685=TRUE,$C685="MID"),AS685,"")</f>
        <v/>
      </c>
      <c r="AZ685">
        <f>IF(AND($E685=TRUE,$C685="FWD"),AS685,"")</f>
        <v/>
      </c>
      <c r="BA685" t="n">
        <v>0</v>
      </c>
      <c r="BB685" t="n">
        <v>0</v>
      </c>
      <c r="BC685" t="n">
        <v>0</v>
      </c>
      <c r="BD685" t="n">
        <v>0</v>
      </c>
    </row>
    <row r="686">
      <c r="A686" t="inlineStr">
        <is>
          <t>Callum Marshall</t>
        </is>
      </c>
      <c r="D686" t="inlineStr">
        <is>
          <t>FWD</t>
        </is>
      </c>
      <c r="E686" t="b">
        <v>0</v>
      </c>
      <c r="F686" s="2" t="n"/>
      <c r="I686" s="2" t="n">
        <v>58</v>
      </c>
      <c r="K686" s="3" t="n"/>
      <c r="M686" s="4" t="n">
        <v>58</v>
      </c>
      <c r="N686" t="inlineStr">
        <is>
          <t>25/26 actual</t>
        </is>
      </c>
      <c r="O686" s="5" t="n">
        <v>85</v>
      </c>
      <c r="P686" t="b">
        <v>1</v>
      </c>
      <c r="Q686" s="5">
        <f>IF(N(O686)&lt;=0,0,MIN(Assumptions!$B$15,N(M686)/N(O686)))</f>
        <v/>
      </c>
      <c r="R686" s="4" t="n"/>
      <c r="S686" s="3" t="n">
        <v>0.1986</v>
      </c>
      <c r="T686" t="inlineStr">
        <is>
          <t>adjusted xGOT</t>
        </is>
      </c>
      <c r="U686" s="3" t="n">
        <v>1</v>
      </c>
      <c r="V686" s="3" t="n">
        <v>0.984</v>
      </c>
      <c r="W686" s="3" t="n">
        <v>0.1</v>
      </c>
      <c r="X686" s="3" t="n">
        <v>0</v>
      </c>
      <c r="Y686" s="3" t="n">
        <v>4.783</v>
      </c>
      <c r="Z686" s="3" t="n">
        <v>0</v>
      </c>
      <c r="AA686" s="3" t="n">
        <v>0</v>
      </c>
      <c r="AB686" s="3" t="n">
        <v>2</v>
      </c>
      <c r="AC686" s="3" t="n"/>
      <c r="AD686" s="3" t="n"/>
      <c r="AE686" s="3" t="n"/>
      <c r="AF686" s="4" t="n">
        <v>0</v>
      </c>
      <c r="AG686" s="3" t="n">
        <v>0</v>
      </c>
      <c r="AH686" s="3" t="n">
        <v>0</v>
      </c>
      <c r="AI686" s="3" t="n">
        <v>0</v>
      </c>
      <c r="AJ686" s="3">
        <f>N(R686)*N(BC686)</f>
        <v/>
      </c>
      <c r="AK686" s="3" t="n">
        <v>0</v>
      </c>
      <c r="AL686" s="3" t="n">
        <v>0</v>
      </c>
      <c r="AM686" s="3" t="n">
        <v>0</v>
      </c>
      <c r="AN686" s="3" t="n">
        <v>0</v>
      </c>
      <c r="AO686" s="3">
        <f>SUM(AH686:AN686)</f>
        <v/>
      </c>
      <c r="AP686" s="5">
        <f>IF(OR(N(Q686)&lt;=0,N(BA686)=0),0,N(Q686)*IF(N(M686)/N(Q686)&gt;=60,N(BA686),1))</f>
        <v/>
      </c>
      <c r="AQ686" s="5">
        <f>N(Q686)*N(Z686)*N(BB686)</f>
        <v/>
      </c>
      <c r="AR686" s="5">
        <f>N(AF686)*(Assumptions!$B$13*N(BD686)-(1-Assumptions!$B$13)*Assumptions!$B$14)+N(AG686)</f>
        <v/>
      </c>
      <c r="AS686" s="5">
        <f>N(AO686)*N(M686)/90+N(AP686)+N(AQ686)+N(AR686)</f>
        <v/>
      </c>
      <c r="AT686" s="3">
        <f>IF(N(M686)&lt;=0,0,(N(AS686)-N(AR686))*90/N(M686))</f>
        <v/>
      </c>
      <c r="AU686" s="5">
        <f>IFERROR(AS686-VLOOKUP($C686,Assumptions!$A$36:$C$39,3,FALSE),"")</f>
        <v/>
      </c>
      <c r="AV686" s="3">
        <f>IFERROR(AU686/F686,"")</f>
        <v/>
      </c>
      <c r="AW686">
        <f>IF(AND($E686=TRUE,$C686="GKP"),AS686,"")</f>
        <v/>
      </c>
      <c r="AX686">
        <f>IF(AND($E686=TRUE,$C686="DEF"),AS686,"")</f>
        <v/>
      </c>
      <c r="AY686">
        <f>IF(AND($E686=TRUE,$C686="MID"),AS686,"")</f>
        <v/>
      </c>
      <c r="AZ686">
        <f>IF(AND($E686=TRUE,$C686="FWD"),AS686,"")</f>
        <v/>
      </c>
      <c r="BA686" t="n">
        <v>0</v>
      </c>
      <c r="BB686" t="n">
        <v>0</v>
      </c>
      <c r="BC686" t="n">
        <v>0</v>
      </c>
      <c r="BD686" t="n">
        <v>0</v>
      </c>
    </row>
    <row r="687">
      <c r="A687" t="inlineStr">
        <is>
          <t>Joe Knight</t>
        </is>
      </c>
      <c r="D687" t="inlineStr">
        <is>
          <t>MID</t>
        </is>
      </c>
      <c r="E687" t="b">
        <v>0</v>
      </c>
      <c r="F687" s="2" t="n"/>
      <c r="I687" s="2" t="n">
        <v>1</v>
      </c>
      <c r="K687" s="3" t="n"/>
      <c r="M687" s="4" t="n">
        <v>1</v>
      </c>
      <c r="N687" t="inlineStr">
        <is>
          <t>25/26 actual</t>
        </is>
      </c>
      <c r="O687" s="5" t="n">
        <v>85</v>
      </c>
      <c r="P687" t="b">
        <v>1</v>
      </c>
      <c r="Q687" s="5">
        <f>IF(N(O687)&lt;=0,0,MIN(Assumptions!$B$15,N(M687)/N(O687)))</f>
        <v/>
      </c>
      <c r="R687" s="4" t="n"/>
      <c r="S687" s="3" t="n">
        <v>0</v>
      </c>
      <c r="T687" t="inlineStr">
        <is>
          <t>blended xG</t>
        </is>
      </c>
      <c r="U687" s="3" t="n">
        <v>1</v>
      </c>
      <c r="V687" s="3" t="n">
        <v>1</v>
      </c>
      <c r="W687" s="3" t="n">
        <v>0</v>
      </c>
      <c r="X687" s="3" t="n">
        <v>0</v>
      </c>
      <c r="Y687" s="3" t="n">
        <v>8.565</v>
      </c>
      <c r="Z687" s="3" t="n">
        <v>0</v>
      </c>
      <c r="AA687" s="3" t="n">
        <v>0</v>
      </c>
      <c r="AB687" s="3" t="n">
        <v>1</v>
      </c>
      <c r="AC687" s="3" t="n"/>
      <c r="AD687" s="3" t="n"/>
      <c r="AE687" s="3" t="n"/>
      <c r="AF687" s="4" t="n">
        <v>0</v>
      </c>
      <c r="AG687" s="3" t="n">
        <v>0</v>
      </c>
      <c r="AH687" s="3" t="n">
        <v>0</v>
      </c>
      <c r="AI687" s="3" t="n">
        <v>0</v>
      </c>
      <c r="AJ687" s="3">
        <f>N(R687)*N(BC687)</f>
        <v/>
      </c>
      <c r="AK687" s="3" t="n">
        <v>0</v>
      </c>
      <c r="AL687" s="3" t="n">
        <v>0</v>
      </c>
      <c r="AM687" s="3" t="n">
        <v>0</v>
      </c>
      <c r="AN687" s="3" t="n">
        <v>0</v>
      </c>
      <c r="AO687" s="3">
        <f>SUM(AH687:AN687)</f>
        <v/>
      </c>
      <c r="AP687" s="5">
        <f>IF(OR(N(Q687)&lt;=0,N(BA687)=0),0,N(Q687)*IF(N(M687)/N(Q687)&gt;=60,N(BA687),1))</f>
        <v/>
      </c>
      <c r="AQ687" s="5">
        <f>N(Q687)*N(Z687)*N(BB687)</f>
        <v/>
      </c>
      <c r="AR687" s="5">
        <f>N(AF687)*(Assumptions!$B$13*N(BD687)-(1-Assumptions!$B$13)*Assumptions!$B$14)+N(AG687)</f>
        <v/>
      </c>
      <c r="AS687" s="5">
        <f>N(AO687)*N(M687)/90+N(AP687)+N(AQ687)+N(AR687)</f>
        <v/>
      </c>
      <c r="AT687" s="3">
        <f>IF(N(M687)&lt;=0,0,(N(AS687)-N(AR687))*90/N(M687))</f>
        <v/>
      </c>
      <c r="AU687" s="5">
        <f>IFERROR(AS687-VLOOKUP($C687,Assumptions!$A$36:$C$39,3,FALSE),"")</f>
        <v/>
      </c>
      <c r="AV687" s="3">
        <f>IFERROR(AU687/F687,"")</f>
        <v/>
      </c>
      <c r="AW687">
        <f>IF(AND($E687=TRUE,$C687="GKP"),AS687,"")</f>
        <v/>
      </c>
      <c r="AX687">
        <f>IF(AND($E687=TRUE,$C687="DEF"),AS687,"")</f>
        <v/>
      </c>
      <c r="AY687">
        <f>IF(AND($E687=TRUE,$C687="MID"),AS687,"")</f>
        <v/>
      </c>
      <c r="AZ687">
        <f>IF(AND($E687=TRUE,$C687="FWD"),AS687,"")</f>
        <v/>
      </c>
      <c r="BA687" t="n">
        <v>0</v>
      </c>
      <c r="BB687" t="n">
        <v>0</v>
      </c>
      <c r="BC687" t="n">
        <v>0</v>
      </c>
      <c r="BD687" t="n">
        <v>0</v>
      </c>
    </row>
    <row r="688">
      <c r="A688" t="inlineStr">
        <is>
          <t>Ousmane Diomande</t>
        </is>
      </c>
      <c r="B688" t="inlineStr">
        <is>
          <t>NFO</t>
        </is>
      </c>
      <c r="C688" t="inlineStr">
        <is>
          <t>DEF</t>
        </is>
      </c>
      <c r="E688" t="b">
        <v>1</v>
      </c>
      <c r="F688" s="2" t="n">
        <v>5.5</v>
      </c>
      <c r="G688" t="inlineStr">
        <is>
          <t>a</t>
        </is>
      </c>
      <c r="I688" s="2" t="n"/>
      <c r="K688" s="3" t="n">
        <v>2861</v>
      </c>
      <c r="L688" t="inlineStr">
        <is>
          <t>flat</t>
        </is>
      </c>
      <c r="M688" s="4" t="n">
        <v>2861</v>
      </c>
      <c r="N688" t="inlineStr">
        <is>
          <t>Solio</t>
        </is>
      </c>
      <c r="O688" s="5" t="n">
        <v>85</v>
      </c>
      <c r="P688" t="b">
        <v>0</v>
      </c>
      <c r="Q688" s="5">
        <f>IF(N(O688)&lt;=0,0,MIN(Assumptions!$B$15,N(M688)/N(O688)))</f>
        <v/>
      </c>
      <c r="R688" s="4" t="n">
        <v>0.224</v>
      </c>
      <c r="S688" s="3" t="n"/>
      <c r="T688" t="inlineStr"/>
      <c r="U688" s="3" t="n">
        <v>1</v>
      </c>
      <c r="V688" s="3" t="n"/>
      <c r="W688" s="3" t="n"/>
      <c r="X688" s="3" t="n"/>
      <c r="Y688" s="3" t="n"/>
      <c r="Z688" s="3" t="n">
        <v>0</v>
      </c>
      <c r="AA688" s="3" t="n"/>
      <c r="AB688" s="3" t="n"/>
      <c r="AC688" s="3" t="n">
        <v>3.1134</v>
      </c>
      <c r="AD688" s="3" t="n">
        <v>1.5588</v>
      </c>
      <c r="AE688" s="3" t="n">
        <v>-0.2045226422080557</v>
      </c>
      <c r="AF688" s="4" t="n">
        <v>0</v>
      </c>
      <c r="AG688" s="3" t="n">
        <v>0</v>
      </c>
      <c r="AH688" s="3" t="n">
        <v>0</v>
      </c>
      <c r="AI688" s="3" t="n">
        <v>0</v>
      </c>
      <c r="AJ688" s="3">
        <f>N(R688)*N(BC688)</f>
        <v/>
      </c>
      <c r="AK688" s="3" t="n">
        <v>0</v>
      </c>
      <c r="AL688" s="3" t="n">
        <v>0</v>
      </c>
      <c r="AM688" s="3" t="n">
        <v>-0.5404658182244797</v>
      </c>
      <c r="AN688" s="3" t="n">
        <v>-0.2045226422080557</v>
      </c>
      <c r="AO688" s="3">
        <f>SUM(AH688:AN688)</f>
        <v/>
      </c>
      <c r="AP688" s="5">
        <f>IF(OR(N(Q688)&lt;=0,N(BA688)=0),0,N(Q688)*IF(N(M688)/N(Q688)&gt;=60,N(BA688),1))</f>
        <v/>
      </c>
      <c r="AQ688" s="5">
        <f>N(Q688)*N(Z688)*N(BB688)</f>
        <v/>
      </c>
      <c r="AR688" s="5">
        <f>N(AF688)*(Assumptions!$B$13*N(BD688)-(1-Assumptions!$B$13)*Assumptions!$B$14)+N(AG688)</f>
        <v/>
      </c>
      <c r="AS688" s="5">
        <f>N(AO688)*N(M688)/90+N(AP688)+N(AQ688)+N(AR688)</f>
        <v/>
      </c>
      <c r="AT688" s="3">
        <f>IF(N(M688)&lt;=0,0,(N(AS688)-N(AR688))*90/N(M688))</f>
        <v/>
      </c>
      <c r="AU688" s="5">
        <f>IFERROR(AS688-VLOOKUP($C688,Assumptions!$A$36:$C$39,3,FALSE),"")</f>
        <v/>
      </c>
      <c r="AV688" s="3">
        <f>IFERROR(AU688/F688,"")</f>
        <v/>
      </c>
      <c r="AW688">
        <f>IF(AND($E688=TRUE,$C688="GKP"),AS688,"")</f>
        <v/>
      </c>
      <c r="AX688">
        <f>IF(AND($E688=TRUE,$C688="DEF"),AS688,"")</f>
        <v/>
      </c>
      <c r="AY688">
        <f>IF(AND($E688=TRUE,$C688="MID"),AS688,"")</f>
        <v/>
      </c>
      <c r="AZ688">
        <f>IF(AND($E688=TRUE,$C688="FWD"),AS688,"")</f>
        <v/>
      </c>
      <c r="BA688" t="n">
        <v>2</v>
      </c>
      <c r="BB688" t="n">
        <v>2</v>
      </c>
      <c r="BC688" t="n">
        <v>4</v>
      </c>
      <c r="BD688" t="n">
        <v>6</v>
      </c>
    </row>
    <row r="689">
      <c r="A689" t="inlineStr">
        <is>
          <t>César Palacios</t>
        </is>
      </c>
      <c r="B689" t="inlineStr">
        <is>
          <t>FUL</t>
        </is>
      </c>
      <c r="C689" t="inlineStr">
        <is>
          <t>MID</t>
        </is>
      </c>
      <c r="E689" t="b">
        <v>1</v>
      </c>
      <c r="F689" s="2" t="n">
        <v>5.5</v>
      </c>
      <c r="G689" t="inlineStr">
        <is>
          <t>a</t>
        </is>
      </c>
      <c r="I689" s="2" t="n"/>
      <c r="K689" s="3" t="n">
        <v>1072</v>
      </c>
      <c r="L689" t="inlineStr">
        <is>
          <t>flat</t>
        </is>
      </c>
      <c r="M689" s="4" t="n">
        <v>1072</v>
      </c>
      <c r="N689" t="inlineStr">
        <is>
          <t>Solio</t>
        </is>
      </c>
      <c r="O689" s="5" t="n">
        <v>85</v>
      </c>
      <c r="P689" t="b">
        <v>0</v>
      </c>
      <c r="Q689" s="5">
        <f>IF(N(O689)&lt;=0,0,MIN(Assumptions!$B$15,N(M689)/N(O689)))</f>
        <v/>
      </c>
      <c r="R689" s="4" t="n">
        <v>0.214</v>
      </c>
      <c r="S689" s="3" t="n"/>
      <c r="T689" t="inlineStr"/>
      <c r="U689" s="3" t="n">
        <v>1</v>
      </c>
      <c r="V689" s="3" t="n"/>
      <c r="W689" s="3" t="n"/>
      <c r="X689" s="3" t="n"/>
      <c r="Y689" s="3" t="n"/>
      <c r="Z689" s="3" t="n">
        <v>0</v>
      </c>
      <c r="AA689" s="3" t="n"/>
      <c r="AB689" s="3" t="n"/>
      <c r="AC689" s="3" t="n">
        <v>3.22</v>
      </c>
      <c r="AD689" s="3" t="n">
        <v>1.6019</v>
      </c>
      <c r="AE689" s="3" t="n">
        <v>-0.2160434166173144</v>
      </c>
      <c r="AF689" s="4" t="n">
        <v>0</v>
      </c>
      <c r="AG689" s="3" t="n">
        <v>0</v>
      </c>
      <c r="AH689" s="3" t="n">
        <v>0</v>
      </c>
      <c r="AI689" s="3" t="n">
        <v>0</v>
      </c>
      <c r="AJ689" s="3">
        <f>N(R689)*N(BC689)</f>
        <v/>
      </c>
      <c r="AK689" s="3" t="n">
        <v>0</v>
      </c>
      <c r="AL689" s="3" t="n">
        <v>0</v>
      </c>
      <c r="AM689" s="3" t="n">
        <v>-0</v>
      </c>
      <c r="AN689" s="3" t="n">
        <v>-0.2160434166173144</v>
      </c>
      <c r="AO689" s="3">
        <f>SUM(AH689:AN689)</f>
        <v/>
      </c>
      <c r="AP689" s="5">
        <f>IF(OR(N(Q689)&lt;=0,N(BA689)=0),0,N(Q689)*IF(N(M689)/N(Q689)&gt;=60,N(BA689),1))</f>
        <v/>
      </c>
      <c r="AQ689" s="5">
        <f>N(Q689)*N(Z689)*N(BB689)</f>
        <v/>
      </c>
      <c r="AR689" s="5">
        <f>N(AF689)*(Assumptions!$B$13*N(BD689)-(1-Assumptions!$B$13)*Assumptions!$B$14)+N(AG689)</f>
        <v/>
      </c>
      <c r="AS689" s="5">
        <f>N(AO689)*N(M689)/90+N(AP689)+N(AQ689)+N(AR689)</f>
        <v/>
      </c>
      <c r="AT689" s="3">
        <f>IF(N(M689)&lt;=0,0,(N(AS689)-N(AR689))*90/N(M689))</f>
        <v/>
      </c>
      <c r="AU689" s="5">
        <f>IFERROR(AS689-VLOOKUP($C689,Assumptions!$A$36:$C$39,3,FALSE),"")</f>
        <v/>
      </c>
      <c r="AV689" s="3">
        <f>IFERROR(AU689/F689,"")</f>
        <v/>
      </c>
      <c r="AW689">
        <f>IF(AND($E689=TRUE,$C689="GKP"),AS689,"")</f>
        <v/>
      </c>
      <c r="AX689">
        <f>IF(AND($E689=TRUE,$C689="DEF"),AS689,"")</f>
        <v/>
      </c>
      <c r="AY689">
        <f>IF(AND($E689=TRUE,$C689="MID"),AS689,"")</f>
        <v/>
      </c>
      <c r="AZ689">
        <f>IF(AND($E689=TRUE,$C689="FWD"),AS689,"")</f>
        <v/>
      </c>
      <c r="BA689" t="n">
        <v>2</v>
      </c>
      <c r="BB689" t="n">
        <v>2</v>
      </c>
      <c r="BC689" t="n">
        <v>1</v>
      </c>
      <c r="BD689" t="n">
        <v>5</v>
      </c>
    </row>
    <row r="690">
      <c r="A690" t="inlineStr">
        <is>
          <t>Luis Guilherme</t>
        </is>
      </c>
      <c r="D690" t="inlineStr">
        <is>
          <t>MID</t>
        </is>
      </c>
      <c r="E690" t="b">
        <v>0</v>
      </c>
      <c r="F690" s="2" t="n"/>
      <c r="I690" s="2" t="n">
        <v>121</v>
      </c>
      <c r="K690" s="3" t="n"/>
      <c r="M690" s="4" t="n">
        <v>121</v>
      </c>
      <c r="N690" t="inlineStr">
        <is>
          <t>25/26 actual</t>
        </is>
      </c>
      <c r="O690" s="5" t="n">
        <v>45</v>
      </c>
      <c r="P690" t="b">
        <v>1</v>
      </c>
      <c r="Q690" s="5">
        <f>IF(N(O690)&lt;=0,0,MIN(Assumptions!$B$15,N(M690)/N(O690)))</f>
        <v/>
      </c>
      <c r="R690" s="4" t="n"/>
      <c r="S690" s="3" t="n">
        <v>0.0498</v>
      </c>
      <c r="T690" t="inlineStr">
        <is>
          <t>adjusted xGOT</t>
        </is>
      </c>
      <c r="U690" s="3" t="n">
        <v>1</v>
      </c>
      <c r="V690" s="3" t="n">
        <v>0.954</v>
      </c>
      <c r="W690" s="3" t="n">
        <v>0.5</v>
      </c>
      <c r="X690" s="3" t="n">
        <v>0.0385</v>
      </c>
      <c r="Y690" s="3" t="n">
        <v>8.52</v>
      </c>
      <c r="Z690" s="3" t="n">
        <v>0</v>
      </c>
      <c r="AA690" s="3" t="n">
        <v>0</v>
      </c>
      <c r="AB690" s="3" t="n">
        <v>5</v>
      </c>
      <c r="AC690" s="3" t="n"/>
      <c r="AD690" s="3" t="n"/>
      <c r="AE690" s="3" t="n"/>
      <c r="AF690" s="4" t="n">
        <v>0</v>
      </c>
      <c r="AG690" s="3" t="n">
        <v>0</v>
      </c>
      <c r="AH690" s="3" t="n">
        <v>0</v>
      </c>
      <c r="AI690" s="3" t="n">
        <v>0</v>
      </c>
      <c r="AJ690" s="3">
        <f>N(R690)*N(BC690)</f>
        <v/>
      </c>
      <c r="AK690" s="3" t="n">
        <v>0</v>
      </c>
      <c r="AL690" s="3" t="n">
        <v>0</v>
      </c>
      <c r="AM690" s="3" t="n">
        <v>0</v>
      </c>
      <c r="AN690" s="3" t="n">
        <v>0</v>
      </c>
      <c r="AO690" s="3">
        <f>SUM(AH690:AN690)</f>
        <v/>
      </c>
      <c r="AP690" s="5">
        <f>IF(OR(N(Q690)&lt;=0,N(BA690)=0),0,N(Q690)*IF(N(M690)/N(Q690)&gt;=60,N(BA690),1))</f>
        <v/>
      </c>
      <c r="AQ690" s="5">
        <f>N(Q690)*N(Z690)*N(BB690)</f>
        <v/>
      </c>
      <c r="AR690" s="5">
        <f>N(AF690)*(Assumptions!$B$13*N(BD690)-(1-Assumptions!$B$13)*Assumptions!$B$14)+N(AG690)</f>
        <v/>
      </c>
      <c r="AS690" s="5">
        <f>N(AO690)*N(M690)/90+N(AP690)+N(AQ690)+N(AR690)</f>
        <v/>
      </c>
      <c r="AT690" s="3">
        <f>IF(N(M690)&lt;=0,0,(N(AS690)-N(AR690))*90/N(M690))</f>
        <v/>
      </c>
      <c r="AU690" s="5">
        <f>IFERROR(AS690-VLOOKUP($C690,Assumptions!$A$36:$C$39,3,FALSE),"")</f>
        <v/>
      </c>
      <c r="AV690" s="3">
        <f>IFERROR(AU690/F690,"")</f>
        <v/>
      </c>
      <c r="AW690">
        <f>IF(AND($E690=TRUE,$C690="GKP"),AS690,"")</f>
        <v/>
      </c>
      <c r="AX690">
        <f>IF(AND($E690=TRUE,$C690="DEF"),AS690,"")</f>
        <v/>
      </c>
      <c r="AY690">
        <f>IF(AND($E690=TRUE,$C690="MID"),AS690,"")</f>
        <v/>
      </c>
      <c r="AZ690">
        <f>IF(AND($E690=TRUE,$C690="FWD"),AS690,"")</f>
        <v/>
      </c>
      <c r="BA690" t="n">
        <v>0</v>
      </c>
      <c r="BB690" t="n">
        <v>0</v>
      </c>
      <c r="BC690" t="n">
        <v>0</v>
      </c>
      <c r="BD690" t="n">
        <v>0</v>
      </c>
    </row>
    <row r="691">
      <c r="A691" t="inlineStr">
        <is>
          <t>Miguel Brau</t>
        </is>
      </c>
      <c r="B691" t="inlineStr">
        <is>
          <t>COV</t>
        </is>
      </c>
      <c r="C691" t="inlineStr">
        <is>
          <t>DEF</t>
        </is>
      </c>
      <c r="E691" t="b">
        <v>1</v>
      </c>
      <c r="F691" s="2" t="n">
        <v>4</v>
      </c>
      <c r="G691" t="inlineStr">
        <is>
          <t>a</t>
        </is>
      </c>
      <c r="I691" s="2" t="n"/>
      <c r="K691" s="3" t="n">
        <v>0</v>
      </c>
      <c r="L691" t="inlineStr">
        <is>
          <t>flat</t>
        </is>
      </c>
      <c r="M691" s="4" t="n">
        <v>0</v>
      </c>
      <c r="N691" t="inlineStr">
        <is>
          <t>Solio</t>
        </is>
      </c>
      <c r="O691" s="5" t="n">
        <v>85</v>
      </c>
      <c r="P691" t="b">
        <v>0</v>
      </c>
      <c r="Q691" s="5">
        <f>IF(N(O691)&lt;=0,0,MIN(Assumptions!$B$15,N(M691)/N(O691)))</f>
        <v/>
      </c>
      <c r="R691" s="4" t="n">
        <v>0.17</v>
      </c>
      <c r="S691" s="3" t="n"/>
      <c r="T691" t="inlineStr"/>
      <c r="U691" s="3" t="n">
        <v>1</v>
      </c>
      <c r="V691" s="3" t="n"/>
      <c r="W691" s="3" t="n"/>
      <c r="X691" s="3" t="n"/>
      <c r="Y691" s="3" t="n"/>
      <c r="Z691" s="3" t="n">
        <v>0</v>
      </c>
      <c r="AA691" s="3" t="n"/>
      <c r="AB691" s="3" t="n"/>
      <c r="AC691" s="3" t="n">
        <v>3.6194</v>
      </c>
      <c r="AD691" s="3" t="n">
        <v>1.8271</v>
      </c>
      <c r="AE691" s="3" t="n">
        <v>-0.2045226422080557</v>
      </c>
      <c r="AF691" s="4" t="n">
        <v>0</v>
      </c>
      <c r="AG691" s="3" t="n">
        <v>0</v>
      </c>
      <c r="AH691" s="3" t="n">
        <v>0</v>
      </c>
      <c r="AI691" s="3" t="n">
        <v>0</v>
      </c>
      <c r="AJ691" s="3">
        <f>N(R691)*N(BC691)</f>
        <v/>
      </c>
      <c r="AK691" s="3" t="n">
        <v>0</v>
      </c>
      <c r="AL691" s="3" t="n">
        <v>0</v>
      </c>
      <c r="AM691" s="3" t="n">
        <v>-0.670020548738316</v>
      </c>
      <c r="AN691" s="3" t="n">
        <v>-0.2045226422080557</v>
      </c>
      <c r="AO691" s="3">
        <f>SUM(AH691:AN691)</f>
        <v/>
      </c>
      <c r="AP691" s="5">
        <f>IF(OR(N(Q691)&lt;=0,N(BA691)=0),0,N(Q691)*IF(N(M691)/N(Q691)&gt;=60,N(BA691),1))</f>
        <v/>
      </c>
      <c r="AQ691" s="5">
        <f>N(Q691)*N(Z691)*N(BB691)</f>
        <v/>
      </c>
      <c r="AR691" s="5">
        <f>N(AF691)*(Assumptions!$B$13*N(BD691)-(1-Assumptions!$B$13)*Assumptions!$B$14)+N(AG691)</f>
        <v/>
      </c>
      <c r="AS691" s="5">
        <f>N(AO691)*N(M691)/90+N(AP691)+N(AQ691)+N(AR691)</f>
        <v/>
      </c>
      <c r="AT691" s="3">
        <f>IF(N(M691)&lt;=0,0,(N(AS691)-N(AR691))*90/N(M691))</f>
        <v/>
      </c>
      <c r="AU691" s="5">
        <f>IFERROR(AS691-VLOOKUP($C691,Assumptions!$A$36:$C$39,3,FALSE),"")</f>
        <v/>
      </c>
      <c r="AV691" s="3">
        <f>IFERROR(AU691/F691,"")</f>
        <v/>
      </c>
      <c r="AW691">
        <f>IF(AND($E691=TRUE,$C691="GKP"),AS691,"")</f>
        <v/>
      </c>
      <c r="AX691">
        <f>IF(AND($E691=TRUE,$C691="DEF"),AS691,"")</f>
        <v/>
      </c>
      <c r="AY691">
        <f>IF(AND($E691=TRUE,$C691="MID"),AS691,"")</f>
        <v/>
      </c>
      <c r="AZ691">
        <f>IF(AND($E691=TRUE,$C691="FWD"),AS691,"")</f>
        <v/>
      </c>
      <c r="BA691" t="n">
        <v>2</v>
      </c>
      <c r="BB691" t="n">
        <v>2</v>
      </c>
      <c r="BC691" t="n">
        <v>4</v>
      </c>
      <c r="BD691" t="n">
        <v>6</v>
      </c>
    </row>
    <row r="692">
      <c r="A692" t="inlineStr">
        <is>
          <t>Kosta Nedeljkovic</t>
        </is>
      </c>
      <c r="B692" t="inlineStr">
        <is>
          <t>AVL</t>
        </is>
      </c>
      <c r="C692" t="inlineStr">
        <is>
          <t>DEF</t>
        </is>
      </c>
      <c r="E692" t="b">
        <v>1</v>
      </c>
      <c r="F692" s="2" t="n">
        <v>4</v>
      </c>
      <c r="G692" t="inlineStr">
        <is>
          <t>a</t>
        </is>
      </c>
      <c r="I692" s="2" t="n"/>
      <c r="K692" s="3" t="n">
        <v>0</v>
      </c>
      <c r="L692" t="inlineStr">
        <is>
          <t>flat</t>
        </is>
      </c>
      <c r="M692" s="4" t="n">
        <v>0</v>
      </c>
      <c r="N692" t="inlineStr">
        <is>
          <t>Solio</t>
        </is>
      </c>
      <c r="O692" s="5" t="n">
        <v>85</v>
      </c>
      <c r="P692" t="b">
        <v>0</v>
      </c>
      <c r="Q692" s="5">
        <f>IF(N(O692)&lt;=0,0,MIN(Assumptions!$B$15,N(M692)/N(O692)))</f>
        <v/>
      </c>
      <c r="R692" s="4" t="n">
        <v>0.273</v>
      </c>
      <c r="S692" s="3" t="n"/>
      <c r="T692" t="inlineStr"/>
      <c r="U692" s="3" t="n">
        <v>1</v>
      </c>
      <c r="V692" s="3" t="n"/>
      <c r="W692" s="3" t="n"/>
      <c r="X692" s="3" t="n"/>
      <c r="Y692" s="3" t="n"/>
      <c r="Z692" s="3" t="n">
        <v>0</v>
      </c>
      <c r="AA692" s="3" t="n"/>
      <c r="AB692" s="3" t="n"/>
      <c r="AC692" s="3" t="n">
        <v>2.7451</v>
      </c>
      <c r="AD692" s="3" t="n">
        <v>1.3575</v>
      </c>
      <c r="AE692" s="3" t="n">
        <v>-0.1957236914779764</v>
      </c>
      <c r="AF692" s="4" t="n">
        <v>0</v>
      </c>
      <c r="AG692" s="3" t="n">
        <v>0</v>
      </c>
      <c r="AH692" s="3" t="n">
        <v>0</v>
      </c>
      <c r="AI692" s="3" t="n">
        <v>0</v>
      </c>
      <c r="AJ692" s="3">
        <f>N(R692)*N(BC692)</f>
        <v/>
      </c>
      <c r="AK692" s="3" t="n">
        <v>0</v>
      </c>
      <c r="AL692" s="3" t="n">
        <v>0</v>
      </c>
      <c r="AM692" s="3" t="n">
        <v>-0.4453012382517575</v>
      </c>
      <c r="AN692" s="3" t="n">
        <v>-0.1957236914779764</v>
      </c>
      <c r="AO692" s="3">
        <f>SUM(AH692:AN692)</f>
        <v/>
      </c>
      <c r="AP692" s="5">
        <f>IF(OR(N(Q692)&lt;=0,N(BA692)=0),0,N(Q692)*IF(N(M692)/N(Q692)&gt;=60,N(BA692),1))</f>
        <v/>
      </c>
      <c r="AQ692" s="5">
        <f>N(Q692)*N(Z692)*N(BB692)</f>
        <v/>
      </c>
      <c r="AR692" s="5">
        <f>N(AF692)*(Assumptions!$B$13*N(BD692)-(1-Assumptions!$B$13)*Assumptions!$B$14)+N(AG692)</f>
        <v/>
      </c>
      <c r="AS692" s="5">
        <f>N(AO692)*N(M692)/90+N(AP692)+N(AQ692)+N(AR692)</f>
        <v/>
      </c>
      <c r="AT692" s="3">
        <f>IF(N(M692)&lt;=0,0,(N(AS692)-N(AR692))*90/N(M692))</f>
        <v/>
      </c>
      <c r="AU692" s="5">
        <f>IFERROR(AS692-VLOOKUP($C692,Assumptions!$A$36:$C$39,3,FALSE),"")</f>
        <v/>
      </c>
      <c r="AV692" s="3">
        <f>IFERROR(AU692/F692,"")</f>
        <v/>
      </c>
      <c r="AW692">
        <f>IF(AND($E692=TRUE,$C692="GKP"),AS692,"")</f>
        <v/>
      </c>
      <c r="AX692">
        <f>IF(AND($E692=TRUE,$C692="DEF"),AS692,"")</f>
        <v/>
      </c>
      <c r="AY692">
        <f>IF(AND($E692=TRUE,$C692="MID"),AS692,"")</f>
        <v/>
      </c>
      <c r="AZ692">
        <f>IF(AND($E692=TRUE,$C692="FWD"),AS692,"")</f>
        <v/>
      </c>
      <c r="BA692" t="n">
        <v>2</v>
      </c>
      <c r="BB692" t="n">
        <v>2</v>
      </c>
      <c r="BC692" t="n">
        <v>4</v>
      </c>
      <c r="BD692" t="n">
        <v>6</v>
      </c>
    </row>
    <row r="693">
      <c r="A693" t="inlineStr">
        <is>
          <t>Geovany Quenda</t>
        </is>
      </c>
      <c r="B693" t="inlineStr">
        <is>
          <t>CHE</t>
        </is>
      </c>
      <c r="C693" t="inlineStr">
        <is>
          <t>MID</t>
        </is>
      </c>
      <c r="E693" t="b">
        <v>1</v>
      </c>
      <c r="F693" s="2" t="n">
        <v>5.5</v>
      </c>
      <c r="G693" t="inlineStr">
        <is>
          <t>a</t>
        </is>
      </c>
      <c r="I693" s="2" t="n"/>
      <c r="K693" s="3" t="n">
        <v>866</v>
      </c>
      <c r="L693" t="inlineStr">
        <is>
          <t>flat</t>
        </is>
      </c>
      <c r="M693" s="4" t="n">
        <v>866</v>
      </c>
      <c r="N693" t="inlineStr">
        <is>
          <t>Solio</t>
        </is>
      </c>
      <c r="O693" s="5" t="n">
        <v>85</v>
      </c>
      <c r="P693" t="b">
        <v>0</v>
      </c>
      <c r="Q693" s="5">
        <f>IF(N(O693)&lt;=0,0,MIN(Assumptions!$B$15,N(M693)/N(O693)))</f>
        <v/>
      </c>
      <c r="R693" s="4" t="n">
        <v>0.322</v>
      </c>
      <c r="S693" s="3" t="n"/>
      <c r="T693" t="inlineStr"/>
      <c r="U693" s="3" t="n">
        <v>1</v>
      </c>
      <c r="V693" s="3" t="n"/>
      <c r="W693" s="3" t="n"/>
      <c r="X693" s="3" t="n"/>
      <c r="Y693" s="3" t="n"/>
      <c r="Z693" s="3" t="n">
        <v>0</v>
      </c>
      <c r="AA693" s="3" t="n"/>
      <c r="AB693" s="3" t="n"/>
      <c r="AC693" s="3" t="n">
        <v>2.4232</v>
      </c>
      <c r="AD693" s="3" t="n">
        <v>1.1851</v>
      </c>
      <c r="AE693" s="3" t="n">
        <v>-0.2160434166173144</v>
      </c>
      <c r="AF693" s="4" t="n">
        <v>0</v>
      </c>
      <c r="AG693" s="3" t="n">
        <v>0</v>
      </c>
      <c r="AH693" s="3" t="n">
        <v>0</v>
      </c>
      <c r="AI693" s="3" t="n">
        <v>0</v>
      </c>
      <c r="AJ693" s="3">
        <f>N(R693)*N(BC693)</f>
        <v/>
      </c>
      <c r="AK693" s="3" t="n">
        <v>0</v>
      </c>
      <c r="AL693" s="3" t="n">
        <v>0</v>
      </c>
      <c r="AM693" s="3" t="n">
        <v>-0</v>
      </c>
      <c r="AN693" s="3" t="n">
        <v>-0.2160434166173144</v>
      </c>
      <c r="AO693" s="3">
        <f>SUM(AH693:AN693)</f>
        <v/>
      </c>
      <c r="AP693" s="5">
        <f>IF(OR(N(Q693)&lt;=0,N(BA693)=0),0,N(Q693)*IF(N(M693)/N(Q693)&gt;=60,N(BA693),1))</f>
        <v/>
      </c>
      <c r="AQ693" s="5">
        <f>N(Q693)*N(Z693)*N(BB693)</f>
        <v/>
      </c>
      <c r="AR693" s="5">
        <f>N(AF693)*(Assumptions!$B$13*N(BD693)-(1-Assumptions!$B$13)*Assumptions!$B$14)+N(AG693)</f>
        <v/>
      </c>
      <c r="AS693" s="5">
        <f>N(AO693)*N(M693)/90+N(AP693)+N(AQ693)+N(AR693)</f>
        <v/>
      </c>
      <c r="AT693" s="3">
        <f>IF(N(M693)&lt;=0,0,(N(AS693)-N(AR693))*90/N(M693))</f>
        <v/>
      </c>
      <c r="AU693" s="5">
        <f>IFERROR(AS693-VLOOKUP($C693,Assumptions!$A$36:$C$39,3,FALSE),"")</f>
        <v/>
      </c>
      <c r="AV693" s="3">
        <f>IFERROR(AU693/F693,"")</f>
        <v/>
      </c>
      <c r="AW693">
        <f>IF(AND($E693=TRUE,$C693="GKP"),AS693,"")</f>
        <v/>
      </c>
      <c r="AX693">
        <f>IF(AND($E693=TRUE,$C693="DEF"),AS693,"")</f>
        <v/>
      </c>
      <c r="AY693">
        <f>IF(AND($E693=TRUE,$C693="MID"),AS693,"")</f>
        <v/>
      </c>
      <c r="AZ693">
        <f>IF(AND($E693=TRUE,$C693="FWD"),AS693,"")</f>
        <v/>
      </c>
      <c r="BA693" t="n">
        <v>2</v>
      </c>
      <c r="BB693" t="n">
        <v>2</v>
      </c>
      <c r="BC693" t="n">
        <v>1</v>
      </c>
      <c r="BD693" t="n">
        <v>5</v>
      </c>
    </row>
    <row r="694">
      <c r="A694" t="inlineStr">
        <is>
          <t>Tom Edozie</t>
        </is>
      </c>
      <c r="D694" t="inlineStr">
        <is>
          <t>MID</t>
        </is>
      </c>
      <c r="E694" t="b">
        <v>0</v>
      </c>
      <c r="F694" s="2" t="n"/>
      <c r="I694" s="2" t="n">
        <v>12</v>
      </c>
      <c r="K694" s="3" t="n"/>
      <c r="M694" s="4" t="n">
        <v>12</v>
      </c>
      <c r="N694" t="inlineStr">
        <is>
          <t>25/26 actual</t>
        </is>
      </c>
      <c r="O694" s="5" t="n">
        <v>85</v>
      </c>
      <c r="P694" t="b">
        <v>1</v>
      </c>
      <c r="Q694" s="5">
        <f>IF(N(O694)&lt;=0,0,MIN(Assumptions!$B$15,N(M694)/N(O694)))</f>
        <v/>
      </c>
      <c r="R694" s="4" t="n"/>
      <c r="S694" s="3" t="n">
        <v>1.845</v>
      </c>
      <c r="T694" t="inlineStr">
        <is>
          <t>adjusted xGOT</t>
        </is>
      </c>
      <c r="U694" s="3" t="n">
        <v>1</v>
      </c>
      <c r="V694" s="3" t="n">
        <v>1.069</v>
      </c>
      <c r="W694" s="3" t="n">
        <v>0.2</v>
      </c>
      <c r="X694" s="3" t="n"/>
      <c r="Y694" s="3" t="n">
        <v>8.558999999999999</v>
      </c>
      <c r="Z694" s="3" t="n">
        <v>0</v>
      </c>
      <c r="AA694" s="3" t="n">
        <v>0</v>
      </c>
      <c r="AB694" s="3" t="n">
        <v>3</v>
      </c>
      <c r="AC694" s="3" t="n"/>
      <c r="AD694" s="3" t="n"/>
      <c r="AE694" s="3" t="n"/>
      <c r="AF694" s="4" t="n">
        <v>0</v>
      </c>
      <c r="AG694" s="3" t="n">
        <v>0</v>
      </c>
      <c r="AH694" s="3" t="n">
        <v>0</v>
      </c>
      <c r="AI694" s="3" t="n">
        <v>0</v>
      </c>
      <c r="AJ694" s="3">
        <f>N(R694)*N(BC694)</f>
        <v/>
      </c>
      <c r="AK694" s="3" t="n">
        <v>0</v>
      </c>
      <c r="AL694" s="3" t="n">
        <v>0</v>
      </c>
      <c r="AM694" s="3" t="n">
        <v>0</v>
      </c>
      <c r="AN694" s="3" t="n">
        <v>0</v>
      </c>
      <c r="AO694" s="3">
        <f>SUM(AH694:AN694)</f>
        <v/>
      </c>
      <c r="AP694" s="5">
        <f>IF(OR(N(Q694)&lt;=0,N(BA694)=0),0,N(Q694)*IF(N(M694)/N(Q694)&gt;=60,N(BA694),1))</f>
        <v/>
      </c>
      <c r="AQ694" s="5">
        <f>N(Q694)*N(Z694)*N(BB694)</f>
        <v/>
      </c>
      <c r="AR694" s="5">
        <f>N(AF694)*(Assumptions!$B$13*N(BD694)-(1-Assumptions!$B$13)*Assumptions!$B$14)+N(AG694)</f>
        <v/>
      </c>
      <c r="AS694" s="5">
        <f>N(AO694)*N(M694)/90+N(AP694)+N(AQ694)+N(AR694)</f>
        <v/>
      </c>
      <c r="AT694" s="3">
        <f>IF(N(M694)&lt;=0,0,(N(AS694)-N(AR694))*90/N(M694))</f>
        <v/>
      </c>
      <c r="AU694" s="5">
        <f>IFERROR(AS694-VLOOKUP($C694,Assumptions!$A$36:$C$39,3,FALSE),"")</f>
        <v/>
      </c>
      <c r="AV694" s="3">
        <f>IFERROR(AU694/F694,"")</f>
        <v/>
      </c>
      <c r="AW694">
        <f>IF(AND($E694=TRUE,$C694="GKP"),AS694,"")</f>
        <v/>
      </c>
      <c r="AX694">
        <f>IF(AND($E694=TRUE,$C694="DEF"),AS694,"")</f>
        <v/>
      </c>
      <c r="AY694">
        <f>IF(AND($E694=TRUE,$C694="MID"),AS694,"")</f>
        <v/>
      </c>
      <c r="AZ694">
        <f>IF(AND($E694=TRUE,$C694="FWD"),AS694,"")</f>
        <v/>
      </c>
      <c r="BA694" t="n">
        <v>0</v>
      </c>
      <c r="BB694" t="n">
        <v>0</v>
      </c>
      <c r="BC694" t="n">
        <v>0</v>
      </c>
      <c r="BD694" t="n">
        <v>0</v>
      </c>
    </row>
    <row r="695">
      <c r="A695" t="inlineStr">
        <is>
          <t>Lucas Herrington</t>
        </is>
      </c>
      <c r="B695" t="inlineStr">
        <is>
          <t>HUL</t>
        </is>
      </c>
      <c r="C695" t="inlineStr">
        <is>
          <t>DEF</t>
        </is>
      </c>
      <c r="E695" t="b">
        <v>1</v>
      </c>
      <c r="F695" s="2" t="n">
        <v>4</v>
      </c>
      <c r="G695" t="inlineStr">
        <is>
          <t>a</t>
        </is>
      </c>
      <c r="I695" s="2" t="n"/>
      <c r="K695" s="3" t="n">
        <v>0</v>
      </c>
      <c r="L695" t="inlineStr">
        <is>
          <t>flat</t>
        </is>
      </c>
      <c r="M695" s="4" t="n">
        <v>0</v>
      </c>
      <c r="N695" t="inlineStr">
        <is>
          <t>Solio</t>
        </is>
      </c>
      <c r="O695" s="5" t="n">
        <v>85</v>
      </c>
      <c r="P695" t="b">
        <v>0</v>
      </c>
      <c r="Q695" s="5">
        <f>IF(N(O695)&lt;=0,0,MIN(Assumptions!$B$15,N(M695)/N(O695)))</f>
        <v/>
      </c>
      <c r="R695" s="4" t="n">
        <v>0.143</v>
      </c>
      <c r="S695" s="3" t="n"/>
      <c r="T695" t="inlineStr"/>
      <c r="U695" s="3" t="n">
        <v>1</v>
      </c>
      <c r="V695" s="3" t="n"/>
      <c r="W695" s="3" t="n"/>
      <c r="X695" s="3" t="n"/>
      <c r="Y695" s="3" t="n"/>
      <c r="Z695" s="3" t="n">
        <v>0</v>
      </c>
      <c r="AA695" s="3" t="n"/>
      <c r="AB695" s="3" t="n"/>
      <c r="AC695" s="3" t="n">
        <v>3.9421</v>
      </c>
      <c r="AD695" s="3" t="n">
        <v>1.99</v>
      </c>
      <c r="AE695" s="3" t="n">
        <v>-0.2045226422080557</v>
      </c>
      <c r="AF695" s="4" t="n">
        <v>0</v>
      </c>
      <c r="AG695" s="3" t="n">
        <v>0</v>
      </c>
      <c r="AH695" s="3" t="n">
        <v>0</v>
      </c>
      <c r="AI695" s="3" t="n">
        <v>0</v>
      </c>
      <c r="AJ695" s="3">
        <f>N(R695)*N(BC695)</f>
        <v/>
      </c>
      <c r="AK695" s="3" t="n">
        <v>0</v>
      </c>
      <c r="AL695" s="3" t="n">
        <v>0</v>
      </c>
      <c r="AM695" s="3" t="n">
        <v>-0.7496714098286652</v>
      </c>
      <c r="AN695" s="3" t="n">
        <v>-0.2045226422080557</v>
      </c>
      <c r="AO695" s="3">
        <f>SUM(AH695:AN695)</f>
        <v/>
      </c>
      <c r="AP695" s="5">
        <f>IF(OR(N(Q695)&lt;=0,N(BA695)=0),0,N(Q695)*IF(N(M695)/N(Q695)&gt;=60,N(BA695),1))</f>
        <v/>
      </c>
      <c r="AQ695" s="5">
        <f>N(Q695)*N(Z695)*N(BB695)</f>
        <v/>
      </c>
      <c r="AR695" s="5">
        <f>N(AF695)*(Assumptions!$B$13*N(BD695)-(1-Assumptions!$B$13)*Assumptions!$B$14)+N(AG695)</f>
        <v/>
      </c>
      <c r="AS695" s="5">
        <f>N(AO695)*N(M695)/90+N(AP695)+N(AQ695)+N(AR695)</f>
        <v/>
      </c>
      <c r="AT695" s="3">
        <f>IF(N(M695)&lt;=0,0,(N(AS695)-N(AR695))*90/N(M695))</f>
        <v/>
      </c>
      <c r="AU695" s="5">
        <f>IFERROR(AS695-VLOOKUP($C695,Assumptions!$A$36:$C$39,3,FALSE),"")</f>
        <v/>
      </c>
      <c r="AV695" s="3">
        <f>IFERROR(AU695/F695,"")</f>
        <v/>
      </c>
      <c r="AW695">
        <f>IF(AND($E695=TRUE,$C695="GKP"),AS695,"")</f>
        <v/>
      </c>
      <c r="AX695">
        <f>IF(AND($E695=TRUE,$C695="DEF"),AS695,"")</f>
        <v/>
      </c>
      <c r="AY695">
        <f>IF(AND($E695=TRUE,$C695="MID"),AS695,"")</f>
        <v/>
      </c>
      <c r="AZ695">
        <f>IF(AND($E695=TRUE,$C695="FWD"),AS695,"")</f>
        <v/>
      </c>
      <c r="BA695" t="n">
        <v>2</v>
      </c>
      <c r="BB695" t="n">
        <v>2</v>
      </c>
      <c r="BC695" t="n">
        <v>4</v>
      </c>
      <c r="BD695" t="n">
        <v>6</v>
      </c>
    </row>
    <row r="696">
      <c r="A696" t="inlineStr">
        <is>
          <t>Ezra Mayers</t>
        </is>
      </c>
      <c r="D696" t="inlineStr">
        <is>
          <t>DEF</t>
        </is>
      </c>
      <c r="E696" t="b">
        <v>0</v>
      </c>
      <c r="F696" s="2" t="n"/>
      <c r="I696" s="2" t="n">
        <v>113</v>
      </c>
      <c r="K696" s="3" t="n"/>
      <c r="M696" s="4" t="n">
        <v>113</v>
      </c>
      <c r="N696" t="inlineStr">
        <is>
          <t>25/26 actual</t>
        </is>
      </c>
      <c r="O696" s="5" t="n">
        <v>85</v>
      </c>
      <c r="P696" t="b">
        <v>1</v>
      </c>
      <c r="Q696" s="5">
        <f>IF(N(O696)&lt;=0,0,MIN(Assumptions!$B$15,N(M696)/N(O696)))</f>
        <v/>
      </c>
      <c r="R696" s="4" t="n"/>
      <c r="S696" s="3" t="n">
        <v>0.094</v>
      </c>
      <c r="T696" t="inlineStr">
        <is>
          <t>adjusted xGOT</t>
        </is>
      </c>
      <c r="U696" s="3" t="n">
        <v>1</v>
      </c>
      <c r="V696" s="3" t="n">
        <v>0.985</v>
      </c>
      <c r="W696" s="3" t="n">
        <v>0.1</v>
      </c>
      <c r="X696" s="3" t="n">
        <v>0.0927</v>
      </c>
      <c r="Y696" s="3" t="n">
        <v>7.183</v>
      </c>
      <c r="Z696" s="3" t="n">
        <v>0</v>
      </c>
      <c r="AA696" s="3" t="n">
        <v>0</v>
      </c>
      <c r="AB696" s="3" t="n">
        <v>6</v>
      </c>
      <c r="AC696" s="3" t="n"/>
      <c r="AD696" s="3" t="n"/>
      <c r="AE696" s="3" t="n"/>
      <c r="AF696" s="4" t="n">
        <v>0</v>
      </c>
      <c r="AG696" s="3" t="n">
        <v>0</v>
      </c>
      <c r="AH696" s="3" t="n">
        <v>0</v>
      </c>
      <c r="AI696" s="3" t="n">
        <v>0</v>
      </c>
      <c r="AJ696" s="3">
        <f>N(R696)*N(BC696)</f>
        <v/>
      </c>
      <c r="AK696" s="3" t="n">
        <v>0</v>
      </c>
      <c r="AL696" s="3" t="n">
        <v>0</v>
      </c>
      <c r="AM696" s="3" t="n">
        <v>0</v>
      </c>
      <c r="AN696" s="3" t="n">
        <v>0</v>
      </c>
      <c r="AO696" s="3">
        <f>SUM(AH696:AN696)</f>
        <v/>
      </c>
      <c r="AP696" s="5">
        <f>IF(OR(N(Q696)&lt;=0,N(BA696)=0),0,N(Q696)*IF(N(M696)/N(Q696)&gt;=60,N(BA696),1))</f>
        <v/>
      </c>
      <c r="AQ696" s="5">
        <f>N(Q696)*N(Z696)*N(BB696)</f>
        <v/>
      </c>
      <c r="AR696" s="5">
        <f>N(AF696)*(Assumptions!$B$13*N(BD696)-(1-Assumptions!$B$13)*Assumptions!$B$14)+N(AG696)</f>
        <v/>
      </c>
      <c r="AS696" s="5">
        <f>N(AO696)*N(M696)/90+N(AP696)+N(AQ696)+N(AR696)</f>
        <v/>
      </c>
      <c r="AT696" s="3">
        <f>IF(N(M696)&lt;=0,0,(N(AS696)-N(AR696))*90/N(M696))</f>
        <v/>
      </c>
      <c r="AU696" s="5">
        <f>IFERROR(AS696-VLOOKUP($C696,Assumptions!$A$36:$C$39,3,FALSE),"")</f>
        <v/>
      </c>
      <c r="AV696" s="3">
        <f>IFERROR(AU696/F696,"")</f>
        <v/>
      </c>
      <c r="AW696">
        <f>IF(AND($E696=TRUE,$C696="GKP"),AS696,"")</f>
        <v/>
      </c>
      <c r="AX696">
        <f>IF(AND($E696=TRUE,$C696="DEF"),AS696,"")</f>
        <v/>
      </c>
      <c r="AY696">
        <f>IF(AND($E696=TRUE,$C696="MID"),AS696,"")</f>
        <v/>
      </c>
      <c r="AZ696">
        <f>IF(AND($E696=TRUE,$C696="FWD"),AS696,"")</f>
        <v/>
      </c>
      <c r="BA696" t="n">
        <v>0</v>
      </c>
      <c r="BB696" t="n">
        <v>0</v>
      </c>
      <c r="BC696" t="n">
        <v>0</v>
      </c>
      <c r="BD696" t="n">
        <v>0</v>
      </c>
    </row>
    <row r="697">
      <c r="A697" t="inlineStr">
        <is>
          <t>Romelle Donovan</t>
        </is>
      </c>
      <c r="D697" t="inlineStr">
        <is>
          <t>MID</t>
        </is>
      </c>
      <c r="E697" t="b">
        <v>0</v>
      </c>
      <c r="F697" s="2" t="n"/>
      <c r="I697" s="2" t="n">
        <v>38</v>
      </c>
      <c r="K697" s="3" t="n"/>
      <c r="M697" s="4" t="n">
        <v>38</v>
      </c>
      <c r="N697" t="inlineStr">
        <is>
          <t>25/26 actual</t>
        </is>
      </c>
      <c r="O697" s="5" t="n">
        <v>85</v>
      </c>
      <c r="P697" t="b">
        <v>1</v>
      </c>
      <c r="Q697" s="5">
        <f>IF(N(O697)&lt;=0,0,MIN(Assumptions!$B$15,N(M697)/N(O697)))</f>
        <v/>
      </c>
      <c r="R697" s="4" t="n"/>
      <c r="S697" s="3" t="n">
        <v>0.2108</v>
      </c>
      <c r="T697" t="inlineStr">
        <is>
          <t>adjusted xGOT</t>
        </is>
      </c>
      <c r="U697" s="3" t="n">
        <v>1</v>
      </c>
      <c r="V697" s="3" t="n">
        <v>0.989</v>
      </c>
      <c r="W697" s="3" t="n">
        <v>0.1</v>
      </c>
      <c r="X697" s="3" t="n">
        <v>0.0759</v>
      </c>
      <c r="Y697" s="3" t="n">
        <v>8.741</v>
      </c>
      <c r="Z697" s="3" t="n">
        <v>0</v>
      </c>
      <c r="AA697" s="3" t="n">
        <v>0</v>
      </c>
      <c r="AB697" s="3" t="n">
        <v>4</v>
      </c>
      <c r="AC697" s="3" t="n"/>
      <c r="AD697" s="3" t="n"/>
      <c r="AE697" s="3" t="n"/>
      <c r="AF697" s="4" t="n">
        <v>0</v>
      </c>
      <c r="AG697" s="3" t="n">
        <v>0</v>
      </c>
      <c r="AH697" s="3" t="n">
        <v>0</v>
      </c>
      <c r="AI697" s="3" t="n">
        <v>0</v>
      </c>
      <c r="AJ697" s="3">
        <f>N(R697)*N(BC697)</f>
        <v/>
      </c>
      <c r="AK697" s="3" t="n">
        <v>0</v>
      </c>
      <c r="AL697" s="3" t="n">
        <v>0</v>
      </c>
      <c r="AM697" s="3" t="n">
        <v>0</v>
      </c>
      <c r="AN697" s="3" t="n">
        <v>0</v>
      </c>
      <c r="AO697" s="3">
        <f>SUM(AH697:AN697)</f>
        <v/>
      </c>
      <c r="AP697" s="5">
        <f>IF(OR(N(Q697)&lt;=0,N(BA697)=0),0,N(Q697)*IF(N(M697)/N(Q697)&gt;=60,N(BA697),1))</f>
        <v/>
      </c>
      <c r="AQ697" s="5">
        <f>N(Q697)*N(Z697)*N(BB697)</f>
        <v/>
      </c>
      <c r="AR697" s="5">
        <f>N(AF697)*(Assumptions!$B$13*N(BD697)-(1-Assumptions!$B$13)*Assumptions!$B$14)+N(AG697)</f>
        <v/>
      </c>
      <c r="AS697" s="5">
        <f>N(AO697)*N(M697)/90+N(AP697)+N(AQ697)+N(AR697)</f>
        <v/>
      </c>
      <c r="AT697" s="3">
        <f>IF(N(M697)&lt;=0,0,(N(AS697)-N(AR697))*90/N(M697))</f>
        <v/>
      </c>
      <c r="AU697" s="5">
        <f>IFERROR(AS697-VLOOKUP($C697,Assumptions!$A$36:$C$39,3,FALSE),"")</f>
        <v/>
      </c>
      <c r="AV697" s="3">
        <f>IFERROR(AU697/F697,"")</f>
        <v/>
      </c>
      <c r="AW697">
        <f>IF(AND($E697=TRUE,$C697="GKP"),AS697,"")</f>
        <v/>
      </c>
      <c r="AX697">
        <f>IF(AND($E697=TRUE,$C697="DEF"),AS697,"")</f>
        <v/>
      </c>
      <c r="AY697">
        <f>IF(AND($E697=TRUE,$C697="MID"),AS697,"")</f>
        <v/>
      </c>
      <c r="AZ697">
        <f>IF(AND($E697=TRUE,$C697="FWD"),AS697,"")</f>
        <v/>
      </c>
      <c r="BA697" t="n">
        <v>0</v>
      </c>
      <c r="BB697" t="n">
        <v>0</v>
      </c>
      <c r="BC697" t="n">
        <v>0</v>
      </c>
      <c r="BD697" t="n">
        <v>0</v>
      </c>
    </row>
    <row r="698">
      <c r="A698" t="inlineStr">
        <is>
          <t>Jeremy Jacquet</t>
        </is>
      </c>
      <c r="B698" t="inlineStr">
        <is>
          <t>LIV</t>
        </is>
      </c>
      <c r="C698" t="inlineStr">
        <is>
          <t>DEF</t>
        </is>
      </c>
      <c r="E698" t="b">
        <v>1</v>
      </c>
      <c r="F698" s="2" t="n">
        <v>5</v>
      </c>
      <c r="G698" t="inlineStr">
        <is>
          <t>a</t>
        </is>
      </c>
      <c r="I698" s="2" t="n"/>
      <c r="K698" s="3" t="n">
        <v>1442</v>
      </c>
      <c r="L698" t="inlineStr">
        <is>
          <t>flat</t>
        </is>
      </c>
      <c r="M698" s="4" t="n">
        <v>1442</v>
      </c>
      <c r="N698" t="inlineStr">
        <is>
          <t>Solio</t>
        </is>
      </c>
      <c r="O698" s="5" t="n">
        <v>85</v>
      </c>
      <c r="P698" t="b">
        <v>0</v>
      </c>
      <c r="Q698" s="5">
        <f>IF(N(O698)&lt;=0,0,MIN(Assumptions!$B$15,N(M698)/N(O698)))</f>
        <v/>
      </c>
      <c r="R698" s="4" t="n">
        <v>0.342</v>
      </c>
      <c r="S698" s="3" t="n"/>
      <c r="T698" t="inlineStr"/>
      <c r="U698" s="3" t="n">
        <v>1</v>
      </c>
      <c r="V698" s="3" t="n"/>
      <c r="W698" s="3" t="n"/>
      <c r="X698" s="3" t="n"/>
      <c r="Y698" s="3" t="n"/>
      <c r="Z698" s="3" t="n">
        <v>0</v>
      </c>
      <c r="AA698" s="3" t="n"/>
      <c r="AB698" s="3" t="n"/>
      <c r="AC698" s="3" t="n">
        <v>2.409</v>
      </c>
      <c r="AD698" s="3" t="n">
        <v>1.1228</v>
      </c>
      <c r="AE698" s="3" t="n">
        <v>-0.2045226422080557</v>
      </c>
      <c r="AF698" s="4" t="n">
        <v>0</v>
      </c>
      <c r="AG698" s="3" t="n">
        <v>0</v>
      </c>
      <c r="AH698" s="3" t="n">
        <v>0</v>
      </c>
      <c r="AI698" s="3" t="n">
        <v>0</v>
      </c>
      <c r="AJ698" s="3">
        <f>N(R698)*N(BC698)</f>
        <v/>
      </c>
      <c r="AK698" s="3" t="n">
        <v>0</v>
      </c>
      <c r="AL698" s="3" t="n">
        <v>0</v>
      </c>
      <c r="AM698" s="3" t="n">
        <v>-0.3378660007281162</v>
      </c>
      <c r="AN698" s="3" t="n">
        <v>-0.2045226422080557</v>
      </c>
      <c r="AO698" s="3">
        <f>SUM(AH698:AN698)</f>
        <v/>
      </c>
      <c r="AP698" s="5">
        <f>IF(OR(N(Q698)&lt;=0,N(BA698)=0),0,N(Q698)*IF(N(M698)/N(Q698)&gt;=60,N(BA698),1))</f>
        <v/>
      </c>
      <c r="AQ698" s="5">
        <f>N(Q698)*N(Z698)*N(BB698)</f>
        <v/>
      </c>
      <c r="AR698" s="5">
        <f>N(AF698)*(Assumptions!$B$13*N(BD698)-(1-Assumptions!$B$13)*Assumptions!$B$14)+N(AG698)</f>
        <v/>
      </c>
      <c r="AS698" s="5">
        <f>N(AO698)*N(M698)/90+N(AP698)+N(AQ698)+N(AR698)</f>
        <v/>
      </c>
      <c r="AT698" s="3">
        <f>IF(N(M698)&lt;=0,0,(N(AS698)-N(AR698))*90/N(M698))</f>
        <v/>
      </c>
      <c r="AU698" s="5">
        <f>IFERROR(AS698-VLOOKUP($C698,Assumptions!$A$36:$C$39,3,FALSE),"")</f>
        <v/>
      </c>
      <c r="AV698" s="3">
        <f>IFERROR(AU698/F698,"")</f>
        <v/>
      </c>
      <c r="AW698">
        <f>IF(AND($E698=TRUE,$C698="GKP"),AS698,"")</f>
        <v/>
      </c>
      <c r="AX698">
        <f>IF(AND($E698=TRUE,$C698="DEF"),AS698,"")</f>
        <v/>
      </c>
      <c r="AY698">
        <f>IF(AND($E698=TRUE,$C698="MID"),AS698,"")</f>
        <v/>
      </c>
      <c r="AZ698">
        <f>IF(AND($E698=TRUE,$C698="FWD"),AS698,"")</f>
        <v/>
      </c>
      <c r="BA698" t="n">
        <v>2</v>
      </c>
      <c r="BB698" t="n">
        <v>2</v>
      </c>
      <c r="BC698" t="n">
        <v>4</v>
      </c>
      <c r="BD698" t="n">
        <v>6</v>
      </c>
    </row>
    <row r="699">
      <c r="A699" t="inlineStr">
        <is>
          <t>Ben Winterburn</t>
        </is>
      </c>
      <c r="D699" t="inlineStr">
        <is>
          <t>MID</t>
        </is>
      </c>
      <c r="E699" t="b">
        <v>0</v>
      </c>
      <c r="F699" s="2" t="n"/>
      <c r="I699" s="2" t="n">
        <v>6</v>
      </c>
      <c r="K699" s="3" t="n"/>
      <c r="M699" s="4" t="n">
        <v>6</v>
      </c>
      <c r="N699" t="inlineStr">
        <is>
          <t>25/26 actual</t>
        </is>
      </c>
      <c r="O699" s="5" t="n">
        <v>85</v>
      </c>
      <c r="P699" t="b">
        <v>1</v>
      </c>
      <c r="Q699" s="5">
        <f>IF(N(O699)&lt;=0,0,MIN(Assumptions!$B$15,N(M699)/N(O699)))</f>
        <v/>
      </c>
      <c r="R699" s="4" t="n"/>
      <c r="S699" s="3" t="n"/>
      <c r="T699" t="inlineStr"/>
      <c r="U699" s="3" t="n">
        <v>1</v>
      </c>
      <c r="V699" s="3" t="n">
        <v>1</v>
      </c>
      <c r="W699" s="3" t="n">
        <v>0</v>
      </c>
      <c r="X699" s="3" t="n"/>
      <c r="Y699" s="3" t="n">
        <v>8.506</v>
      </c>
      <c r="Z699" s="3" t="n">
        <v>0</v>
      </c>
      <c r="AA699" s="3" t="n">
        <v>0</v>
      </c>
      <c r="AB699" s="3" t="n">
        <v>1</v>
      </c>
      <c r="AC699" s="3" t="n"/>
      <c r="AD699" s="3" t="n"/>
      <c r="AE699" s="3" t="n"/>
      <c r="AF699" s="4" t="n">
        <v>0</v>
      </c>
      <c r="AG699" s="3" t="n">
        <v>0</v>
      </c>
      <c r="AH699" s="3" t="n">
        <v>0</v>
      </c>
      <c r="AI699" s="3" t="n">
        <v>0</v>
      </c>
      <c r="AJ699" s="3">
        <f>N(R699)*N(BC699)</f>
        <v/>
      </c>
      <c r="AK699" s="3" t="n">
        <v>0</v>
      </c>
      <c r="AL699" s="3" t="n">
        <v>0</v>
      </c>
      <c r="AM699" s="3" t="n">
        <v>0</v>
      </c>
      <c r="AN699" s="3" t="n">
        <v>0</v>
      </c>
      <c r="AO699" s="3">
        <f>SUM(AH699:AN699)</f>
        <v/>
      </c>
      <c r="AP699" s="5">
        <f>IF(OR(N(Q699)&lt;=0,N(BA699)=0),0,N(Q699)*IF(N(M699)/N(Q699)&gt;=60,N(BA699),1))</f>
        <v/>
      </c>
      <c r="AQ699" s="5">
        <f>N(Q699)*N(Z699)*N(BB699)</f>
        <v/>
      </c>
      <c r="AR699" s="5">
        <f>N(AF699)*(Assumptions!$B$13*N(BD699)-(1-Assumptions!$B$13)*Assumptions!$B$14)+N(AG699)</f>
        <v/>
      </c>
      <c r="AS699" s="5">
        <f>N(AO699)*N(M699)/90+N(AP699)+N(AQ699)+N(AR699)</f>
        <v/>
      </c>
      <c r="AT699" s="3">
        <f>IF(N(M699)&lt;=0,0,(N(AS699)-N(AR699))*90/N(M699))</f>
        <v/>
      </c>
      <c r="AU699" s="5">
        <f>IFERROR(AS699-VLOOKUP($C699,Assumptions!$A$36:$C$39,3,FALSE),"")</f>
        <v/>
      </c>
      <c r="AV699" s="3">
        <f>IFERROR(AU699/F699,"")</f>
        <v/>
      </c>
      <c r="AW699">
        <f>IF(AND($E699=TRUE,$C699="GKP"),AS699,"")</f>
        <v/>
      </c>
      <c r="AX699">
        <f>IF(AND($E699=TRUE,$C699="DEF"),AS699,"")</f>
        <v/>
      </c>
      <c r="AY699">
        <f>IF(AND($E699=TRUE,$C699="MID"),AS699,"")</f>
        <v/>
      </c>
      <c r="AZ699">
        <f>IF(AND($E699=TRUE,$C699="FWD"),AS699,"")</f>
        <v/>
      </c>
      <c r="BA699" t="n">
        <v>0</v>
      </c>
      <c r="BB699" t="n">
        <v>0</v>
      </c>
      <c r="BC699" t="n">
        <v>0</v>
      </c>
      <c r="BD699" t="n">
        <v>0</v>
      </c>
    </row>
    <row r="700">
      <c r="A700" t="inlineStr">
        <is>
          <t>Nobel Mendy</t>
        </is>
      </c>
      <c r="B700" t="inlineStr">
        <is>
          <t>HUL</t>
        </is>
      </c>
      <c r="C700" t="inlineStr">
        <is>
          <t>DEF</t>
        </is>
      </c>
      <c r="E700" t="b">
        <v>1</v>
      </c>
      <c r="F700" s="2" t="n">
        <v>4</v>
      </c>
      <c r="G700" t="inlineStr">
        <is>
          <t>a</t>
        </is>
      </c>
      <c r="I700" s="2" t="n"/>
      <c r="K700" s="3" t="n">
        <v>0</v>
      </c>
      <c r="L700" t="inlineStr">
        <is>
          <t>flat</t>
        </is>
      </c>
      <c r="M700" s="4" t="n">
        <v>0</v>
      </c>
      <c r="N700" t="inlineStr">
        <is>
          <t>Solio</t>
        </is>
      </c>
      <c r="O700" s="5" t="n">
        <v>85</v>
      </c>
      <c r="P700" t="b">
        <v>0</v>
      </c>
      <c r="Q700" s="5">
        <f>IF(N(O700)&lt;=0,0,MIN(Assumptions!$B$15,N(M700)/N(O700)))</f>
        <v/>
      </c>
      <c r="R700" s="4" t="n">
        <v>0.143</v>
      </c>
      <c r="S700" s="3" t="n"/>
      <c r="T700" t="inlineStr"/>
      <c r="U700" s="3" t="n">
        <v>1</v>
      </c>
      <c r="V700" s="3" t="n"/>
      <c r="W700" s="3" t="n"/>
      <c r="X700" s="3" t="n"/>
      <c r="Y700" s="3" t="n"/>
      <c r="Z700" s="3" t="n">
        <v>0</v>
      </c>
      <c r="AA700" s="3" t="n"/>
      <c r="AB700" s="3" t="n"/>
      <c r="AC700" s="3" t="n">
        <v>3.9421</v>
      </c>
      <c r="AD700" s="3" t="n">
        <v>1.99</v>
      </c>
      <c r="AE700" s="3" t="n">
        <v>-0.2045226422080557</v>
      </c>
      <c r="AF700" s="4" t="n">
        <v>0</v>
      </c>
      <c r="AG700" s="3" t="n">
        <v>0</v>
      </c>
      <c r="AH700" s="3" t="n">
        <v>0</v>
      </c>
      <c r="AI700" s="3" t="n">
        <v>0</v>
      </c>
      <c r="AJ700" s="3">
        <f>N(R700)*N(BC700)</f>
        <v/>
      </c>
      <c r="AK700" s="3" t="n">
        <v>0</v>
      </c>
      <c r="AL700" s="3" t="n">
        <v>0</v>
      </c>
      <c r="AM700" s="3" t="n">
        <v>-0.7496714098286652</v>
      </c>
      <c r="AN700" s="3" t="n">
        <v>-0.2045226422080557</v>
      </c>
      <c r="AO700" s="3">
        <f>SUM(AH700:AN700)</f>
        <v/>
      </c>
      <c r="AP700" s="5">
        <f>IF(OR(N(Q700)&lt;=0,N(BA700)=0),0,N(Q700)*IF(N(M700)/N(Q700)&gt;=60,N(BA700),1))</f>
        <v/>
      </c>
      <c r="AQ700" s="5">
        <f>N(Q700)*N(Z700)*N(BB700)</f>
        <v/>
      </c>
      <c r="AR700" s="5">
        <f>N(AF700)*(Assumptions!$B$13*N(BD700)-(1-Assumptions!$B$13)*Assumptions!$B$14)+N(AG700)</f>
        <v/>
      </c>
      <c r="AS700" s="5">
        <f>N(AO700)*N(M700)/90+N(AP700)+N(AQ700)+N(AR700)</f>
        <v/>
      </c>
      <c r="AT700" s="3">
        <f>IF(N(M700)&lt;=0,0,(N(AS700)-N(AR700))*90/N(M700))</f>
        <v/>
      </c>
      <c r="AU700" s="5">
        <f>IFERROR(AS700-VLOOKUP($C700,Assumptions!$A$36:$C$39,3,FALSE),"")</f>
        <v/>
      </c>
      <c r="AV700" s="3">
        <f>IFERROR(AU700/F700,"")</f>
        <v/>
      </c>
      <c r="AW700">
        <f>IF(AND($E700=TRUE,$C700="GKP"),AS700,"")</f>
        <v/>
      </c>
      <c r="AX700">
        <f>IF(AND($E700=TRUE,$C700="DEF"),AS700,"")</f>
        <v/>
      </c>
      <c r="AY700">
        <f>IF(AND($E700=TRUE,$C700="MID"),AS700,"")</f>
        <v/>
      </c>
      <c r="AZ700">
        <f>IF(AND($E700=TRUE,$C700="FWD"),AS700,"")</f>
        <v/>
      </c>
      <c r="BA700" t="n">
        <v>2</v>
      </c>
      <c r="BB700" t="n">
        <v>2</v>
      </c>
      <c r="BC700" t="n">
        <v>4</v>
      </c>
      <c r="BD700" t="n">
        <v>6</v>
      </c>
    </row>
    <row r="701">
      <c r="A701" t="inlineStr">
        <is>
          <t>Elliot Stroud</t>
        </is>
      </c>
      <c r="B701" t="inlineStr">
        <is>
          <t>HUL</t>
        </is>
      </c>
      <c r="C701" t="inlineStr">
        <is>
          <t>MID</t>
        </is>
      </c>
      <c r="E701" t="b">
        <v>1</v>
      </c>
      <c r="F701" s="2" t="n">
        <v>5</v>
      </c>
      <c r="G701" t="inlineStr">
        <is>
          <t>a</t>
        </is>
      </c>
      <c r="I701" s="2" t="n"/>
      <c r="K701" s="3" t="n">
        <v>2554</v>
      </c>
      <c r="L701" t="inlineStr">
        <is>
          <t>flat</t>
        </is>
      </c>
      <c r="M701" s="4" t="n">
        <v>2554</v>
      </c>
      <c r="N701" t="inlineStr">
        <is>
          <t>Solio</t>
        </is>
      </c>
      <c r="O701" s="5" t="n">
        <v>85</v>
      </c>
      <c r="P701" t="b">
        <v>0</v>
      </c>
      <c r="Q701" s="5">
        <f>IF(N(O701)&lt;=0,0,MIN(Assumptions!$B$15,N(M701)/N(O701)))</f>
        <v/>
      </c>
      <c r="R701" s="4" t="n">
        <v>0.143</v>
      </c>
      <c r="S701" s="3" t="n"/>
      <c r="T701" t="inlineStr"/>
      <c r="U701" s="3" t="n">
        <v>1</v>
      </c>
      <c r="V701" s="3" t="n"/>
      <c r="W701" s="3" t="n"/>
      <c r="X701" s="3" t="n"/>
      <c r="Y701" s="3" t="n"/>
      <c r="Z701" s="3" t="n">
        <v>0</v>
      </c>
      <c r="AA701" s="3" t="n"/>
      <c r="AB701" s="3" t="n"/>
      <c r="AC701" s="3" t="n">
        <v>3.9421</v>
      </c>
      <c r="AD701" s="3" t="n">
        <v>1.99</v>
      </c>
      <c r="AE701" s="3" t="n">
        <v>-0.2160434166173144</v>
      </c>
      <c r="AF701" s="4" t="n">
        <v>0</v>
      </c>
      <c r="AG701" s="3" t="n">
        <v>0</v>
      </c>
      <c r="AH701" s="3" t="n">
        <v>0</v>
      </c>
      <c r="AI701" s="3" t="n">
        <v>0</v>
      </c>
      <c r="AJ701" s="3">
        <f>N(R701)*N(BC701)</f>
        <v/>
      </c>
      <c r="AK701" s="3" t="n">
        <v>0</v>
      </c>
      <c r="AL701" s="3" t="n">
        <v>0</v>
      </c>
      <c r="AM701" s="3" t="n">
        <v>-0</v>
      </c>
      <c r="AN701" s="3" t="n">
        <v>-0.2160434166173144</v>
      </c>
      <c r="AO701" s="3">
        <f>SUM(AH701:AN701)</f>
        <v/>
      </c>
      <c r="AP701" s="5">
        <f>IF(OR(N(Q701)&lt;=0,N(BA701)=0),0,N(Q701)*IF(N(M701)/N(Q701)&gt;=60,N(BA701),1))</f>
        <v/>
      </c>
      <c r="AQ701" s="5">
        <f>N(Q701)*N(Z701)*N(BB701)</f>
        <v/>
      </c>
      <c r="AR701" s="5">
        <f>N(AF701)*(Assumptions!$B$13*N(BD701)-(1-Assumptions!$B$13)*Assumptions!$B$14)+N(AG701)</f>
        <v/>
      </c>
      <c r="AS701" s="5">
        <f>N(AO701)*N(M701)/90+N(AP701)+N(AQ701)+N(AR701)</f>
        <v/>
      </c>
      <c r="AT701" s="3">
        <f>IF(N(M701)&lt;=0,0,(N(AS701)-N(AR701))*90/N(M701))</f>
        <v/>
      </c>
      <c r="AU701" s="5">
        <f>IFERROR(AS701-VLOOKUP($C701,Assumptions!$A$36:$C$39,3,FALSE),"")</f>
        <v/>
      </c>
      <c r="AV701" s="3">
        <f>IFERROR(AU701/F701,"")</f>
        <v/>
      </c>
      <c r="AW701">
        <f>IF(AND($E701=TRUE,$C701="GKP"),AS701,"")</f>
        <v/>
      </c>
      <c r="AX701">
        <f>IF(AND($E701=TRUE,$C701="DEF"),AS701,"")</f>
        <v/>
      </c>
      <c r="AY701">
        <f>IF(AND($E701=TRUE,$C701="MID"),AS701,"")</f>
        <v/>
      </c>
      <c r="AZ701">
        <f>IF(AND($E701=TRUE,$C701="FWD"),AS701,"")</f>
        <v/>
      </c>
      <c r="BA701" t="n">
        <v>2</v>
      </c>
      <c r="BB701" t="n">
        <v>2</v>
      </c>
      <c r="BC701" t="n">
        <v>1</v>
      </c>
      <c r="BD701" t="n">
        <v>5</v>
      </c>
    </row>
    <row r="702">
      <c r="A702" t="inlineStr">
        <is>
          <t>Bazoumana Touré</t>
        </is>
      </c>
      <c r="B702" t="inlineStr">
        <is>
          <t>NEW</t>
        </is>
      </c>
      <c r="C702" t="inlineStr">
        <is>
          <t>MID</t>
        </is>
      </c>
      <c r="E702" t="b">
        <v>1</v>
      </c>
      <c r="F702" s="2" t="n">
        <v>6</v>
      </c>
      <c r="G702" t="inlineStr">
        <is>
          <t>a</t>
        </is>
      </c>
      <c r="I702" s="2" t="n"/>
      <c r="K702" s="3" t="n">
        <v>1197</v>
      </c>
      <c r="L702" t="inlineStr">
        <is>
          <t>flat</t>
        </is>
      </c>
      <c r="M702" s="4" t="n">
        <v>1197</v>
      </c>
      <c r="N702" t="inlineStr">
        <is>
          <t>Solio</t>
        </is>
      </c>
      <c r="O702" s="5" t="n">
        <v>85</v>
      </c>
      <c r="P702" t="b">
        <v>0</v>
      </c>
      <c r="Q702" s="5">
        <f>IF(N(O702)&lt;=0,0,MIN(Assumptions!$B$15,N(M702)/N(O702)))</f>
        <v/>
      </c>
      <c r="R702" s="4" t="n">
        <v>0.248</v>
      </c>
      <c r="S702" s="3" t="n"/>
      <c r="T702" t="inlineStr"/>
      <c r="U702" s="3" t="n">
        <v>1</v>
      </c>
      <c r="V702" s="3" t="n"/>
      <c r="W702" s="3" t="n"/>
      <c r="X702" s="3" t="n"/>
      <c r="Y702" s="3" t="n"/>
      <c r="Z702" s="3" t="n">
        <v>0</v>
      </c>
      <c r="AA702" s="3" t="n"/>
      <c r="AB702" s="3" t="n"/>
      <c r="AC702" s="3" t="n">
        <v>3.0912</v>
      </c>
      <c r="AD702" s="3" t="n">
        <v>1.4534</v>
      </c>
      <c r="AE702" s="3" t="n">
        <v>-0.2160434166173144</v>
      </c>
      <c r="AF702" s="4" t="n">
        <v>0</v>
      </c>
      <c r="AG702" s="3" t="n">
        <v>0</v>
      </c>
      <c r="AH702" s="3" t="n">
        <v>0</v>
      </c>
      <c r="AI702" s="3" t="n">
        <v>0</v>
      </c>
      <c r="AJ702" s="3">
        <f>N(R702)*N(BC702)</f>
        <v/>
      </c>
      <c r="AK702" s="3" t="n">
        <v>0</v>
      </c>
      <c r="AL702" s="3" t="n">
        <v>0</v>
      </c>
      <c r="AM702" s="3" t="n">
        <v>-0</v>
      </c>
      <c r="AN702" s="3" t="n">
        <v>-0.2160434166173144</v>
      </c>
      <c r="AO702" s="3">
        <f>SUM(AH702:AN702)</f>
        <v/>
      </c>
      <c r="AP702" s="5">
        <f>IF(OR(N(Q702)&lt;=0,N(BA702)=0),0,N(Q702)*IF(N(M702)/N(Q702)&gt;=60,N(BA702),1))</f>
        <v/>
      </c>
      <c r="AQ702" s="5">
        <f>N(Q702)*N(Z702)*N(BB702)</f>
        <v/>
      </c>
      <c r="AR702" s="5">
        <f>N(AF702)*(Assumptions!$B$13*N(BD702)-(1-Assumptions!$B$13)*Assumptions!$B$14)+N(AG702)</f>
        <v/>
      </c>
      <c r="AS702" s="5">
        <f>N(AO702)*N(M702)/90+N(AP702)+N(AQ702)+N(AR702)</f>
        <v/>
      </c>
      <c r="AT702" s="3">
        <f>IF(N(M702)&lt;=0,0,(N(AS702)-N(AR702))*90/N(M702))</f>
        <v/>
      </c>
      <c r="AU702" s="5">
        <f>IFERROR(AS702-VLOOKUP($C702,Assumptions!$A$36:$C$39,3,FALSE),"")</f>
        <v/>
      </c>
      <c r="AV702" s="3">
        <f>IFERROR(AU702/F702,"")</f>
        <v/>
      </c>
      <c r="AW702">
        <f>IF(AND($E702=TRUE,$C702="GKP"),AS702,"")</f>
        <v/>
      </c>
      <c r="AX702">
        <f>IF(AND($E702=TRUE,$C702="DEF"),AS702,"")</f>
        <v/>
      </c>
      <c r="AY702">
        <f>IF(AND($E702=TRUE,$C702="MID"),AS702,"")</f>
        <v/>
      </c>
      <c r="AZ702">
        <f>IF(AND($E702=TRUE,$C702="FWD"),AS702,"")</f>
        <v/>
      </c>
      <c r="BA702" t="n">
        <v>2</v>
      </c>
      <c r="BB702" t="n">
        <v>2</v>
      </c>
      <c r="BC702" t="n">
        <v>1</v>
      </c>
      <c r="BD702" t="n">
        <v>5</v>
      </c>
    </row>
    <row r="703">
      <c r="A703" t="inlineStr">
        <is>
          <t>El Hadji Malick Diouf</t>
        </is>
      </c>
      <c r="D703" t="inlineStr">
        <is>
          <t>DEF</t>
        </is>
      </c>
      <c r="E703" t="b">
        <v>0</v>
      </c>
      <c r="F703" s="2" t="n"/>
      <c r="I703" s="2" t="n">
        <v>2711</v>
      </c>
      <c r="K703" s="3" t="n"/>
      <c r="M703" s="4" t="n">
        <v>2711</v>
      </c>
      <c r="N703" t="inlineStr">
        <is>
          <t>25/26 actual</t>
        </is>
      </c>
      <c r="O703" s="5" t="n">
        <v>88</v>
      </c>
      <c r="P703" t="b">
        <v>1</v>
      </c>
      <c r="Q703" s="5">
        <f>IF(N(O703)&lt;=0,0,MIN(Assumptions!$B$15,N(M703)/N(O703)))</f>
        <v/>
      </c>
      <c r="R703" s="4" t="n"/>
      <c r="S703" s="3" t="n">
        <v>0.0179</v>
      </c>
      <c r="T703" t="inlineStr">
        <is>
          <t>adjusted xGOT</t>
        </is>
      </c>
      <c r="U703" s="3" t="n">
        <v>1</v>
      </c>
      <c r="V703" s="3" t="n">
        <v>0.945</v>
      </c>
      <c r="W703" s="3" t="n">
        <v>0.6</v>
      </c>
      <c r="X703" s="3" t="n">
        <v>0.108</v>
      </c>
      <c r="Y703" s="3" t="n">
        <v>7</v>
      </c>
      <c r="Z703" s="3" t="n">
        <v>0</v>
      </c>
      <c r="AA703" s="3" t="n">
        <v>0.09959999999999999</v>
      </c>
      <c r="AB703" s="3" t="n">
        <v>62</v>
      </c>
      <c r="AC703" s="3" t="n"/>
      <c r="AD703" s="3" t="n"/>
      <c r="AE703" s="3" t="n"/>
      <c r="AF703" s="4" t="n">
        <v>0</v>
      </c>
      <c r="AG703" s="3" t="n">
        <v>0</v>
      </c>
      <c r="AH703" s="3" t="n">
        <v>0</v>
      </c>
      <c r="AI703" s="3" t="n">
        <v>0</v>
      </c>
      <c r="AJ703" s="3">
        <f>N(R703)*N(BC703)</f>
        <v/>
      </c>
      <c r="AK703" s="3" t="n">
        <v>0</v>
      </c>
      <c r="AL703" s="3" t="n">
        <v>0</v>
      </c>
      <c r="AM703" s="3" t="n">
        <v>0</v>
      </c>
      <c r="AN703" s="3" t="n">
        <v>0</v>
      </c>
      <c r="AO703" s="3">
        <f>SUM(AH703:AN703)</f>
        <v/>
      </c>
      <c r="AP703" s="5">
        <f>IF(OR(N(Q703)&lt;=0,N(BA703)=0),0,N(Q703)*IF(N(M703)/N(Q703)&gt;=60,N(BA703),1))</f>
        <v/>
      </c>
      <c r="AQ703" s="5">
        <f>N(Q703)*N(Z703)*N(BB703)</f>
        <v/>
      </c>
      <c r="AR703" s="5">
        <f>N(AF703)*(Assumptions!$B$13*N(BD703)-(1-Assumptions!$B$13)*Assumptions!$B$14)+N(AG703)</f>
        <v/>
      </c>
      <c r="AS703" s="5">
        <f>N(AO703)*N(M703)/90+N(AP703)+N(AQ703)+N(AR703)</f>
        <v/>
      </c>
      <c r="AT703" s="3">
        <f>IF(N(M703)&lt;=0,0,(N(AS703)-N(AR703))*90/N(M703))</f>
        <v/>
      </c>
      <c r="AU703" s="5">
        <f>IFERROR(AS703-VLOOKUP($C703,Assumptions!$A$36:$C$39,3,FALSE),"")</f>
        <v/>
      </c>
      <c r="AV703" s="3">
        <f>IFERROR(AU703/F703,"")</f>
        <v/>
      </c>
      <c r="AW703">
        <f>IF(AND($E703=TRUE,$C703="GKP"),AS703,"")</f>
        <v/>
      </c>
      <c r="AX703">
        <f>IF(AND($E703=TRUE,$C703="DEF"),AS703,"")</f>
        <v/>
      </c>
      <c r="AY703">
        <f>IF(AND($E703=TRUE,$C703="MID"),AS703,"")</f>
        <v/>
      </c>
      <c r="AZ703">
        <f>IF(AND($E703=TRUE,$C703="FWD"),AS703,"")</f>
        <v/>
      </c>
      <c r="BA703" t="n">
        <v>0</v>
      </c>
      <c r="BB703" t="n">
        <v>0</v>
      </c>
      <c r="BC703" t="n">
        <v>0</v>
      </c>
      <c r="BD703" t="n">
        <v>0</v>
      </c>
    </row>
    <row r="704">
      <c r="A704" t="inlineStr">
        <is>
          <t>Johan Manzambi</t>
        </is>
      </c>
      <c r="B704" t="inlineStr">
        <is>
          <t>AVL</t>
        </is>
      </c>
      <c r="C704" t="inlineStr">
        <is>
          <t>MID</t>
        </is>
      </c>
      <c r="E704" t="b">
        <v>1</v>
      </c>
      <c r="F704" s="2" t="n">
        <v>6</v>
      </c>
      <c r="G704" t="inlineStr">
        <is>
          <t>a</t>
        </is>
      </c>
      <c r="I704" s="2" t="n"/>
      <c r="K704" s="3" t="n">
        <v>2069</v>
      </c>
      <c r="L704" t="inlineStr">
        <is>
          <t>flat</t>
        </is>
      </c>
      <c r="M704" s="4" t="n">
        <v>2069</v>
      </c>
      <c r="N704" t="inlineStr">
        <is>
          <t>Solio</t>
        </is>
      </c>
      <c r="O704" s="5" t="n">
        <v>85</v>
      </c>
      <c r="P704" t="b">
        <v>0</v>
      </c>
      <c r="Q704" s="5">
        <f>IF(N(O704)&lt;=0,0,MIN(Assumptions!$B$15,N(M704)/N(O704)))</f>
        <v/>
      </c>
      <c r="R704" s="4" t="n">
        <v>0.273</v>
      </c>
      <c r="S704" s="3" t="n"/>
      <c r="T704" t="inlineStr"/>
      <c r="U704" s="3" t="n">
        <v>1</v>
      </c>
      <c r="V704" s="3" t="n"/>
      <c r="W704" s="3" t="n"/>
      <c r="X704" s="3" t="n"/>
      <c r="Y704" s="3" t="n"/>
      <c r="Z704" s="3" t="n">
        <v>0</v>
      </c>
      <c r="AA704" s="3" t="n"/>
      <c r="AB704" s="3" t="n"/>
      <c r="AC704" s="3" t="n">
        <v>2.7451</v>
      </c>
      <c r="AD704" s="3" t="n">
        <v>1.3575</v>
      </c>
      <c r="AE704" s="3" t="n">
        <v>-0.2160434166173144</v>
      </c>
      <c r="AF704" s="4" t="n">
        <v>0</v>
      </c>
      <c r="AG704" s="3" t="n">
        <v>0</v>
      </c>
      <c r="AH704" s="3" t="n">
        <v>0</v>
      </c>
      <c r="AI704" s="3" t="n">
        <v>0</v>
      </c>
      <c r="AJ704" s="3">
        <f>N(R704)*N(BC704)</f>
        <v/>
      </c>
      <c r="AK704" s="3" t="n">
        <v>0</v>
      </c>
      <c r="AL704" s="3" t="n">
        <v>0</v>
      </c>
      <c r="AM704" s="3" t="n">
        <v>-0</v>
      </c>
      <c r="AN704" s="3" t="n">
        <v>-0.2160434166173144</v>
      </c>
      <c r="AO704" s="3">
        <f>SUM(AH704:AN704)</f>
        <v/>
      </c>
      <c r="AP704" s="5">
        <f>IF(OR(N(Q704)&lt;=0,N(BA704)=0),0,N(Q704)*IF(N(M704)/N(Q704)&gt;=60,N(BA704),1))</f>
        <v/>
      </c>
      <c r="AQ704" s="5">
        <f>N(Q704)*N(Z704)*N(BB704)</f>
        <v/>
      </c>
      <c r="AR704" s="5">
        <f>N(AF704)*(Assumptions!$B$13*N(BD704)-(1-Assumptions!$B$13)*Assumptions!$B$14)+N(AG704)</f>
        <v/>
      </c>
      <c r="AS704" s="5">
        <f>N(AO704)*N(M704)/90+N(AP704)+N(AQ704)+N(AR704)</f>
        <v/>
      </c>
      <c r="AT704" s="3">
        <f>IF(N(M704)&lt;=0,0,(N(AS704)-N(AR704))*90/N(M704))</f>
        <v/>
      </c>
      <c r="AU704" s="5">
        <f>IFERROR(AS704-VLOOKUP($C704,Assumptions!$A$36:$C$39,3,FALSE),"")</f>
        <v/>
      </c>
      <c r="AV704" s="3">
        <f>IFERROR(AU704/F704,"")</f>
        <v/>
      </c>
      <c r="AW704">
        <f>IF(AND($E704=TRUE,$C704="GKP"),AS704,"")</f>
        <v/>
      </c>
      <c r="AX704">
        <f>IF(AND($E704=TRUE,$C704="DEF"),AS704,"")</f>
        <v/>
      </c>
      <c r="AY704">
        <f>IF(AND($E704=TRUE,$C704="MID"),AS704,"")</f>
        <v/>
      </c>
      <c r="AZ704">
        <f>IF(AND($E704=TRUE,$C704="FWD"),AS704,"")</f>
        <v/>
      </c>
      <c r="BA704" t="n">
        <v>2</v>
      </c>
      <c r="BB704" t="n">
        <v>2</v>
      </c>
      <c r="BC704" t="n">
        <v>1</v>
      </c>
      <c r="BD704" t="n">
        <v>5</v>
      </c>
    </row>
    <row r="705">
      <c r="A705" t="inlineStr">
        <is>
          <t>Jesse Derry</t>
        </is>
      </c>
      <c r="D705" t="inlineStr">
        <is>
          <t>MID</t>
        </is>
      </c>
      <c r="E705" t="b">
        <v>0</v>
      </c>
      <c r="F705" s="2" t="n"/>
      <c r="I705" s="2" t="n">
        <v>44</v>
      </c>
      <c r="K705" s="3" t="n"/>
      <c r="M705" s="4" t="n">
        <v>44</v>
      </c>
      <c r="N705" t="inlineStr">
        <is>
          <t>25/26 actual</t>
        </is>
      </c>
      <c r="O705" s="5" t="n">
        <v>45</v>
      </c>
      <c r="P705" t="b">
        <v>1</v>
      </c>
      <c r="Q705" s="5">
        <f>IF(N(O705)&lt;=0,0,MIN(Assumptions!$B$15,N(M705)/N(O705)))</f>
        <v/>
      </c>
      <c r="R705" s="4" t="n"/>
      <c r="S705" s="3" t="n">
        <v>0.2045</v>
      </c>
      <c r="T705" t="inlineStr">
        <is>
          <t>adjusted xGOT</t>
        </is>
      </c>
      <c r="U705" s="3" t="n">
        <v>1</v>
      </c>
      <c r="V705" s="3" t="n">
        <v>1</v>
      </c>
      <c r="W705" s="3" t="n">
        <v>0.1</v>
      </c>
      <c r="X705" s="3" t="n">
        <v>0</v>
      </c>
      <c r="Y705" s="3" t="n">
        <v>8.425000000000001</v>
      </c>
      <c r="Z705" s="3" t="n">
        <v>0</v>
      </c>
      <c r="AA705" s="3" t="n">
        <v>0</v>
      </c>
      <c r="AB705" s="3" t="n">
        <v>1</v>
      </c>
      <c r="AC705" s="3" t="n"/>
      <c r="AD705" s="3" t="n"/>
      <c r="AE705" s="3" t="n"/>
      <c r="AF705" s="4" t="n">
        <v>0</v>
      </c>
      <c r="AG705" s="3" t="n">
        <v>0</v>
      </c>
      <c r="AH705" s="3" t="n">
        <v>0</v>
      </c>
      <c r="AI705" s="3" t="n">
        <v>0</v>
      </c>
      <c r="AJ705" s="3">
        <f>N(R705)*N(BC705)</f>
        <v/>
      </c>
      <c r="AK705" s="3" t="n">
        <v>0</v>
      </c>
      <c r="AL705" s="3" t="n">
        <v>0</v>
      </c>
      <c r="AM705" s="3" t="n">
        <v>0</v>
      </c>
      <c r="AN705" s="3" t="n">
        <v>0</v>
      </c>
      <c r="AO705" s="3">
        <f>SUM(AH705:AN705)</f>
        <v/>
      </c>
      <c r="AP705" s="5">
        <f>IF(OR(N(Q705)&lt;=0,N(BA705)=0),0,N(Q705)*IF(N(M705)/N(Q705)&gt;=60,N(BA705),1))</f>
        <v/>
      </c>
      <c r="AQ705" s="5">
        <f>N(Q705)*N(Z705)*N(BB705)</f>
        <v/>
      </c>
      <c r="AR705" s="5">
        <f>N(AF705)*(Assumptions!$B$13*N(BD705)-(1-Assumptions!$B$13)*Assumptions!$B$14)+N(AG705)</f>
        <v/>
      </c>
      <c r="AS705" s="5">
        <f>N(AO705)*N(M705)/90+N(AP705)+N(AQ705)+N(AR705)</f>
        <v/>
      </c>
      <c r="AT705" s="3">
        <f>IF(N(M705)&lt;=0,0,(N(AS705)-N(AR705))*90/N(M705))</f>
        <v/>
      </c>
      <c r="AU705" s="5">
        <f>IFERROR(AS705-VLOOKUP($C705,Assumptions!$A$36:$C$39,3,FALSE),"")</f>
        <v/>
      </c>
      <c r="AV705" s="3">
        <f>IFERROR(AU705/F705,"")</f>
        <v/>
      </c>
      <c r="AW705">
        <f>IF(AND($E705=TRUE,$C705="GKP"),AS705,"")</f>
        <v/>
      </c>
      <c r="AX705">
        <f>IF(AND($E705=TRUE,$C705="DEF"),AS705,"")</f>
        <v/>
      </c>
      <c r="AY705">
        <f>IF(AND($E705=TRUE,$C705="MID"),AS705,"")</f>
        <v/>
      </c>
      <c r="AZ705">
        <f>IF(AND($E705=TRUE,$C705="FWD"),AS705,"")</f>
        <v/>
      </c>
      <c r="BA705" t="n">
        <v>0</v>
      </c>
      <c r="BB705" t="n">
        <v>0</v>
      </c>
      <c r="BC705" t="n">
        <v>0</v>
      </c>
      <c r="BD705" t="n">
        <v>0</v>
      </c>
    </row>
    <row r="706">
      <c r="A706" t="inlineStr">
        <is>
          <t>Marco Palestra</t>
        </is>
      </c>
      <c r="B706" t="inlineStr">
        <is>
          <t>CHE</t>
        </is>
      </c>
      <c r="C706" t="inlineStr">
        <is>
          <t>DEF</t>
        </is>
      </c>
      <c r="E706" t="b">
        <v>1</v>
      </c>
      <c r="F706" s="2" t="n">
        <v>5.5</v>
      </c>
      <c r="G706" t="inlineStr">
        <is>
          <t>a</t>
        </is>
      </c>
      <c r="I706" s="2" t="n"/>
      <c r="K706" s="3" t="n">
        <v>2588</v>
      </c>
      <c r="L706" t="inlineStr">
        <is>
          <t>flat</t>
        </is>
      </c>
      <c r="M706" s="4" t="n">
        <v>2588</v>
      </c>
      <c r="N706" t="inlineStr">
        <is>
          <t>Solio</t>
        </is>
      </c>
      <c r="O706" s="5" t="n">
        <v>85</v>
      </c>
      <c r="P706" t="b">
        <v>0</v>
      </c>
      <c r="Q706" s="5">
        <f>IF(N(O706)&lt;=0,0,MIN(Assumptions!$B$15,N(M706)/N(O706)))</f>
        <v/>
      </c>
      <c r="R706" s="4" t="n">
        <v>0.322</v>
      </c>
      <c r="S706" s="3" t="n"/>
      <c r="T706" t="inlineStr"/>
      <c r="U706" s="3" t="n">
        <v>1</v>
      </c>
      <c r="V706" s="3" t="n"/>
      <c r="W706" s="3" t="n"/>
      <c r="X706" s="3" t="n"/>
      <c r="Y706" s="3" t="n"/>
      <c r="Z706" s="3" t="n">
        <v>0</v>
      </c>
      <c r="AA706" s="3" t="n"/>
      <c r="AB706" s="3" t="n"/>
      <c r="AC706" s="3" t="n">
        <v>2.4232</v>
      </c>
      <c r="AD706" s="3" t="n">
        <v>1.1851</v>
      </c>
      <c r="AE706" s="3" t="n">
        <v>-0.2045226422080557</v>
      </c>
      <c r="AF706" s="4" t="n">
        <v>0</v>
      </c>
      <c r="AG706" s="3" t="n">
        <v>0</v>
      </c>
      <c r="AH706" s="3" t="n">
        <v>0</v>
      </c>
      <c r="AI706" s="3" t="n">
        <v>0</v>
      </c>
      <c r="AJ706" s="3">
        <f>N(R706)*N(BC706)</f>
        <v/>
      </c>
      <c r="AK706" s="3" t="n">
        <v>0</v>
      </c>
      <c r="AL706" s="3" t="n">
        <v>0</v>
      </c>
      <c r="AM706" s="3" t="n">
        <v>-0.365915508000572</v>
      </c>
      <c r="AN706" s="3" t="n">
        <v>-0.2045226422080557</v>
      </c>
      <c r="AO706" s="3">
        <f>SUM(AH706:AN706)</f>
        <v/>
      </c>
      <c r="AP706" s="5">
        <f>IF(OR(N(Q706)&lt;=0,N(BA706)=0),0,N(Q706)*IF(N(M706)/N(Q706)&gt;=60,N(BA706),1))</f>
        <v/>
      </c>
      <c r="AQ706" s="5">
        <f>N(Q706)*N(Z706)*N(BB706)</f>
        <v/>
      </c>
      <c r="AR706" s="5">
        <f>N(AF706)*(Assumptions!$B$13*N(BD706)-(1-Assumptions!$B$13)*Assumptions!$B$14)+N(AG706)</f>
        <v/>
      </c>
      <c r="AS706" s="5">
        <f>N(AO706)*N(M706)/90+N(AP706)+N(AQ706)+N(AR706)</f>
        <v/>
      </c>
      <c r="AT706" s="3">
        <f>IF(N(M706)&lt;=0,0,(N(AS706)-N(AR706))*90/N(M706))</f>
        <v/>
      </c>
      <c r="AU706" s="5">
        <f>IFERROR(AS706-VLOOKUP($C706,Assumptions!$A$36:$C$39,3,FALSE),"")</f>
        <v/>
      </c>
      <c r="AV706" s="3">
        <f>IFERROR(AU706/F706,"")</f>
        <v/>
      </c>
      <c r="AW706">
        <f>IF(AND($E706=TRUE,$C706="GKP"),AS706,"")</f>
        <v/>
      </c>
      <c r="AX706">
        <f>IF(AND($E706=TRUE,$C706="DEF"),AS706,"")</f>
        <v/>
      </c>
      <c r="AY706">
        <f>IF(AND($E706=TRUE,$C706="MID"),AS706,"")</f>
        <v/>
      </c>
      <c r="AZ706">
        <f>IF(AND($E706=TRUE,$C706="FWD"),AS706,"")</f>
        <v/>
      </c>
      <c r="BA706" t="n">
        <v>2</v>
      </c>
      <c r="BB706" t="n">
        <v>2</v>
      </c>
      <c r="BC706" t="n">
        <v>4</v>
      </c>
      <c r="BD706" t="n">
        <v>6</v>
      </c>
    </row>
    <row r="707">
      <c r="A707" t="inlineStr">
        <is>
          <t>Kaine Andrews</t>
        </is>
      </c>
      <c r="B707" t="inlineStr">
        <is>
          <t>COV</t>
        </is>
      </c>
      <c r="C707" t="inlineStr">
        <is>
          <t>MID</t>
        </is>
      </c>
      <c r="E707" t="b">
        <v>1</v>
      </c>
      <c r="F707" s="2" t="n">
        <v>4.5</v>
      </c>
      <c r="G707" t="inlineStr">
        <is>
          <t>a</t>
        </is>
      </c>
      <c r="I707" s="2" t="n"/>
      <c r="K707" s="3" t="n">
        <v>0</v>
      </c>
      <c r="L707" t="inlineStr">
        <is>
          <t>flat</t>
        </is>
      </c>
      <c r="M707" s="4" t="n">
        <v>0</v>
      </c>
      <c r="N707" t="inlineStr">
        <is>
          <t>Solio</t>
        </is>
      </c>
      <c r="O707" s="5" t="n">
        <v>85</v>
      </c>
      <c r="P707" t="b">
        <v>0</v>
      </c>
      <c r="Q707" s="5">
        <f>IF(N(O707)&lt;=0,0,MIN(Assumptions!$B$15,N(M707)/N(O707)))</f>
        <v/>
      </c>
      <c r="R707" s="4" t="n">
        <v>0.17</v>
      </c>
      <c r="S707" s="3" t="n"/>
      <c r="T707" t="inlineStr"/>
      <c r="U707" s="3" t="n">
        <v>1</v>
      </c>
      <c r="V707" s="3" t="n"/>
      <c r="W707" s="3" t="n"/>
      <c r="X707" s="3" t="n"/>
      <c r="Y707" s="3" t="n"/>
      <c r="Z707" s="3" t="n">
        <v>0</v>
      </c>
      <c r="AA707" s="3" t="n"/>
      <c r="AB707" s="3" t="n"/>
      <c r="AC707" s="3" t="n">
        <v>3.6194</v>
      </c>
      <c r="AD707" s="3" t="n">
        <v>1.8271</v>
      </c>
      <c r="AE707" s="3" t="n">
        <v>-0.2160434166173144</v>
      </c>
      <c r="AF707" s="4" t="n">
        <v>0</v>
      </c>
      <c r="AG707" s="3" t="n">
        <v>0</v>
      </c>
      <c r="AH707" s="3" t="n">
        <v>0</v>
      </c>
      <c r="AI707" s="3" t="n">
        <v>0</v>
      </c>
      <c r="AJ707" s="3">
        <f>N(R707)*N(BC707)</f>
        <v/>
      </c>
      <c r="AK707" s="3" t="n">
        <v>0</v>
      </c>
      <c r="AL707" s="3" t="n">
        <v>0</v>
      </c>
      <c r="AM707" s="3" t="n">
        <v>-0</v>
      </c>
      <c r="AN707" s="3" t="n">
        <v>-0.2160434166173144</v>
      </c>
      <c r="AO707" s="3">
        <f>SUM(AH707:AN707)</f>
        <v/>
      </c>
      <c r="AP707" s="5">
        <f>IF(OR(N(Q707)&lt;=0,N(BA707)=0),0,N(Q707)*IF(N(M707)/N(Q707)&gt;=60,N(BA707),1))</f>
        <v/>
      </c>
      <c r="AQ707" s="5">
        <f>N(Q707)*N(Z707)*N(BB707)</f>
        <v/>
      </c>
      <c r="AR707" s="5">
        <f>N(AF707)*(Assumptions!$B$13*N(BD707)-(1-Assumptions!$B$13)*Assumptions!$B$14)+N(AG707)</f>
        <v/>
      </c>
      <c r="AS707" s="5">
        <f>N(AO707)*N(M707)/90+N(AP707)+N(AQ707)+N(AR707)</f>
        <v/>
      </c>
      <c r="AT707" s="3">
        <f>IF(N(M707)&lt;=0,0,(N(AS707)-N(AR707))*90/N(M707))</f>
        <v/>
      </c>
      <c r="AU707" s="5">
        <f>IFERROR(AS707-VLOOKUP($C707,Assumptions!$A$36:$C$39,3,FALSE),"")</f>
        <v/>
      </c>
      <c r="AV707" s="3">
        <f>IFERROR(AU707/F707,"")</f>
        <v/>
      </c>
      <c r="AW707">
        <f>IF(AND($E707=TRUE,$C707="GKP"),AS707,"")</f>
        <v/>
      </c>
      <c r="AX707">
        <f>IF(AND($E707=TRUE,$C707="DEF"),AS707,"")</f>
        <v/>
      </c>
      <c r="AY707">
        <f>IF(AND($E707=TRUE,$C707="MID"),AS707,"")</f>
        <v/>
      </c>
      <c r="AZ707">
        <f>IF(AND($E707=TRUE,$C707="FWD"),AS707,"")</f>
        <v/>
      </c>
      <c r="BA707" t="n">
        <v>2</v>
      </c>
      <c r="BB707" t="n">
        <v>2</v>
      </c>
      <c r="BC707" t="n">
        <v>1</v>
      </c>
      <c r="BD707" t="n">
        <v>5</v>
      </c>
    </row>
    <row r="708">
      <c r="A708" t="inlineStr">
        <is>
          <t>Mohamadou Kanté</t>
        </is>
      </c>
      <c r="D708" t="inlineStr">
        <is>
          <t>MID</t>
        </is>
      </c>
      <c r="E708" t="b">
        <v>0</v>
      </c>
      <c r="F708" s="2" t="n"/>
      <c r="I708" s="2" t="n">
        <v>67</v>
      </c>
      <c r="K708" s="3" t="n"/>
      <c r="M708" s="4" t="n">
        <v>67</v>
      </c>
      <c r="N708" t="inlineStr">
        <is>
          <t>25/26 actual</t>
        </is>
      </c>
      <c r="O708" s="5" t="n">
        <v>85</v>
      </c>
      <c r="P708" t="b">
        <v>1</v>
      </c>
      <c r="Q708" s="5">
        <f>IF(N(O708)&lt;=0,0,MIN(Assumptions!$B$15,N(M708)/N(O708)))</f>
        <v/>
      </c>
      <c r="R708" s="4" t="n"/>
      <c r="S708" s="3" t="n">
        <v>0.0927</v>
      </c>
      <c r="T708" t="inlineStr">
        <is>
          <t>adjusted xGOT</t>
        </is>
      </c>
      <c r="U708" s="3" t="n">
        <v>1</v>
      </c>
      <c r="V708" s="3" t="n">
        <v>0.991</v>
      </c>
      <c r="W708" s="3" t="n">
        <v>0.1</v>
      </c>
      <c r="X708" s="3" t="n">
        <v>0.1476</v>
      </c>
      <c r="Y708" s="3" t="n">
        <v>9.677</v>
      </c>
      <c r="Z708" s="3" t="n">
        <v>0</v>
      </c>
      <c r="AA708" s="3" t="n">
        <v>0</v>
      </c>
      <c r="AB708" s="3" t="n">
        <v>11</v>
      </c>
      <c r="AC708" s="3" t="n"/>
      <c r="AD708" s="3" t="n"/>
      <c r="AE708" s="3" t="n"/>
      <c r="AF708" s="4" t="n">
        <v>0</v>
      </c>
      <c r="AG708" s="3" t="n">
        <v>0</v>
      </c>
      <c r="AH708" s="3" t="n">
        <v>0</v>
      </c>
      <c r="AI708" s="3" t="n">
        <v>0</v>
      </c>
      <c r="AJ708" s="3">
        <f>N(R708)*N(BC708)</f>
        <v/>
      </c>
      <c r="AK708" s="3" t="n">
        <v>0</v>
      </c>
      <c r="AL708" s="3" t="n">
        <v>0</v>
      </c>
      <c r="AM708" s="3" t="n">
        <v>0</v>
      </c>
      <c r="AN708" s="3" t="n">
        <v>0</v>
      </c>
      <c r="AO708" s="3">
        <f>SUM(AH708:AN708)</f>
        <v/>
      </c>
      <c r="AP708" s="5">
        <f>IF(OR(N(Q708)&lt;=0,N(BA708)=0),0,N(Q708)*IF(N(M708)/N(Q708)&gt;=60,N(BA708),1))</f>
        <v/>
      </c>
      <c r="AQ708" s="5">
        <f>N(Q708)*N(Z708)*N(BB708)</f>
        <v/>
      </c>
      <c r="AR708" s="5">
        <f>N(AF708)*(Assumptions!$B$13*N(BD708)-(1-Assumptions!$B$13)*Assumptions!$B$14)+N(AG708)</f>
        <v/>
      </c>
      <c r="AS708" s="5">
        <f>N(AO708)*N(M708)/90+N(AP708)+N(AQ708)+N(AR708)</f>
        <v/>
      </c>
      <c r="AT708" s="3">
        <f>IF(N(M708)&lt;=0,0,(N(AS708)-N(AR708))*90/N(M708))</f>
        <v/>
      </c>
      <c r="AU708" s="5">
        <f>IFERROR(AS708-VLOOKUP($C708,Assumptions!$A$36:$C$39,3,FALSE),"")</f>
        <v/>
      </c>
      <c r="AV708" s="3">
        <f>IFERROR(AU708/F708,"")</f>
        <v/>
      </c>
      <c r="AW708">
        <f>IF(AND($E708=TRUE,$C708="GKP"),AS708,"")</f>
        <v/>
      </c>
      <c r="AX708">
        <f>IF(AND($E708=TRUE,$C708="DEF"),AS708,"")</f>
        <v/>
      </c>
      <c r="AY708">
        <f>IF(AND($E708=TRUE,$C708="MID"),AS708,"")</f>
        <v/>
      </c>
      <c r="AZ708">
        <f>IF(AND($E708=TRUE,$C708="FWD"),AS708,"")</f>
        <v/>
      </c>
      <c r="BA708" t="n">
        <v>0</v>
      </c>
      <c r="BB708" t="n">
        <v>0</v>
      </c>
      <c r="BC708" t="n">
        <v>0</v>
      </c>
      <c r="BD708" t="n">
        <v>0</v>
      </c>
    </row>
    <row r="709">
      <c r="A709" t="inlineStr">
        <is>
          <t>Aladji Bamba</t>
        </is>
      </c>
      <c r="B709" t="inlineStr">
        <is>
          <t>NEW</t>
        </is>
      </c>
      <c r="C709" t="inlineStr">
        <is>
          <t>MID</t>
        </is>
      </c>
      <c r="E709" t="b">
        <v>1</v>
      </c>
      <c r="F709" s="2" t="n">
        <v>5</v>
      </c>
      <c r="G709" t="inlineStr">
        <is>
          <t>a</t>
        </is>
      </c>
      <c r="I709" s="2" t="n"/>
      <c r="K709" s="3" t="n">
        <v>2018</v>
      </c>
      <c r="L709" t="inlineStr">
        <is>
          <t>flat</t>
        </is>
      </c>
      <c r="M709" s="4" t="n">
        <v>2018</v>
      </c>
      <c r="N709" t="inlineStr">
        <is>
          <t>Solio</t>
        </is>
      </c>
      <c r="O709" s="5" t="n">
        <v>85</v>
      </c>
      <c r="P709" t="b">
        <v>0</v>
      </c>
      <c r="Q709" s="5">
        <f>IF(N(O709)&lt;=0,0,MIN(Assumptions!$B$15,N(M709)/N(O709)))</f>
        <v/>
      </c>
      <c r="R709" s="4" t="n">
        <v>0.248</v>
      </c>
      <c r="S709" s="3" t="n"/>
      <c r="T709" t="inlineStr"/>
      <c r="U709" s="3" t="n">
        <v>1</v>
      </c>
      <c r="V709" s="3" t="n"/>
      <c r="W709" s="3" t="n"/>
      <c r="X709" s="3" t="n"/>
      <c r="Y709" s="3" t="n"/>
      <c r="Z709" s="3" t="n">
        <v>0</v>
      </c>
      <c r="AA709" s="3" t="n"/>
      <c r="AB709" s="3" t="n"/>
      <c r="AC709" s="3" t="n">
        <v>3.0912</v>
      </c>
      <c r="AD709" s="3" t="n">
        <v>1.4534</v>
      </c>
      <c r="AE709" s="3" t="n">
        <v>-0.2160434166173144</v>
      </c>
      <c r="AF709" s="4" t="n">
        <v>0</v>
      </c>
      <c r="AG709" s="3" t="n">
        <v>0</v>
      </c>
      <c r="AH709" s="3" t="n">
        <v>0</v>
      </c>
      <c r="AI709" s="3" t="n">
        <v>0</v>
      </c>
      <c r="AJ709" s="3">
        <f>N(R709)*N(BC709)</f>
        <v/>
      </c>
      <c r="AK709" s="3" t="n">
        <v>0</v>
      </c>
      <c r="AL709" s="3" t="n">
        <v>0</v>
      </c>
      <c r="AM709" s="3" t="n">
        <v>-0</v>
      </c>
      <c r="AN709" s="3" t="n">
        <v>-0.2160434166173144</v>
      </c>
      <c r="AO709" s="3">
        <f>SUM(AH709:AN709)</f>
        <v/>
      </c>
      <c r="AP709" s="5">
        <f>IF(OR(N(Q709)&lt;=0,N(BA709)=0),0,N(Q709)*IF(N(M709)/N(Q709)&gt;=60,N(BA709),1))</f>
        <v/>
      </c>
      <c r="AQ709" s="5">
        <f>N(Q709)*N(Z709)*N(BB709)</f>
        <v/>
      </c>
      <c r="AR709" s="5">
        <f>N(AF709)*(Assumptions!$B$13*N(BD709)-(1-Assumptions!$B$13)*Assumptions!$B$14)+N(AG709)</f>
        <v/>
      </c>
      <c r="AS709" s="5">
        <f>N(AO709)*N(M709)/90+N(AP709)+N(AQ709)+N(AR709)</f>
        <v/>
      </c>
      <c r="AT709" s="3">
        <f>IF(N(M709)&lt;=0,0,(N(AS709)-N(AR709))*90/N(M709))</f>
        <v/>
      </c>
      <c r="AU709" s="5">
        <f>IFERROR(AS709-VLOOKUP($C709,Assumptions!$A$36:$C$39,3,FALSE),"")</f>
        <v/>
      </c>
      <c r="AV709" s="3">
        <f>IFERROR(AU709/F709,"")</f>
        <v/>
      </c>
      <c r="AW709">
        <f>IF(AND($E709=TRUE,$C709="GKP"),AS709,"")</f>
        <v/>
      </c>
      <c r="AX709">
        <f>IF(AND($E709=TRUE,$C709="DEF"),AS709,"")</f>
        <v/>
      </c>
      <c r="AY709">
        <f>IF(AND($E709=TRUE,$C709="MID"),AS709,"")</f>
        <v/>
      </c>
      <c r="AZ709">
        <f>IF(AND($E709=TRUE,$C709="FWD"),AS709,"")</f>
        <v/>
      </c>
      <c r="BA709" t="n">
        <v>2</v>
      </c>
      <c r="BB709" t="n">
        <v>2</v>
      </c>
      <c r="BC709" t="n">
        <v>1</v>
      </c>
      <c r="BD709" t="n">
        <v>5</v>
      </c>
    </row>
    <row r="710">
      <c r="A710" t="inlineStr">
        <is>
          <t>Sean Steur</t>
        </is>
      </c>
      <c r="B710" t="inlineStr">
        <is>
          <t>NEW</t>
        </is>
      </c>
      <c r="C710" t="inlineStr">
        <is>
          <t>MID</t>
        </is>
      </c>
      <c r="E710" t="b">
        <v>1</v>
      </c>
      <c r="F710" s="2" t="n">
        <v>5</v>
      </c>
      <c r="G710" t="inlineStr">
        <is>
          <t>a</t>
        </is>
      </c>
      <c r="I710" s="2" t="n"/>
      <c r="K710" s="3" t="n">
        <v>1379</v>
      </c>
      <c r="L710" t="inlineStr">
        <is>
          <t>flat</t>
        </is>
      </c>
      <c r="M710" s="4" t="n">
        <v>1379</v>
      </c>
      <c r="N710" t="inlineStr">
        <is>
          <t>Solio</t>
        </is>
      </c>
      <c r="O710" s="5" t="n">
        <v>85</v>
      </c>
      <c r="P710" t="b">
        <v>0</v>
      </c>
      <c r="Q710" s="5">
        <f>IF(N(O710)&lt;=0,0,MIN(Assumptions!$B$15,N(M710)/N(O710)))</f>
        <v/>
      </c>
      <c r="R710" s="4" t="n">
        <v>0.248</v>
      </c>
      <c r="S710" s="3" t="n"/>
      <c r="T710" t="inlineStr"/>
      <c r="U710" s="3" t="n">
        <v>1</v>
      </c>
      <c r="V710" s="3" t="n"/>
      <c r="W710" s="3" t="n"/>
      <c r="X710" s="3" t="n"/>
      <c r="Y710" s="3" t="n"/>
      <c r="Z710" s="3" t="n">
        <v>0</v>
      </c>
      <c r="AA710" s="3" t="n"/>
      <c r="AB710" s="3" t="n"/>
      <c r="AC710" s="3" t="n">
        <v>3.0912</v>
      </c>
      <c r="AD710" s="3" t="n">
        <v>1.4534</v>
      </c>
      <c r="AE710" s="3" t="n">
        <v>-0.2160434166173144</v>
      </c>
      <c r="AF710" s="4" t="n">
        <v>0</v>
      </c>
      <c r="AG710" s="3" t="n">
        <v>0</v>
      </c>
      <c r="AH710" s="3" t="n">
        <v>0</v>
      </c>
      <c r="AI710" s="3" t="n">
        <v>0</v>
      </c>
      <c r="AJ710" s="3">
        <f>N(R710)*N(BC710)</f>
        <v/>
      </c>
      <c r="AK710" s="3" t="n">
        <v>0</v>
      </c>
      <c r="AL710" s="3" t="n">
        <v>0</v>
      </c>
      <c r="AM710" s="3" t="n">
        <v>-0</v>
      </c>
      <c r="AN710" s="3" t="n">
        <v>-0.2160434166173144</v>
      </c>
      <c r="AO710" s="3">
        <f>SUM(AH710:AN710)</f>
        <v/>
      </c>
      <c r="AP710" s="5">
        <f>IF(OR(N(Q710)&lt;=0,N(BA710)=0),0,N(Q710)*IF(N(M710)/N(Q710)&gt;=60,N(BA710),1))</f>
        <v/>
      </c>
      <c r="AQ710" s="5">
        <f>N(Q710)*N(Z710)*N(BB710)</f>
        <v/>
      </c>
      <c r="AR710" s="5">
        <f>N(AF710)*(Assumptions!$B$13*N(BD710)-(1-Assumptions!$B$13)*Assumptions!$B$14)+N(AG710)</f>
        <v/>
      </c>
      <c r="AS710" s="5">
        <f>N(AO710)*N(M710)/90+N(AP710)+N(AQ710)+N(AR710)</f>
        <v/>
      </c>
      <c r="AT710" s="3">
        <f>IF(N(M710)&lt;=0,0,(N(AS710)-N(AR710))*90/N(M710))</f>
        <v/>
      </c>
      <c r="AU710" s="5">
        <f>IFERROR(AS710-VLOOKUP($C710,Assumptions!$A$36:$C$39,3,FALSE),"")</f>
        <v/>
      </c>
      <c r="AV710" s="3">
        <f>IFERROR(AU710/F710,"")</f>
        <v/>
      </c>
      <c r="AW710">
        <f>IF(AND($E710=TRUE,$C710="GKP"),AS710,"")</f>
        <v/>
      </c>
      <c r="AX710">
        <f>IF(AND($E710=TRUE,$C710="DEF"),AS710,"")</f>
        <v/>
      </c>
      <c r="AY710">
        <f>IF(AND($E710=TRUE,$C710="MID"),AS710,"")</f>
        <v/>
      </c>
      <c r="AZ710">
        <f>IF(AND($E710=TRUE,$C710="FWD"),AS710,"")</f>
        <v/>
      </c>
      <c r="BA710" t="n">
        <v>2</v>
      </c>
      <c r="BB710" t="n">
        <v>2</v>
      </c>
      <c r="BC710" t="n">
        <v>1</v>
      </c>
      <c r="BD710" t="n">
        <v>5</v>
      </c>
    </row>
    <row r="711">
      <c r="A711" t="inlineStr">
        <is>
          <t>Pedro Lima</t>
        </is>
      </c>
      <c r="D711" t="inlineStr">
        <is>
          <t>DEF</t>
        </is>
      </c>
      <c r="E711" t="b">
        <v>0</v>
      </c>
      <c r="F711" s="2" t="n"/>
      <c r="I711" s="2" t="n">
        <v>259</v>
      </c>
      <c r="K711" s="3" t="n"/>
      <c r="M711" s="4" t="n">
        <v>259</v>
      </c>
      <c r="N711" t="inlineStr">
        <is>
          <t>25/26 actual</t>
        </is>
      </c>
      <c r="O711" s="5" t="n">
        <v>65.3</v>
      </c>
      <c r="P711" t="b">
        <v>1</v>
      </c>
      <c r="Q711" s="5">
        <f>IF(N(O711)&lt;=0,0,MIN(Assumptions!$B$15,N(M711)/N(O711)))</f>
        <v/>
      </c>
      <c r="R711" s="4" t="n"/>
      <c r="S711" s="3" t="n">
        <v>0.1216</v>
      </c>
      <c r="T711" t="inlineStr">
        <is>
          <t>adjusted xGOT</t>
        </is>
      </c>
      <c r="U711" s="3" t="n">
        <v>1</v>
      </c>
      <c r="V711" s="3" t="n">
        <v>0.999</v>
      </c>
      <c r="W711" s="3" t="n">
        <v>0.4</v>
      </c>
      <c r="X711" s="3" t="n">
        <v>0.07530000000000001</v>
      </c>
      <c r="Y711" s="3" t="n">
        <v>7.414</v>
      </c>
      <c r="Z711" s="3" t="n">
        <v>0</v>
      </c>
      <c r="AA711" s="3" t="n">
        <v>0</v>
      </c>
      <c r="AB711" s="3" t="n">
        <v>11</v>
      </c>
      <c r="AC711" s="3" t="n"/>
      <c r="AD711" s="3" t="n"/>
      <c r="AE711" s="3" t="n"/>
      <c r="AF711" s="4" t="n">
        <v>0</v>
      </c>
      <c r="AG711" s="3" t="n">
        <v>0</v>
      </c>
      <c r="AH711" s="3" t="n">
        <v>0</v>
      </c>
      <c r="AI711" s="3" t="n">
        <v>0</v>
      </c>
      <c r="AJ711" s="3">
        <f>N(R711)*N(BC711)</f>
        <v/>
      </c>
      <c r="AK711" s="3" t="n">
        <v>0</v>
      </c>
      <c r="AL711" s="3" t="n">
        <v>0</v>
      </c>
      <c r="AM711" s="3" t="n">
        <v>0</v>
      </c>
      <c r="AN711" s="3" t="n">
        <v>0</v>
      </c>
      <c r="AO711" s="3">
        <f>SUM(AH711:AN711)</f>
        <v/>
      </c>
      <c r="AP711" s="5">
        <f>IF(OR(N(Q711)&lt;=0,N(BA711)=0),0,N(Q711)*IF(N(M711)/N(Q711)&gt;=60,N(BA711),1))</f>
        <v/>
      </c>
      <c r="AQ711" s="5">
        <f>N(Q711)*N(Z711)*N(BB711)</f>
        <v/>
      </c>
      <c r="AR711" s="5">
        <f>N(AF711)*(Assumptions!$B$13*N(BD711)-(1-Assumptions!$B$13)*Assumptions!$B$14)+N(AG711)</f>
        <v/>
      </c>
      <c r="AS711" s="5">
        <f>N(AO711)*N(M711)/90+N(AP711)+N(AQ711)+N(AR711)</f>
        <v/>
      </c>
      <c r="AT711" s="3">
        <f>IF(N(M711)&lt;=0,0,(N(AS711)-N(AR711))*90/N(M711))</f>
        <v/>
      </c>
      <c r="AU711" s="5">
        <f>IFERROR(AS711-VLOOKUP($C711,Assumptions!$A$36:$C$39,3,FALSE),"")</f>
        <v/>
      </c>
      <c r="AV711" s="3">
        <f>IFERROR(AU711/F711,"")</f>
        <v/>
      </c>
      <c r="AW711">
        <f>IF(AND($E711=TRUE,$C711="GKP"),AS711,"")</f>
        <v/>
      </c>
      <c r="AX711">
        <f>IF(AND($E711=TRUE,$C711="DEF"),AS711,"")</f>
        <v/>
      </c>
      <c r="AY711">
        <f>IF(AND($E711=TRUE,$C711="MID"),AS711,"")</f>
        <v/>
      </c>
      <c r="AZ711">
        <f>IF(AND($E711=TRUE,$C711="FWD"),AS711,"")</f>
        <v/>
      </c>
      <c r="BA711" t="n">
        <v>0</v>
      </c>
      <c r="BB711" t="n">
        <v>0</v>
      </c>
      <c r="BC711" t="n">
        <v>0</v>
      </c>
      <c r="BD711" t="n">
        <v>0</v>
      </c>
    </row>
    <row r="712">
      <c r="A712" t="inlineStr">
        <is>
          <t>Fer López</t>
        </is>
      </c>
      <c r="D712" t="inlineStr">
        <is>
          <t>MID</t>
        </is>
      </c>
      <c r="E712" t="b">
        <v>0</v>
      </c>
      <c r="F712" s="2" t="n"/>
      <c r="I712" s="2" t="n">
        <v>229</v>
      </c>
      <c r="K712" s="3" t="n"/>
      <c r="M712" s="4" t="n">
        <v>229</v>
      </c>
      <c r="N712" t="inlineStr">
        <is>
          <t>25/26 actual</t>
        </is>
      </c>
      <c r="O712" s="5" t="n">
        <v>54.5</v>
      </c>
      <c r="P712" t="b">
        <v>1</v>
      </c>
      <c r="Q712" s="5">
        <f>IF(N(O712)&lt;=0,0,MIN(Assumptions!$B$15,N(M712)/N(O712)))</f>
        <v/>
      </c>
      <c r="R712" s="4" t="n"/>
      <c r="S712" s="3" t="n">
        <v>0.0633</v>
      </c>
      <c r="T712" t="inlineStr">
        <is>
          <t>adjusted xGOT</t>
        </is>
      </c>
      <c r="U712" s="3" t="n">
        <v>1</v>
      </c>
      <c r="V712" s="3" t="n">
        <v>1.005</v>
      </c>
      <c r="W712" s="3" t="n">
        <v>0.2</v>
      </c>
      <c r="X712" s="3" t="n">
        <v>0.2012</v>
      </c>
      <c r="Y712" s="3" t="n">
        <v>7.653</v>
      </c>
      <c r="Z712" s="3" t="n">
        <v>0</v>
      </c>
      <c r="AA712" s="3" t="n">
        <v>0</v>
      </c>
      <c r="AB712" s="3" t="n">
        <v>10</v>
      </c>
      <c r="AC712" s="3" t="n"/>
      <c r="AD712" s="3" t="n"/>
      <c r="AE712" s="3" t="n"/>
      <c r="AF712" s="4" t="n">
        <v>0</v>
      </c>
      <c r="AG712" s="3" t="n">
        <v>0</v>
      </c>
      <c r="AH712" s="3" t="n">
        <v>0</v>
      </c>
      <c r="AI712" s="3" t="n">
        <v>0</v>
      </c>
      <c r="AJ712" s="3">
        <f>N(R712)*N(BC712)</f>
        <v/>
      </c>
      <c r="AK712" s="3" t="n">
        <v>0</v>
      </c>
      <c r="AL712" s="3" t="n">
        <v>0</v>
      </c>
      <c r="AM712" s="3" t="n">
        <v>0</v>
      </c>
      <c r="AN712" s="3" t="n">
        <v>0</v>
      </c>
      <c r="AO712" s="3">
        <f>SUM(AH712:AN712)</f>
        <v/>
      </c>
      <c r="AP712" s="5">
        <f>IF(OR(N(Q712)&lt;=0,N(BA712)=0),0,N(Q712)*IF(N(M712)/N(Q712)&gt;=60,N(BA712),1))</f>
        <v/>
      </c>
      <c r="AQ712" s="5">
        <f>N(Q712)*N(Z712)*N(BB712)</f>
        <v/>
      </c>
      <c r="AR712" s="5">
        <f>N(AF712)*(Assumptions!$B$13*N(BD712)-(1-Assumptions!$B$13)*Assumptions!$B$14)+N(AG712)</f>
        <v/>
      </c>
      <c r="AS712" s="5">
        <f>N(AO712)*N(M712)/90+N(AP712)+N(AQ712)+N(AR712)</f>
        <v/>
      </c>
      <c r="AT712" s="3">
        <f>IF(N(M712)&lt;=0,0,(N(AS712)-N(AR712))*90/N(M712))</f>
        <v/>
      </c>
      <c r="AU712" s="5">
        <f>IFERROR(AS712-VLOOKUP($C712,Assumptions!$A$36:$C$39,3,FALSE),"")</f>
        <v/>
      </c>
      <c r="AV712" s="3">
        <f>IFERROR(AU712/F712,"")</f>
        <v/>
      </c>
      <c r="AW712">
        <f>IF(AND($E712=TRUE,$C712="GKP"),AS712,"")</f>
        <v/>
      </c>
      <c r="AX712">
        <f>IF(AND($E712=TRUE,$C712="DEF"),AS712,"")</f>
        <v/>
      </c>
      <c r="AY712">
        <f>IF(AND($E712=TRUE,$C712="MID"),AS712,"")</f>
        <v/>
      </c>
      <c r="AZ712">
        <f>IF(AND($E712=TRUE,$C712="FWD"),AS712,"")</f>
        <v/>
      </c>
      <c r="BA712" t="n">
        <v>0</v>
      </c>
      <c r="BB712" t="n">
        <v>0</v>
      </c>
      <c r="BC712" t="n">
        <v>0</v>
      </c>
      <c r="BD712" t="n">
        <v>0</v>
      </c>
    </row>
    <row r="713">
      <c r="A713" t="inlineStr">
        <is>
          <t>Mateus Mané</t>
        </is>
      </c>
      <c r="D713" t="inlineStr">
        <is>
          <t>FWD</t>
        </is>
      </c>
      <c r="E713" t="b">
        <v>0</v>
      </c>
      <c r="F713" s="2" t="n"/>
      <c r="I713" s="2" t="n">
        <v>1790</v>
      </c>
      <c r="K713" s="3" t="n"/>
      <c r="M713" s="4" t="n">
        <v>1790</v>
      </c>
      <c r="N713" t="inlineStr">
        <is>
          <t>25/26 actual</t>
        </is>
      </c>
      <c r="O713" s="5" t="n">
        <v>85</v>
      </c>
      <c r="P713" t="b">
        <v>1</v>
      </c>
      <c r="Q713" s="5">
        <f>IF(N(O713)&lt;=0,0,MIN(Assumptions!$B$15,N(M713)/N(O713)))</f>
        <v/>
      </c>
      <c r="R713" s="4" t="n"/>
      <c r="S713" s="3" t="n">
        <v>0.1151</v>
      </c>
      <c r="T713" t="inlineStr">
        <is>
          <t>adjusted xGOT</t>
        </is>
      </c>
      <c r="U713" s="3" t="n">
        <v>1</v>
      </c>
      <c r="V713" s="3" t="n">
        <v>1.139</v>
      </c>
      <c r="W713" s="3" t="n">
        <v>2</v>
      </c>
      <c r="X713" s="3" t="n">
        <v>0.165</v>
      </c>
      <c r="Y713" s="3" t="n">
        <v>6.295</v>
      </c>
      <c r="Z713" s="3" t="n">
        <v>0</v>
      </c>
      <c r="AA713" s="3" t="n">
        <v>0.4525</v>
      </c>
      <c r="AB713" s="3" t="n">
        <v>45</v>
      </c>
      <c r="AC713" s="3" t="n"/>
      <c r="AD713" s="3" t="n"/>
      <c r="AE713" s="3" t="n"/>
      <c r="AF713" s="4" t="n">
        <v>0</v>
      </c>
      <c r="AG713" s="3" t="n">
        <v>0</v>
      </c>
      <c r="AH713" s="3" t="n">
        <v>0</v>
      </c>
      <c r="AI713" s="3" t="n">
        <v>0</v>
      </c>
      <c r="AJ713" s="3">
        <f>N(R713)*N(BC713)</f>
        <v/>
      </c>
      <c r="AK713" s="3" t="n">
        <v>0</v>
      </c>
      <c r="AL713" s="3" t="n">
        <v>0</v>
      </c>
      <c r="AM713" s="3" t="n">
        <v>0</v>
      </c>
      <c r="AN713" s="3" t="n">
        <v>0</v>
      </c>
      <c r="AO713" s="3">
        <f>SUM(AH713:AN713)</f>
        <v/>
      </c>
      <c r="AP713" s="5">
        <f>IF(OR(N(Q713)&lt;=0,N(BA713)=0),0,N(Q713)*IF(N(M713)/N(Q713)&gt;=60,N(BA713),1))</f>
        <v/>
      </c>
      <c r="AQ713" s="5">
        <f>N(Q713)*N(Z713)*N(BB713)</f>
        <v/>
      </c>
      <c r="AR713" s="5">
        <f>N(AF713)*(Assumptions!$B$13*N(BD713)-(1-Assumptions!$B$13)*Assumptions!$B$14)+N(AG713)</f>
        <v/>
      </c>
      <c r="AS713" s="5">
        <f>N(AO713)*N(M713)/90+N(AP713)+N(AQ713)+N(AR713)</f>
        <v/>
      </c>
      <c r="AT713" s="3">
        <f>IF(N(M713)&lt;=0,0,(N(AS713)-N(AR713))*90/N(M713))</f>
        <v/>
      </c>
      <c r="AU713" s="5">
        <f>IFERROR(AS713-VLOOKUP($C713,Assumptions!$A$36:$C$39,3,FALSE),"")</f>
        <v/>
      </c>
      <c r="AV713" s="3">
        <f>IFERROR(AU713/F713,"")</f>
        <v/>
      </c>
      <c r="AW713">
        <f>IF(AND($E713=TRUE,$C713="GKP"),AS713,"")</f>
        <v/>
      </c>
      <c r="AX713">
        <f>IF(AND($E713=TRUE,$C713="DEF"),AS713,"")</f>
        <v/>
      </c>
      <c r="AY713">
        <f>IF(AND($E713=TRUE,$C713="MID"),AS713,"")</f>
        <v/>
      </c>
      <c r="AZ713">
        <f>IF(AND($E713=TRUE,$C713="FWD"),AS713,"")</f>
        <v/>
      </c>
      <c r="BA713" t="n">
        <v>0</v>
      </c>
      <c r="BB713" t="n">
        <v>0</v>
      </c>
      <c r="BC713" t="n">
        <v>0</v>
      </c>
      <c r="BD713" t="n">
        <v>0</v>
      </c>
    </row>
    <row r="714">
      <c r="A714" t="inlineStr">
        <is>
          <t>Jeremy Monga</t>
        </is>
      </c>
      <c r="B714" t="inlineStr">
        <is>
          <t>MCI</t>
        </is>
      </c>
      <c r="C714" t="inlineStr">
        <is>
          <t>MID</t>
        </is>
      </c>
      <c r="E714" t="b">
        <v>1</v>
      </c>
      <c r="F714" s="2" t="n">
        <v>5</v>
      </c>
      <c r="G714" t="inlineStr">
        <is>
          <t>a</t>
        </is>
      </c>
      <c r="I714" s="2" t="n"/>
      <c r="K714" s="3" t="n">
        <v>0</v>
      </c>
      <c r="L714" t="inlineStr">
        <is>
          <t>flat</t>
        </is>
      </c>
      <c r="M714" s="4" t="n">
        <v>0</v>
      </c>
      <c r="N714" t="inlineStr">
        <is>
          <t>Solio</t>
        </is>
      </c>
      <c r="O714" s="5" t="n">
        <v>85</v>
      </c>
      <c r="P714" t="b">
        <v>0</v>
      </c>
      <c r="Q714" s="5">
        <f>IF(N(O714)&lt;=0,0,MIN(Assumptions!$B$15,N(M714)/N(O714)))</f>
        <v/>
      </c>
      <c r="R714" s="4" t="n">
        <v>0.371</v>
      </c>
      <c r="S714" s="3" t="n"/>
      <c r="T714" t="inlineStr"/>
      <c r="U714" s="3" t="n">
        <v>1</v>
      </c>
      <c r="V714" s="3" t="n"/>
      <c r="W714" s="3" t="n"/>
      <c r="X714" s="3" t="n"/>
      <c r="Y714" s="3" t="n"/>
      <c r="Z714" s="3" t="n">
        <v>0</v>
      </c>
      <c r="AA714" s="3" t="n"/>
      <c r="AB714" s="3" t="n"/>
      <c r="AC714" s="3" t="n">
        <v>1.9737</v>
      </c>
      <c r="AD714" s="3" t="n">
        <v>1.0365</v>
      </c>
      <c r="AE714" s="3" t="n">
        <v>-0.2076849682258277</v>
      </c>
      <c r="AF714" s="4" t="n">
        <v>0</v>
      </c>
      <c r="AG714" s="3" t="n">
        <v>0</v>
      </c>
      <c r="AH714" s="3" t="n">
        <v>0</v>
      </c>
      <c r="AI714" s="3" t="n">
        <v>0</v>
      </c>
      <c r="AJ714" s="3">
        <f>N(R714)*N(BC714)</f>
        <v/>
      </c>
      <c r="AK714" s="3" t="n">
        <v>0</v>
      </c>
      <c r="AL714" s="3" t="n">
        <v>0</v>
      </c>
      <c r="AM714" s="3" t="n">
        <v>-0</v>
      </c>
      <c r="AN714" s="3" t="n">
        <v>-0.2076849682258277</v>
      </c>
      <c r="AO714" s="3">
        <f>SUM(AH714:AN714)</f>
        <v/>
      </c>
      <c r="AP714" s="5">
        <f>IF(OR(N(Q714)&lt;=0,N(BA714)=0),0,N(Q714)*IF(N(M714)/N(Q714)&gt;=60,N(BA714),1))</f>
        <v/>
      </c>
      <c r="AQ714" s="5">
        <f>N(Q714)*N(Z714)*N(BB714)</f>
        <v/>
      </c>
      <c r="AR714" s="5">
        <f>N(AF714)*(Assumptions!$B$13*N(BD714)-(1-Assumptions!$B$13)*Assumptions!$B$14)+N(AG714)</f>
        <v/>
      </c>
      <c r="AS714" s="5">
        <f>N(AO714)*N(M714)/90+N(AP714)+N(AQ714)+N(AR714)</f>
        <v/>
      </c>
      <c r="AT714" s="3">
        <f>IF(N(M714)&lt;=0,0,(N(AS714)-N(AR714))*90/N(M714))</f>
        <v/>
      </c>
      <c r="AU714" s="5">
        <f>IFERROR(AS714-VLOOKUP($C714,Assumptions!$A$36:$C$39,3,FALSE),"")</f>
        <v/>
      </c>
      <c r="AV714" s="3">
        <f>IFERROR(AU714/F714,"")</f>
        <v/>
      </c>
      <c r="AW714">
        <f>IF(AND($E714=TRUE,$C714="GKP"),AS714,"")</f>
        <v/>
      </c>
      <c r="AX714">
        <f>IF(AND($E714=TRUE,$C714="DEF"),AS714,"")</f>
        <v/>
      </c>
      <c r="AY714">
        <f>IF(AND($E714=TRUE,$C714="MID"),AS714,"")</f>
        <v/>
      </c>
      <c r="AZ714">
        <f>IF(AND($E714=TRUE,$C714="FWD"),AS714,"")</f>
        <v/>
      </c>
      <c r="BA714" t="n">
        <v>2</v>
      </c>
      <c r="BB714" t="n">
        <v>2</v>
      </c>
      <c r="BC714" t="n">
        <v>1</v>
      </c>
      <c r="BD714" t="n">
        <v>5</v>
      </c>
    </row>
    <row r="715">
      <c r="A715" t="inlineStr">
        <is>
          <t>Cathal McCarthy</t>
        </is>
      </c>
      <c r="B715" t="inlineStr">
        <is>
          <t>HUL</t>
        </is>
      </c>
      <c r="C715" t="inlineStr">
        <is>
          <t>DEF</t>
        </is>
      </c>
      <c r="E715" t="b">
        <v>1</v>
      </c>
      <c r="F715" s="2" t="n">
        <v>4</v>
      </c>
      <c r="G715" t="inlineStr">
        <is>
          <t>a</t>
        </is>
      </c>
      <c r="I715" s="2" t="n"/>
      <c r="K715" s="3" t="n">
        <v>10</v>
      </c>
      <c r="L715" t="inlineStr">
        <is>
          <t>flat</t>
        </is>
      </c>
      <c r="M715" s="4" t="n">
        <v>10</v>
      </c>
      <c r="N715" t="inlineStr">
        <is>
          <t>Solio</t>
        </is>
      </c>
      <c r="O715" s="5" t="n">
        <v>85</v>
      </c>
      <c r="P715" t="b">
        <v>0</v>
      </c>
      <c r="Q715" s="5">
        <f>IF(N(O715)&lt;=0,0,MIN(Assumptions!$B$15,N(M715)/N(O715)))</f>
        <v/>
      </c>
      <c r="R715" s="4" t="n">
        <v>0.143</v>
      </c>
      <c r="S715" s="3" t="n"/>
      <c r="T715" t="inlineStr"/>
      <c r="U715" s="3" t="n">
        <v>1</v>
      </c>
      <c r="V715" s="3" t="n"/>
      <c r="W715" s="3" t="n"/>
      <c r="X715" s="3" t="n"/>
      <c r="Y715" s="3" t="n"/>
      <c r="Z715" s="3" t="n">
        <v>0</v>
      </c>
      <c r="AA715" s="3" t="n"/>
      <c r="AB715" s="3" t="n"/>
      <c r="AC715" s="3" t="n">
        <v>3.9421</v>
      </c>
      <c r="AD715" s="3" t="n">
        <v>1.99</v>
      </c>
      <c r="AE715" s="3" t="n">
        <v>-0.2045226422080557</v>
      </c>
      <c r="AF715" s="4" t="n">
        <v>0</v>
      </c>
      <c r="AG715" s="3" t="n">
        <v>0</v>
      </c>
      <c r="AH715" s="3" t="n">
        <v>0</v>
      </c>
      <c r="AI715" s="3" t="n">
        <v>0</v>
      </c>
      <c r="AJ715" s="3">
        <f>N(R715)*N(BC715)</f>
        <v/>
      </c>
      <c r="AK715" s="3" t="n">
        <v>0</v>
      </c>
      <c r="AL715" s="3" t="n">
        <v>0</v>
      </c>
      <c r="AM715" s="3" t="n">
        <v>-0.7496714098286652</v>
      </c>
      <c r="AN715" s="3" t="n">
        <v>-0.2045226422080557</v>
      </c>
      <c r="AO715" s="3">
        <f>SUM(AH715:AN715)</f>
        <v/>
      </c>
      <c r="AP715" s="5">
        <f>IF(OR(N(Q715)&lt;=0,N(BA715)=0),0,N(Q715)*IF(N(M715)/N(Q715)&gt;=60,N(BA715),1))</f>
        <v/>
      </c>
      <c r="AQ715" s="5">
        <f>N(Q715)*N(Z715)*N(BB715)</f>
        <v/>
      </c>
      <c r="AR715" s="5">
        <f>N(AF715)*(Assumptions!$B$13*N(BD715)-(1-Assumptions!$B$13)*Assumptions!$B$14)+N(AG715)</f>
        <v/>
      </c>
      <c r="AS715" s="5">
        <f>N(AO715)*N(M715)/90+N(AP715)+N(AQ715)+N(AR715)</f>
        <v/>
      </c>
      <c r="AT715" s="3">
        <f>IF(N(M715)&lt;=0,0,(N(AS715)-N(AR715))*90/N(M715))</f>
        <v/>
      </c>
      <c r="AU715" s="5">
        <f>IFERROR(AS715-VLOOKUP($C715,Assumptions!$A$36:$C$39,3,FALSE),"")</f>
        <v/>
      </c>
      <c r="AV715" s="3">
        <f>IFERROR(AU715/F715,"")</f>
        <v/>
      </c>
      <c r="AW715">
        <f>IF(AND($E715=TRUE,$C715="GKP"),AS715,"")</f>
        <v/>
      </c>
      <c r="AX715">
        <f>IF(AND($E715=TRUE,$C715="DEF"),AS715,"")</f>
        <v/>
      </c>
      <c r="AY715">
        <f>IF(AND($E715=TRUE,$C715="MID"),AS715,"")</f>
        <v/>
      </c>
      <c r="AZ715">
        <f>IF(AND($E715=TRUE,$C715="FWD"),AS715,"")</f>
        <v/>
      </c>
      <c r="BA715" t="n">
        <v>2</v>
      </c>
      <c r="BB715" t="n">
        <v>2</v>
      </c>
      <c r="BC715" t="n">
        <v>4</v>
      </c>
      <c r="BD715" t="n">
        <v>6</v>
      </c>
    </row>
    <row r="716">
      <c r="A716" t="inlineStr">
        <is>
          <t>Caleb Yirenkyi</t>
        </is>
      </c>
      <c r="B716" t="inlineStr">
        <is>
          <t>COV</t>
        </is>
      </c>
      <c r="C716" t="inlineStr">
        <is>
          <t>MID</t>
        </is>
      </c>
      <c r="E716" t="b">
        <v>1</v>
      </c>
      <c r="F716" s="2" t="n">
        <v>5</v>
      </c>
      <c r="G716" t="inlineStr">
        <is>
          <t>a</t>
        </is>
      </c>
      <c r="I716" s="2" t="n"/>
      <c r="K716" s="3" t="n">
        <v>2696</v>
      </c>
      <c r="L716" t="inlineStr">
        <is>
          <t>flat</t>
        </is>
      </c>
      <c r="M716" s="4" t="n">
        <v>2696</v>
      </c>
      <c r="N716" t="inlineStr">
        <is>
          <t>Solio</t>
        </is>
      </c>
      <c r="O716" s="5" t="n">
        <v>85</v>
      </c>
      <c r="P716" t="b">
        <v>0</v>
      </c>
      <c r="Q716" s="5">
        <f>IF(N(O716)&lt;=0,0,MIN(Assumptions!$B$15,N(M716)/N(O716)))</f>
        <v/>
      </c>
      <c r="R716" s="4" t="n">
        <v>0.17</v>
      </c>
      <c r="S716" s="3" t="n"/>
      <c r="T716" t="inlineStr"/>
      <c r="U716" s="3" t="n">
        <v>1</v>
      </c>
      <c r="V716" s="3" t="n"/>
      <c r="W716" s="3" t="n"/>
      <c r="X716" s="3" t="n"/>
      <c r="Y716" s="3" t="n"/>
      <c r="Z716" s="3" t="n">
        <v>0</v>
      </c>
      <c r="AA716" s="3" t="n"/>
      <c r="AB716" s="3" t="n"/>
      <c r="AC716" s="3" t="n">
        <v>3.6194</v>
      </c>
      <c r="AD716" s="3" t="n">
        <v>1.8271</v>
      </c>
      <c r="AE716" s="3" t="n">
        <v>-0.2160434166173144</v>
      </c>
      <c r="AF716" s="4" t="n">
        <v>0</v>
      </c>
      <c r="AG716" s="3" t="n">
        <v>0</v>
      </c>
      <c r="AH716" s="3" t="n">
        <v>0</v>
      </c>
      <c r="AI716" s="3" t="n">
        <v>0</v>
      </c>
      <c r="AJ716" s="3">
        <f>N(R716)*N(BC716)</f>
        <v/>
      </c>
      <c r="AK716" s="3" t="n">
        <v>0</v>
      </c>
      <c r="AL716" s="3" t="n">
        <v>0</v>
      </c>
      <c r="AM716" s="3" t="n">
        <v>-0</v>
      </c>
      <c r="AN716" s="3" t="n">
        <v>-0.2160434166173144</v>
      </c>
      <c r="AO716" s="3">
        <f>SUM(AH716:AN716)</f>
        <v/>
      </c>
      <c r="AP716" s="5">
        <f>IF(OR(N(Q716)&lt;=0,N(BA716)=0),0,N(Q716)*IF(N(M716)/N(Q716)&gt;=60,N(BA716),1))</f>
        <v/>
      </c>
      <c r="AQ716" s="5">
        <f>N(Q716)*N(Z716)*N(BB716)</f>
        <v/>
      </c>
      <c r="AR716" s="5">
        <f>N(AF716)*(Assumptions!$B$13*N(BD716)-(1-Assumptions!$B$13)*Assumptions!$B$14)+N(AG716)</f>
        <v/>
      </c>
      <c r="AS716" s="5">
        <f>N(AO716)*N(M716)/90+N(AP716)+N(AQ716)+N(AR716)</f>
        <v/>
      </c>
      <c r="AT716" s="3">
        <f>IF(N(M716)&lt;=0,0,(N(AS716)-N(AR716))*90/N(M716))</f>
        <v/>
      </c>
      <c r="AU716" s="5">
        <f>IFERROR(AS716-VLOOKUP($C716,Assumptions!$A$36:$C$39,3,FALSE),"")</f>
        <v/>
      </c>
      <c r="AV716" s="3">
        <f>IFERROR(AU716/F716,"")</f>
        <v/>
      </c>
      <c r="AW716">
        <f>IF(AND($E716=TRUE,$C716="GKP"),AS716,"")</f>
        <v/>
      </c>
      <c r="AX716">
        <f>IF(AND($E716=TRUE,$C716="DEF"),AS716,"")</f>
        <v/>
      </c>
      <c r="AY716">
        <f>IF(AND($E716=TRUE,$C716="MID"),AS716,"")</f>
        <v/>
      </c>
      <c r="AZ716">
        <f>IF(AND($E716=TRUE,$C716="FWD"),AS716,"")</f>
        <v/>
      </c>
      <c r="BA716" t="n">
        <v>2</v>
      </c>
      <c r="BB716" t="n">
        <v>2</v>
      </c>
      <c r="BC716" t="n">
        <v>1</v>
      </c>
      <c r="BD716" t="n">
        <v>5</v>
      </c>
    </row>
    <row r="717">
      <c r="A717" t="inlineStr">
        <is>
          <t>George Shepherd</t>
        </is>
      </c>
      <c r="B717" t="inlineStr">
        <is>
          <t>COV</t>
        </is>
      </c>
      <c r="C717" t="inlineStr">
        <is>
          <t>MID</t>
        </is>
      </c>
      <c r="E717" t="b">
        <v>1</v>
      </c>
      <c r="F717" s="2" t="n">
        <v>4.5</v>
      </c>
      <c r="G717" t="inlineStr">
        <is>
          <t>a</t>
        </is>
      </c>
      <c r="I717" s="2" t="n"/>
      <c r="K717" s="3" t="n">
        <v>0</v>
      </c>
      <c r="L717" t="inlineStr">
        <is>
          <t>flat</t>
        </is>
      </c>
      <c r="M717" s="4" t="n">
        <v>0</v>
      </c>
      <c r="N717" t="inlineStr">
        <is>
          <t>Solio</t>
        </is>
      </c>
      <c r="O717" s="5" t="n">
        <v>85</v>
      </c>
      <c r="P717" t="b">
        <v>0</v>
      </c>
      <c r="Q717" s="5">
        <f>IF(N(O717)&lt;=0,0,MIN(Assumptions!$B$15,N(M717)/N(O717)))</f>
        <v/>
      </c>
      <c r="R717" s="4" t="n">
        <v>0.17</v>
      </c>
      <c r="S717" s="3" t="n"/>
      <c r="T717" t="inlineStr"/>
      <c r="U717" s="3" t="n">
        <v>1</v>
      </c>
      <c r="V717" s="3" t="n"/>
      <c r="W717" s="3" t="n"/>
      <c r="X717" s="3" t="n"/>
      <c r="Y717" s="3" t="n"/>
      <c r="Z717" s="3" t="n">
        <v>0</v>
      </c>
      <c r="AA717" s="3" t="n"/>
      <c r="AB717" s="3" t="n"/>
      <c r="AC717" s="3" t="n">
        <v>3.6194</v>
      </c>
      <c r="AD717" s="3" t="n">
        <v>1.8271</v>
      </c>
      <c r="AE717" s="3" t="n">
        <v>-0.2160434166173144</v>
      </c>
      <c r="AF717" s="4" t="n">
        <v>0</v>
      </c>
      <c r="AG717" s="3" t="n">
        <v>0</v>
      </c>
      <c r="AH717" s="3" t="n">
        <v>0</v>
      </c>
      <c r="AI717" s="3" t="n">
        <v>0</v>
      </c>
      <c r="AJ717" s="3">
        <f>N(R717)*N(BC717)</f>
        <v/>
      </c>
      <c r="AK717" s="3" t="n">
        <v>0</v>
      </c>
      <c r="AL717" s="3" t="n">
        <v>0</v>
      </c>
      <c r="AM717" s="3" t="n">
        <v>-0</v>
      </c>
      <c r="AN717" s="3" t="n">
        <v>-0.2160434166173144</v>
      </c>
      <c r="AO717" s="3">
        <f>SUM(AH717:AN717)</f>
        <v/>
      </c>
      <c r="AP717" s="5">
        <f>IF(OR(N(Q717)&lt;=0,N(BA717)=0),0,N(Q717)*IF(N(M717)/N(Q717)&gt;=60,N(BA717),1))</f>
        <v/>
      </c>
      <c r="AQ717" s="5">
        <f>N(Q717)*N(Z717)*N(BB717)</f>
        <v/>
      </c>
      <c r="AR717" s="5">
        <f>N(AF717)*(Assumptions!$B$13*N(BD717)-(1-Assumptions!$B$13)*Assumptions!$B$14)+N(AG717)</f>
        <v/>
      </c>
      <c r="AS717" s="5">
        <f>N(AO717)*N(M717)/90+N(AP717)+N(AQ717)+N(AR717)</f>
        <v/>
      </c>
      <c r="AT717" s="3">
        <f>IF(N(M717)&lt;=0,0,(N(AS717)-N(AR717))*90/N(M717))</f>
        <v/>
      </c>
      <c r="AU717" s="5">
        <f>IFERROR(AS717-VLOOKUP($C717,Assumptions!$A$36:$C$39,3,FALSE),"")</f>
        <v/>
      </c>
      <c r="AV717" s="3">
        <f>IFERROR(AU717/F717,"")</f>
        <v/>
      </c>
      <c r="AW717">
        <f>IF(AND($E717=TRUE,$C717="GKP"),AS717,"")</f>
        <v/>
      </c>
      <c r="AX717">
        <f>IF(AND($E717=TRUE,$C717="DEF"),AS717,"")</f>
        <v/>
      </c>
      <c r="AY717">
        <f>IF(AND($E717=TRUE,$C717="MID"),AS717,"")</f>
        <v/>
      </c>
      <c r="AZ717">
        <f>IF(AND($E717=TRUE,$C717="FWD"),AS717,"")</f>
        <v/>
      </c>
      <c r="BA717" t="n">
        <v>2</v>
      </c>
      <c r="BB717" t="n">
        <v>2</v>
      </c>
      <c r="BC717" t="n">
        <v>1</v>
      </c>
      <c r="BD717" t="n">
        <v>5</v>
      </c>
    </row>
    <row r="718">
      <c r="A718" t="inlineStr">
        <is>
          <t>Jerome Abbey</t>
        </is>
      </c>
      <c r="D718" t="inlineStr">
        <is>
          <t>MID</t>
        </is>
      </c>
      <c r="E718" t="b">
        <v>0</v>
      </c>
      <c r="F718" s="2" t="n"/>
      <c r="I718" s="2" t="n">
        <v>16</v>
      </c>
      <c r="K718" s="3" t="n"/>
      <c r="M718" s="4" t="n">
        <v>16</v>
      </c>
      <c r="N718" t="inlineStr">
        <is>
          <t>25/26 actual</t>
        </is>
      </c>
      <c r="O718" s="5" t="n">
        <v>85</v>
      </c>
      <c r="P718" t="b">
        <v>1</v>
      </c>
      <c r="Q718" s="5">
        <f>IF(N(O718)&lt;=0,0,MIN(Assumptions!$B$15,N(M718)/N(O718)))</f>
        <v/>
      </c>
      <c r="R718" s="4" t="n"/>
      <c r="S718" s="3" t="n"/>
      <c r="T718" t="inlineStr"/>
      <c r="U718" s="3" t="n">
        <v>1</v>
      </c>
      <c r="V718" s="3" t="n">
        <v>1</v>
      </c>
      <c r="W718" s="3" t="n">
        <v>0</v>
      </c>
      <c r="X718" s="3" t="n"/>
      <c r="Y718" s="3" t="n">
        <v>8.635</v>
      </c>
      <c r="Z718" s="3" t="n">
        <v>0</v>
      </c>
      <c r="AA718" s="3" t="n">
        <v>0</v>
      </c>
      <c r="AB718" s="3" t="n">
        <v>1</v>
      </c>
      <c r="AC718" s="3" t="n"/>
      <c r="AD718" s="3" t="n"/>
      <c r="AE718" s="3" t="n"/>
      <c r="AF718" s="4" t="n">
        <v>0</v>
      </c>
      <c r="AG718" s="3" t="n">
        <v>0</v>
      </c>
      <c r="AH718" s="3" t="n">
        <v>0</v>
      </c>
      <c r="AI718" s="3" t="n">
        <v>0</v>
      </c>
      <c r="AJ718" s="3">
        <f>N(R718)*N(BC718)</f>
        <v/>
      </c>
      <c r="AK718" s="3" t="n">
        <v>0</v>
      </c>
      <c r="AL718" s="3" t="n">
        <v>0</v>
      </c>
      <c r="AM718" s="3" t="n">
        <v>0</v>
      </c>
      <c r="AN718" s="3" t="n">
        <v>0</v>
      </c>
      <c r="AO718" s="3">
        <f>SUM(AH718:AN718)</f>
        <v/>
      </c>
      <c r="AP718" s="5">
        <f>IF(OR(N(Q718)&lt;=0,N(BA718)=0),0,N(Q718)*IF(N(M718)/N(Q718)&gt;=60,N(BA718),1))</f>
        <v/>
      </c>
      <c r="AQ718" s="5">
        <f>N(Q718)*N(Z718)*N(BB718)</f>
        <v/>
      </c>
      <c r="AR718" s="5">
        <f>N(AF718)*(Assumptions!$B$13*N(BD718)-(1-Assumptions!$B$13)*Assumptions!$B$14)+N(AG718)</f>
        <v/>
      </c>
      <c r="AS718" s="5">
        <f>N(AO718)*N(M718)/90+N(AP718)+N(AQ718)+N(AR718)</f>
        <v/>
      </c>
      <c r="AT718" s="3">
        <f>IF(N(M718)&lt;=0,0,(N(AS718)-N(AR718))*90/N(M718))</f>
        <v/>
      </c>
      <c r="AU718" s="5">
        <f>IFERROR(AS718-VLOOKUP($C718,Assumptions!$A$36:$C$39,3,FALSE),"")</f>
        <v/>
      </c>
      <c r="AV718" s="3">
        <f>IFERROR(AU718/F718,"")</f>
        <v/>
      </c>
      <c r="AW718">
        <f>IF(AND($E718=TRUE,$C718="GKP"),AS718,"")</f>
        <v/>
      </c>
      <c r="AX718">
        <f>IF(AND($E718=TRUE,$C718="DEF"),AS718,"")</f>
        <v/>
      </c>
      <c r="AY718">
        <f>IF(AND($E718=TRUE,$C718="MID"),AS718,"")</f>
        <v/>
      </c>
      <c r="AZ718">
        <f>IF(AND($E718=TRUE,$C718="FWD"),AS718,"")</f>
        <v/>
      </c>
      <c r="BA718" t="n">
        <v>0</v>
      </c>
      <c r="BB718" t="n">
        <v>0</v>
      </c>
      <c r="BC718" t="n">
        <v>0</v>
      </c>
      <c r="BD718" t="n">
        <v>0</v>
      </c>
    </row>
    <row r="719">
      <c r="A719" t="inlineStr">
        <is>
          <t>Brian Madjo</t>
        </is>
      </c>
      <c r="B719" t="inlineStr">
        <is>
          <t>AVL</t>
        </is>
      </c>
      <c r="C719" t="inlineStr">
        <is>
          <t>FWD</t>
        </is>
      </c>
      <c r="E719" t="b">
        <v>1</v>
      </c>
      <c r="F719" s="2" t="n">
        <v>5.5</v>
      </c>
      <c r="G719" t="inlineStr">
        <is>
          <t>a</t>
        </is>
      </c>
      <c r="I719" s="2" t="n"/>
      <c r="K719" s="3" t="n">
        <v>247</v>
      </c>
      <c r="L719" t="inlineStr">
        <is>
          <t>flat</t>
        </is>
      </c>
      <c r="M719" s="4" t="n">
        <v>247</v>
      </c>
      <c r="N719" t="inlineStr">
        <is>
          <t>Solio</t>
        </is>
      </c>
      <c r="O719" s="5" t="n">
        <v>85</v>
      </c>
      <c r="P719" t="b">
        <v>0</v>
      </c>
      <c r="Q719" s="5">
        <f>IF(N(O719)&lt;=0,0,MIN(Assumptions!$B$15,N(M719)/N(O719)))</f>
        <v/>
      </c>
      <c r="R719" s="4" t="n">
        <v>0.273</v>
      </c>
      <c r="S719" s="3" t="n"/>
      <c r="T719" t="inlineStr"/>
      <c r="U719" s="3" t="n">
        <v>1</v>
      </c>
      <c r="V719" s="3" t="n"/>
      <c r="W719" s="3" t="n"/>
      <c r="X719" s="3" t="n"/>
      <c r="Y719" s="3" t="n"/>
      <c r="Z719" s="3" t="n">
        <v>0</v>
      </c>
      <c r="AA719" s="3" t="n"/>
      <c r="AB719" s="3" t="n"/>
      <c r="AC719" s="3" t="n">
        <v>2.7451</v>
      </c>
      <c r="AD719" s="3" t="n">
        <v>1.3575</v>
      </c>
      <c r="AE719" s="3" t="n">
        <v>-0.174691292596322</v>
      </c>
      <c r="AF719" s="4" t="n">
        <v>0</v>
      </c>
      <c r="AG719" s="3" t="n">
        <v>0</v>
      </c>
      <c r="AH719" s="3" t="n">
        <v>0</v>
      </c>
      <c r="AI719" s="3" t="n">
        <v>0</v>
      </c>
      <c r="AJ719" s="3">
        <f>N(R719)*N(BC719)</f>
        <v/>
      </c>
      <c r="AK719" s="3" t="n">
        <v>0</v>
      </c>
      <c r="AL719" s="3" t="n">
        <v>0</v>
      </c>
      <c r="AM719" s="3" t="n">
        <v>-0</v>
      </c>
      <c r="AN719" s="3" t="n">
        <v>-0.174691292596322</v>
      </c>
      <c r="AO719" s="3">
        <f>SUM(AH719:AN719)</f>
        <v/>
      </c>
      <c r="AP719" s="5">
        <f>IF(OR(N(Q719)&lt;=0,N(BA719)=0),0,N(Q719)*IF(N(M719)/N(Q719)&gt;=60,N(BA719),1))</f>
        <v/>
      </c>
      <c r="AQ719" s="5">
        <f>N(Q719)*N(Z719)*N(BB719)</f>
        <v/>
      </c>
      <c r="AR719" s="5">
        <f>N(AF719)*(Assumptions!$B$13*N(BD719)-(1-Assumptions!$B$13)*Assumptions!$B$14)+N(AG719)</f>
        <v/>
      </c>
      <c r="AS719" s="5">
        <f>N(AO719)*N(M719)/90+N(AP719)+N(AQ719)+N(AR719)</f>
        <v/>
      </c>
      <c r="AT719" s="3">
        <f>IF(N(M719)&lt;=0,0,(N(AS719)-N(AR719))*90/N(M719))</f>
        <v/>
      </c>
      <c r="AU719" s="5">
        <f>IFERROR(AS719-VLOOKUP($C719,Assumptions!$A$36:$C$39,3,FALSE),"")</f>
        <v/>
      </c>
      <c r="AV719" s="3">
        <f>IFERROR(AU719/F719,"")</f>
        <v/>
      </c>
      <c r="AW719">
        <f>IF(AND($E719=TRUE,$C719="GKP"),AS719,"")</f>
        <v/>
      </c>
      <c r="AX719">
        <f>IF(AND($E719=TRUE,$C719="DEF"),AS719,"")</f>
        <v/>
      </c>
      <c r="AY719">
        <f>IF(AND($E719=TRUE,$C719="MID"),AS719,"")</f>
        <v/>
      </c>
      <c r="AZ719">
        <f>IF(AND($E719=TRUE,$C719="FWD"),AS719,"")</f>
        <v/>
      </c>
      <c r="BA719" t="n">
        <v>2</v>
      </c>
      <c r="BB719" t="n">
        <v>2</v>
      </c>
      <c r="BC719" t="n">
        <v>0</v>
      </c>
      <c r="BD719" t="n">
        <v>4</v>
      </c>
    </row>
    <row r="720">
      <c r="A720" t="inlineStr">
        <is>
          <t>Zadok Yohanna</t>
        </is>
      </c>
      <c r="B720" t="inlineStr">
        <is>
          <t>BHA</t>
        </is>
      </c>
      <c r="C720" t="inlineStr">
        <is>
          <t>MID</t>
        </is>
      </c>
      <c r="E720" t="b">
        <v>1</v>
      </c>
      <c r="F720" s="2" t="n">
        <v>5</v>
      </c>
      <c r="G720" t="inlineStr">
        <is>
          <t>a</t>
        </is>
      </c>
      <c r="I720" s="2" t="n"/>
      <c r="K720" s="3" t="n">
        <v>162</v>
      </c>
      <c r="L720" t="inlineStr">
        <is>
          <t>flat</t>
        </is>
      </c>
      <c r="M720" s="4" t="n">
        <v>162</v>
      </c>
      <c r="N720" t="inlineStr">
        <is>
          <t>Solio</t>
        </is>
      </c>
      <c r="O720" s="5" t="n">
        <v>85</v>
      </c>
      <c r="P720" t="b">
        <v>0</v>
      </c>
      <c r="Q720" s="5">
        <f>IF(N(O720)&lt;=0,0,MIN(Assumptions!$B$15,N(M720)/N(O720)))</f>
        <v/>
      </c>
      <c r="R720" s="4" t="n">
        <v>0.252</v>
      </c>
      <c r="S720" s="3" t="n"/>
      <c r="T720" t="inlineStr"/>
      <c r="U720" s="3" t="n">
        <v>1</v>
      </c>
      <c r="V720" s="3" t="n"/>
      <c r="W720" s="3" t="n"/>
      <c r="X720" s="3" t="n"/>
      <c r="Y720" s="3" t="n"/>
      <c r="Z720" s="3" t="n">
        <v>0</v>
      </c>
      <c r="AA720" s="3" t="n"/>
      <c r="AB720" s="3" t="n"/>
      <c r="AC720" s="3" t="n">
        <v>2.8404</v>
      </c>
      <c r="AD720" s="3" t="n">
        <v>1.439</v>
      </c>
      <c r="AE720" s="3" t="n">
        <v>-0.2160434166173144</v>
      </c>
      <c r="AF720" s="4" t="n">
        <v>0</v>
      </c>
      <c r="AG720" s="3" t="n">
        <v>0</v>
      </c>
      <c r="AH720" s="3" t="n">
        <v>0</v>
      </c>
      <c r="AI720" s="3" t="n">
        <v>0</v>
      </c>
      <c r="AJ720" s="3">
        <f>N(R720)*N(BC720)</f>
        <v/>
      </c>
      <c r="AK720" s="3" t="n">
        <v>0</v>
      </c>
      <c r="AL720" s="3" t="n">
        <v>0</v>
      </c>
      <c r="AM720" s="3" t="n">
        <v>-0</v>
      </c>
      <c r="AN720" s="3" t="n">
        <v>-0.2160434166173144</v>
      </c>
      <c r="AO720" s="3">
        <f>SUM(AH720:AN720)</f>
        <v/>
      </c>
      <c r="AP720" s="5">
        <f>IF(OR(N(Q720)&lt;=0,N(BA720)=0),0,N(Q720)*IF(N(M720)/N(Q720)&gt;=60,N(BA720),1))</f>
        <v/>
      </c>
      <c r="AQ720" s="5">
        <f>N(Q720)*N(Z720)*N(BB720)</f>
        <v/>
      </c>
      <c r="AR720" s="5">
        <f>N(AF720)*(Assumptions!$B$13*N(BD720)-(1-Assumptions!$B$13)*Assumptions!$B$14)+N(AG720)</f>
        <v/>
      </c>
      <c r="AS720" s="5">
        <f>N(AO720)*N(M720)/90+N(AP720)+N(AQ720)+N(AR720)</f>
        <v/>
      </c>
      <c r="AT720" s="3">
        <f>IF(N(M720)&lt;=0,0,(N(AS720)-N(AR720))*90/N(M720))</f>
        <v/>
      </c>
      <c r="AU720" s="5">
        <f>IFERROR(AS720-VLOOKUP($C720,Assumptions!$A$36:$C$39,3,FALSE),"")</f>
        <v/>
      </c>
      <c r="AV720" s="3">
        <f>IFERROR(AU720/F720,"")</f>
        <v/>
      </c>
      <c r="AW720">
        <f>IF(AND($E720=TRUE,$C720="GKP"),AS720,"")</f>
        <v/>
      </c>
      <c r="AX720">
        <f>IF(AND($E720=TRUE,$C720="DEF"),AS720,"")</f>
        <v/>
      </c>
      <c r="AY720">
        <f>IF(AND($E720=TRUE,$C720="MID"),AS720,"")</f>
        <v/>
      </c>
      <c r="AZ720">
        <f>IF(AND($E720=TRUE,$C720="FWD"),AS720,"")</f>
        <v/>
      </c>
      <c r="BA720" t="n">
        <v>2</v>
      </c>
      <c r="BB720" t="n">
        <v>2</v>
      </c>
      <c r="BC720" t="n">
        <v>1</v>
      </c>
      <c r="BD720" t="n">
        <v>5</v>
      </c>
    </row>
  </sheetData>
  <autoFilter ref="A1:BD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6" customWidth="1" min="1" max="1"/>
    <col width="105" customWidth="1" min="2" max="2"/>
  </cols>
  <sheetData>
    <row r="1">
      <c r="A1" s="6" t="inlineStr">
        <is>
          <t>Scoring (FPL 2026/27, read from the game's own config)</t>
        </is>
      </c>
    </row>
    <row r="3">
      <c r="A3" s="7" t="inlineStr">
        <is>
          <t>Pos</t>
        </is>
      </c>
      <c r="B3" s="7" t="inlineStr">
        <is>
          <t>Goal</t>
        </is>
      </c>
      <c r="C3" s="7" t="inlineStr">
        <is>
          <t>Assist</t>
        </is>
      </c>
      <c r="D3" s="7" t="inlineStr">
        <is>
          <t>Clean sheet</t>
        </is>
      </c>
      <c r="E3" s="7" t="inlineStr">
        <is>
          <t>DefCon</t>
        </is>
      </c>
      <c r="F3" s="7" t="inlineStr">
        <is>
          <t>Appearance 60+</t>
        </is>
      </c>
      <c r="G3" s="7" t="inlineStr">
        <is>
          <t>DefCon threshold</t>
        </is>
      </c>
      <c r="H3" s="7" t="inlineStr">
        <is>
          <t>Saves per point</t>
        </is>
      </c>
      <c r="I3" s="7"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6"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4" t="n">
        <v>0.8294</v>
      </c>
    </row>
    <row r="14">
      <c r="A14" t="inlineStr">
        <is>
          <t>Points for a missed penalty</t>
        </is>
      </c>
      <c r="B14" t="n">
        <v>2</v>
      </c>
    </row>
    <row r="15">
      <c r="A15" t="inlineStr">
        <is>
          <t>Matches in a season</t>
        </is>
      </c>
      <c r="B15" t="n">
        <v>38</v>
      </c>
    </row>
    <row r="17">
      <c r="A17" s="6" t="inlineStr">
        <is>
          <t>Notes</t>
        </is>
      </c>
    </row>
    <row r="18" ht="46" customHeight="1">
      <c r="A18" s="6" t="inlineStr">
        <is>
          <t>xMins</t>
        </is>
      </c>
      <c r="B18" s="8" t="inlineStr">
        <is>
          <t>Your minutes forecast for 2026/27. Defaults to Solio's own forecast, which is forward-looking and so already prices injuries and late World Cup returns; where Solio has no view it falls back to 2025/26 minutes. Column 'xMins source' says which. This is the single biggest lever in the model and the one number no dataset can settle for you.</t>
        </is>
      </c>
    </row>
    <row r="19" ht="46" customHeight="1">
      <c r="A19" s="6" t="inlineStr">
        <is>
          <t>Saves</t>
        </is>
      </c>
      <c r="B19" s="8"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0" ht="46" customHeight="1">
      <c r="A20" s="6" t="inlineStr">
        <is>
          <t>Goals conceded</t>
        </is>
      </c>
      <c r="B20" s="8" t="inlineStr">
        <is>
          <t>Goalkeepers and defenders, -1 per 2 conceded, settled every match. Same Poisson treatment: ignoring the per-match floor makes the penalty 57% too harsh.</t>
        </is>
      </c>
    </row>
    <row r="21" ht="46" customHeight="1">
      <c r="A21" s="6" t="inlineStr">
        <is>
          <t>Cards</t>
        </is>
      </c>
      <c r="B21" s="8"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2" ht="46" customHeight="1">
      <c r="A22" s="6" t="inlineStr">
        <is>
          <t>Penalties</t>
        </is>
      </c>
      <c r="B22" s="8"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3" ht="46" customHeight="1">
      <c r="A23" s="6" t="inlineStr">
        <is>
          <t>P(CS)</t>
        </is>
      </c>
      <c r="B23" s="8"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4" ht="46" customHeight="1">
      <c r="A24" s="6" t="inlineStr">
        <is>
          <t>Assist uplift</t>
        </is>
      </c>
      <c r="B24" s="8"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5" ht="46" customHeight="1">
      <c r="A25" s="6" t="inlineStr">
        <is>
          <t>xG source</t>
        </is>
      </c>
      <c r="B25" s="8"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6" ht="46" customHeight="1">
      <c r="A26" s="6" t="inlineStr">
        <is>
          <t>DefCon</t>
        </is>
      </c>
      <c r="B26" s="8"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7" ht="46" customHeight="1">
      <c r="A27" s="6" t="inlineStr">
        <is>
          <t>Bonus</t>
        </is>
      </c>
      <c r="B27" s="8" t="inlineStr">
        <is>
          <t>Bonus per 90 from 2025/26 replayed under the 2026/27 BPS weighting. Modelled as a rate rather than a share of points, so it does not depend on the rest of the model.</t>
        </is>
      </c>
    </row>
    <row r="28" ht="46" customHeight="1">
      <c r="A28" s="6" t="inlineStr">
        <is>
          <t>VORP</t>
        </is>
      </c>
      <c r="B28" s="8"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29" ht="46" customHeight="1">
      <c r="A29" s="6" t="inlineStr">
        <is>
          <t>VORP per £m</t>
        </is>
      </c>
      <c r="B29" s="8" t="inlineStr">
        <is>
          <t>VORP divided by price. Pure VORP measures scarcity alone; this measures scarcity against the £100m budget that still binds you in a normal FPL season.</t>
        </is>
      </c>
    </row>
    <row r="30" ht="46" customHeight="1">
      <c r="A30" s="6" t="inlineStr">
        <is>
          <t>Appearance</t>
        </is>
      </c>
      <c r="B30" s="8"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1" ht="46" customHeight="1">
      <c r="A31" s="6" t="inlineStr">
        <is>
          <t>Live cells</t>
        </is>
      </c>
      <c r="B31" s="8"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2">
      <c r="A32" s="6" t="inlineStr">
        <is>
          <t>VORP settings</t>
        </is>
      </c>
    </row>
    <row r="34">
      <c r="A34" t="inlineStr">
        <is>
          <t>Teams in league</t>
        </is>
      </c>
      <c r="B34" s="4" t="n">
        <v>8</v>
      </c>
    </row>
    <row r="35">
      <c r="A35" s="7" t="inlineStr">
        <is>
          <t>Position</t>
        </is>
      </c>
      <c r="B35" s="7" t="inlineStr">
        <is>
          <t>Squad slots per team</t>
        </is>
      </c>
      <c r="C35" s="7" t="inlineStr">
        <is>
          <t>Replacement xPts</t>
        </is>
      </c>
    </row>
    <row r="36">
      <c r="A36" t="inlineStr">
        <is>
          <t>GKP</t>
        </is>
      </c>
      <c r="B36" s="4" t="n">
        <v>2</v>
      </c>
      <c r="C36" s="9">
        <f>IFERROR(LARGE('xPts model'!$AW$2:$AW$720,$B$34*B36+1),0)</f>
        <v/>
      </c>
    </row>
    <row r="37">
      <c r="A37" t="inlineStr">
        <is>
          <t>DEF</t>
        </is>
      </c>
      <c r="B37" s="4" t="n">
        <v>5</v>
      </c>
      <c r="C37" s="9">
        <f>IFERROR(LARGE('xPts model'!$AX$2:$AX$720,$B$34*B37+1),0)</f>
        <v/>
      </c>
    </row>
    <row r="38">
      <c r="A38" t="inlineStr">
        <is>
          <t>MID</t>
        </is>
      </c>
      <c r="B38" s="4" t="n">
        <v>5</v>
      </c>
      <c r="C38" s="9">
        <f>IFERROR(LARGE('xPts model'!$AY$2:$AY$720,$B$34*B38+1),0)</f>
        <v/>
      </c>
    </row>
    <row r="39">
      <c r="A39" t="inlineStr">
        <is>
          <t>FWD</t>
        </is>
      </c>
      <c r="B39" s="4" t="n">
        <v>3</v>
      </c>
      <c r="C39" s="9">
        <f>IFERROR(LARGE('xPts model'!$AZ$2:$AZ$720,$B$34*B39+1),0)</f>
        <v/>
      </c>
    </row>
    <row r="41" ht="46" customHeight="1">
      <c r="A41" s="8"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2026-08-16T04:43:41Z</dcterms:created>
  <dcterms:modified xsi:type="dcterms:W3CDTF">2026-08-16T04:52:28Z</dcterms:modified>
</cp:coreProperties>
</file>