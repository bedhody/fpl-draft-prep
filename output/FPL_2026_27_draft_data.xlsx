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'Players'!$A$1:$DV$720</definedName>
    <definedName name="_xlnm._FilterDatabase" localSheetId="1" hidden="1">'xPts model'!$A$1:$AH$720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0" fontId="0" fillId="3" borderId="0" pivotButton="0" quotePrefix="0" xfId="0"/>
    <xf numFmtId="164" fontId="0" fillId="4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Mins per shot</t>
        </is>
      </c>
      <c r="DQ1" t="inlineStr">
        <is>
          <t>Mins per touch in box</t>
        </is>
      </c>
      <c r="DR1" t="inlineStr">
        <is>
          <t>Mins per chance created</t>
        </is>
      </c>
      <c r="DS1" t="inlineStr">
        <is>
          <t>Mins per xG (blend)</t>
        </is>
      </c>
      <c r="DT1" t="inlineStr">
        <is>
          <t>Mins per xA (blend)</t>
        </is>
      </c>
      <c r="DU1" t="inlineStr">
        <is>
          <t>Mins per xGI (blend)</t>
        </is>
      </c>
      <c r="DV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23.4</v>
      </c>
      <c r="DQ2" t="n">
        <v>13.9</v>
      </c>
      <c r="DR2" t="n">
        <v>118.1</v>
      </c>
      <c r="DS2" t="n">
        <v>108.8</v>
      </c>
      <c r="DT2" t="n">
        <v>722.2</v>
      </c>
      <c r="DU2" t="n">
        <v>94.5</v>
      </c>
      <c r="DV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36.1</v>
      </c>
      <c r="DQ3" t="n">
        <v>33.7</v>
      </c>
      <c r="DR3" t="n">
        <v>22.5</v>
      </c>
      <c r="DS3" t="n">
        <v>269.8</v>
      </c>
      <c r="DT3" t="n">
        <v>204.1</v>
      </c>
      <c r="DU3" t="n">
        <v>116.2</v>
      </c>
      <c r="DV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101.9</v>
      </c>
      <c r="DQ4" t="n">
        <v>59.8</v>
      </c>
      <c r="DR4" t="n">
        <v>392.9</v>
      </c>
      <c r="DS4" t="n">
        <v>724.7</v>
      </c>
      <c r="DT4" t="n">
        <v>1229</v>
      </c>
      <c r="DU4" t="n">
        <v>455.9</v>
      </c>
      <c r="DV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38.6</v>
      </c>
      <c r="DQ5" t="n">
        <v>18.2</v>
      </c>
      <c r="DR5" t="n">
        <v>82.09999999999999</v>
      </c>
      <c r="DS5" t="n">
        <v>267.4</v>
      </c>
      <c r="DT5" t="n">
        <v>882.7</v>
      </c>
      <c r="DU5" t="n">
        <v>205.2</v>
      </c>
      <c r="DV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37.4</v>
      </c>
      <c r="DQ6" t="n">
        <v>24.6</v>
      </c>
      <c r="DR6" t="n">
        <v>63.3</v>
      </c>
      <c r="DS6" t="n">
        <v>275.9</v>
      </c>
      <c r="DT6" t="n">
        <v>836.5</v>
      </c>
      <c r="DU6" t="n">
        <v>207.5</v>
      </c>
      <c r="DV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77.3</v>
      </c>
      <c r="DQ7" t="n">
        <v>55.2</v>
      </c>
      <c r="DR7" t="n">
        <v>49.1</v>
      </c>
      <c r="DS7" t="n">
        <v>900.3</v>
      </c>
      <c r="DT7" t="n">
        <v>399.6</v>
      </c>
      <c r="DU7" t="n">
        <v>276.8</v>
      </c>
      <c r="DV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39.1</v>
      </c>
      <c r="DQ8" t="n">
        <v>19.4</v>
      </c>
      <c r="DR8" t="n">
        <v>136.8</v>
      </c>
      <c r="DS8" t="n">
        <v>144.9</v>
      </c>
      <c r="DT8" t="n">
        <v>1243.2</v>
      </c>
      <c r="DU8" t="n">
        <v>129.8</v>
      </c>
      <c r="DV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75.7</v>
      </c>
      <c r="DQ9" t="n">
        <v>53.7</v>
      </c>
      <c r="DR9" t="n">
        <v>61.7</v>
      </c>
      <c r="DS9" t="n">
        <v>1043.8</v>
      </c>
      <c r="DT9" t="n">
        <v>691.8</v>
      </c>
      <c r="DU9" t="n">
        <v>416.1</v>
      </c>
      <c r="DV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98.40000000000001</v>
      </c>
      <c r="DQ10" t="n">
        <v>50.8</v>
      </c>
      <c r="DR10" t="n">
        <v>175</v>
      </c>
      <c r="DS10" t="n">
        <v>720.2</v>
      </c>
      <c r="DT10" t="n">
        <v>1236.1</v>
      </c>
      <c r="DU10" t="n">
        <v>455.1</v>
      </c>
      <c r="DV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36.4</v>
      </c>
      <c r="DQ11" t="n">
        <v>18.3</v>
      </c>
      <c r="DR11" t="n">
        <v>91.7</v>
      </c>
      <c r="DS11" t="n">
        <v>173.5</v>
      </c>
      <c r="DT11" t="n">
        <v>894.4</v>
      </c>
      <c r="DU11" t="n">
        <v>145.3</v>
      </c>
      <c r="DV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114</v>
      </c>
      <c r="DQ12" t="n">
        <v>48.2</v>
      </c>
      <c r="DR12" t="n">
        <v>285</v>
      </c>
      <c r="DS12" t="n">
        <v>789.7</v>
      </c>
      <c r="DT12" t="n">
        <v>3867.6</v>
      </c>
      <c r="DU12" t="n">
        <v>655.8</v>
      </c>
      <c r="DV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193.4</v>
      </c>
      <c r="DQ13" t="n">
        <v>62</v>
      </c>
      <c r="DR13" t="n">
        <v>137</v>
      </c>
      <c r="DS13" t="n">
        <v>1945.2</v>
      </c>
      <c r="DT13" t="n">
        <v>751.8</v>
      </c>
      <c r="DU13" t="n">
        <v>542.2</v>
      </c>
      <c r="DV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158.6</v>
      </c>
      <c r="DQ14" t="n">
        <v>39.6</v>
      </c>
      <c r="DR14" t="n">
        <v>185</v>
      </c>
      <c r="DS14" t="n">
        <v>1233.5</v>
      </c>
      <c r="DT14" t="n">
        <v>1602.2</v>
      </c>
      <c r="DU14" t="n">
        <v>697</v>
      </c>
      <c r="DV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39</v>
      </c>
      <c r="DQ15" t="n">
        <v>18.1</v>
      </c>
      <c r="DR15" t="n">
        <v>69.8</v>
      </c>
      <c r="DS15" t="n">
        <v>469</v>
      </c>
      <c r="DT15" t="n">
        <v>556.2</v>
      </c>
      <c r="DU15" t="n">
        <v>254.5</v>
      </c>
      <c r="DV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34.3</v>
      </c>
      <c r="DQ16" t="n">
        <v>25.5</v>
      </c>
      <c r="DR16" t="n">
        <v>68.59999999999999</v>
      </c>
      <c r="DS16" t="n">
        <v>459.5</v>
      </c>
      <c r="DT16" t="n">
        <v>520.6</v>
      </c>
      <c r="DU16" t="n">
        <v>244.1</v>
      </c>
      <c r="DV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34.1</v>
      </c>
      <c r="DQ17" t="n">
        <v>16</v>
      </c>
      <c r="DR17" t="n">
        <v>123.2</v>
      </c>
      <c r="DS17" t="n">
        <v>165.5</v>
      </c>
      <c r="DT17" t="n">
        <v>1417.9</v>
      </c>
      <c r="DU17" t="n">
        <v>148.2</v>
      </c>
      <c r="DV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211.1</v>
      </c>
      <c r="DQ18" t="n">
        <v>63.7</v>
      </c>
      <c r="DR18" t="n">
        <v>105.6</v>
      </c>
      <c r="DS18" t="n">
        <v>2023.5</v>
      </c>
      <c r="DT18" t="n">
        <v>903.4</v>
      </c>
      <c r="DU18" t="n">
        <v>624.6</v>
      </c>
      <c r="DV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R19" t="n">
        <v>1110</v>
      </c>
      <c r="DT19" t="n">
        <v>30356.3</v>
      </c>
      <c r="DU19" t="n">
        <v>30356.3</v>
      </c>
      <c r="DV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45.5</v>
      </c>
      <c r="DQ20" t="n">
        <v>46.8</v>
      </c>
      <c r="DR20" t="n">
        <v>41.4</v>
      </c>
      <c r="DS20" t="n">
        <v>681.6</v>
      </c>
      <c r="DT20" t="n">
        <v>412.6</v>
      </c>
      <c r="DU20" t="n">
        <v>257</v>
      </c>
      <c r="DV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64.5</v>
      </c>
      <c r="DQ21" t="n">
        <v>25.7</v>
      </c>
      <c r="DR21" t="n">
        <v>114.9</v>
      </c>
      <c r="DS21" t="n">
        <v>411.5</v>
      </c>
      <c r="DT21" t="n">
        <v>811.1</v>
      </c>
      <c r="DU21" t="n">
        <v>273</v>
      </c>
      <c r="DV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75.8</v>
      </c>
      <c r="DQ22" t="n">
        <v>126.4</v>
      </c>
      <c r="DR22" t="n">
        <v>60.9</v>
      </c>
      <c r="DS22" t="n">
        <v>1634.7</v>
      </c>
      <c r="DT22" t="n">
        <v>557.4</v>
      </c>
      <c r="DU22" t="n">
        <v>415.7</v>
      </c>
      <c r="DV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43.2</v>
      </c>
      <c r="DQ23" t="n">
        <v>30.5</v>
      </c>
      <c r="DR23" t="n">
        <v>45.8</v>
      </c>
      <c r="DS23" t="n">
        <v>268.7</v>
      </c>
      <c r="DT23" t="n">
        <v>386.2</v>
      </c>
      <c r="DU23" t="n">
        <v>158.5</v>
      </c>
      <c r="DV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31.2</v>
      </c>
      <c r="DQ24" t="n">
        <v>12</v>
      </c>
      <c r="DR24" t="n">
        <v>36.4</v>
      </c>
      <c r="DS24" t="n">
        <v>272.6</v>
      </c>
      <c r="DT24" t="n">
        <v>282.3</v>
      </c>
      <c r="DU24" t="n">
        <v>138.7</v>
      </c>
      <c r="DV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128.5</v>
      </c>
      <c r="DQ25" t="n">
        <v>41.7</v>
      </c>
      <c r="DR25" t="n">
        <v>440.7</v>
      </c>
      <c r="DS25" t="n">
        <v>1130.7</v>
      </c>
      <c r="DT25" t="n">
        <v>2914.7</v>
      </c>
      <c r="DU25" t="n">
        <v>814.7</v>
      </c>
      <c r="DV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58.5</v>
      </c>
      <c r="DQ26" t="n">
        <v>44.7</v>
      </c>
      <c r="DR26" t="n">
        <v>54.6</v>
      </c>
      <c r="DS26" t="n">
        <v>403</v>
      </c>
      <c r="DT26" t="n">
        <v>556.3</v>
      </c>
      <c r="DU26" t="n">
        <v>233.7</v>
      </c>
      <c r="DV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408.7</v>
      </c>
      <c r="DQ27" t="n">
        <v>71.5</v>
      </c>
      <c r="DR27" t="n">
        <v>102.2</v>
      </c>
      <c r="DS27" t="n">
        <v>5634.8</v>
      </c>
      <c r="DT27" t="n">
        <v>1073.7</v>
      </c>
      <c r="DU27" t="n">
        <v>901.9</v>
      </c>
      <c r="DV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107.1</v>
      </c>
      <c r="DQ28" t="n">
        <v>48</v>
      </c>
      <c r="DR28" t="n">
        <v>116</v>
      </c>
      <c r="DS28" t="n">
        <v>1265.8</v>
      </c>
      <c r="DT28" t="n">
        <v>1030.6</v>
      </c>
      <c r="DU28" t="n">
        <v>568.1</v>
      </c>
      <c r="DV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67.40000000000001</v>
      </c>
      <c r="DQ29" t="n">
        <v>31.3</v>
      </c>
      <c r="DR29" t="n">
        <v>71.09999999999999</v>
      </c>
      <c r="DS29" t="n">
        <v>605.8</v>
      </c>
      <c r="DT29" t="n">
        <v>441.3</v>
      </c>
      <c r="DU29" t="n">
        <v>255.3</v>
      </c>
      <c r="DV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98.09999999999999</v>
      </c>
      <c r="DQ30" t="n">
        <v>26.9</v>
      </c>
      <c r="DR30" t="n">
        <v>90.8</v>
      </c>
      <c r="DS30" t="n">
        <v>561</v>
      </c>
      <c r="DT30" t="n">
        <v>1190.5</v>
      </c>
      <c r="DU30" t="n">
        <v>381.3</v>
      </c>
      <c r="DV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35.8</v>
      </c>
      <c r="DQ31" t="n">
        <v>17.4</v>
      </c>
      <c r="DR31" t="n">
        <v>55.6</v>
      </c>
      <c r="DS31" t="n">
        <v>206.5</v>
      </c>
      <c r="DT31" t="n">
        <v>518</v>
      </c>
      <c r="DU31" t="n">
        <v>147.6</v>
      </c>
      <c r="DV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139.6</v>
      </c>
      <c r="DQ32" t="n">
        <v>64.2</v>
      </c>
      <c r="DR32" t="n">
        <v>246.9</v>
      </c>
      <c r="DS32" t="n">
        <v>962.7</v>
      </c>
      <c r="DT32" t="n">
        <v>2473.4</v>
      </c>
      <c r="DU32" t="n">
        <v>693</v>
      </c>
      <c r="DV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81.40000000000001</v>
      </c>
      <c r="DQ33" t="n">
        <v>47.3</v>
      </c>
      <c r="DR33" t="n">
        <v>55.3</v>
      </c>
      <c r="DS33" t="n">
        <v>558.7</v>
      </c>
      <c r="DT33" t="n">
        <v>434.2</v>
      </c>
      <c r="DU33" t="n">
        <v>244.3</v>
      </c>
      <c r="DV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78.7</v>
      </c>
      <c r="DQ34" t="n">
        <v>96.5</v>
      </c>
      <c r="DR34" t="n">
        <v>103.1</v>
      </c>
      <c r="DS34" t="n">
        <v>1748.3</v>
      </c>
      <c r="DT34" t="n">
        <v>1292.3</v>
      </c>
      <c r="DU34" t="n">
        <v>743.1</v>
      </c>
      <c r="DV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27.7</v>
      </c>
      <c r="DQ35" t="n">
        <v>18.2</v>
      </c>
      <c r="DR35" t="n">
        <v>73.3</v>
      </c>
      <c r="DS35" t="n">
        <v>356.8</v>
      </c>
      <c r="DT35" t="n">
        <v>706.4</v>
      </c>
      <c r="DU35" t="n">
        <v>237</v>
      </c>
      <c r="DV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R36" t="n">
        <v>1665</v>
      </c>
      <c r="DT36" t="n">
        <v>20404.3</v>
      </c>
      <c r="DU36" t="n">
        <v>20404.3</v>
      </c>
      <c r="DV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36.8</v>
      </c>
      <c r="DQ37" t="n">
        <v>20.2</v>
      </c>
      <c r="DR37" t="n">
        <v>136</v>
      </c>
      <c r="DS37" t="n">
        <v>158.9</v>
      </c>
      <c r="DT37" t="n">
        <v>2089.8</v>
      </c>
      <c r="DU37" t="n">
        <v>147.7</v>
      </c>
      <c r="DV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39</v>
      </c>
      <c r="DQ38" t="n">
        <v>24</v>
      </c>
      <c r="DR38" t="n">
        <v>50.6</v>
      </c>
      <c r="DS38" t="n">
        <v>296</v>
      </c>
      <c r="DT38" t="n">
        <v>507.9</v>
      </c>
      <c r="DU38" t="n">
        <v>187</v>
      </c>
      <c r="DV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522.8</v>
      </c>
      <c r="DQ39" t="n">
        <v>118.8</v>
      </c>
      <c r="DR39" t="n">
        <v>261.4</v>
      </c>
      <c r="DS39" t="n">
        <v>2127.1</v>
      </c>
      <c r="DT39" t="n">
        <v>2077.9</v>
      </c>
      <c r="DU39" t="n">
        <v>1051.1</v>
      </c>
      <c r="DV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43.1</v>
      </c>
      <c r="DQ40" t="n">
        <v>43.1</v>
      </c>
      <c r="DR40" t="n">
        <v>37.6</v>
      </c>
      <c r="DS40" t="n">
        <v>816.8</v>
      </c>
      <c r="DT40" t="n">
        <v>454.3</v>
      </c>
      <c r="DU40" t="n">
        <v>291.9</v>
      </c>
      <c r="DV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88.90000000000001</v>
      </c>
      <c r="DQ41" t="n">
        <v>32</v>
      </c>
      <c r="DR41" t="n">
        <v>88.90000000000001</v>
      </c>
      <c r="DS41" t="n">
        <v>857.6</v>
      </c>
      <c r="DT41" t="n">
        <v>533</v>
      </c>
      <c r="DU41" t="n">
        <v>328.7</v>
      </c>
      <c r="DV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P42" t="n">
        <v>173.8</v>
      </c>
      <c r="DQ42" t="n">
        <v>163.5</v>
      </c>
      <c r="DR42" t="n">
        <v>556</v>
      </c>
      <c r="DS42" t="n">
        <v>1694.4</v>
      </c>
      <c r="DT42" t="n">
        <v>3348.2</v>
      </c>
      <c r="DU42" t="n">
        <v>1125</v>
      </c>
      <c r="DV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R43" t="n">
        <v>630</v>
      </c>
      <c r="DT43" t="n">
        <v>7822.7</v>
      </c>
      <c r="DU43" t="n">
        <v>7822.7</v>
      </c>
      <c r="DV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40.6</v>
      </c>
      <c r="DQ44" t="n">
        <v>19.1</v>
      </c>
      <c r="DR44" t="n">
        <v>84.09999999999999</v>
      </c>
      <c r="DS44" t="n">
        <v>273</v>
      </c>
      <c r="DT44" t="n">
        <v>455</v>
      </c>
      <c r="DU44" t="n">
        <v>170.6</v>
      </c>
      <c r="DV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64.7</v>
      </c>
      <c r="DQ45" t="n">
        <v>58.1</v>
      </c>
      <c r="DR45" t="n">
        <v>105.5</v>
      </c>
      <c r="DS45" t="n">
        <v>780.3</v>
      </c>
      <c r="DT45" t="n">
        <v>976.7</v>
      </c>
      <c r="DU45" t="n">
        <v>433.7</v>
      </c>
      <c r="DV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107.8</v>
      </c>
      <c r="DQ46" t="n">
        <v>137.1</v>
      </c>
      <c r="DR46" t="n">
        <v>81.5</v>
      </c>
      <c r="DS46" t="n">
        <v>1583</v>
      </c>
      <c r="DT46" t="n">
        <v>958.4</v>
      </c>
      <c r="DU46" t="n">
        <v>597</v>
      </c>
      <c r="DV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32.2</v>
      </c>
      <c r="DQ47" t="n">
        <v>12</v>
      </c>
      <c r="DR47" t="n">
        <v>29.5</v>
      </c>
      <c r="DS47" t="n">
        <v>397.2</v>
      </c>
      <c r="DT47" t="n">
        <v>180.3</v>
      </c>
      <c r="DU47" t="n">
        <v>124</v>
      </c>
      <c r="DV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Q48" t="n">
        <v>3420</v>
      </c>
      <c r="DR48" t="n">
        <v>1710</v>
      </c>
      <c r="DT48" t="n">
        <v>15783.2</v>
      </c>
      <c r="DU48" t="n">
        <v>15783.2</v>
      </c>
      <c r="DV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Q49" t="n">
        <v>3060</v>
      </c>
      <c r="DR49" t="n">
        <v>3060</v>
      </c>
      <c r="DT49" t="n">
        <v>47076.9</v>
      </c>
      <c r="DU49" t="n">
        <v>47076.9</v>
      </c>
      <c r="DV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171.2</v>
      </c>
      <c r="DQ50" t="n">
        <v>59.1</v>
      </c>
      <c r="DR50" t="n">
        <v>112.2</v>
      </c>
      <c r="DS50" t="n">
        <v>1820</v>
      </c>
      <c r="DT50" t="n">
        <v>1168.9</v>
      </c>
      <c r="DU50" t="n">
        <v>711.7</v>
      </c>
      <c r="DV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120</v>
      </c>
      <c r="DQ51" t="n">
        <v>120</v>
      </c>
      <c r="DR51" t="n">
        <v>164.2</v>
      </c>
      <c r="DS51" t="n">
        <v>1412.6</v>
      </c>
      <c r="DT51" t="n">
        <v>1847.6</v>
      </c>
      <c r="DU51" t="n">
        <v>800.5</v>
      </c>
      <c r="DV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110.8</v>
      </c>
      <c r="DQ52" t="n">
        <v>58.6</v>
      </c>
      <c r="DR52" t="n">
        <v>157.4</v>
      </c>
      <c r="DS52" t="n">
        <v>1034.2</v>
      </c>
      <c r="DT52" t="n">
        <v>1781.5</v>
      </c>
      <c r="DU52" t="n">
        <v>654.3</v>
      </c>
      <c r="DV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31.4</v>
      </c>
      <c r="DQ53" t="n">
        <v>14.6</v>
      </c>
      <c r="DR53" t="n">
        <v>50.7</v>
      </c>
      <c r="DS53" t="n">
        <v>301.1</v>
      </c>
      <c r="DT53" t="n">
        <v>485.9</v>
      </c>
      <c r="DU53" t="n">
        <v>185.9</v>
      </c>
      <c r="DV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R54" t="n">
        <v>3330</v>
      </c>
      <c r="DT54" t="n">
        <v>53078</v>
      </c>
      <c r="DU54" t="n">
        <v>53078</v>
      </c>
      <c r="DV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99.5</v>
      </c>
      <c r="DQ55" t="n">
        <v>39.8</v>
      </c>
      <c r="DR55" t="n">
        <v>1294</v>
      </c>
      <c r="DS55" t="n">
        <v>881.9</v>
      </c>
      <c r="DT55" t="n">
        <v>8346.700000000001</v>
      </c>
      <c r="DU55" t="n">
        <v>797.6</v>
      </c>
      <c r="DV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37.8</v>
      </c>
      <c r="DQ56" t="n">
        <v>22.1</v>
      </c>
      <c r="DR56" t="n">
        <v>38.5</v>
      </c>
      <c r="DS56" t="n">
        <v>326.8</v>
      </c>
      <c r="DT56" t="n">
        <v>382.4</v>
      </c>
      <c r="DU56" t="n">
        <v>176.2</v>
      </c>
      <c r="DV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R57" t="n">
        <v>3420</v>
      </c>
      <c r="DT57" t="n">
        <v>50123</v>
      </c>
      <c r="DU57" t="n">
        <v>50123</v>
      </c>
      <c r="DV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148.6</v>
      </c>
      <c r="DQ58" t="n">
        <v>37.1</v>
      </c>
      <c r="DR58" t="n">
        <v>270.1</v>
      </c>
      <c r="DS58" t="n">
        <v>1152.2</v>
      </c>
      <c r="DT58" t="n">
        <v>1435.4</v>
      </c>
      <c r="DU58" t="n">
        <v>639.1</v>
      </c>
      <c r="DV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69.59999999999999</v>
      </c>
      <c r="DQ59" t="n">
        <v>47.1</v>
      </c>
      <c r="DR59" t="n">
        <v>89</v>
      </c>
      <c r="DS59" t="n">
        <v>1650.8</v>
      </c>
      <c r="DT59" t="n">
        <v>765.8</v>
      </c>
      <c r="DU59" t="n">
        <v>523.1</v>
      </c>
      <c r="DV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40.3</v>
      </c>
      <c r="DQ60" t="n">
        <v>15.6</v>
      </c>
      <c r="DR60" t="n">
        <v>110.8</v>
      </c>
      <c r="DS60" t="n">
        <v>169.7</v>
      </c>
      <c r="DT60" t="n">
        <v>965.2</v>
      </c>
      <c r="DU60" t="n">
        <v>144.3</v>
      </c>
      <c r="DV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64.7</v>
      </c>
      <c r="DQ61" t="n">
        <v>27.3</v>
      </c>
      <c r="DR61" t="n">
        <v>92.7</v>
      </c>
      <c r="DS61" t="n">
        <v>433.7</v>
      </c>
      <c r="DT61" t="n">
        <v>627.3</v>
      </c>
      <c r="DU61" t="n">
        <v>256.4</v>
      </c>
      <c r="DV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188.3</v>
      </c>
      <c r="DQ62" t="n">
        <v>64.2</v>
      </c>
      <c r="DR62" t="n">
        <v>313.9</v>
      </c>
      <c r="DS62" t="n">
        <v>1344.8</v>
      </c>
      <c r="DT62" t="n">
        <v>2759.4</v>
      </c>
      <c r="DU62" t="n">
        <v>904.1</v>
      </c>
      <c r="DV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49.4</v>
      </c>
      <c r="DQ63" t="n">
        <v>25.2</v>
      </c>
      <c r="DR63" t="n">
        <v>73.40000000000001</v>
      </c>
      <c r="DS63" t="n">
        <v>509.1</v>
      </c>
      <c r="DT63" t="n">
        <v>752.2</v>
      </c>
      <c r="DU63" t="n">
        <v>303.6</v>
      </c>
      <c r="DV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105.8</v>
      </c>
      <c r="DQ64" t="n">
        <v>59.3</v>
      </c>
      <c r="DR64" t="n">
        <v>493.8</v>
      </c>
      <c r="DS64" t="n">
        <v>553.9</v>
      </c>
      <c r="DT64" t="n">
        <v>3316.4</v>
      </c>
      <c r="DU64" t="n">
        <v>474.7</v>
      </c>
      <c r="DV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52.1</v>
      </c>
      <c r="DQ65" t="n">
        <v>25</v>
      </c>
      <c r="DR65" t="n">
        <v>72</v>
      </c>
      <c r="DS65" t="n">
        <v>470.5</v>
      </c>
      <c r="DT65" t="n">
        <v>528.8</v>
      </c>
      <c r="DU65" t="n">
        <v>249</v>
      </c>
      <c r="DV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40.2</v>
      </c>
      <c r="DQ66" t="n">
        <v>19.7</v>
      </c>
      <c r="DR66" t="n">
        <v>112.4</v>
      </c>
      <c r="DS66" t="n">
        <v>179.4</v>
      </c>
      <c r="DT66" t="n">
        <v>1228.1</v>
      </c>
      <c r="DU66" t="n">
        <v>156.5</v>
      </c>
      <c r="DV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46.5</v>
      </c>
      <c r="DQ67" t="n">
        <v>14.7</v>
      </c>
      <c r="DR67" t="n">
        <v>39.6</v>
      </c>
      <c r="DS67" t="n">
        <v>329.6</v>
      </c>
      <c r="DT67" t="n">
        <v>451.1</v>
      </c>
      <c r="DU67" t="n">
        <v>190.4</v>
      </c>
      <c r="DV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57.2</v>
      </c>
      <c r="DQ68" t="n">
        <v>24.6</v>
      </c>
      <c r="DR68" t="n">
        <v>49.6</v>
      </c>
      <c r="DS68" t="n">
        <v>539.9</v>
      </c>
      <c r="DT68" t="n">
        <v>355.9</v>
      </c>
      <c r="DU68" t="n">
        <v>214.5</v>
      </c>
      <c r="DV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27.6</v>
      </c>
      <c r="DQ69" t="n">
        <v>13.2</v>
      </c>
      <c r="DR69" t="n">
        <v>85.59999999999999</v>
      </c>
      <c r="DS69" t="n">
        <v>163.1</v>
      </c>
      <c r="DT69" t="n">
        <v>727.3</v>
      </c>
      <c r="DU69" t="n">
        <v>133.2</v>
      </c>
      <c r="DV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116.5</v>
      </c>
      <c r="DQ70" t="n">
        <v>59.5</v>
      </c>
      <c r="DR70" t="n">
        <v>310.8</v>
      </c>
      <c r="DS70" t="n">
        <v>1767.1</v>
      </c>
      <c r="DT70" t="n">
        <v>3686.4</v>
      </c>
      <c r="DU70" t="n">
        <v>1194.5</v>
      </c>
      <c r="DV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48.1</v>
      </c>
      <c r="DQ71" t="n">
        <v>19.5</v>
      </c>
      <c r="DR71" t="n">
        <v>98</v>
      </c>
      <c r="DS71" t="n">
        <v>229.5</v>
      </c>
      <c r="DT71" t="n">
        <v>829.6</v>
      </c>
      <c r="DU71" t="n">
        <v>179.8</v>
      </c>
      <c r="DV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V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138.1</v>
      </c>
      <c r="DQ73" t="n">
        <v>181.3</v>
      </c>
      <c r="DR73" t="n">
        <v>85.3</v>
      </c>
      <c r="DS73" t="n">
        <v>3192.7</v>
      </c>
      <c r="DT73" t="n">
        <v>780.4</v>
      </c>
      <c r="DU73" t="n">
        <v>627.1</v>
      </c>
      <c r="DV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180.1</v>
      </c>
      <c r="DQ74" t="n">
        <v>82.3</v>
      </c>
      <c r="DR74" t="n">
        <v>411.7</v>
      </c>
      <c r="DS74" t="n">
        <v>1865.8</v>
      </c>
      <c r="DT74" t="n">
        <v>2390.8</v>
      </c>
      <c r="DU74" t="n">
        <v>1048</v>
      </c>
      <c r="DV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T75" t="n">
        <v>342000</v>
      </c>
      <c r="DU75" t="n">
        <v>342000</v>
      </c>
      <c r="DV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R76" t="n">
        <v>1417.5</v>
      </c>
      <c r="DT76" t="n">
        <v>13069.3</v>
      </c>
      <c r="DU76" t="n">
        <v>13069.3</v>
      </c>
      <c r="DV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45.5</v>
      </c>
      <c r="DQ77" t="n">
        <v>9.1</v>
      </c>
      <c r="DR77" t="n">
        <v>30.1</v>
      </c>
      <c r="DS77" t="n">
        <v>516.2</v>
      </c>
      <c r="DT77" t="n">
        <v>264.4</v>
      </c>
      <c r="DU77" t="n">
        <v>174.8</v>
      </c>
      <c r="DV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210.9</v>
      </c>
      <c r="DQ78" t="n">
        <v>96.40000000000001</v>
      </c>
      <c r="DR78" t="n">
        <v>1125</v>
      </c>
      <c r="DS78" t="n">
        <v>5039.5</v>
      </c>
      <c r="DT78" t="n">
        <v>7123.4</v>
      </c>
      <c r="DU78" t="n">
        <v>2951.5</v>
      </c>
      <c r="DV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32</v>
      </c>
      <c r="DQ79" t="n">
        <v>15.6</v>
      </c>
      <c r="DR79" t="n">
        <v>97.7</v>
      </c>
      <c r="DS79" t="n">
        <v>211.2</v>
      </c>
      <c r="DT79" t="n">
        <v>802.8</v>
      </c>
      <c r="DU79" t="n">
        <v>167.2</v>
      </c>
      <c r="DV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111.8</v>
      </c>
      <c r="DQ80" t="n">
        <v>54</v>
      </c>
      <c r="DR80" t="n">
        <v>149</v>
      </c>
      <c r="DS80" t="n">
        <v>1534.5</v>
      </c>
      <c r="DT80" t="n">
        <v>1127</v>
      </c>
      <c r="DU80" t="n">
        <v>649.8</v>
      </c>
      <c r="DV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45.3</v>
      </c>
      <c r="DQ81" t="n">
        <v>21.9</v>
      </c>
      <c r="DR81" t="n">
        <v>114.4</v>
      </c>
      <c r="DS81" t="n">
        <v>193.4</v>
      </c>
      <c r="DT81" t="n">
        <v>1289.4</v>
      </c>
      <c r="DU81" t="n">
        <v>168.2</v>
      </c>
      <c r="DV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58.3</v>
      </c>
      <c r="DQ82" t="n">
        <v>12.9</v>
      </c>
      <c r="DR82" t="n">
        <v>54.3</v>
      </c>
      <c r="DS82" t="n">
        <v>558</v>
      </c>
      <c r="DT82" t="n">
        <v>438.3</v>
      </c>
      <c r="DU82" t="n">
        <v>245.5</v>
      </c>
      <c r="DV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87.3</v>
      </c>
      <c r="DQ83" t="n">
        <v>71.59999999999999</v>
      </c>
      <c r="DR83" t="n">
        <v>52.7</v>
      </c>
      <c r="DS83" t="n">
        <v>2277.3</v>
      </c>
      <c r="DT83" t="n">
        <v>648.2</v>
      </c>
      <c r="DU83" t="n">
        <v>504.6</v>
      </c>
      <c r="DV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100.5</v>
      </c>
      <c r="DQ84" t="n">
        <v>73.59999999999999</v>
      </c>
      <c r="DR84" t="n">
        <v>100.5</v>
      </c>
      <c r="DS84" t="n">
        <v>2558.2</v>
      </c>
      <c r="DT84" t="n">
        <v>980</v>
      </c>
      <c r="DU84" t="n">
        <v>708.6</v>
      </c>
      <c r="DV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82.5</v>
      </c>
      <c r="DQ85" t="n">
        <v>29.8</v>
      </c>
      <c r="DR85" t="n">
        <v>142.9</v>
      </c>
      <c r="DS85" t="n">
        <v>696.6</v>
      </c>
      <c r="DT85" t="n">
        <v>1939.8</v>
      </c>
      <c r="DU85" t="n">
        <v>512.5</v>
      </c>
      <c r="DV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239.8</v>
      </c>
      <c r="DQ86" t="n">
        <v>84.3</v>
      </c>
      <c r="DR86" t="n">
        <v>183.4</v>
      </c>
      <c r="DS86" t="n">
        <v>2094.8</v>
      </c>
      <c r="DT86" t="n">
        <v>3616.3</v>
      </c>
      <c r="DU86" t="n">
        <v>1326.4</v>
      </c>
      <c r="DV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190.1</v>
      </c>
      <c r="DQ87" t="n">
        <v>92.2</v>
      </c>
      <c r="DR87" t="n">
        <v>506.8</v>
      </c>
      <c r="DS87" t="n">
        <v>1153.5</v>
      </c>
      <c r="DT87" t="n">
        <v>4362.1</v>
      </c>
      <c r="DU87" t="n">
        <v>912.3</v>
      </c>
      <c r="DV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89</v>
      </c>
      <c r="DQ88" t="n">
        <v>122.3</v>
      </c>
      <c r="DR88" t="n">
        <v>72.5</v>
      </c>
      <c r="DS88" t="n">
        <v>1725.7</v>
      </c>
      <c r="DT88" t="n">
        <v>544.1</v>
      </c>
      <c r="DU88" t="n">
        <v>413.7</v>
      </c>
      <c r="DV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39.2</v>
      </c>
      <c r="DQ89" t="n">
        <v>19.6</v>
      </c>
      <c r="DR89" t="n">
        <v>88.40000000000001</v>
      </c>
      <c r="DS89" t="n">
        <v>244</v>
      </c>
      <c r="DT89" t="n">
        <v>1205.1</v>
      </c>
      <c r="DU89" t="n">
        <v>202.9</v>
      </c>
      <c r="DV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63.2</v>
      </c>
      <c r="DQ90" t="n">
        <v>26.5</v>
      </c>
      <c r="DR90" t="n">
        <v>103.2</v>
      </c>
      <c r="DS90" t="n">
        <v>629.7</v>
      </c>
      <c r="DT90" t="n">
        <v>750.3</v>
      </c>
      <c r="DU90" t="n">
        <v>342.4</v>
      </c>
      <c r="DV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30.5</v>
      </c>
      <c r="DQ91" t="n">
        <v>21</v>
      </c>
      <c r="DR91" t="n">
        <v>81.40000000000001</v>
      </c>
      <c r="DS91" t="n">
        <v>187.8</v>
      </c>
      <c r="DT91" t="n">
        <v>847.1</v>
      </c>
      <c r="DU91" t="n">
        <v>153.7</v>
      </c>
      <c r="DV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35.1</v>
      </c>
      <c r="DQ92" t="n">
        <v>25.1</v>
      </c>
      <c r="DR92" t="n">
        <v>245.6</v>
      </c>
      <c r="DS92" t="n">
        <v>145.4</v>
      </c>
      <c r="DT92" t="n">
        <v>1720.1</v>
      </c>
      <c r="DU92" t="n">
        <v>134.1</v>
      </c>
      <c r="DV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32.8</v>
      </c>
      <c r="DQ93" t="n">
        <v>18.5</v>
      </c>
      <c r="DR93" t="n">
        <v>152.9</v>
      </c>
      <c r="DS93" t="n">
        <v>335.3</v>
      </c>
      <c r="DT93" t="n">
        <v>1295.4</v>
      </c>
      <c r="DU93" t="n">
        <v>266.3</v>
      </c>
      <c r="DV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32</v>
      </c>
      <c r="DQ94" t="n">
        <v>19.8</v>
      </c>
      <c r="DR94" t="n">
        <v>75.59999999999999</v>
      </c>
      <c r="DS94" t="n">
        <v>193.8</v>
      </c>
      <c r="DT94" t="n">
        <v>1000.1</v>
      </c>
      <c r="DU94" t="n">
        <v>162.4</v>
      </c>
      <c r="DV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120</v>
      </c>
      <c r="DQ95" t="n">
        <v>50.2</v>
      </c>
      <c r="DR95" t="n">
        <v>394.4</v>
      </c>
      <c r="DS95" t="n">
        <v>825.1</v>
      </c>
      <c r="DT95" t="n">
        <v>1514.1</v>
      </c>
      <c r="DU95" t="n">
        <v>534</v>
      </c>
      <c r="DV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362</v>
      </c>
      <c r="DQ96" t="n">
        <v>93.09999999999999</v>
      </c>
      <c r="DR96" t="n">
        <v>95.8</v>
      </c>
      <c r="DS96" t="n">
        <v>2660.6</v>
      </c>
      <c r="DT96" t="n">
        <v>1072.6</v>
      </c>
      <c r="DU96" t="n">
        <v>764.4</v>
      </c>
      <c r="DV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322</v>
      </c>
      <c r="DQ97" t="n">
        <v>111</v>
      </c>
      <c r="DR97" t="n">
        <v>201.2</v>
      </c>
      <c r="DS97" t="n">
        <v>4883</v>
      </c>
      <c r="DT97" t="n">
        <v>1854</v>
      </c>
      <c r="DU97" t="n">
        <v>1343.8</v>
      </c>
      <c r="DV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213.9</v>
      </c>
      <c r="DQ98" t="n">
        <v>267.4</v>
      </c>
      <c r="DR98" t="n">
        <v>305.6</v>
      </c>
      <c r="DS98" t="n">
        <v>4248</v>
      </c>
      <c r="DT98" t="n">
        <v>3988.6</v>
      </c>
      <c r="DU98" t="n">
        <v>2057.1</v>
      </c>
      <c r="DV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R99" t="n">
        <v>608</v>
      </c>
      <c r="DT99" t="n">
        <v>6574</v>
      </c>
      <c r="DU99" t="n">
        <v>6574</v>
      </c>
      <c r="DV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70.59999999999999</v>
      </c>
      <c r="DQ100" t="n">
        <v>25.6</v>
      </c>
      <c r="DR100" t="n">
        <v>48.7</v>
      </c>
      <c r="DS100" t="n">
        <v>732.8</v>
      </c>
      <c r="DT100" t="n">
        <v>343.9</v>
      </c>
      <c r="DU100" t="n">
        <v>234.1</v>
      </c>
      <c r="DV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29.9</v>
      </c>
      <c r="DQ101" t="n">
        <v>29</v>
      </c>
      <c r="DR101" t="n">
        <v>117.8</v>
      </c>
      <c r="DS101" t="n">
        <v>377.5</v>
      </c>
      <c r="DT101" t="n">
        <v>712.2</v>
      </c>
      <c r="DU101" t="n">
        <v>246.7</v>
      </c>
      <c r="DV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79.8</v>
      </c>
      <c r="DQ102" t="n">
        <v>88</v>
      </c>
      <c r="DR102" t="n">
        <v>58</v>
      </c>
      <c r="DS102" t="n">
        <v>1910.1</v>
      </c>
      <c r="DT102" t="n">
        <v>362.1</v>
      </c>
      <c r="DU102" t="n">
        <v>304.4</v>
      </c>
      <c r="DV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26.7</v>
      </c>
      <c r="DQ103" t="n">
        <v>17.2</v>
      </c>
      <c r="DR103" t="n">
        <v>181.1</v>
      </c>
      <c r="DS103" t="n">
        <v>150.1</v>
      </c>
      <c r="DT103" t="n">
        <v>3714.1</v>
      </c>
      <c r="DU103" t="n">
        <v>144.3</v>
      </c>
      <c r="DV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108.7</v>
      </c>
      <c r="DQ104" t="n">
        <v>55.5</v>
      </c>
      <c r="DR104" t="n">
        <v>90</v>
      </c>
      <c r="DS104" t="n">
        <v>1265.1</v>
      </c>
      <c r="DT104" t="n">
        <v>858.8</v>
      </c>
      <c r="DU104" t="n">
        <v>511.5</v>
      </c>
      <c r="DV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89.2</v>
      </c>
      <c r="DQ105" t="n">
        <v>64.5</v>
      </c>
      <c r="DR105" t="n">
        <v>104.6</v>
      </c>
      <c r="DS105" t="n">
        <v>1218.2</v>
      </c>
      <c r="DT105" t="n">
        <v>1466.8</v>
      </c>
      <c r="DU105" t="n">
        <v>665.5</v>
      </c>
      <c r="DV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175.2</v>
      </c>
      <c r="DQ106" t="n">
        <v>95.5</v>
      </c>
      <c r="DR106" t="n">
        <v>161.7</v>
      </c>
      <c r="DS106" t="n">
        <v>2284.5</v>
      </c>
      <c r="DT106" t="n">
        <v>1623.7</v>
      </c>
      <c r="DU106" t="n">
        <v>949.1</v>
      </c>
      <c r="DV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103.6</v>
      </c>
      <c r="DQ107" t="n">
        <v>174.8</v>
      </c>
      <c r="DR107" t="n">
        <v>155.3</v>
      </c>
      <c r="DS107" t="n">
        <v>1875.9</v>
      </c>
      <c r="DT107" t="n">
        <v>1116.9</v>
      </c>
      <c r="DU107" t="n">
        <v>700.1</v>
      </c>
      <c r="DV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Q108" t="n">
        <v>2880</v>
      </c>
      <c r="DV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164</v>
      </c>
      <c r="DQ109" t="n">
        <v>64.2</v>
      </c>
      <c r="DR109" t="n">
        <v>328</v>
      </c>
      <c r="DS109" t="n">
        <v>1818.8</v>
      </c>
      <c r="DT109" t="n">
        <v>5779.9</v>
      </c>
      <c r="DU109" t="n">
        <v>1383.5</v>
      </c>
      <c r="DV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44.4</v>
      </c>
      <c r="DQ110" t="n">
        <v>20.2</v>
      </c>
      <c r="DR110" t="n">
        <v>77.59999999999999</v>
      </c>
      <c r="DS110" t="n">
        <v>269</v>
      </c>
      <c r="DT110" t="n">
        <v>867.8</v>
      </c>
      <c r="DU110" t="n">
        <v>205.3</v>
      </c>
      <c r="DV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53</v>
      </c>
      <c r="DQ111" t="n">
        <v>30.3</v>
      </c>
      <c r="DR111" t="n">
        <v>188.6</v>
      </c>
      <c r="DS111" t="n">
        <v>497</v>
      </c>
      <c r="DT111" t="n">
        <v>2409.8</v>
      </c>
      <c r="DU111" t="n">
        <v>412</v>
      </c>
      <c r="DV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94.7</v>
      </c>
      <c r="DQ112" t="n">
        <v>50.6</v>
      </c>
      <c r="DR112" t="n">
        <v>244.6</v>
      </c>
      <c r="DS112" t="n">
        <v>973.9</v>
      </c>
      <c r="DT112" t="n">
        <v>3166.6</v>
      </c>
      <c r="DU112" t="n">
        <v>744.8</v>
      </c>
      <c r="DV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51</v>
      </c>
      <c r="DQ113" t="n">
        <v>40.8</v>
      </c>
      <c r="DR113" t="n">
        <v>75.8</v>
      </c>
      <c r="DS113" t="n">
        <v>666.7</v>
      </c>
      <c r="DT113" t="n">
        <v>1169.3</v>
      </c>
      <c r="DU113" t="n">
        <v>424.6</v>
      </c>
      <c r="DV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59.2</v>
      </c>
      <c r="DQ114" t="n">
        <v>22</v>
      </c>
      <c r="DR114" t="n">
        <v>86.2</v>
      </c>
      <c r="DS114" t="n">
        <v>255.3</v>
      </c>
      <c r="DT114" t="n">
        <v>855.7</v>
      </c>
      <c r="DU114" t="n">
        <v>196.6</v>
      </c>
      <c r="DV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148.9</v>
      </c>
      <c r="DQ115" t="n">
        <v>78.59999999999999</v>
      </c>
      <c r="DR115" t="n">
        <v>176.8</v>
      </c>
      <c r="DS115" t="n">
        <v>2230.8</v>
      </c>
      <c r="DT115" t="n">
        <v>1602</v>
      </c>
      <c r="DU115" t="n">
        <v>932.4</v>
      </c>
      <c r="DV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33.6</v>
      </c>
      <c r="DQ116" t="n">
        <v>13.8</v>
      </c>
      <c r="DR116" t="n">
        <v>84.8</v>
      </c>
      <c r="DS116" t="n">
        <v>262</v>
      </c>
      <c r="DT116" t="n">
        <v>669.7</v>
      </c>
      <c r="DU116" t="n">
        <v>188.3</v>
      </c>
      <c r="DV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R117" t="n">
        <v>2667</v>
      </c>
      <c r="DT117" t="n">
        <v>88900</v>
      </c>
      <c r="DU117" t="n">
        <v>88900</v>
      </c>
      <c r="DV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36.1</v>
      </c>
      <c r="DQ118" t="n">
        <v>16.3</v>
      </c>
      <c r="DR118" t="n">
        <v>129.2</v>
      </c>
      <c r="DS118" t="n">
        <v>156.3</v>
      </c>
      <c r="DT118" t="n">
        <v>2513.4</v>
      </c>
      <c r="DU118" t="n">
        <v>147.1</v>
      </c>
      <c r="DV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165.8</v>
      </c>
      <c r="DQ119" t="n">
        <v>147.3</v>
      </c>
      <c r="DR119" t="n">
        <v>189.4</v>
      </c>
      <c r="DS119" t="n">
        <v>2043.7</v>
      </c>
      <c r="DT119" t="n">
        <v>2003.5</v>
      </c>
      <c r="DU119" t="n">
        <v>1011.7</v>
      </c>
      <c r="DV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62.1</v>
      </c>
      <c r="DQ120" t="n">
        <v>39</v>
      </c>
      <c r="DR120" t="n">
        <v>55</v>
      </c>
      <c r="DS120" t="n">
        <v>1122.1</v>
      </c>
      <c r="DT120" t="n">
        <v>581</v>
      </c>
      <c r="DU120" t="n">
        <v>382.8</v>
      </c>
      <c r="DV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194.8</v>
      </c>
      <c r="DQ121" t="n">
        <v>133.3</v>
      </c>
      <c r="DR121" t="n">
        <v>253.2</v>
      </c>
      <c r="DS121" t="n">
        <v>1745.6</v>
      </c>
      <c r="DT121" t="n">
        <v>6484.4</v>
      </c>
      <c r="DU121" t="n">
        <v>1375.4</v>
      </c>
      <c r="DV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76.3</v>
      </c>
      <c r="DQ122" t="n">
        <v>38.8</v>
      </c>
      <c r="DR122" t="n">
        <v>52.1</v>
      </c>
      <c r="DS122" t="n">
        <v>712.1</v>
      </c>
      <c r="DT122" t="n">
        <v>476.1</v>
      </c>
      <c r="DU122" t="n">
        <v>285.3</v>
      </c>
      <c r="DV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35.8</v>
      </c>
      <c r="DQ123" t="n">
        <v>24</v>
      </c>
      <c r="DR123" t="n">
        <v>58.4</v>
      </c>
      <c r="DS123" t="n">
        <v>489.4</v>
      </c>
      <c r="DT123" t="n">
        <v>598.7</v>
      </c>
      <c r="DU123" t="n">
        <v>269.3</v>
      </c>
      <c r="DV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275.9</v>
      </c>
      <c r="DQ124" t="n">
        <v>116.7</v>
      </c>
      <c r="DR124" t="n">
        <v>607</v>
      </c>
      <c r="DS124" t="n">
        <v>2589.5</v>
      </c>
      <c r="DT124" t="n">
        <v>5094.5</v>
      </c>
      <c r="DU124" t="n">
        <v>1716.9</v>
      </c>
      <c r="DV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118.2</v>
      </c>
      <c r="DQ125" t="n">
        <v>66</v>
      </c>
      <c r="DR125" t="n">
        <v>405.3</v>
      </c>
      <c r="DS125" t="n">
        <v>1791.7</v>
      </c>
      <c r="DT125" t="n">
        <v>5132.9</v>
      </c>
      <c r="DU125" t="n">
        <v>1328.1</v>
      </c>
      <c r="DV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125.9</v>
      </c>
      <c r="DQ126" t="n">
        <v>39.3</v>
      </c>
      <c r="DR126" t="n">
        <v>269.7</v>
      </c>
      <c r="DS126" t="n">
        <v>2333</v>
      </c>
      <c r="DT126" t="n">
        <v>1756.9</v>
      </c>
      <c r="DU126" t="n">
        <v>1002.2</v>
      </c>
      <c r="DV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46.9</v>
      </c>
      <c r="DQ127" t="n">
        <v>50.6</v>
      </c>
      <c r="DR127" t="n">
        <v>128.1</v>
      </c>
      <c r="DS127" t="n">
        <v>797.4</v>
      </c>
      <c r="DT127" t="n">
        <v>1506.2</v>
      </c>
      <c r="DU127" t="n">
        <v>521.4</v>
      </c>
      <c r="DV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77.2</v>
      </c>
      <c r="DQ128" t="n">
        <v>56</v>
      </c>
      <c r="DR128" t="n">
        <v>67.8</v>
      </c>
      <c r="DS128" t="n">
        <v>1179</v>
      </c>
      <c r="DT128" t="n">
        <v>393</v>
      </c>
      <c r="DU128" t="n">
        <v>294.8</v>
      </c>
      <c r="DV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50.4</v>
      </c>
      <c r="DQ129" t="n">
        <v>26.5</v>
      </c>
      <c r="DR129" t="n">
        <v>100.8</v>
      </c>
      <c r="DS129" t="n">
        <v>334.5</v>
      </c>
      <c r="DT129" t="n">
        <v>1110.6</v>
      </c>
      <c r="DU129" t="n">
        <v>257.1</v>
      </c>
      <c r="DV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P130" t="n">
        <v>131.6</v>
      </c>
      <c r="DQ130" t="n">
        <v>68.2</v>
      </c>
      <c r="DR130" t="n">
        <v>70.8</v>
      </c>
      <c r="DS130" t="n">
        <v>2682.5</v>
      </c>
      <c r="DT130" t="n">
        <v>581.8</v>
      </c>
      <c r="DU130" t="n">
        <v>478.1</v>
      </c>
      <c r="DV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T131" t="n">
        <v>157500</v>
      </c>
      <c r="DU131" t="n">
        <v>157500</v>
      </c>
      <c r="DV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187.9</v>
      </c>
      <c r="DQ132" t="n">
        <v>47</v>
      </c>
      <c r="DR132" t="n">
        <v>83.5</v>
      </c>
      <c r="DS132" t="n">
        <v>1287.9</v>
      </c>
      <c r="DT132" t="n">
        <v>665.6</v>
      </c>
      <c r="DU132" t="n">
        <v>438.8</v>
      </c>
      <c r="DV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155.3</v>
      </c>
      <c r="DQ133" t="n">
        <v>39.9</v>
      </c>
      <c r="DR133" t="n">
        <v>133.1</v>
      </c>
      <c r="DS133" t="n">
        <v>1407.3</v>
      </c>
      <c r="DT133" t="n">
        <v>842.5</v>
      </c>
      <c r="DU133" t="n">
        <v>527</v>
      </c>
      <c r="DV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2416</v>
      </c>
      <c r="DQ134" t="n">
        <v>1208</v>
      </c>
      <c r="DS134" t="n">
        <v>16577.1</v>
      </c>
      <c r="DU134" t="n">
        <v>16577.1</v>
      </c>
      <c r="DV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328.8</v>
      </c>
      <c r="DQ135" t="n">
        <v>128.7</v>
      </c>
      <c r="DR135" t="n">
        <v>134.5</v>
      </c>
      <c r="DS135" t="n">
        <v>10616</v>
      </c>
      <c r="DT135" t="n">
        <v>1643.1</v>
      </c>
      <c r="DU135" t="n">
        <v>1422.8</v>
      </c>
      <c r="DV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55.4</v>
      </c>
      <c r="DQ136" t="n">
        <v>20.6</v>
      </c>
      <c r="DR136" t="n">
        <v>53.3</v>
      </c>
      <c r="DS136" t="n">
        <v>535.6</v>
      </c>
      <c r="DT136" t="n">
        <v>581.7</v>
      </c>
      <c r="DU136" t="n">
        <v>278.8</v>
      </c>
      <c r="DV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113.5</v>
      </c>
      <c r="DQ137" t="n">
        <v>26.3</v>
      </c>
      <c r="DR137" t="n">
        <v>129.7</v>
      </c>
      <c r="DS137" t="n">
        <v>995.5</v>
      </c>
      <c r="DT137" t="n">
        <v>901.6</v>
      </c>
      <c r="DU137" t="n">
        <v>473.1</v>
      </c>
      <c r="DV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49.9</v>
      </c>
      <c r="DQ138" t="n">
        <v>20.2</v>
      </c>
      <c r="DR138" t="n">
        <v>158.2</v>
      </c>
      <c r="DS138" t="n">
        <v>219.2</v>
      </c>
      <c r="DT138" t="n">
        <v>2628.9</v>
      </c>
      <c r="DU138" t="n">
        <v>202.3</v>
      </c>
      <c r="DV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105.6</v>
      </c>
      <c r="DQ139" t="n">
        <v>36.6</v>
      </c>
      <c r="DR139" t="n">
        <v>95</v>
      </c>
      <c r="DS139" t="n">
        <v>988.2</v>
      </c>
      <c r="DT139" t="n">
        <v>804</v>
      </c>
      <c r="DU139" t="n">
        <v>443.3</v>
      </c>
      <c r="DV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78.90000000000001</v>
      </c>
      <c r="DQ140" t="n">
        <v>47.3</v>
      </c>
      <c r="DR140" t="n">
        <v>157.8</v>
      </c>
      <c r="DS140" t="n">
        <v>861.9</v>
      </c>
      <c r="DT140" t="n">
        <v>1014.3</v>
      </c>
      <c r="DU140" t="n">
        <v>465.9</v>
      </c>
      <c r="DV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219.5</v>
      </c>
      <c r="DQ141" t="n">
        <v>48.8</v>
      </c>
      <c r="DR141" t="n">
        <v>313.6</v>
      </c>
      <c r="DS141" t="n">
        <v>2193.4</v>
      </c>
      <c r="DT141" t="n">
        <v>5711.9</v>
      </c>
      <c r="DU141" t="n">
        <v>1584.8</v>
      </c>
      <c r="DV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33.1</v>
      </c>
      <c r="DQ142" t="n">
        <v>22.5</v>
      </c>
      <c r="DR142" t="n">
        <v>95.5</v>
      </c>
      <c r="DS142" t="n">
        <v>342.7</v>
      </c>
      <c r="DT142" t="n">
        <v>598.5</v>
      </c>
      <c r="DU142" t="n">
        <v>217.9</v>
      </c>
      <c r="DV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53.3</v>
      </c>
      <c r="DQ143" t="n">
        <v>20.6</v>
      </c>
      <c r="DR143" t="n">
        <v>128</v>
      </c>
      <c r="DS143" t="n">
        <v>292.4</v>
      </c>
      <c r="DT143" t="n">
        <v>1762.7</v>
      </c>
      <c r="DU143" t="n">
        <v>250.8</v>
      </c>
      <c r="DV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46.9</v>
      </c>
      <c r="DQ144" t="n">
        <v>27.1</v>
      </c>
      <c r="DR144" t="n">
        <v>115.7</v>
      </c>
      <c r="DS144" t="n">
        <v>357.9</v>
      </c>
      <c r="DT144" t="n">
        <v>739.2</v>
      </c>
      <c r="DU144" t="n">
        <v>241.1</v>
      </c>
      <c r="DV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109.9</v>
      </c>
      <c r="DQ145" t="n">
        <v>43.5</v>
      </c>
      <c r="DR145" t="n">
        <v>169.9</v>
      </c>
      <c r="DS145" t="n">
        <v>1157.9</v>
      </c>
      <c r="DT145" t="n">
        <v>1218.8</v>
      </c>
      <c r="DU145" t="n">
        <v>593.8</v>
      </c>
      <c r="DV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193.6</v>
      </c>
      <c r="DQ146" t="n">
        <v>107.6</v>
      </c>
      <c r="DR146" t="n">
        <v>138.3</v>
      </c>
      <c r="DS146" t="n">
        <v>2012.2</v>
      </c>
      <c r="DT146" t="n">
        <v>1666.5</v>
      </c>
      <c r="DU146" t="n">
        <v>911.6</v>
      </c>
      <c r="DV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44.1</v>
      </c>
      <c r="DQ147" t="n">
        <v>16.8</v>
      </c>
      <c r="DR147" t="n">
        <v>57</v>
      </c>
      <c r="DS147" t="n">
        <v>418.1</v>
      </c>
      <c r="DT147" t="n">
        <v>450.4</v>
      </c>
      <c r="DU147" t="n">
        <v>216.8</v>
      </c>
      <c r="DV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T148" t="n">
        <v>156000</v>
      </c>
      <c r="DU148" t="n">
        <v>156000</v>
      </c>
      <c r="DV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R149" t="n">
        <v>2790</v>
      </c>
      <c r="DT149" t="n">
        <v>49881.5</v>
      </c>
      <c r="DU149" t="n">
        <v>49881.5</v>
      </c>
      <c r="DV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117.8</v>
      </c>
      <c r="DQ150" t="n">
        <v>61.1</v>
      </c>
      <c r="DR150" t="n">
        <v>412.2</v>
      </c>
      <c r="DS150" t="n">
        <v>1436</v>
      </c>
      <c r="DT150" t="n">
        <v>2692</v>
      </c>
      <c r="DU150" t="n">
        <v>936.5</v>
      </c>
      <c r="DV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122.3</v>
      </c>
      <c r="DQ151" t="n">
        <v>43.7</v>
      </c>
      <c r="DR151" t="n">
        <v>229.2</v>
      </c>
      <c r="DS151" t="n">
        <v>1117.9</v>
      </c>
      <c r="DT151" t="n">
        <v>1565.4</v>
      </c>
      <c r="DU151" t="n">
        <v>652.2</v>
      </c>
      <c r="DV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129.6</v>
      </c>
      <c r="DQ152" t="n">
        <v>115.2</v>
      </c>
      <c r="DR152" t="n">
        <v>172.8</v>
      </c>
      <c r="DS152" t="n">
        <v>1518.5</v>
      </c>
      <c r="DT152" t="n">
        <v>1276</v>
      </c>
      <c r="DU152" t="n">
        <v>693.4</v>
      </c>
      <c r="DV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61.3</v>
      </c>
      <c r="DQ153" t="n">
        <v>27.8</v>
      </c>
      <c r="DR153" t="n">
        <v>41.8</v>
      </c>
      <c r="DS153" t="n">
        <v>642.5</v>
      </c>
      <c r="DT153" t="n">
        <v>528.6</v>
      </c>
      <c r="DU153" t="n">
        <v>290</v>
      </c>
      <c r="DV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42.3</v>
      </c>
      <c r="DQ154" t="n">
        <v>17.8</v>
      </c>
      <c r="DR154" t="n">
        <v>71</v>
      </c>
      <c r="DS154" t="n">
        <v>608.9</v>
      </c>
      <c r="DT154" t="n">
        <v>473.7</v>
      </c>
      <c r="DU154" t="n">
        <v>266.4</v>
      </c>
      <c r="DV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595.7</v>
      </c>
      <c r="DQ155" t="n">
        <v>68.7</v>
      </c>
      <c r="DR155" t="n">
        <v>137.5</v>
      </c>
      <c r="DS155" t="n">
        <v>4625.7</v>
      </c>
      <c r="DT155" t="n">
        <v>941.2</v>
      </c>
      <c r="DU155" t="n">
        <v>782</v>
      </c>
      <c r="DV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144.6</v>
      </c>
      <c r="DQ156" t="n">
        <v>64.8</v>
      </c>
      <c r="DR156" t="n">
        <v>188</v>
      </c>
      <c r="DS156" t="n">
        <v>2215.4</v>
      </c>
      <c r="DT156" t="n">
        <v>2189.4</v>
      </c>
      <c r="DU156" t="n">
        <v>1101.2</v>
      </c>
      <c r="DV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250.1</v>
      </c>
      <c r="DQ157" t="n">
        <v>52.3</v>
      </c>
      <c r="DR157" t="n">
        <v>86.59999999999999</v>
      </c>
      <c r="DS157" t="n">
        <v>1555.9</v>
      </c>
      <c r="DT157" t="n">
        <v>1763.1</v>
      </c>
      <c r="DU157" t="n">
        <v>826.5</v>
      </c>
      <c r="DV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108</v>
      </c>
      <c r="DQ158" t="n">
        <v>48.4</v>
      </c>
      <c r="DR158" t="n">
        <v>43.9</v>
      </c>
      <c r="DS158" t="n">
        <v>825.4</v>
      </c>
      <c r="DT158" t="n">
        <v>320.3</v>
      </c>
      <c r="DU158" t="n">
        <v>230.8</v>
      </c>
      <c r="DV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161.5</v>
      </c>
      <c r="DQ159" t="n">
        <v>262.5</v>
      </c>
      <c r="DR159" t="n">
        <v>161.5</v>
      </c>
      <c r="DS159" t="n">
        <v>2502.7</v>
      </c>
      <c r="DT159" t="n">
        <v>3971.5</v>
      </c>
      <c r="DU159" t="n">
        <v>1535.2</v>
      </c>
      <c r="DV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193.6</v>
      </c>
      <c r="DQ160" t="n">
        <v>213</v>
      </c>
      <c r="DR160" t="n">
        <v>266.2</v>
      </c>
      <c r="DS160" t="n">
        <v>3213.4</v>
      </c>
      <c r="DT160" t="n">
        <v>5536.8</v>
      </c>
      <c r="DU160" t="n">
        <v>2033.3</v>
      </c>
      <c r="DV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62.1</v>
      </c>
      <c r="DQ161" t="n">
        <v>32.4</v>
      </c>
      <c r="DR161" t="n">
        <v>129.4</v>
      </c>
      <c r="DS161" t="n">
        <v>697.4</v>
      </c>
      <c r="DT161" t="n">
        <v>1744.6</v>
      </c>
      <c r="DU161" t="n">
        <v>498.2</v>
      </c>
      <c r="DV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67</v>
      </c>
      <c r="DQ162" t="n">
        <v>20</v>
      </c>
      <c r="DR162" t="n">
        <v>50.8</v>
      </c>
      <c r="DS162" t="n">
        <v>800.4</v>
      </c>
      <c r="DT162" t="n">
        <v>380.8</v>
      </c>
      <c r="DU162" t="n">
        <v>258.1</v>
      </c>
      <c r="DV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38.2</v>
      </c>
      <c r="DQ163" t="n">
        <v>28.2</v>
      </c>
      <c r="DR163" t="n">
        <v>69.8</v>
      </c>
      <c r="DS163" t="n">
        <v>518.9</v>
      </c>
      <c r="DT163" t="n">
        <v>431.4</v>
      </c>
      <c r="DU163" t="n">
        <v>235.6</v>
      </c>
      <c r="DV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111.9</v>
      </c>
      <c r="DQ164" t="n">
        <v>74.59999999999999</v>
      </c>
      <c r="DR164" t="n">
        <v>162.8</v>
      </c>
      <c r="DS164" t="n">
        <v>2172.5</v>
      </c>
      <c r="DT164" t="n">
        <v>1486.9</v>
      </c>
      <c r="DU164" t="n">
        <v>882.7</v>
      </c>
      <c r="DV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68.5</v>
      </c>
      <c r="DQ165" t="n">
        <v>101.4</v>
      </c>
      <c r="DR165" t="n">
        <v>79.2</v>
      </c>
      <c r="DS165" t="n">
        <v>1600.3</v>
      </c>
      <c r="DT165" t="n">
        <v>764.3</v>
      </c>
      <c r="DU165" t="n">
        <v>517.3</v>
      </c>
      <c r="DV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83.59999999999999</v>
      </c>
      <c r="DQ166" t="n">
        <v>37.7</v>
      </c>
      <c r="DR166" t="n">
        <v>91.59999999999999</v>
      </c>
      <c r="DS166" t="n">
        <v>833.1</v>
      </c>
      <c r="DT166" t="n">
        <v>686.3</v>
      </c>
      <c r="DU166" t="n">
        <v>376.3</v>
      </c>
      <c r="DV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160.6</v>
      </c>
      <c r="DQ167" t="n">
        <v>80.3</v>
      </c>
      <c r="DR167" t="n">
        <v>152.2</v>
      </c>
      <c r="DS167" t="n">
        <v>1896.5</v>
      </c>
      <c r="DT167" t="n">
        <v>2419.7</v>
      </c>
      <c r="DU167" t="n">
        <v>1063.2</v>
      </c>
      <c r="DV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41.6</v>
      </c>
      <c r="DQ168" t="n">
        <v>34.3</v>
      </c>
      <c r="DR168" t="n">
        <v>51.4</v>
      </c>
      <c r="DS168" t="n">
        <v>604.9</v>
      </c>
      <c r="DT168" t="n">
        <v>411</v>
      </c>
      <c r="DU168" t="n">
        <v>244.7</v>
      </c>
      <c r="DV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53</v>
      </c>
      <c r="DQ169" t="n">
        <v>25.1</v>
      </c>
      <c r="DR169" t="n">
        <v>106.1</v>
      </c>
      <c r="DS169" t="n">
        <v>425.6</v>
      </c>
      <c r="DT169" t="n">
        <v>1504.6</v>
      </c>
      <c r="DU169" t="n">
        <v>331.7</v>
      </c>
      <c r="DV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32.5</v>
      </c>
      <c r="DQ170" t="n">
        <v>14.5</v>
      </c>
      <c r="DR170" t="n">
        <v>154.2</v>
      </c>
      <c r="DS170" t="n">
        <v>162.3</v>
      </c>
      <c r="DT170" t="n">
        <v>1575.2</v>
      </c>
      <c r="DU170" t="n">
        <v>147.2</v>
      </c>
      <c r="DV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87</v>
      </c>
      <c r="DQ171" t="n">
        <v>43.5</v>
      </c>
      <c r="DR171" t="n">
        <v>87</v>
      </c>
      <c r="DS171" t="n">
        <v>1893.7</v>
      </c>
      <c r="DT171" t="n">
        <v>819</v>
      </c>
      <c r="DU171" t="n">
        <v>571.7</v>
      </c>
      <c r="DV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62.6</v>
      </c>
      <c r="DQ172" t="n">
        <v>15.5</v>
      </c>
      <c r="DR172" t="n">
        <v>42.8</v>
      </c>
      <c r="DS172" t="n">
        <v>633.7</v>
      </c>
      <c r="DT172" t="n">
        <v>410.4</v>
      </c>
      <c r="DU172" t="n">
        <v>249.1</v>
      </c>
      <c r="DV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80.59999999999999</v>
      </c>
      <c r="DQ173" t="n">
        <v>42.8</v>
      </c>
      <c r="DR173" t="n">
        <v>342.5</v>
      </c>
      <c r="DS173" t="n">
        <v>666.4</v>
      </c>
      <c r="DT173" t="n">
        <v>2408.6</v>
      </c>
      <c r="DU173" t="n">
        <v>522</v>
      </c>
      <c r="DV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90.90000000000001</v>
      </c>
      <c r="DQ174" t="n">
        <v>35.6</v>
      </c>
      <c r="DR174" t="n">
        <v>41.9</v>
      </c>
      <c r="DS174" t="n">
        <v>1238</v>
      </c>
      <c r="DT174" t="n">
        <v>451.7</v>
      </c>
      <c r="DU174" t="n">
        <v>330.9</v>
      </c>
      <c r="DV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38.1</v>
      </c>
      <c r="DQ175" t="n">
        <v>19.6</v>
      </c>
      <c r="DR175" t="n">
        <v>44.5</v>
      </c>
      <c r="DS175" t="n">
        <v>503.7</v>
      </c>
      <c r="DT175" t="n">
        <v>456.5</v>
      </c>
      <c r="DU175" t="n">
        <v>239.5</v>
      </c>
      <c r="DV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157.6</v>
      </c>
      <c r="DQ176" t="n">
        <v>53.9</v>
      </c>
      <c r="DR176" t="n">
        <v>204.9</v>
      </c>
      <c r="DS176" t="n">
        <v>2013.6</v>
      </c>
      <c r="DT176" t="n">
        <v>1128.8</v>
      </c>
      <c r="DU176" t="n">
        <v>723.3</v>
      </c>
      <c r="DV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176.9</v>
      </c>
      <c r="DQ177" t="n">
        <v>176.9</v>
      </c>
      <c r="DR177" t="n">
        <v>252.7</v>
      </c>
      <c r="DS177" t="n">
        <v>2269.4</v>
      </c>
      <c r="DT177" t="n">
        <v>1901.9</v>
      </c>
      <c r="DU177" t="n">
        <v>1034.7</v>
      </c>
      <c r="DV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46.1</v>
      </c>
      <c r="DQ178" t="n">
        <v>24.7</v>
      </c>
      <c r="DR178" t="n">
        <v>43.2</v>
      </c>
      <c r="DS178" t="n">
        <v>465.9</v>
      </c>
      <c r="DT178" t="n">
        <v>283.7</v>
      </c>
      <c r="DU178" t="n">
        <v>176.3</v>
      </c>
      <c r="DV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318.5</v>
      </c>
      <c r="DQ179" t="n">
        <v>147</v>
      </c>
      <c r="DR179" t="n">
        <v>100.6</v>
      </c>
      <c r="DS179" t="n">
        <v>4336.4</v>
      </c>
      <c r="DT179" t="n">
        <v>678.8</v>
      </c>
      <c r="DU179" t="n">
        <v>586.9</v>
      </c>
      <c r="DV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92.40000000000001</v>
      </c>
      <c r="DQ180" t="n">
        <v>70.2</v>
      </c>
      <c r="DR180" t="n">
        <v>250.7</v>
      </c>
      <c r="DS180" t="n">
        <v>788.3</v>
      </c>
      <c r="DT180" t="n">
        <v>2939.9</v>
      </c>
      <c r="DU180" t="n">
        <v>621.6</v>
      </c>
      <c r="DV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35</v>
      </c>
      <c r="DQ181" t="n">
        <v>20.6</v>
      </c>
      <c r="DR181" t="n">
        <v>134.2</v>
      </c>
      <c r="DS181" t="n">
        <v>175.1</v>
      </c>
      <c r="DT181" t="n">
        <v>1509.4</v>
      </c>
      <c r="DU181" t="n">
        <v>156.9</v>
      </c>
      <c r="DV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180.5</v>
      </c>
      <c r="DQ182" t="n">
        <v>38.4</v>
      </c>
      <c r="DR182" t="n">
        <v>451.2</v>
      </c>
      <c r="DS182" t="n">
        <v>2070.1</v>
      </c>
      <c r="DT182" t="n">
        <v>2208.9</v>
      </c>
      <c r="DU182" t="n">
        <v>1068.6</v>
      </c>
      <c r="DV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52.3</v>
      </c>
      <c r="DQ183" t="n">
        <v>23.7</v>
      </c>
      <c r="DR183" t="n">
        <v>230.1</v>
      </c>
      <c r="DS183" t="n">
        <v>389.5</v>
      </c>
      <c r="DT183" t="n">
        <v>2547.4</v>
      </c>
      <c r="DU183" t="n">
        <v>337.9</v>
      </c>
      <c r="DV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59</v>
      </c>
      <c r="DQ184" t="n">
        <v>26.9</v>
      </c>
      <c r="DR184" t="n">
        <v>66.7</v>
      </c>
      <c r="DS184" t="n">
        <v>716.9</v>
      </c>
      <c r="DT184" t="n">
        <v>616</v>
      </c>
      <c r="DU184" t="n">
        <v>331.3</v>
      </c>
      <c r="DV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62</v>
      </c>
      <c r="DQ185" t="n">
        <v>35.9</v>
      </c>
      <c r="DR185" t="n">
        <v>34.9</v>
      </c>
      <c r="DS185" t="n">
        <v>1104</v>
      </c>
      <c r="DT185" t="n">
        <v>315.9</v>
      </c>
      <c r="DU185" t="n">
        <v>245.6</v>
      </c>
      <c r="DV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26.7</v>
      </c>
      <c r="DQ186" t="n">
        <v>17.1</v>
      </c>
      <c r="DS186" t="n">
        <v>222.5</v>
      </c>
      <c r="DT186" t="n">
        <v>6042.1</v>
      </c>
      <c r="DU186" t="n">
        <v>214.6</v>
      </c>
      <c r="DV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491.5</v>
      </c>
      <c r="DQ187" t="n">
        <v>131.1</v>
      </c>
      <c r="DR187" t="n">
        <v>327.7</v>
      </c>
      <c r="DS187" t="n">
        <v>13106.5</v>
      </c>
      <c r="DT187" t="n">
        <v>4293.1</v>
      </c>
      <c r="DU187" t="n">
        <v>3233.8</v>
      </c>
      <c r="DV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119.5</v>
      </c>
      <c r="DQ188" t="n">
        <v>65.2</v>
      </c>
      <c r="DR188" t="n">
        <v>68.3</v>
      </c>
      <c r="DS188" t="n">
        <v>1826.9</v>
      </c>
      <c r="DT188" t="n">
        <v>471.6</v>
      </c>
      <c r="DU188" t="n">
        <v>374.9</v>
      </c>
      <c r="DV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60.9</v>
      </c>
      <c r="DQ189" t="n">
        <v>35.5</v>
      </c>
      <c r="DR189" t="n">
        <v>114.7</v>
      </c>
      <c r="DS189" t="n">
        <v>859.3</v>
      </c>
      <c r="DT189" t="n">
        <v>1214.4</v>
      </c>
      <c r="DU189" t="n">
        <v>503.2</v>
      </c>
      <c r="DV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127.2</v>
      </c>
      <c r="DQ190" t="n">
        <v>59</v>
      </c>
      <c r="DR190" t="n">
        <v>75.09999999999999</v>
      </c>
      <c r="DS190" t="n">
        <v>3314.4</v>
      </c>
      <c r="DT190" t="n">
        <v>1343.9</v>
      </c>
      <c r="DU190" t="n">
        <v>956.2</v>
      </c>
      <c r="DV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35.5</v>
      </c>
      <c r="DQ191" t="n">
        <v>16.6</v>
      </c>
      <c r="DR191" t="n">
        <v>96.8</v>
      </c>
      <c r="DS191" t="n">
        <v>138.4</v>
      </c>
      <c r="DT191" t="n">
        <v>652.5</v>
      </c>
      <c r="DU191" t="n">
        <v>114.2</v>
      </c>
      <c r="DV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46.3</v>
      </c>
      <c r="DQ192" t="n">
        <v>10.5</v>
      </c>
      <c r="DR192" t="n">
        <v>54.8</v>
      </c>
      <c r="DS192" t="n">
        <v>747</v>
      </c>
      <c r="DT192" t="n">
        <v>350.8</v>
      </c>
      <c r="DU192" t="n">
        <v>238.7</v>
      </c>
      <c r="DV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190.1</v>
      </c>
      <c r="DQ193" t="n">
        <v>121</v>
      </c>
      <c r="DR193" t="n">
        <v>443.7</v>
      </c>
      <c r="DS193" t="n">
        <v>874</v>
      </c>
      <c r="DT193" t="n">
        <v>6455.5</v>
      </c>
      <c r="DU193" t="n">
        <v>769.8</v>
      </c>
      <c r="DV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124.4</v>
      </c>
      <c r="DQ194" t="n">
        <v>59.7</v>
      </c>
      <c r="DR194" t="n">
        <v>99.5</v>
      </c>
      <c r="DS194" t="n">
        <v>1091.4</v>
      </c>
      <c r="DT194" t="n">
        <v>675.4</v>
      </c>
      <c r="DU194" t="n">
        <v>417.2</v>
      </c>
      <c r="DV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T195" t="n">
        <v>79200</v>
      </c>
      <c r="DU195" t="n">
        <v>79200</v>
      </c>
      <c r="DV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81.59999999999999</v>
      </c>
      <c r="DQ196" t="n">
        <v>51.4</v>
      </c>
      <c r="DR196" t="n">
        <v>126.2</v>
      </c>
      <c r="DS196" t="n">
        <v>754.9</v>
      </c>
      <c r="DT196" t="n">
        <v>783.4</v>
      </c>
      <c r="DU196" t="n">
        <v>384.4</v>
      </c>
      <c r="DV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90.59999999999999</v>
      </c>
      <c r="DQ197" t="n">
        <v>33.8</v>
      </c>
      <c r="DR197" t="n">
        <v>132.5</v>
      </c>
      <c r="DS197" t="n">
        <v>850.7</v>
      </c>
      <c r="DT197" t="n">
        <v>1055.1</v>
      </c>
      <c r="DU197" t="n">
        <v>470.9</v>
      </c>
      <c r="DV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94.40000000000001</v>
      </c>
      <c r="DQ198" t="n">
        <v>58.1</v>
      </c>
      <c r="DR198" t="n">
        <v>60.4</v>
      </c>
      <c r="DS198" t="n">
        <v>1291.4</v>
      </c>
      <c r="DT198" t="n">
        <v>639</v>
      </c>
      <c r="DU198" t="n">
        <v>427.5</v>
      </c>
      <c r="DV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146.5</v>
      </c>
      <c r="DQ199" t="n">
        <v>51.7</v>
      </c>
      <c r="DR199" t="n">
        <v>125.6</v>
      </c>
      <c r="DS199" t="n">
        <v>2666.7</v>
      </c>
      <c r="DT199" t="n">
        <v>880.3</v>
      </c>
      <c r="DU199" t="n">
        <v>661.8</v>
      </c>
      <c r="DV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123.1</v>
      </c>
      <c r="DQ200" t="n">
        <v>61.5</v>
      </c>
      <c r="DR200" t="n">
        <v>184.6</v>
      </c>
      <c r="DS200" t="n">
        <v>2810.9</v>
      </c>
      <c r="DT200" t="n">
        <v>1154.9</v>
      </c>
      <c r="DU200" t="n">
        <v>818.6</v>
      </c>
      <c r="DV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77.40000000000001</v>
      </c>
      <c r="DQ201" t="n">
        <v>54.6</v>
      </c>
      <c r="DR201" t="n">
        <v>58</v>
      </c>
      <c r="DS201" t="n">
        <v>1246.3</v>
      </c>
      <c r="DT201" t="n">
        <v>595</v>
      </c>
      <c r="DU201" t="n">
        <v>402.7</v>
      </c>
      <c r="DV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53.7</v>
      </c>
      <c r="DQ202" t="n">
        <v>23.3</v>
      </c>
      <c r="DR202" t="n">
        <v>67.09999999999999</v>
      </c>
      <c r="DS202" t="n">
        <v>347.9</v>
      </c>
      <c r="DT202" t="n">
        <v>741.2</v>
      </c>
      <c r="DU202" t="n">
        <v>236.8</v>
      </c>
      <c r="DV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203.9</v>
      </c>
      <c r="DQ203" t="n">
        <v>178.4</v>
      </c>
      <c r="DR203" t="n">
        <v>237.8</v>
      </c>
      <c r="DS203" t="n">
        <v>2157.5</v>
      </c>
      <c r="DT203" t="n">
        <v>1602</v>
      </c>
      <c r="DU203" t="n">
        <v>919.4</v>
      </c>
      <c r="DV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76.90000000000001</v>
      </c>
      <c r="DQ204" t="n">
        <v>93.40000000000001</v>
      </c>
      <c r="DR204" t="n">
        <v>72.59999999999999</v>
      </c>
      <c r="DS204" t="n">
        <v>718.5</v>
      </c>
      <c r="DT204" t="n">
        <v>951.3</v>
      </c>
      <c r="DU204" t="n">
        <v>409.3</v>
      </c>
      <c r="DV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39.6</v>
      </c>
      <c r="DQ205" t="n">
        <v>21.8</v>
      </c>
      <c r="DR205" t="n">
        <v>79.3</v>
      </c>
      <c r="DS205" t="n">
        <v>415.9</v>
      </c>
      <c r="DT205" t="n">
        <v>480.6</v>
      </c>
      <c r="DU205" t="n">
        <v>223</v>
      </c>
      <c r="DV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46.5</v>
      </c>
      <c r="DQ206" t="n">
        <v>30.1</v>
      </c>
      <c r="DR206" t="n">
        <v>85.3</v>
      </c>
      <c r="DS206" t="n">
        <v>238.8</v>
      </c>
      <c r="DT206" t="n">
        <v>547.6</v>
      </c>
      <c r="DU206" t="n">
        <v>166.3</v>
      </c>
      <c r="DV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99.90000000000001</v>
      </c>
      <c r="DQ207" t="n">
        <v>51.3</v>
      </c>
      <c r="DR207" t="n">
        <v>95</v>
      </c>
      <c r="DS207" t="n">
        <v>1214.5</v>
      </c>
      <c r="DT207" t="n">
        <v>651.9</v>
      </c>
      <c r="DU207" t="n">
        <v>424.2</v>
      </c>
      <c r="DV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96.09999999999999</v>
      </c>
      <c r="DQ208" t="n">
        <v>49.4</v>
      </c>
      <c r="DR208" t="n">
        <v>61.8</v>
      </c>
      <c r="DS208" t="n">
        <v>757.2</v>
      </c>
      <c r="DT208" t="n">
        <v>849.4</v>
      </c>
      <c r="DU208" t="n">
        <v>400.3</v>
      </c>
      <c r="DV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132.2</v>
      </c>
      <c r="DQ209" t="n">
        <v>158.7</v>
      </c>
      <c r="DR209" t="n">
        <v>176.3</v>
      </c>
      <c r="DS209" t="n">
        <v>3872.6</v>
      </c>
      <c r="DT209" t="n">
        <v>2686.8</v>
      </c>
      <c r="DU209" t="n">
        <v>1586.2</v>
      </c>
      <c r="DV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54</v>
      </c>
      <c r="DQ210" t="n">
        <v>30.5</v>
      </c>
      <c r="DR210" t="n">
        <v>200.4</v>
      </c>
      <c r="DS210" t="n">
        <v>430.2</v>
      </c>
      <c r="DT210" t="n">
        <v>1877.2</v>
      </c>
      <c r="DU210" t="n">
        <v>350</v>
      </c>
      <c r="DV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74.3</v>
      </c>
      <c r="DQ211" t="n">
        <v>29</v>
      </c>
      <c r="DR211" t="n">
        <v>90</v>
      </c>
      <c r="DS211" t="n">
        <v>678.1</v>
      </c>
      <c r="DT211" t="n">
        <v>1319.9</v>
      </c>
      <c r="DU211" t="n">
        <v>448</v>
      </c>
      <c r="DV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214.8</v>
      </c>
      <c r="DQ212" t="n">
        <v>107.4</v>
      </c>
      <c r="DR212" t="n">
        <v>572.7</v>
      </c>
      <c r="DS212" t="n">
        <v>2726.6</v>
      </c>
      <c r="DT212" t="n">
        <v>2730.2</v>
      </c>
      <c r="DU212" t="n">
        <v>1364.2</v>
      </c>
      <c r="DV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247.8</v>
      </c>
      <c r="DQ213" t="n">
        <v>53.1</v>
      </c>
      <c r="DR213" t="n">
        <v>67.59999999999999</v>
      </c>
      <c r="DS213" t="n">
        <v>1452.7</v>
      </c>
      <c r="DT213" t="n">
        <v>1113.8</v>
      </c>
      <c r="DU213" t="n">
        <v>630.4</v>
      </c>
      <c r="DV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185.9</v>
      </c>
      <c r="DQ214" t="n">
        <v>104.6</v>
      </c>
      <c r="DR214" t="n">
        <v>1673</v>
      </c>
      <c r="DS214" t="n">
        <v>1148.8</v>
      </c>
      <c r="DT214" t="n">
        <v>8430.5</v>
      </c>
      <c r="DU214" t="n">
        <v>1011</v>
      </c>
      <c r="DV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111.5</v>
      </c>
      <c r="DQ215" t="n">
        <v>91.8</v>
      </c>
      <c r="DR215" t="n">
        <v>141.9</v>
      </c>
      <c r="DS215" t="n">
        <v>2422.4</v>
      </c>
      <c r="DT215" t="n">
        <v>1554.4</v>
      </c>
      <c r="DU215" t="n">
        <v>946.8</v>
      </c>
      <c r="DV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103.2</v>
      </c>
      <c r="DQ216" t="n">
        <v>15</v>
      </c>
      <c r="DR216" t="n">
        <v>68.8</v>
      </c>
      <c r="DS216" t="n">
        <v>2035.4</v>
      </c>
      <c r="DT216" t="n">
        <v>486.6</v>
      </c>
      <c r="DU216" t="n">
        <v>392.7</v>
      </c>
      <c r="DV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135.4</v>
      </c>
      <c r="DQ217" t="n">
        <v>70.90000000000001</v>
      </c>
      <c r="DR217" t="n">
        <v>496.3</v>
      </c>
      <c r="DS217" t="n">
        <v>2602.6</v>
      </c>
      <c r="DT217" t="n">
        <v>6788.7</v>
      </c>
      <c r="DU217" t="n">
        <v>1881.4</v>
      </c>
      <c r="DV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49.6</v>
      </c>
      <c r="DQ218" t="n">
        <v>18.4</v>
      </c>
      <c r="DR218" t="n">
        <v>86</v>
      </c>
      <c r="DS218" t="n">
        <v>411.5</v>
      </c>
      <c r="DT218" t="n">
        <v>1518</v>
      </c>
      <c r="DU218" t="n">
        <v>323.7</v>
      </c>
      <c r="DV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53.6</v>
      </c>
      <c r="DQ219" t="n">
        <v>18.8</v>
      </c>
      <c r="DR219" t="n">
        <v>57.1</v>
      </c>
      <c r="DS219" t="n">
        <v>388.3</v>
      </c>
      <c r="DT219" t="n">
        <v>545.6</v>
      </c>
      <c r="DU219" t="n">
        <v>226.8</v>
      </c>
      <c r="DV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90.09999999999999</v>
      </c>
      <c r="DQ220" t="n">
        <v>30</v>
      </c>
      <c r="DR220" t="n">
        <v>65.5</v>
      </c>
      <c r="DS220" t="n">
        <v>1195.2</v>
      </c>
      <c r="DT220" t="n">
        <v>955.4</v>
      </c>
      <c r="DU220" t="n">
        <v>531</v>
      </c>
      <c r="DV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201.4</v>
      </c>
      <c r="DQ221" t="n">
        <v>128.2</v>
      </c>
      <c r="DR221" t="n">
        <v>94</v>
      </c>
      <c r="DS221" t="n">
        <v>1782.4</v>
      </c>
      <c r="DT221" t="n">
        <v>1797.3</v>
      </c>
      <c r="DU221" t="n">
        <v>894.9</v>
      </c>
      <c r="DV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131.3</v>
      </c>
      <c r="DQ222" t="n">
        <v>44.8</v>
      </c>
      <c r="DR222" t="n">
        <v>102.1</v>
      </c>
      <c r="DS222" t="n">
        <v>1237.6</v>
      </c>
      <c r="DT222" t="n">
        <v>1143</v>
      </c>
      <c r="DU222" t="n">
        <v>594.2</v>
      </c>
      <c r="DV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133.7</v>
      </c>
      <c r="DQ223" t="n">
        <v>56.6</v>
      </c>
      <c r="DR223" t="n">
        <v>183.9</v>
      </c>
      <c r="DS223" t="n">
        <v>952.6</v>
      </c>
      <c r="DT223" t="n">
        <v>997.8</v>
      </c>
      <c r="DU223" t="n">
        <v>487.3</v>
      </c>
      <c r="DV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97.09999999999999</v>
      </c>
      <c r="DQ224" t="n">
        <v>36</v>
      </c>
      <c r="DR224" t="n">
        <v>80.90000000000001</v>
      </c>
      <c r="DS224" t="n">
        <v>1888.8</v>
      </c>
      <c r="DT224" t="n">
        <v>518.8</v>
      </c>
      <c r="DU224" t="n">
        <v>407</v>
      </c>
      <c r="DV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54.7</v>
      </c>
      <c r="DQ225" t="n">
        <v>43.4</v>
      </c>
      <c r="DR225" t="n">
        <v>96.8</v>
      </c>
      <c r="DS225" t="n">
        <v>995.6</v>
      </c>
      <c r="DT225" t="n">
        <v>1193.6</v>
      </c>
      <c r="DU225" t="n">
        <v>542.8</v>
      </c>
      <c r="DV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442</v>
      </c>
      <c r="DQ226" t="n">
        <v>73.7</v>
      </c>
      <c r="DR226" t="n">
        <v>132.6</v>
      </c>
      <c r="DS226" t="n">
        <v>9394.700000000001</v>
      </c>
      <c r="DT226" t="n">
        <v>1760.6</v>
      </c>
      <c r="DU226" t="n">
        <v>1482.8</v>
      </c>
      <c r="DV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24.8</v>
      </c>
      <c r="DQ227" t="n">
        <v>16.3</v>
      </c>
      <c r="DR227" t="n">
        <v>45.7</v>
      </c>
      <c r="DS227" t="n">
        <v>192.4</v>
      </c>
      <c r="DT227" t="n">
        <v>312.8</v>
      </c>
      <c r="DU227" t="n">
        <v>119.1</v>
      </c>
      <c r="DV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Q228" t="n">
        <v>119.2</v>
      </c>
      <c r="DR228" t="n">
        <v>214.6</v>
      </c>
      <c r="DT228" t="n">
        <v>2945.9</v>
      </c>
      <c r="DU228" t="n">
        <v>2945.9</v>
      </c>
      <c r="DV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53.2</v>
      </c>
      <c r="DQ229" t="n">
        <v>27.3</v>
      </c>
      <c r="DR229" t="n">
        <v>77.7</v>
      </c>
      <c r="DS229" t="n">
        <v>611.3</v>
      </c>
      <c r="DT229" t="n">
        <v>674.1</v>
      </c>
      <c r="DU229" t="n">
        <v>320.6</v>
      </c>
      <c r="DV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30</v>
      </c>
      <c r="DQ230" t="n">
        <v>11.3</v>
      </c>
      <c r="DR230" t="n">
        <v>52.4</v>
      </c>
      <c r="DS230" t="n">
        <v>247.3</v>
      </c>
      <c r="DT230" t="n">
        <v>338.6</v>
      </c>
      <c r="DU230" t="n">
        <v>142.9</v>
      </c>
      <c r="DV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36.7</v>
      </c>
      <c r="DQ231" t="n">
        <v>15.2</v>
      </c>
      <c r="DR231" t="n">
        <v>81.90000000000001</v>
      </c>
      <c r="DS231" t="n">
        <v>224.8</v>
      </c>
      <c r="DT231" t="n">
        <v>554.8</v>
      </c>
      <c r="DU231" t="n">
        <v>160</v>
      </c>
      <c r="DV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192.2</v>
      </c>
      <c r="DQ232" t="n">
        <v>78.59999999999999</v>
      </c>
      <c r="DR232" t="n">
        <v>432.5</v>
      </c>
      <c r="DS232" t="n">
        <v>1337.3</v>
      </c>
      <c r="DT232" t="n">
        <v>4272.9</v>
      </c>
      <c r="DU232" t="n">
        <v>1018.5</v>
      </c>
      <c r="DV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82.3</v>
      </c>
      <c r="DQ233" t="n">
        <v>411.5</v>
      </c>
      <c r="DR233" t="n">
        <v>182.9</v>
      </c>
      <c r="DS233" t="n">
        <v>2432.5</v>
      </c>
      <c r="DT233" t="n">
        <v>2148.1</v>
      </c>
      <c r="DU233" t="n">
        <v>1140.7</v>
      </c>
      <c r="DV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62.7</v>
      </c>
      <c r="DQ234" t="n">
        <v>50.2</v>
      </c>
      <c r="DR234" t="n">
        <v>40.1</v>
      </c>
      <c r="DS234" t="n">
        <v>769.3</v>
      </c>
      <c r="DT234" t="n">
        <v>432.5</v>
      </c>
      <c r="DU234" t="n">
        <v>276.8</v>
      </c>
      <c r="DV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23</v>
      </c>
      <c r="DQ235" t="n">
        <v>13</v>
      </c>
      <c r="DR235" t="n">
        <v>57.6</v>
      </c>
      <c r="DS235" t="n">
        <v>211.1</v>
      </c>
      <c r="DT235" t="n">
        <v>477.1</v>
      </c>
      <c r="DU235" t="n">
        <v>146.4</v>
      </c>
      <c r="DV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38.2</v>
      </c>
      <c r="DQ236" t="n">
        <v>11.3</v>
      </c>
      <c r="DR236" t="n">
        <v>43.5</v>
      </c>
      <c r="DS236" t="n">
        <v>334</v>
      </c>
      <c r="DT236" t="n">
        <v>319.3</v>
      </c>
      <c r="DU236" t="n">
        <v>163.2</v>
      </c>
      <c r="DV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46.9</v>
      </c>
      <c r="DQ237" t="n">
        <v>46.9</v>
      </c>
      <c r="DR237" t="n">
        <v>84.40000000000001</v>
      </c>
      <c r="DS237" t="n">
        <v>483.3</v>
      </c>
      <c r="DT237" t="n">
        <v>512.7</v>
      </c>
      <c r="DU237" t="n">
        <v>248.8</v>
      </c>
      <c r="DV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188.3</v>
      </c>
      <c r="DQ238" t="n">
        <v>109.8</v>
      </c>
      <c r="DR238" t="n">
        <v>119.8</v>
      </c>
      <c r="DS238" t="n">
        <v>2154</v>
      </c>
      <c r="DT238" t="n">
        <v>1120</v>
      </c>
      <c r="DU238" t="n">
        <v>736.9</v>
      </c>
      <c r="DV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116.5</v>
      </c>
      <c r="DQ239" t="n">
        <v>41.6</v>
      </c>
      <c r="DR239" t="n">
        <v>58.2</v>
      </c>
      <c r="DS239" t="n">
        <v>1085.1</v>
      </c>
      <c r="DT239" t="n">
        <v>800.8</v>
      </c>
      <c r="DU239" t="n">
        <v>460.8</v>
      </c>
      <c r="DV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79.5</v>
      </c>
      <c r="DQ240" t="n">
        <v>23.7</v>
      </c>
      <c r="DR240" t="n">
        <v>61.2</v>
      </c>
      <c r="DS240" t="n">
        <v>1242.4</v>
      </c>
      <c r="DT240" t="n">
        <v>593.7</v>
      </c>
      <c r="DU240" t="n">
        <v>401.7</v>
      </c>
      <c r="DV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48.4</v>
      </c>
      <c r="DQ241" t="n">
        <v>50.5</v>
      </c>
      <c r="DR241" t="n">
        <v>77.40000000000001</v>
      </c>
      <c r="DS241" t="n">
        <v>819.5</v>
      </c>
      <c r="DT241" t="n">
        <v>636.3</v>
      </c>
      <c r="DU241" t="n">
        <v>358.2</v>
      </c>
      <c r="DV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268</v>
      </c>
      <c r="DQ242" t="n">
        <v>111.7</v>
      </c>
      <c r="DR242" t="n">
        <v>670</v>
      </c>
      <c r="DS242" t="n">
        <v>836.1</v>
      </c>
      <c r="DT242" t="n">
        <v>10997.6</v>
      </c>
      <c r="DU242" t="n">
        <v>777</v>
      </c>
      <c r="DV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195.4</v>
      </c>
      <c r="DQ243" t="n">
        <v>69.8</v>
      </c>
      <c r="DR243" t="n">
        <v>162.8</v>
      </c>
      <c r="DS243" t="n">
        <v>5051.6</v>
      </c>
      <c r="DT243" t="n">
        <v>3492.5</v>
      </c>
      <c r="DU243" t="n">
        <v>2064.9</v>
      </c>
      <c r="DV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264.4</v>
      </c>
      <c r="DQ244" t="n">
        <v>94.40000000000001</v>
      </c>
      <c r="DR244" t="n">
        <v>330.5</v>
      </c>
      <c r="DS244" t="n">
        <v>8118.9</v>
      </c>
      <c r="DT244" t="n">
        <v>3088.2</v>
      </c>
      <c r="DU244" t="n">
        <v>2237.2</v>
      </c>
      <c r="DV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245.8</v>
      </c>
      <c r="DQ245" t="n">
        <v>245.8</v>
      </c>
      <c r="DR245" t="n">
        <v>245.8</v>
      </c>
      <c r="DS245" t="n">
        <v>9329.5</v>
      </c>
      <c r="DT245" t="n">
        <v>2309.7</v>
      </c>
      <c r="DU245" t="n">
        <v>1851.4</v>
      </c>
      <c r="DV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64.09999999999999</v>
      </c>
      <c r="DQ246" t="n">
        <v>57.3</v>
      </c>
      <c r="DR246" t="n">
        <v>272.2</v>
      </c>
      <c r="DS246" t="n">
        <v>1126.6</v>
      </c>
      <c r="DT246" t="n">
        <v>2855.7</v>
      </c>
      <c r="DU246" t="n">
        <v>807.9</v>
      </c>
      <c r="DV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146.9</v>
      </c>
      <c r="DQ247" t="n">
        <v>63</v>
      </c>
      <c r="DR247" t="n">
        <v>264.4</v>
      </c>
      <c r="DS247" t="n">
        <v>947</v>
      </c>
      <c r="DT247" t="n">
        <v>2341.2</v>
      </c>
      <c r="DU247" t="n">
        <v>674.2</v>
      </c>
      <c r="DV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77.8</v>
      </c>
      <c r="DQ248" t="n">
        <v>22.4</v>
      </c>
      <c r="DR248" t="n">
        <v>83.40000000000001</v>
      </c>
      <c r="DS248" t="n">
        <v>1050.2</v>
      </c>
      <c r="DT248" t="n">
        <v>762</v>
      </c>
      <c r="DU248" t="n">
        <v>441.6</v>
      </c>
      <c r="DV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250.8</v>
      </c>
      <c r="DQ249" t="n">
        <v>125.4</v>
      </c>
      <c r="DR249" t="n">
        <v>1254</v>
      </c>
      <c r="DS249" t="n">
        <v>1150.1</v>
      </c>
      <c r="DT249" t="n">
        <v>46526.6</v>
      </c>
      <c r="DU249" t="n">
        <v>1122.3</v>
      </c>
      <c r="DV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79.59999999999999</v>
      </c>
      <c r="DQ250" t="n">
        <v>31.8</v>
      </c>
      <c r="DR250" t="n">
        <v>191</v>
      </c>
      <c r="DS250" t="n">
        <v>716.9</v>
      </c>
      <c r="DT250" t="n">
        <v>2646.8</v>
      </c>
      <c r="DU250" t="n">
        <v>564.1</v>
      </c>
      <c r="DV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41.2</v>
      </c>
      <c r="DQ251" t="n">
        <v>16.9</v>
      </c>
      <c r="DR251" t="n">
        <v>73.59999999999999</v>
      </c>
      <c r="DS251" t="n">
        <v>809.7</v>
      </c>
      <c r="DT251" t="n">
        <v>760</v>
      </c>
      <c r="DU251" t="n">
        <v>392.1</v>
      </c>
      <c r="DV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64.90000000000001</v>
      </c>
      <c r="DQ252" t="n">
        <v>68.7</v>
      </c>
      <c r="DR252" t="n">
        <v>106.2</v>
      </c>
      <c r="DS252" t="n">
        <v>941</v>
      </c>
      <c r="DT252" t="n">
        <v>1139.6</v>
      </c>
      <c r="DU252" t="n">
        <v>515.4</v>
      </c>
      <c r="DV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76.59999999999999</v>
      </c>
      <c r="DQ253" t="n">
        <v>22.1</v>
      </c>
      <c r="DR253" t="n">
        <v>86.8</v>
      </c>
      <c r="DS253" t="n">
        <v>839.1</v>
      </c>
      <c r="DT253" t="n">
        <v>746.2</v>
      </c>
      <c r="DU253" t="n">
        <v>395</v>
      </c>
      <c r="DV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39.1</v>
      </c>
      <c r="DQ254" t="n">
        <v>36.2</v>
      </c>
      <c r="DR254" t="n">
        <v>88.90000000000001</v>
      </c>
      <c r="DS254" t="n">
        <v>543.2</v>
      </c>
      <c r="DT254" t="n">
        <v>811.8</v>
      </c>
      <c r="DU254" t="n">
        <v>325.4</v>
      </c>
      <c r="DV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113.4</v>
      </c>
      <c r="DQ255" t="n">
        <v>62.4</v>
      </c>
      <c r="DR255" t="n">
        <v>155.9</v>
      </c>
      <c r="DS255" t="n">
        <v>547.5</v>
      </c>
      <c r="DT255" t="n">
        <v>1590.2</v>
      </c>
      <c r="DU255" t="n">
        <v>407.3</v>
      </c>
      <c r="DV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1275</v>
      </c>
      <c r="DQ256" t="n">
        <v>127.5</v>
      </c>
      <c r="DR256" t="n">
        <v>425</v>
      </c>
      <c r="DS256" t="n">
        <v>75292.89999999999</v>
      </c>
      <c r="DT256" t="n">
        <v>9287.4</v>
      </c>
      <c r="DU256" t="n">
        <v>8267.6</v>
      </c>
      <c r="DV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44.2</v>
      </c>
      <c r="DQ257" t="n">
        <v>23.7</v>
      </c>
      <c r="DR257" t="n">
        <v>48.6</v>
      </c>
      <c r="DS257" t="n">
        <v>443.8</v>
      </c>
      <c r="DT257" t="n">
        <v>614.7</v>
      </c>
      <c r="DU257" t="n">
        <v>257.7</v>
      </c>
      <c r="DV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30.3</v>
      </c>
      <c r="DQ258" t="n">
        <v>16.5</v>
      </c>
      <c r="DR258" t="n">
        <v>364</v>
      </c>
      <c r="DS258" t="n">
        <v>228.2</v>
      </c>
      <c r="DT258" t="n">
        <v>5470.2</v>
      </c>
      <c r="DU258" t="n">
        <v>219.1</v>
      </c>
      <c r="DV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91.8</v>
      </c>
      <c r="DQ259" t="n">
        <v>55.7</v>
      </c>
      <c r="DR259" t="n">
        <v>74.3</v>
      </c>
      <c r="DS259" t="n">
        <v>1304.8</v>
      </c>
      <c r="DT259" t="n">
        <v>806.9</v>
      </c>
      <c r="DU259" t="n">
        <v>498.6</v>
      </c>
      <c r="DV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139.8</v>
      </c>
      <c r="DQ260" t="n">
        <v>43.7</v>
      </c>
      <c r="DR260" t="n">
        <v>87.40000000000001</v>
      </c>
      <c r="DS260" t="n">
        <v>1907.4</v>
      </c>
      <c r="DT260" t="n">
        <v>621.9</v>
      </c>
      <c r="DU260" t="n">
        <v>469</v>
      </c>
      <c r="DV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107.5</v>
      </c>
      <c r="DQ261" t="n">
        <v>33.8</v>
      </c>
      <c r="DR261" t="n">
        <v>91</v>
      </c>
      <c r="DS261" t="n">
        <v>862.7</v>
      </c>
      <c r="DT261" t="n">
        <v>1521.4</v>
      </c>
      <c r="DU261" t="n">
        <v>550.5</v>
      </c>
      <c r="DV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82.59999999999999</v>
      </c>
      <c r="DQ262" t="n">
        <v>22.7</v>
      </c>
      <c r="DR262" t="n">
        <v>181.8</v>
      </c>
      <c r="DS262" t="n">
        <v>532.5</v>
      </c>
      <c r="DT262" t="n">
        <v>870.8</v>
      </c>
      <c r="DU262" t="n">
        <v>330.4</v>
      </c>
      <c r="DV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40.8</v>
      </c>
      <c r="DQ263" t="n">
        <v>10.3</v>
      </c>
      <c r="DR263" t="n">
        <v>90.8</v>
      </c>
      <c r="DS263" t="n">
        <v>283.2</v>
      </c>
      <c r="DT263" t="n">
        <v>648.1</v>
      </c>
      <c r="DU263" t="n">
        <v>197.1</v>
      </c>
      <c r="DV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34.2</v>
      </c>
      <c r="DQ264" t="n">
        <v>10.3</v>
      </c>
      <c r="DR264" t="n">
        <v>34.2</v>
      </c>
      <c r="DS264" t="n">
        <v>427.1</v>
      </c>
      <c r="DT264" t="n">
        <v>264.5</v>
      </c>
      <c r="DU264" t="n">
        <v>163.3</v>
      </c>
      <c r="DV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32</v>
      </c>
      <c r="DQ265" t="n">
        <v>19.2</v>
      </c>
      <c r="DR265" t="n">
        <v>80</v>
      </c>
      <c r="DS265" t="n">
        <v>119.6</v>
      </c>
      <c r="DT265" t="n">
        <v>459.4</v>
      </c>
      <c r="DU265" t="n">
        <v>94.90000000000001</v>
      </c>
      <c r="DV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106.4</v>
      </c>
      <c r="DQ266" t="n">
        <v>65</v>
      </c>
      <c r="DR266" t="n">
        <v>390</v>
      </c>
      <c r="DS266" t="n">
        <v>865.6</v>
      </c>
      <c r="DT266" t="n">
        <v>1859.8</v>
      </c>
      <c r="DU266" t="n">
        <v>590.7</v>
      </c>
      <c r="DV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V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85.8</v>
      </c>
      <c r="DQ268" t="n">
        <v>14.9</v>
      </c>
      <c r="DR268" t="n">
        <v>46.8</v>
      </c>
      <c r="DS268" t="n">
        <v>710.6</v>
      </c>
      <c r="DT268" t="n">
        <v>500.4</v>
      </c>
      <c r="DU268" t="n">
        <v>293.6</v>
      </c>
      <c r="DV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306.7</v>
      </c>
      <c r="DQ269" t="n">
        <v>115</v>
      </c>
      <c r="DR269" t="n">
        <v>460</v>
      </c>
      <c r="DS269" t="n">
        <v>3315</v>
      </c>
      <c r="DT269" t="n">
        <v>3373.2</v>
      </c>
      <c r="DU269" t="n">
        <v>1671.9</v>
      </c>
      <c r="DV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154.7</v>
      </c>
      <c r="DQ270" t="n">
        <v>33.1</v>
      </c>
      <c r="DR270" t="n">
        <v>232</v>
      </c>
      <c r="DS270" t="n">
        <v>4642</v>
      </c>
      <c r="DT270" t="n">
        <v>912.6</v>
      </c>
      <c r="DU270" t="n">
        <v>762.7</v>
      </c>
      <c r="DV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24.3</v>
      </c>
      <c r="DQ271" t="n">
        <v>12.6</v>
      </c>
      <c r="DR271" t="n">
        <v>55.2</v>
      </c>
      <c r="DS271" t="n">
        <v>184.3</v>
      </c>
      <c r="DT271" t="n">
        <v>780.1</v>
      </c>
      <c r="DU271" t="n">
        <v>149.1</v>
      </c>
      <c r="DV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55.6</v>
      </c>
      <c r="DQ272" t="n">
        <v>30.5</v>
      </c>
      <c r="DR272" t="n">
        <v>45</v>
      </c>
      <c r="DS272" t="n">
        <v>410.6</v>
      </c>
      <c r="DT272" t="n">
        <v>491.6</v>
      </c>
      <c r="DU272" t="n">
        <v>223.7</v>
      </c>
      <c r="DV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44.5</v>
      </c>
      <c r="DQ273" t="n">
        <v>68.7</v>
      </c>
      <c r="DR273" t="n">
        <v>68.7</v>
      </c>
      <c r="DS273" t="n">
        <v>747.6</v>
      </c>
      <c r="DT273" t="n">
        <v>1008.8</v>
      </c>
      <c r="DU273" t="n">
        <v>429.4</v>
      </c>
      <c r="DV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39</v>
      </c>
      <c r="DQ274" t="n">
        <v>24.2</v>
      </c>
      <c r="DR274" t="n">
        <v>179.2</v>
      </c>
      <c r="DS274" t="n">
        <v>234.1</v>
      </c>
      <c r="DT274" t="n">
        <v>2792.6</v>
      </c>
      <c r="DU274" t="n">
        <v>216</v>
      </c>
      <c r="DV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40.8</v>
      </c>
      <c r="DQ275" t="n">
        <v>23.1</v>
      </c>
      <c r="DR275" t="n">
        <v>347</v>
      </c>
      <c r="DS275" t="n">
        <v>237.9</v>
      </c>
      <c r="DT275" t="n">
        <v>1498.7</v>
      </c>
      <c r="DU275" t="n">
        <v>205.3</v>
      </c>
      <c r="DV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Q276" t="n">
        <v>148.9</v>
      </c>
      <c r="DR276" t="n">
        <v>521</v>
      </c>
      <c r="DT276" t="n">
        <v>8641.799999999999</v>
      </c>
      <c r="DU276" t="n">
        <v>8641.799999999999</v>
      </c>
      <c r="DV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986</v>
      </c>
      <c r="DQ277" t="n">
        <v>109.6</v>
      </c>
      <c r="DR277" t="n">
        <v>197.2</v>
      </c>
      <c r="DS277" t="n">
        <v>10610.5</v>
      </c>
      <c r="DT277" t="n">
        <v>2135.5</v>
      </c>
      <c r="DU277" t="n">
        <v>1777.7</v>
      </c>
      <c r="DV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49.8</v>
      </c>
      <c r="DQ278" t="n">
        <v>18.1</v>
      </c>
      <c r="DR278" t="n">
        <v>166.2</v>
      </c>
      <c r="DS278" t="n">
        <v>304.1</v>
      </c>
      <c r="DT278" t="n">
        <v>2126.6</v>
      </c>
      <c r="DU278" t="n">
        <v>266.1</v>
      </c>
      <c r="DV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290.7</v>
      </c>
      <c r="DQ279" t="n">
        <v>218</v>
      </c>
      <c r="DR279" t="n">
        <v>79.3</v>
      </c>
      <c r="DS279" t="n">
        <v>13452</v>
      </c>
      <c r="DT279" t="n">
        <v>2011.7</v>
      </c>
      <c r="DU279" t="n">
        <v>1750</v>
      </c>
      <c r="DV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164.2</v>
      </c>
      <c r="DQ280" t="n">
        <v>82.09999999999999</v>
      </c>
      <c r="DR280" t="n">
        <v>328.5</v>
      </c>
      <c r="DS280" t="n">
        <v>1017.9</v>
      </c>
      <c r="DT280" t="n">
        <v>4903.6</v>
      </c>
      <c r="DU280" t="n">
        <v>842.9</v>
      </c>
      <c r="DV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205</v>
      </c>
      <c r="DQ281" t="n">
        <v>68.3</v>
      </c>
      <c r="DR281" t="n">
        <v>146.4</v>
      </c>
      <c r="DS281" t="n">
        <v>796</v>
      </c>
      <c r="DT281" t="n">
        <v>1962.7</v>
      </c>
      <c r="DU281" t="n">
        <v>566.3</v>
      </c>
      <c r="DV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935</v>
      </c>
      <c r="DQ282" t="n">
        <v>155.8</v>
      </c>
      <c r="DR282" t="n">
        <v>311.7</v>
      </c>
      <c r="DS282" t="n">
        <v>18547.6</v>
      </c>
      <c r="DT282" t="n">
        <v>1788</v>
      </c>
      <c r="DU282" t="n">
        <v>1630.8</v>
      </c>
      <c r="DV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799</v>
      </c>
      <c r="DQ283" t="n">
        <v>159.8</v>
      </c>
      <c r="DR283" t="n">
        <v>199.8</v>
      </c>
      <c r="DS283" t="n">
        <v>22597.7</v>
      </c>
      <c r="DT283" t="n">
        <v>2587.5</v>
      </c>
      <c r="DU283" t="n">
        <v>2321.7</v>
      </c>
      <c r="DV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57.2</v>
      </c>
      <c r="DQ284" t="n">
        <v>22.6</v>
      </c>
      <c r="DR284" t="n">
        <v>69.40000000000001</v>
      </c>
      <c r="DS284" t="n">
        <v>734.7</v>
      </c>
      <c r="DT284" t="n">
        <v>613.7</v>
      </c>
      <c r="DU284" t="n">
        <v>334.4</v>
      </c>
      <c r="DV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67.40000000000001</v>
      </c>
      <c r="DQ285" t="n">
        <v>97.3</v>
      </c>
      <c r="DR285" t="n">
        <v>292</v>
      </c>
      <c r="DS285" t="n">
        <v>1124.6</v>
      </c>
      <c r="DT285" t="n">
        <v>6066.6</v>
      </c>
      <c r="DU285" t="n">
        <v>948.7</v>
      </c>
      <c r="DV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18.6</v>
      </c>
      <c r="DQ286" t="n">
        <v>8.800000000000001</v>
      </c>
      <c r="DR286" t="n">
        <v>105.7</v>
      </c>
      <c r="DS286" t="n">
        <v>203.5</v>
      </c>
      <c r="DT286" t="n">
        <v>304.5</v>
      </c>
      <c r="DU286" t="n">
        <v>122</v>
      </c>
      <c r="DV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113.2</v>
      </c>
      <c r="DQ287" t="n">
        <v>67.90000000000001</v>
      </c>
      <c r="DS287" t="n">
        <v>1371.9</v>
      </c>
      <c r="DT287" t="n">
        <v>1754.9</v>
      </c>
      <c r="DU287" t="n">
        <v>770</v>
      </c>
      <c r="DV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63.2</v>
      </c>
      <c r="DQ288" t="n">
        <v>37.9</v>
      </c>
      <c r="DR288" t="n">
        <v>84.2</v>
      </c>
      <c r="DS288" t="n">
        <v>913.2</v>
      </c>
      <c r="DT288" t="n">
        <v>715.4</v>
      </c>
      <c r="DU288" t="n">
        <v>401.1</v>
      </c>
      <c r="DV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30.8</v>
      </c>
      <c r="DQ289" t="n">
        <v>16.2</v>
      </c>
      <c r="DR289" t="n">
        <v>123.4</v>
      </c>
      <c r="DS289" t="n">
        <v>251.6</v>
      </c>
      <c r="DT289" t="n">
        <v>1776</v>
      </c>
      <c r="DU289" t="n">
        <v>220.4</v>
      </c>
      <c r="DV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32.1</v>
      </c>
      <c r="DQ290" t="n">
        <v>14.8</v>
      </c>
      <c r="DR290" t="n">
        <v>52.5</v>
      </c>
      <c r="DS290" t="n">
        <v>140.6</v>
      </c>
      <c r="DT290" t="n">
        <v>550.3</v>
      </c>
      <c r="DU290" t="n">
        <v>112</v>
      </c>
      <c r="DV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60.4</v>
      </c>
      <c r="DQ291" t="n">
        <v>24.5</v>
      </c>
      <c r="DR291" t="n">
        <v>112.1</v>
      </c>
      <c r="DS291" t="n">
        <v>339.4</v>
      </c>
      <c r="DT291" t="n">
        <v>2173.1</v>
      </c>
      <c r="DU291" t="n">
        <v>293.6</v>
      </c>
      <c r="DV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61.4</v>
      </c>
      <c r="DQ292" t="n">
        <v>33.8</v>
      </c>
      <c r="DR292" t="n">
        <v>112.5</v>
      </c>
      <c r="DS292" t="n">
        <v>1098.7</v>
      </c>
      <c r="DT292" t="n">
        <v>1898.8</v>
      </c>
      <c r="DU292" t="n">
        <v>696</v>
      </c>
      <c r="DV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16.7</v>
      </c>
      <c r="DQ293" t="n">
        <v>8.4</v>
      </c>
      <c r="DR293" t="n">
        <v>35.1</v>
      </c>
      <c r="DS293" t="n">
        <v>160.4</v>
      </c>
      <c r="DT293" t="n">
        <v>385.7</v>
      </c>
      <c r="DU293" t="n">
        <v>113.3</v>
      </c>
      <c r="DV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394</v>
      </c>
      <c r="DQ294" t="n">
        <v>197</v>
      </c>
      <c r="DR294" t="n">
        <v>788</v>
      </c>
      <c r="DS294" t="n">
        <v>8639.5</v>
      </c>
      <c r="DT294" t="n">
        <v>1931.4</v>
      </c>
      <c r="DU294" t="n">
        <v>1578.5</v>
      </c>
      <c r="DV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V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108.2</v>
      </c>
      <c r="DQ296" t="n">
        <v>40.6</v>
      </c>
      <c r="DR296" t="n">
        <v>92.7</v>
      </c>
      <c r="DS296" t="n">
        <v>1893.2</v>
      </c>
      <c r="DT296" t="n">
        <v>959.8</v>
      </c>
      <c r="DU296" t="n">
        <v>636.9</v>
      </c>
      <c r="DV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118.8</v>
      </c>
      <c r="DQ297" t="n">
        <v>54</v>
      </c>
      <c r="DR297" t="n">
        <v>118.8</v>
      </c>
      <c r="DS297" t="n">
        <v>2476.6</v>
      </c>
      <c r="DT297" t="n">
        <v>628.8</v>
      </c>
      <c r="DU297" t="n">
        <v>501.5</v>
      </c>
      <c r="DV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113</v>
      </c>
      <c r="DQ298" t="n">
        <v>75.3</v>
      </c>
      <c r="DR298" t="n">
        <v>226</v>
      </c>
      <c r="DS298" t="n">
        <v>2086.3</v>
      </c>
      <c r="DT298" t="n">
        <v>2806.1</v>
      </c>
      <c r="DU298" t="n">
        <v>1196.6</v>
      </c>
      <c r="DV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52.1</v>
      </c>
      <c r="DQ299" t="n">
        <v>24.8</v>
      </c>
      <c r="DR299" t="n">
        <v>57.9</v>
      </c>
      <c r="DS299" t="n">
        <v>1244</v>
      </c>
      <c r="DT299" t="n">
        <v>516.6</v>
      </c>
      <c r="DU299" t="n">
        <v>365</v>
      </c>
      <c r="DV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406</v>
      </c>
      <c r="DQ300" t="n">
        <v>116</v>
      </c>
      <c r="DS300" t="n">
        <v>1307.9</v>
      </c>
      <c r="DT300" t="n">
        <v>32480</v>
      </c>
      <c r="DU300" t="n">
        <v>1257.3</v>
      </c>
      <c r="DV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66.90000000000001</v>
      </c>
      <c r="DQ301" t="n">
        <v>60.2</v>
      </c>
      <c r="DR301" t="n">
        <v>120.4</v>
      </c>
      <c r="DS301" t="n">
        <v>1033.7</v>
      </c>
      <c r="DT301" t="n">
        <v>2015.1</v>
      </c>
      <c r="DU301" t="n">
        <v>683.2</v>
      </c>
      <c r="DV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333.8</v>
      </c>
      <c r="DQ302" t="n">
        <v>34.2</v>
      </c>
      <c r="DR302" t="n">
        <v>111.2</v>
      </c>
      <c r="DS302" t="n">
        <v>6700.7</v>
      </c>
      <c r="DT302" t="n">
        <v>1449.5</v>
      </c>
      <c r="DU302" t="n">
        <v>1191.7</v>
      </c>
      <c r="DV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348.5</v>
      </c>
      <c r="DQ303" t="n">
        <v>53.6</v>
      </c>
      <c r="DR303" t="n">
        <v>174.2</v>
      </c>
      <c r="DS303" t="n">
        <v>6176.5</v>
      </c>
      <c r="DT303" t="n">
        <v>3682.7</v>
      </c>
      <c r="DU303" t="n">
        <v>2307.1</v>
      </c>
      <c r="DV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314</v>
      </c>
      <c r="DQ304" t="n">
        <v>188.4</v>
      </c>
      <c r="DR304" t="n">
        <v>471</v>
      </c>
      <c r="DS304" t="n">
        <v>4319.8</v>
      </c>
      <c r="DT304" t="n">
        <v>2698.8</v>
      </c>
      <c r="DU304" t="n">
        <v>1661</v>
      </c>
      <c r="DV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34</v>
      </c>
      <c r="DQ305" t="n">
        <v>24.2</v>
      </c>
      <c r="DR305" t="n">
        <v>67.90000000000001</v>
      </c>
      <c r="DS305" t="n">
        <v>623.3</v>
      </c>
      <c r="DT305" t="n">
        <v>774.3</v>
      </c>
      <c r="DU305" t="n">
        <v>345.3</v>
      </c>
      <c r="DV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39.8</v>
      </c>
      <c r="DQ306" t="n">
        <v>14</v>
      </c>
      <c r="DR306" t="n">
        <v>129.2</v>
      </c>
      <c r="DS306" t="n">
        <v>162.4</v>
      </c>
      <c r="DT306" t="n">
        <v>1457.3</v>
      </c>
      <c r="DU306" t="n">
        <v>146.1</v>
      </c>
      <c r="DV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P307" t="n">
        <v>14.3</v>
      </c>
      <c r="DQ307" t="n">
        <v>10.7</v>
      </c>
      <c r="DR307" t="n">
        <v>214</v>
      </c>
      <c r="DS307" t="n">
        <v>98.90000000000001</v>
      </c>
      <c r="DT307" t="n">
        <v>1208.6</v>
      </c>
      <c r="DU307" t="n">
        <v>91.40000000000001</v>
      </c>
      <c r="DV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141.2</v>
      </c>
      <c r="DQ308" t="n">
        <v>62.8</v>
      </c>
      <c r="DR308" t="n">
        <v>282.5</v>
      </c>
      <c r="DS308" t="n">
        <v>3139.8</v>
      </c>
      <c r="DT308" t="n">
        <v>4783.2</v>
      </c>
      <c r="DU308" t="n">
        <v>1895.5</v>
      </c>
      <c r="DV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61</v>
      </c>
      <c r="DQ309" t="n">
        <v>25</v>
      </c>
      <c r="DR309" t="n">
        <v>49.9</v>
      </c>
      <c r="DS309" t="n">
        <v>841.7</v>
      </c>
      <c r="DT309" t="n">
        <v>493.2</v>
      </c>
      <c r="DU309" t="n">
        <v>311</v>
      </c>
      <c r="DV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48.6</v>
      </c>
      <c r="DQ310" t="n">
        <v>17.4</v>
      </c>
      <c r="DR310" t="n">
        <v>54</v>
      </c>
      <c r="DS310" t="n">
        <v>570.9</v>
      </c>
      <c r="DT310" t="n">
        <v>506.7</v>
      </c>
      <c r="DU310" t="n">
        <v>268.5</v>
      </c>
      <c r="DV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429</v>
      </c>
      <c r="DQ311" t="n">
        <v>61.3</v>
      </c>
      <c r="DS311" t="n">
        <v>2587</v>
      </c>
      <c r="DT311" t="n">
        <v>85800</v>
      </c>
      <c r="DU311" t="n">
        <v>2511.2</v>
      </c>
      <c r="DV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22</v>
      </c>
      <c r="DQ312" t="n">
        <v>10</v>
      </c>
      <c r="DR312" t="n">
        <v>139.3</v>
      </c>
      <c r="DS312" t="n">
        <v>125</v>
      </c>
      <c r="DT312" t="n">
        <v>1784.1</v>
      </c>
      <c r="DU312" t="n">
        <v>116.8</v>
      </c>
      <c r="DV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39.1</v>
      </c>
      <c r="DQ313" t="n">
        <v>19.5</v>
      </c>
      <c r="DR313" t="n">
        <v>60.8</v>
      </c>
      <c r="DS313" t="n">
        <v>639.8</v>
      </c>
      <c r="DT313" t="n">
        <v>912</v>
      </c>
      <c r="DU313" t="n">
        <v>376</v>
      </c>
      <c r="DV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27.6</v>
      </c>
      <c r="DQ314" t="n">
        <v>15.9</v>
      </c>
      <c r="DR314" t="n">
        <v>59.1</v>
      </c>
      <c r="DS314" t="n">
        <v>223</v>
      </c>
      <c r="DT314" t="n">
        <v>582.9</v>
      </c>
      <c r="DU314" t="n">
        <v>161.3</v>
      </c>
      <c r="DV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30.9</v>
      </c>
      <c r="DQ315" t="n">
        <v>12.6</v>
      </c>
      <c r="DR315" t="n">
        <v>69.5</v>
      </c>
      <c r="DS315" t="n">
        <v>135.7</v>
      </c>
      <c r="DT315" t="n">
        <v>1136.5</v>
      </c>
      <c r="DU315" t="n">
        <v>121.2</v>
      </c>
      <c r="DV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238</v>
      </c>
      <c r="DQ316" t="n">
        <v>238</v>
      </c>
      <c r="DS316" t="n">
        <v>2377.7</v>
      </c>
      <c r="DT316" t="n">
        <v>11900</v>
      </c>
      <c r="DU316" t="n">
        <v>1981.7</v>
      </c>
      <c r="DV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56.2</v>
      </c>
      <c r="DQ317" t="n">
        <v>19.6</v>
      </c>
      <c r="DR317" t="n">
        <v>37.5</v>
      </c>
      <c r="DS317" t="n">
        <v>745.4</v>
      </c>
      <c r="DT317" t="n">
        <v>349.3</v>
      </c>
      <c r="DU317" t="n">
        <v>237.8</v>
      </c>
      <c r="DV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104.8</v>
      </c>
      <c r="DQ318" t="n">
        <v>47.6</v>
      </c>
      <c r="DR318" t="n">
        <v>131</v>
      </c>
      <c r="DS318" t="n">
        <v>852.7</v>
      </c>
      <c r="DT318" t="n">
        <v>3069.8</v>
      </c>
      <c r="DU318" t="n">
        <v>667.3</v>
      </c>
      <c r="DV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V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137.5</v>
      </c>
      <c r="DQ320" t="n">
        <v>55</v>
      </c>
      <c r="DR320" t="n">
        <v>550</v>
      </c>
      <c r="DS320" t="n">
        <v>1803.4</v>
      </c>
      <c r="DT320" t="n">
        <v>1972.4</v>
      </c>
      <c r="DU320" t="n">
        <v>942.1</v>
      </c>
      <c r="DV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284.8</v>
      </c>
      <c r="DQ321" t="n">
        <v>81.40000000000001</v>
      </c>
      <c r="DR321" t="n">
        <v>142.4</v>
      </c>
      <c r="DS321" t="n">
        <v>3568.8</v>
      </c>
      <c r="DT321" t="n">
        <v>1726.3</v>
      </c>
      <c r="DU321" t="n">
        <v>1163.5</v>
      </c>
      <c r="DV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133.7</v>
      </c>
      <c r="DQ322" t="n">
        <v>16</v>
      </c>
      <c r="DR322" t="n">
        <v>57.3</v>
      </c>
      <c r="DS322" t="n">
        <v>2455.8</v>
      </c>
      <c r="DT322" t="n">
        <v>272.4</v>
      </c>
      <c r="DU322" t="n">
        <v>245.2</v>
      </c>
      <c r="DV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367</v>
      </c>
      <c r="DQ323" t="n">
        <v>91.8</v>
      </c>
      <c r="DR323" t="n">
        <v>367</v>
      </c>
      <c r="DS323" t="n">
        <v>1446.5</v>
      </c>
      <c r="DT323" t="n">
        <v>2855.9</v>
      </c>
      <c r="DU323" t="n">
        <v>960.2</v>
      </c>
      <c r="DV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87.2</v>
      </c>
      <c r="DQ324" t="n">
        <v>31.7</v>
      </c>
      <c r="DR324" t="n">
        <v>87.2</v>
      </c>
      <c r="DS324" t="n">
        <v>2066.4</v>
      </c>
      <c r="DT324" t="n">
        <v>1976.2</v>
      </c>
      <c r="DU324" t="n">
        <v>1010.2</v>
      </c>
      <c r="DV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DP325" t="n">
        <v>26.5</v>
      </c>
      <c r="DQ325" t="n">
        <v>9.9</v>
      </c>
      <c r="DS325" t="n">
        <v>250.4</v>
      </c>
      <c r="DT325" t="n">
        <v>31800</v>
      </c>
      <c r="DU325" t="n">
        <v>248.5</v>
      </c>
      <c r="DV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17.4</v>
      </c>
      <c r="DQ326" t="n">
        <v>13.6</v>
      </c>
      <c r="DR326" t="n">
        <v>244</v>
      </c>
      <c r="DS326" t="n">
        <v>246</v>
      </c>
      <c r="DT326" t="n">
        <v>2261.3</v>
      </c>
      <c r="DU326" t="n">
        <v>221.9</v>
      </c>
      <c r="DV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72</v>
      </c>
      <c r="DQ327" t="n">
        <v>19.2</v>
      </c>
      <c r="DR327" t="n">
        <v>48</v>
      </c>
      <c r="DS327" t="n">
        <v>1516.8</v>
      </c>
      <c r="DT327" t="n">
        <v>467.6</v>
      </c>
      <c r="DU327" t="n">
        <v>357.4</v>
      </c>
      <c r="DV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33</v>
      </c>
      <c r="DQ328" t="n">
        <v>12</v>
      </c>
      <c r="DR328" t="n">
        <v>22</v>
      </c>
      <c r="DS328" t="n">
        <v>247.9</v>
      </c>
      <c r="DT328" t="n">
        <v>534.1</v>
      </c>
      <c r="DU328" t="n">
        <v>169.3</v>
      </c>
      <c r="DV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T329" t="n">
        <v>27000</v>
      </c>
      <c r="DU329" t="n">
        <v>27000</v>
      </c>
      <c r="DV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50.5</v>
      </c>
      <c r="DQ330" t="n">
        <v>28.9</v>
      </c>
      <c r="DR330" t="n">
        <v>50.5</v>
      </c>
      <c r="DS330" t="n">
        <v>171.9</v>
      </c>
      <c r="DT330" t="n">
        <v>1225.7</v>
      </c>
      <c r="DU330" t="n">
        <v>150.8</v>
      </c>
      <c r="DV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35.1</v>
      </c>
      <c r="DQ331" t="n">
        <v>17.6</v>
      </c>
      <c r="DR331" t="n">
        <v>117</v>
      </c>
      <c r="DS331" t="n">
        <v>477.9</v>
      </c>
      <c r="DT331" t="n">
        <v>277.3</v>
      </c>
      <c r="DU331" t="n">
        <v>175.5</v>
      </c>
      <c r="DV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V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25.3</v>
      </c>
      <c r="DQ333" t="n">
        <v>8</v>
      </c>
      <c r="DR333" t="n">
        <v>38</v>
      </c>
      <c r="DS333" t="n">
        <v>163.5</v>
      </c>
      <c r="DT333" t="n">
        <v>325.6</v>
      </c>
      <c r="DU333" t="n">
        <v>108.9</v>
      </c>
      <c r="DV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44.5</v>
      </c>
      <c r="DQ334" t="n">
        <v>89</v>
      </c>
      <c r="DR334" t="n">
        <v>29.7</v>
      </c>
      <c r="DS334" t="n">
        <v>821.8</v>
      </c>
      <c r="DT334" t="n">
        <v>208.7</v>
      </c>
      <c r="DU334" t="n">
        <v>166.4</v>
      </c>
      <c r="DV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57</v>
      </c>
      <c r="DQ335" t="n">
        <v>22.2</v>
      </c>
      <c r="DR335" t="n">
        <v>399</v>
      </c>
      <c r="DS335" t="n">
        <v>517</v>
      </c>
      <c r="DT335" t="n">
        <v>1605.2</v>
      </c>
      <c r="DU335" t="n">
        <v>391.1</v>
      </c>
      <c r="DV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318</v>
      </c>
      <c r="DQ336" t="n">
        <v>35.3</v>
      </c>
      <c r="DS336" t="n">
        <v>33133.6</v>
      </c>
      <c r="DT336" t="n">
        <v>10600</v>
      </c>
      <c r="DU336" t="n">
        <v>8030.8</v>
      </c>
      <c r="DV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20.4</v>
      </c>
      <c r="DQ337" t="n">
        <v>16.6</v>
      </c>
      <c r="DR337" t="n">
        <v>88.3</v>
      </c>
      <c r="DS337" t="n">
        <v>131</v>
      </c>
      <c r="DT337" t="n">
        <v>505.4</v>
      </c>
      <c r="DU337" t="n">
        <v>104</v>
      </c>
      <c r="DV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171.3</v>
      </c>
      <c r="DQ338" t="n">
        <v>128.5</v>
      </c>
      <c r="DR338" t="n">
        <v>514</v>
      </c>
      <c r="DS338" t="n">
        <v>1361.9</v>
      </c>
      <c r="DT338" t="n">
        <v>7407</v>
      </c>
      <c r="DU338" t="n">
        <v>1150.4</v>
      </c>
      <c r="DV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124.7</v>
      </c>
      <c r="DQ339" t="n">
        <v>124.7</v>
      </c>
      <c r="DR339" t="n">
        <v>374</v>
      </c>
      <c r="DS339" t="n">
        <v>1536.8</v>
      </c>
      <c r="DT339" t="n">
        <v>774.9</v>
      </c>
      <c r="DU339" t="n">
        <v>515.1</v>
      </c>
      <c r="DV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57.3</v>
      </c>
      <c r="DQ340" t="n">
        <v>25.1</v>
      </c>
      <c r="DR340" t="n">
        <v>133.7</v>
      </c>
      <c r="DS340" t="n">
        <v>478.6</v>
      </c>
      <c r="DT340" t="n">
        <v>4639.3</v>
      </c>
      <c r="DU340" t="n">
        <v>433.9</v>
      </c>
      <c r="DV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50</v>
      </c>
      <c r="DQ341" t="n">
        <v>50</v>
      </c>
      <c r="DS341" t="n">
        <v>143.9</v>
      </c>
      <c r="DT341" t="n">
        <v>6666.7</v>
      </c>
      <c r="DU341" t="n">
        <v>140.9</v>
      </c>
      <c r="DV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23.6</v>
      </c>
      <c r="DQ342" t="n">
        <v>14.8</v>
      </c>
      <c r="DR342" t="n">
        <v>59</v>
      </c>
      <c r="DS342" t="n">
        <v>146.5</v>
      </c>
      <c r="DT342" t="n">
        <v>1396.3</v>
      </c>
      <c r="DU342" t="n">
        <v>132.6</v>
      </c>
      <c r="DV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V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DP344" t="n">
        <v>43.7</v>
      </c>
      <c r="DQ344" t="n">
        <v>37.4</v>
      </c>
      <c r="DR344" t="n">
        <v>131</v>
      </c>
      <c r="DS344" t="n">
        <v>734</v>
      </c>
      <c r="DT344" t="n">
        <v>922.5</v>
      </c>
      <c r="DU344" t="n">
        <v>408.8</v>
      </c>
      <c r="DV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170</v>
      </c>
      <c r="DQ345" t="n">
        <v>85</v>
      </c>
      <c r="DR345" t="n">
        <v>170</v>
      </c>
      <c r="DS345" t="n">
        <v>3334.6</v>
      </c>
      <c r="DT345" t="n">
        <v>1799.8</v>
      </c>
      <c r="DU345" t="n">
        <v>1168.9</v>
      </c>
      <c r="DV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Q346" t="n">
        <v>44</v>
      </c>
      <c r="DR346" t="n">
        <v>88</v>
      </c>
      <c r="DT346" t="n">
        <v>240.9</v>
      </c>
      <c r="DU346" t="n">
        <v>240.9</v>
      </c>
      <c r="DV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R347" t="n">
        <v>540</v>
      </c>
      <c r="DT347" t="n">
        <v>3140.3</v>
      </c>
      <c r="DU347" t="n">
        <v>3140.3</v>
      </c>
      <c r="DV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35</v>
      </c>
      <c r="DQ348" t="n">
        <v>10.5</v>
      </c>
      <c r="DR348" t="n">
        <v>105</v>
      </c>
      <c r="DS348" t="n">
        <v>297.5</v>
      </c>
      <c r="DT348" t="n">
        <v>357.7</v>
      </c>
      <c r="DU348" t="n">
        <v>162.4</v>
      </c>
      <c r="DV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V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Q350" t="n">
        <v>70.59999999999999</v>
      </c>
      <c r="DR350" t="n">
        <v>176.5</v>
      </c>
      <c r="DT350" t="n">
        <v>1389.6</v>
      </c>
      <c r="DU350" t="n">
        <v>1389.6</v>
      </c>
      <c r="DV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68</v>
      </c>
      <c r="DQ351" t="n">
        <v>45.3</v>
      </c>
      <c r="DR351" t="n">
        <v>136</v>
      </c>
      <c r="DS351" t="n">
        <v>211.1</v>
      </c>
      <c r="DT351" t="n">
        <v>2871.1</v>
      </c>
      <c r="DU351" t="n">
        <v>196.7</v>
      </c>
      <c r="DV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Q352" t="n">
        <v>193</v>
      </c>
      <c r="DT352" t="n">
        <v>38600</v>
      </c>
      <c r="DU352" t="n">
        <v>38600</v>
      </c>
      <c r="DV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62.5</v>
      </c>
      <c r="DR353" t="n">
        <v>31.2</v>
      </c>
      <c r="DS353" t="n">
        <v>1125.3</v>
      </c>
      <c r="DT353" t="n">
        <v>295</v>
      </c>
      <c r="DU353" t="n">
        <v>233.7</v>
      </c>
      <c r="DV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22.2</v>
      </c>
      <c r="DQ354" t="n">
        <v>11.1</v>
      </c>
      <c r="DR354" t="n">
        <v>89</v>
      </c>
      <c r="DS354" t="n">
        <v>257.6</v>
      </c>
      <c r="DT354" t="n">
        <v>5678.1</v>
      </c>
      <c r="DU354" t="n">
        <v>246.4</v>
      </c>
      <c r="DV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V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Q356" t="n">
        <v>75</v>
      </c>
      <c r="DT356" t="n">
        <v>3750</v>
      </c>
      <c r="DU356" t="n">
        <v>3750</v>
      </c>
      <c r="DV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67.5</v>
      </c>
      <c r="DQ357" t="n">
        <v>19.3</v>
      </c>
      <c r="DR357" t="n">
        <v>27</v>
      </c>
      <c r="DS357" t="n">
        <v>927.3</v>
      </c>
      <c r="DT357" t="n">
        <v>392.9</v>
      </c>
      <c r="DU357" t="n">
        <v>276</v>
      </c>
      <c r="DV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27.5</v>
      </c>
      <c r="DQ358" t="n">
        <v>27.5</v>
      </c>
      <c r="DR358" t="n">
        <v>165</v>
      </c>
      <c r="DS358" t="n">
        <v>590.1</v>
      </c>
      <c r="DT358" t="n">
        <v>2569.9</v>
      </c>
      <c r="DU358" t="n">
        <v>479.9</v>
      </c>
      <c r="DV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V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50.5</v>
      </c>
      <c r="DQ360" t="n">
        <v>101</v>
      </c>
      <c r="DS360" t="n">
        <v>1358.5</v>
      </c>
      <c r="DT360" t="n">
        <v>5050</v>
      </c>
      <c r="DU360" t="n">
        <v>1070.5</v>
      </c>
      <c r="DV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Q361" t="n">
        <v>470</v>
      </c>
      <c r="DT361" t="n">
        <v>15666.7</v>
      </c>
      <c r="DU361" t="n">
        <v>15666.7</v>
      </c>
      <c r="DV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R362" t="n">
        <v>103</v>
      </c>
      <c r="DT362" t="n">
        <v>11381.6</v>
      </c>
      <c r="DU362" t="n">
        <v>11381.6</v>
      </c>
      <c r="DV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V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21</v>
      </c>
      <c r="DQ364" t="n">
        <v>21</v>
      </c>
      <c r="DR364" t="n">
        <v>21</v>
      </c>
      <c r="DS364" t="n">
        <v>56.8</v>
      </c>
      <c r="DT364" t="n">
        <v>1050</v>
      </c>
      <c r="DU364" t="n">
        <v>53.8</v>
      </c>
      <c r="DV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99</v>
      </c>
      <c r="DQ365" t="n">
        <v>33</v>
      </c>
      <c r="DR365" t="n">
        <v>49.5</v>
      </c>
      <c r="DS365" t="n">
        <v>2504.9</v>
      </c>
      <c r="DT365" t="n">
        <v>1353.7</v>
      </c>
      <c r="DU365" t="n">
        <v>878.8</v>
      </c>
      <c r="DV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Q366" t="n">
        <v>12.2</v>
      </c>
      <c r="DR366" t="n">
        <v>49</v>
      </c>
      <c r="DT366" t="n">
        <v>644.8</v>
      </c>
      <c r="DU366" t="n">
        <v>644.8</v>
      </c>
      <c r="DV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Q367" t="n">
        <v>83</v>
      </c>
      <c r="DT367" t="n">
        <v>16600</v>
      </c>
      <c r="DU367" t="n">
        <v>16600</v>
      </c>
      <c r="DV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67.5</v>
      </c>
      <c r="DQ368" t="n">
        <v>45</v>
      </c>
      <c r="DR368" t="n">
        <v>135</v>
      </c>
      <c r="DS368" t="n">
        <v>421</v>
      </c>
      <c r="DT368" t="n">
        <v>2929.6</v>
      </c>
      <c r="DU368" t="n">
        <v>368.1</v>
      </c>
      <c r="DV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22</v>
      </c>
      <c r="DQ369" t="n">
        <v>12.2</v>
      </c>
      <c r="DR369" t="n">
        <v>110</v>
      </c>
      <c r="DS369" t="n">
        <v>379.6</v>
      </c>
      <c r="DT369" t="n">
        <v>1265.5</v>
      </c>
      <c r="DU369" t="n">
        <v>292</v>
      </c>
      <c r="DV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DP370" t="n">
        <v>57</v>
      </c>
      <c r="DS370" t="n">
        <v>1761.8</v>
      </c>
      <c r="DT370" t="n">
        <v>3800</v>
      </c>
      <c r="DU370" t="n">
        <v>1203.7</v>
      </c>
      <c r="DV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Q371" t="n">
        <v>92</v>
      </c>
      <c r="DT371" t="n">
        <v>6133.3</v>
      </c>
      <c r="DU371" t="n">
        <v>6133.3</v>
      </c>
      <c r="DV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Q372" t="n">
        <v>13.3</v>
      </c>
      <c r="DT372" t="n">
        <v>2000</v>
      </c>
      <c r="DU372" t="n">
        <v>2000</v>
      </c>
      <c r="DV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47</v>
      </c>
      <c r="DQ373" t="n">
        <v>11.8</v>
      </c>
      <c r="DS373" t="n">
        <v>914.4</v>
      </c>
      <c r="DT373" t="n">
        <v>1880</v>
      </c>
      <c r="DU373" t="n">
        <v>615.2</v>
      </c>
      <c r="DV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142</v>
      </c>
      <c r="DQ374" t="n">
        <v>28.4</v>
      </c>
      <c r="DR374" t="n">
        <v>47.3</v>
      </c>
      <c r="DS374" t="n">
        <v>9003</v>
      </c>
      <c r="DT374" t="n">
        <v>1222.2</v>
      </c>
      <c r="DU374" t="n">
        <v>1076.1</v>
      </c>
      <c r="DV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DP375" t="n">
        <v>40.5</v>
      </c>
      <c r="DQ375" t="n">
        <v>10.1</v>
      </c>
      <c r="DR375" t="n">
        <v>27</v>
      </c>
      <c r="DS375" t="n">
        <v>1199.1</v>
      </c>
      <c r="DT375" t="n">
        <v>279</v>
      </c>
      <c r="DU375" t="n">
        <v>226.3</v>
      </c>
      <c r="DV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17</v>
      </c>
      <c r="DQ376" t="n">
        <v>6.8</v>
      </c>
      <c r="DS376" t="n">
        <v>90</v>
      </c>
      <c r="DT376" t="n">
        <v>1133.3</v>
      </c>
      <c r="DU376" t="n">
        <v>83.3</v>
      </c>
      <c r="DV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10</v>
      </c>
      <c r="DQ377" t="n">
        <v>13.3</v>
      </c>
      <c r="DS377" t="n">
        <v>438.8</v>
      </c>
      <c r="DT377" t="n">
        <v>8000</v>
      </c>
      <c r="DU377" t="n">
        <v>416</v>
      </c>
      <c r="DV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107</v>
      </c>
      <c r="DQ378" t="n">
        <v>53.5</v>
      </c>
      <c r="DR378" t="n">
        <v>53.5</v>
      </c>
      <c r="DS378" t="n">
        <v>3175.7</v>
      </c>
      <c r="DT378" t="n">
        <v>1586.6</v>
      </c>
      <c r="DU378" t="n">
        <v>1058</v>
      </c>
      <c r="DV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Q379" t="n">
        <v>34</v>
      </c>
      <c r="DV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100</v>
      </c>
      <c r="DQ380" t="n">
        <v>100</v>
      </c>
      <c r="DS380" t="n">
        <v>217.5</v>
      </c>
      <c r="DU380" t="n">
        <v>217.5</v>
      </c>
      <c r="DV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T381" t="n">
        <v>33000</v>
      </c>
      <c r="DU381" t="n">
        <v>33000</v>
      </c>
      <c r="DV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Q382" t="n">
        <v>7</v>
      </c>
      <c r="DV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V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V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Q385" t="n">
        <v>12.5</v>
      </c>
      <c r="DR385" t="n">
        <v>12.5</v>
      </c>
      <c r="DT385" t="n">
        <v>118.6</v>
      </c>
      <c r="DU385" t="n">
        <v>118.6</v>
      </c>
      <c r="DV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2</v>
      </c>
      <c r="DQ386" t="n">
        <v>2</v>
      </c>
      <c r="DR386" t="n">
        <v>2</v>
      </c>
      <c r="DS386" t="n">
        <v>26.2</v>
      </c>
      <c r="DU386" t="n">
        <v>26.2</v>
      </c>
      <c r="DV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T387" t="n">
        <v>3400</v>
      </c>
      <c r="DU387" t="n">
        <v>3400</v>
      </c>
      <c r="DV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T388" t="n">
        <v>26600</v>
      </c>
      <c r="DU388" t="n">
        <v>26600</v>
      </c>
      <c r="DV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25</v>
      </c>
      <c r="DS389" t="n">
        <v>841.9</v>
      </c>
      <c r="DT389" t="n">
        <v>5000</v>
      </c>
      <c r="DU389" t="n">
        <v>720.6</v>
      </c>
      <c r="DV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Q390" t="n">
        <v>7</v>
      </c>
      <c r="DT390" t="n">
        <v>1400</v>
      </c>
      <c r="DU390" t="n">
        <v>1400</v>
      </c>
      <c r="DV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DP391" t="n">
        <v>90</v>
      </c>
      <c r="DQ391" t="n">
        <v>90</v>
      </c>
      <c r="DR391" t="n">
        <v>45</v>
      </c>
      <c r="DS391" t="n">
        <v>4681.8</v>
      </c>
      <c r="DT391" t="n">
        <v>393</v>
      </c>
      <c r="DU391" t="n">
        <v>362.6</v>
      </c>
      <c r="DV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V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V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V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13</v>
      </c>
      <c r="DQ395" t="n">
        <v>13</v>
      </c>
      <c r="DS395" t="n">
        <v>433.3</v>
      </c>
      <c r="DU395" t="n">
        <v>433.3</v>
      </c>
      <c r="DV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V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V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R398" t="n">
        <v>15</v>
      </c>
      <c r="DT398" t="n">
        <v>645.5</v>
      </c>
      <c r="DU398" t="n">
        <v>645.5</v>
      </c>
      <c r="DV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Q399" t="n">
        <v>38</v>
      </c>
      <c r="DT399" t="n">
        <v>1900</v>
      </c>
      <c r="DU399" t="n">
        <v>1900</v>
      </c>
      <c r="DV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V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DP401" t="n">
        <v>125</v>
      </c>
      <c r="DQ401" t="n">
        <v>62.5</v>
      </c>
      <c r="DR401" t="n">
        <v>125</v>
      </c>
      <c r="DS401" t="n">
        <v>1684.4</v>
      </c>
      <c r="DT401" t="n">
        <v>1810.8</v>
      </c>
      <c r="DU401" t="n">
        <v>872.6</v>
      </c>
      <c r="DV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T402" t="n">
        <v>2800</v>
      </c>
      <c r="DU402" t="n">
        <v>2800</v>
      </c>
      <c r="DV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Q403" t="n">
        <v>26</v>
      </c>
      <c r="DT403" t="n">
        <v>5200</v>
      </c>
      <c r="DU403" t="n">
        <v>5200</v>
      </c>
      <c r="DV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V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T405" t="n">
        <v>9000</v>
      </c>
      <c r="DU405" t="n">
        <v>9000</v>
      </c>
      <c r="DV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V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DP461" t="n">
        <v>97.2</v>
      </c>
      <c r="DQ461" t="n">
        <v>97.2</v>
      </c>
      <c r="DR461" t="n">
        <v>97.2</v>
      </c>
      <c r="DS461" t="n">
        <v>794.3</v>
      </c>
      <c r="DT461" t="n">
        <v>1187.9</v>
      </c>
      <c r="DU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DP462" t="n">
        <v>20</v>
      </c>
      <c r="DQ462" t="n">
        <v>8</v>
      </c>
      <c r="DS462" t="n">
        <v>95</v>
      </c>
      <c r="DU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DP464" t="n">
        <v>198.7</v>
      </c>
      <c r="DQ464" t="n">
        <v>49.7</v>
      </c>
      <c r="DR464" t="n">
        <v>198.7</v>
      </c>
      <c r="DS464" t="n">
        <v>2206.1</v>
      </c>
      <c r="DT464" t="n">
        <v>883.6</v>
      </c>
      <c r="DU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DP465" t="n">
        <v>774.2</v>
      </c>
      <c r="DQ465" t="n">
        <v>309.7</v>
      </c>
      <c r="DR465" t="n">
        <v>238.2</v>
      </c>
      <c r="DS465" t="n">
        <v>33286.3</v>
      </c>
      <c r="DT465" t="n">
        <v>1859.6</v>
      </c>
      <c r="DU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DR466" t="n">
        <v>20</v>
      </c>
      <c r="DT466" t="n">
        <v>527.6</v>
      </c>
      <c r="DU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DP467" t="n">
        <v>49.8</v>
      </c>
      <c r="DQ467" t="n">
        <v>38.6</v>
      </c>
      <c r="DR467" t="n">
        <v>71.90000000000001</v>
      </c>
      <c r="DS467" t="n">
        <v>393.5</v>
      </c>
      <c r="DT467" t="n">
        <v>814.4</v>
      </c>
      <c r="DU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DP468" t="n">
        <v>796</v>
      </c>
      <c r="DQ468" t="n">
        <v>265.3</v>
      </c>
      <c r="DR468" t="n">
        <v>56.9</v>
      </c>
      <c r="DS468" t="n">
        <v>16600.7</v>
      </c>
      <c r="DT468" t="n">
        <v>875</v>
      </c>
      <c r="DU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DP471" t="n">
        <v>72.40000000000001</v>
      </c>
      <c r="DQ471" t="n">
        <v>61.8</v>
      </c>
      <c r="DR471" t="n">
        <v>161.6</v>
      </c>
      <c r="DS471" t="n">
        <v>1097.6</v>
      </c>
      <c r="DT471" t="n">
        <v>1240.5</v>
      </c>
      <c r="DU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DR472" t="n">
        <v>1800</v>
      </c>
      <c r="DT472" t="n">
        <v>81284</v>
      </c>
      <c r="DU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DP473" t="n">
        <v>263.7</v>
      </c>
      <c r="DQ473" t="n">
        <v>113</v>
      </c>
      <c r="DR473" t="n">
        <v>263.7</v>
      </c>
      <c r="DS473" t="n">
        <v>9614.9</v>
      </c>
      <c r="DT473" t="n">
        <v>4577.6</v>
      </c>
      <c r="DU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DP475" t="n">
        <v>45.3</v>
      </c>
      <c r="DQ475" t="n">
        <v>17.7</v>
      </c>
      <c r="DR475" t="n">
        <v>58.3</v>
      </c>
      <c r="DS475" t="n">
        <v>415.1</v>
      </c>
      <c r="DT475" t="n">
        <v>908.5</v>
      </c>
      <c r="DU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DQ477" t="n">
        <v>219.5</v>
      </c>
      <c r="DR477" t="n">
        <v>439</v>
      </c>
      <c r="DT477" t="n">
        <v>6994.6</v>
      </c>
      <c r="DU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DP478" t="n">
        <v>19</v>
      </c>
      <c r="DQ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DP479" t="n">
        <v>219.2</v>
      </c>
      <c r="DQ479" t="n">
        <v>1096</v>
      </c>
      <c r="DR479" t="n">
        <v>47.7</v>
      </c>
      <c r="DS479" t="n">
        <v>6053.8</v>
      </c>
      <c r="DT479" t="n">
        <v>319.6</v>
      </c>
      <c r="DU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DP482" t="n">
        <v>29.7</v>
      </c>
      <c r="DQ482" t="n">
        <v>20.7</v>
      </c>
      <c r="DR482" t="n">
        <v>88</v>
      </c>
      <c r="DS482" t="n">
        <v>183</v>
      </c>
      <c r="DT482" t="n">
        <v>1131.1</v>
      </c>
      <c r="DU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DP488" t="n">
        <v>38</v>
      </c>
      <c r="DQ488" t="n">
        <v>9.5</v>
      </c>
      <c r="DS488" t="n">
        <v>672.6</v>
      </c>
      <c r="DU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DP489" t="n">
        <v>49.1</v>
      </c>
      <c r="DQ489" t="n">
        <v>27.7</v>
      </c>
      <c r="DR489" t="n">
        <v>79.8</v>
      </c>
      <c r="DS489" t="n">
        <v>1021.1</v>
      </c>
      <c r="DT489" t="n">
        <v>645.2</v>
      </c>
      <c r="DU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DP491" t="n">
        <v>262.5</v>
      </c>
      <c r="DQ491" t="n">
        <v>80.8</v>
      </c>
      <c r="DR491" t="n">
        <v>262.5</v>
      </c>
      <c r="DS491" t="n">
        <v>986.6</v>
      </c>
      <c r="DT491" t="n">
        <v>4166.4</v>
      </c>
      <c r="DU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DP495" t="n">
        <v>37.8</v>
      </c>
      <c r="DQ495" t="n">
        <v>17.6</v>
      </c>
      <c r="DR495" t="n">
        <v>55.7</v>
      </c>
      <c r="DS495" t="n">
        <v>297</v>
      </c>
      <c r="DT495" t="n">
        <v>402.2</v>
      </c>
      <c r="DU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DP496" t="n">
        <v>31.6</v>
      </c>
      <c r="DQ496" t="n">
        <v>11.5</v>
      </c>
      <c r="DR496" t="n">
        <v>43.8</v>
      </c>
      <c r="DS496" t="n">
        <v>243.1</v>
      </c>
      <c r="DT496" t="n">
        <v>334.2</v>
      </c>
      <c r="DU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DP497" t="n">
        <v>27</v>
      </c>
      <c r="DQ497" t="n">
        <v>27</v>
      </c>
      <c r="DS497" t="n">
        <v>397</v>
      </c>
      <c r="DU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DP498" t="n">
        <v>114.7</v>
      </c>
      <c r="DQ498" t="n">
        <v>43</v>
      </c>
      <c r="DR498" t="n">
        <v>98.3</v>
      </c>
      <c r="DS498" t="n">
        <v>627.6</v>
      </c>
      <c r="DT498" t="n">
        <v>967</v>
      </c>
      <c r="DU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DR501" t="n">
        <v>2070</v>
      </c>
      <c r="DT501" t="n">
        <v>24902.2</v>
      </c>
      <c r="DU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DP503" t="n">
        <v>66.59999999999999</v>
      </c>
      <c r="DQ503" t="n">
        <v>48.8</v>
      </c>
      <c r="DR503" t="n">
        <v>274.6</v>
      </c>
      <c r="DS503" t="n">
        <v>644.8</v>
      </c>
      <c r="DT503" t="n">
        <v>2856.8</v>
      </c>
      <c r="DU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DP504" t="n">
        <v>63.7</v>
      </c>
      <c r="DQ504" t="n">
        <v>27.3</v>
      </c>
      <c r="DR504" t="n">
        <v>191</v>
      </c>
      <c r="DS504" t="n">
        <v>408</v>
      </c>
      <c r="DT504" t="n">
        <v>763.3</v>
      </c>
      <c r="DU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DP505" t="n">
        <v>276</v>
      </c>
      <c r="DQ505" t="n">
        <v>72.59999999999999</v>
      </c>
      <c r="DR505" t="n">
        <v>197.1</v>
      </c>
      <c r="DS505" t="n">
        <v>1161.4</v>
      </c>
      <c r="DT505" t="n">
        <v>3865.6</v>
      </c>
      <c r="DU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DP506" t="n">
        <v>53.9</v>
      </c>
      <c r="DQ506" t="n">
        <v>18.8</v>
      </c>
      <c r="DR506" t="n">
        <v>125.7</v>
      </c>
      <c r="DS506" t="n">
        <v>547.7</v>
      </c>
      <c r="DT506" t="n">
        <v>909.1</v>
      </c>
      <c r="DU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DP508" t="n">
        <v>96.2</v>
      </c>
      <c r="DQ508" t="n">
        <v>30.7</v>
      </c>
      <c r="DR508" t="n">
        <v>61.4</v>
      </c>
      <c r="DS508" t="n">
        <v>995.3</v>
      </c>
      <c r="DT508" t="n">
        <v>546.3</v>
      </c>
      <c r="DU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DP510" t="n">
        <v>125.6</v>
      </c>
      <c r="DQ510" t="n">
        <v>76.5</v>
      </c>
      <c r="DR510" t="n">
        <v>146.6</v>
      </c>
      <c r="DS510" t="n">
        <v>1685.4</v>
      </c>
      <c r="DT510" t="n">
        <v>2391.5</v>
      </c>
      <c r="DU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DP515" t="n">
        <v>138.1</v>
      </c>
      <c r="DQ515" t="n">
        <v>217</v>
      </c>
      <c r="DR515" t="n">
        <v>116.8</v>
      </c>
      <c r="DS515" t="n">
        <v>1497.7</v>
      </c>
      <c r="DT515" t="n">
        <v>836.1</v>
      </c>
      <c r="DU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DP517" t="n">
        <v>46.3</v>
      </c>
      <c r="DQ517" t="n">
        <v>19.7</v>
      </c>
      <c r="DR517" t="n">
        <v>53.2</v>
      </c>
      <c r="DS517" t="n">
        <v>465.9</v>
      </c>
      <c r="DT517" t="n">
        <v>417.9</v>
      </c>
      <c r="DU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DP520" t="n">
        <v>43.1</v>
      </c>
      <c r="DQ520" t="n">
        <v>20.6</v>
      </c>
      <c r="DR520" t="n">
        <v>75.7</v>
      </c>
      <c r="DS520" t="n">
        <v>411.6</v>
      </c>
      <c r="DT520" t="n">
        <v>403.8</v>
      </c>
      <c r="DU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DP521" t="n">
        <v>135.5</v>
      </c>
      <c r="DQ521" t="n">
        <v>32.3</v>
      </c>
      <c r="DR521" t="n">
        <v>69.5</v>
      </c>
      <c r="DS521" t="n">
        <v>1436.8</v>
      </c>
      <c r="DT521" t="n">
        <v>596.7</v>
      </c>
      <c r="DU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DP522" t="n">
        <v>60.2</v>
      </c>
      <c r="DQ522" t="n">
        <v>29.2</v>
      </c>
      <c r="DR522" t="n">
        <v>85.2</v>
      </c>
      <c r="DS522" t="n">
        <v>714.3</v>
      </c>
      <c r="DT522" t="n">
        <v>742.2</v>
      </c>
      <c r="DU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DP523" t="n">
        <v>601</v>
      </c>
      <c r="DQ523" t="n">
        <v>601</v>
      </c>
      <c r="DS523" t="n">
        <v>2153.1</v>
      </c>
      <c r="DU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DP525" t="n">
        <v>76.40000000000001</v>
      </c>
      <c r="DQ525" t="n">
        <v>50.1</v>
      </c>
      <c r="DR525" t="n">
        <v>96.8</v>
      </c>
      <c r="DS525" t="n">
        <v>545.5</v>
      </c>
      <c r="DT525" t="n">
        <v>771.7</v>
      </c>
      <c r="DU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DP528" t="n">
        <v>177</v>
      </c>
      <c r="DS528" t="n">
        <v>7299.2</v>
      </c>
      <c r="DU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DP531" t="n">
        <v>23.9</v>
      </c>
      <c r="DQ531" t="n">
        <v>13.4</v>
      </c>
      <c r="DR531" t="n">
        <v>92.09999999999999</v>
      </c>
      <c r="DS531" t="n">
        <v>136.1</v>
      </c>
      <c r="DT531" t="n">
        <v>1746.2</v>
      </c>
      <c r="DU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DP532" t="n">
        <v>258.3</v>
      </c>
      <c r="DQ532" t="n">
        <v>163.2</v>
      </c>
      <c r="DR532" t="n">
        <v>387.5</v>
      </c>
      <c r="DS532" t="n">
        <v>1582.7</v>
      </c>
      <c r="DT532" t="n">
        <v>4274.2</v>
      </c>
      <c r="DU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DP534" t="n">
        <v>88.2</v>
      </c>
      <c r="DQ534" t="n">
        <v>176.5</v>
      </c>
      <c r="DR534" t="n">
        <v>70.59999999999999</v>
      </c>
      <c r="DS534" t="n">
        <v>4601.9</v>
      </c>
      <c r="DT534" t="n">
        <v>783.1</v>
      </c>
      <c r="DU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DP536" t="n">
        <v>497</v>
      </c>
      <c r="DQ536" t="n">
        <v>71</v>
      </c>
      <c r="DS536" t="n">
        <v>13044.6</v>
      </c>
      <c r="DU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DP537" t="n">
        <v>77.3</v>
      </c>
      <c r="DQ537" t="n">
        <v>92.8</v>
      </c>
      <c r="DR537" t="n">
        <v>77.3</v>
      </c>
      <c r="DS537" t="n">
        <v>2399.2</v>
      </c>
      <c r="DT537" t="n">
        <v>1550.8</v>
      </c>
      <c r="DU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DP538" t="n">
        <v>87.3</v>
      </c>
      <c r="DQ538" t="n">
        <v>15.6</v>
      </c>
      <c r="DR538" t="n">
        <v>41.6</v>
      </c>
      <c r="DS538" t="n">
        <v>1135.4</v>
      </c>
      <c r="DT538" t="n">
        <v>425.4</v>
      </c>
      <c r="DU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DP539" t="n">
        <v>90</v>
      </c>
      <c r="DQ539" t="n">
        <v>90</v>
      </c>
      <c r="DS539" t="n">
        <v>2032.1</v>
      </c>
      <c r="DU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DP541" t="n">
        <v>222.7</v>
      </c>
      <c r="DQ541" t="n">
        <v>119.9</v>
      </c>
      <c r="DR541" t="n">
        <v>389.8</v>
      </c>
      <c r="DS541" t="n">
        <v>1335.8</v>
      </c>
      <c r="DT541" t="n">
        <v>7505.7</v>
      </c>
      <c r="DU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DQ542" t="n">
        <v>138.9</v>
      </c>
      <c r="DR542" t="n">
        <v>115.8</v>
      </c>
      <c r="DT542" t="n">
        <v>1458.4</v>
      </c>
      <c r="DU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DP543" t="n">
        <v>84.5</v>
      </c>
      <c r="DQ543" t="n">
        <v>38.6</v>
      </c>
      <c r="DR543" t="n">
        <v>199.8</v>
      </c>
      <c r="DS543" t="n">
        <v>421.5</v>
      </c>
      <c r="DT543" t="n">
        <v>2674.6</v>
      </c>
      <c r="DU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DP545" t="n">
        <v>43</v>
      </c>
      <c r="DQ545" t="n">
        <v>19.2</v>
      </c>
      <c r="DR545" t="n">
        <v>44.8</v>
      </c>
      <c r="DS545" t="n">
        <v>460.7</v>
      </c>
      <c r="DT545" t="n">
        <v>379.1</v>
      </c>
      <c r="DU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DP553" t="n">
        <v>66.09999999999999</v>
      </c>
      <c r="DQ553" t="n">
        <v>60.8</v>
      </c>
      <c r="DR553" t="n">
        <v>66.09999999999999</v>
      </c>
      <c r="DS553" t="n">
        <v>623.1</v>
      </c>
      <c r="DT553" t="n">
        <v>505</v>
      </c>
      <c r="DU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DR554" t="n">
        <v>1003</v>
      </c>
      <c r="DT554" t="n">
        <v>14126.6</v>
      </c>
      <c r="DU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DP556" t="n">
        <v>121</v>
      </c>
      <c r="DQ556" t="n">
        <v>302.5</v>
      </c>
      <c r="DS556" t="n">
        <v>2848.6</v>
      </c>
      <c r="DU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DQ558" t="n">
        <v>157</v>
      </c>
      <c r="DR558" t="n">
        <v>52.3</v>
      </c>
      <c r="DT558" t="n">
        <v>776.8</v>
      </c>
      <c r="DU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DP559" t="n">
        <v>83.90000000000001</v>
      </c>
      <c r="DQ559" t="n">
        <v>57.7</v>
      </c>
      <c r="DR559" t="n">
        <v>48.6</v>
      </c>
      <c r="DS559" t="n">
        <v>1314</v>
      </c>
      <c r="DT559" t="n">
        <v>506.3</v>
      </c>
      <c r="DU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DP560" t="n">
        <v>70.09999999999999</v>
      </c>
      <c r="DQ560" t="n">
        <v>28.7</v>
      </c>
      <c r="DR560" t="n">
        <v>101.9</v>
      </c>
      <c r="DS560" t="n">
        <v>340.4</v>
      </c>
      <c r="DT560" t="n">
        <v>1250.8</v>
      </c>
      <c r="DU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DP562" t="n">
        <v>59.6</v>
      </c>
      <c r="DQ562" t="n">
        <v>50</v>
      </c>
      <c r="DR562" t="n">
        <v>96.2</v>
      </c>
      <c r="DS562" t="n">
        <v>1438.3</v>
      </c>
      <c r="DT562" t="n">
        <v>1028.3</v>
      </c>
      <c r="DU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DP563" t="n">
        <v>255.3</v>
      </c>
      <c r="DQ563" t="n">
        <v>62.3</v>
      </c>
      <c r="DR563" t="n">
        <v>255.3</v>
      </c>
      <c r="DS563" t="n">
        <v>1279.5</v>
      </c>
      <c r="DT563" t="n">
        <v>2829</v>
      </c>
      <c r="DU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DP567" t="n">
        <v>37.8</v>
      </c>
      <c r="DQ567" t="n">
        <v>21.6</v>
      </c>
      <c r="DR567" t="n">
        <v>69.8</v>
      </c>
      <c r="DS567" t="n">
        <v>207.2</v>
      </c>
      <c r="DT567" t="n">
        <v>488.3</v>
      </c>
      <c r="DU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DP569" t="n">
        <v>109.9</v>
      </c>
      <c r="DQ569" t="n">
        <v>63.2</v>
      </c>
      <c r="DR569" t="n">
        <v>632</v>
      </c>
      <c r="DS569" t="n">
        <v>905.7</v>
      </c>
      <c r="DT569" t="n">
        <v>5163.6</v>
      </c>
      <c r="DU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DP575" t="n">
        <v>27.9</v>
      </c>
      <c r="DQ575" t="n">
        <v>18.6</v>
      </c>
      <c r="DR575" t="n">
        <v>116.2</v>
      </c>
      <c r="DS575" t="n">
        <v>195.9</v>
      </c>
      <c r="DT575" t="n">
        <v>1866.2</v>
      </c>
      <c r="DU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DP576" t="n">
        <v>83.5</v>
      </c>
      <c r="DQ576" t="n">
        <v>21.7</v>
      </c>
      <c r="DR576" t="n">
        <v>87.90000000000001</v>
      </c>
      <c r="DS576" t="n">
        <v>618.4</v>
      </c>
      <c r="DT576" t="n">
        <v>904.1</v>
      </c>
      <c r="DU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DP577" t="n">
        <v>153.2</v>
      </c>
      <c r="DQ577" t="n">
        <v>120.4</v>
      </c>
      <c r="DR577" t="n">
        <v>210.6</v>
      </c>
      <c r="DS577" t="n">
        <v>2012.6</v>
      </c>
      <c r="DT577" t="n">
        <v>2177.7</v>
      </c>
      <c r="DU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DR578" t="n">
        <v>16</v>
      </c>
      <c r="DT578" t="n">
        <v>167.4</v>
      </c>
      <c r="DU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DQ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DP580" t="n">
        <v>112.4</v>
      </c>
      <c r="DQ580" t="n">
        <v>50.2</v>
      </c>
      <c r="DR580" t="n">
        <v>262.3</v>
      </c>
      <c r="DS580" t="n">
        <v>1369.1</v>
      </c>
      <c r="DT580" t="n">
        <v>1583.6</v>
      </c>
      <c r="DU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DP581" t="n">
        <v>33.5</v>
      </c>
      <c r="DQ581" t="n">
        <v>25</v>
      </c>
      <c r="DR581" t="n">
        <v>177.6</v>
      </c>
      <c r="DS581" t="n">
        <v>185.9</v>
      </c>
      <c r="DT581" t="n">
        <v>2593.3</v>
      </c>
      <c r="DU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DP583" t="n">
        <v>62.4</v>
      </c>
      <c r="DQ583" t="n">
        <v>23.6</v>
      </c>
      <c r="DR583" t="n">
        <v>291</v>
      </c>
      <c r="DS583" t="n">
        <v>474.7</v>
      </c>
      <c r="DT583" t="n">
        <v>2292.2</v>
      </c>
      <c r="DU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DP585" t="n">
        <v>68.59999999999999</v>
      </c>
      <c r="DQ585" t="n">
        <v>24.9</v>
      </c>
      <c r="DR585" t="n">
        <v>137.2</v>
      </c>
      <c r="DS585" t="n">
        <v>381.9</v>
      </c>
      <c r="DT585" t="n">
        <v>1197.3</v>
      </c>
      <c r="DU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DQ587" t="n">
        <v>37</v>
      </c>
      <c r="DR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DP590" t="n">
        <v>53.1</v>
      </c>
      <c r="DQ590" t="n">
        <v>20.2</v>
      </c>
      <c r="DR590" t="n">
        <v>169.8</v>
      </c>
      <c r="DS590" t="n">
        <v>337.4</v>
      </c>
      <c r="DT590" t="n">
        <v>1392.4</v>
      </c>
      <c r="DU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DP591" t="n">
        <v>428</v>
      </c>
      <c r="DQ591" t="n">
        <v>142.7</v>
      </c>
      <c r="DR591" t="n">
        <v>85.59999999999999</v>
      </c>
      <c r="DS591" t="n">
        <v>46359.8</v>
      </c>
      <c r="DT591" t="n">
        <v>1263.4</v>
      </c>
      <c r="DU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DP599" t="n">
        <v>45.9</v>
      </c>
      <c r="DQ599" t="n">
        <v>21.4</v>
      </c>
      <c r="DR599" t="n">
        <v>88.59999999999999</v>
      </c>
      <c r="DS599" t="n">
        <v>435.2</v>
      </c>
      <c r="DT599" t="n">
        <v>766.4</v>
      </c>
      <c r="DU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DP606" t="n">
        <v>175.3</v>
      </c>
      <c r="DQ606" t="n">
        <v>65.8</v>
      </c>
      <c r="DR606" t="n">
        <v>175.3</v>
      </c>
      <c r="DS606" t="n">
        <v>2999.2</v>
      </c>
      <c r="DT606" t="n">
        <v>1825.5</v>
      </c>
      <c r="DU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DP607" t="n">
        <v>320</v>
      </c>
      <c r="DQ607" t="n">
        <v>80</v>
      </c>
      <c r="DS607" t="n">
        <v>4822.3</v>
      </c>
      <c r="DU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DP609" t="n">
        <v>908.5</v>
      </c>
      <c r="DQ609" t="n">
        <v>201.9</v>
      </c>
      <c r="DR609" t="n">
        <v>363.4</v>
      </c>
      <c r="DS609" t="n">
        <v>2769.8</v>
      </c>
      <c r="DT609" t="n">
        <v>4782.1</v>
      </c>
      <c r="DU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DP615" t="n">
        <v>64.8</v>
      </c>
      <c r="DQ615" t="n">
        <v>56</v>
      </c>
      <c r="DR615" t="n">
        <v>58.6</v>
      </c>
      <c r="DS615" t="n">
        <v>1641.7</v>
      </c>
      <c r="DT615" t="n">
        <v>433.7</v>
      </c>
      <c r="DU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DR616" t="n">
        <v>810</v>
      </c>
      <c r="DT616" t="n">
        <v>43552.6</v>
      </c>
      <c r="DU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DP617" t="n">
        <v>31.8</v>
      </c>
      <c r="DQ617" t="n">
        <v>14.1</v>
      </c>
      <c r="DR617" t="n">
        <v>127</v>
      </c>
      <c r="DS617" t="n">
        <v>107.2</v>
      </c>
      <c r="DT617" t="n">
        <v>3465.7</v>
      </c>
      <c r="DU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DP620" t="n">
        <v>293.7</v>
      </c>
      <c r="DQ620" t="n">
        <v>97.90000000000001</v>
      </c>
      <c r="DR620" t="n">
        <v>419.6</v>
      </c>
      <c r="DS620" t="n">
        <v>6503.4</v>
      </c>
      <c r="DT620" t="n">
        <v>4183.1</v>
      </c>
      <c r="DU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DP621" t="n">
        <v>256.5</v>
      </c>
      <c r="DQ621" t="n">
        <v>73.3</v>
      </c>
      <c r="DR621" t="n">
        <v>384.8</v>
      </c>
      <c r="DS621" t="n">
        <v>2530.4</v>
      </c>
      <c r="DT621" t="n">
        <v>9152.799999999999</v>
      </c>
      <c r="DU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DP625" t="n">
        <v>48</v>
      </c>
      <c r="DQ625" t="n">
        <v>19.2</v>
      </c>
      <c r="DR625" t="n">
        <v>320</v>
      </c>
      <c r="DS625" t="n">
        <v>420.2</v>
      </c>
      <c r="DT625" t="n">
        <v>6344.4</v>
      </c>
      <c r="DU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DP627" t="n">
        <v>29.9</v>
      </c>
      <c r="DQ627" t="n">
        <v>13.9</v>
      </c>
      <c r="DR627" t="n">
        <v>117.2</v>
      </c>
      <c r="DS627" t="n">
        <v>189.5</v>
      </c>
      <c r="DT627" t="n">
        <v>1213.3</v>
      </c>
      <c r="DU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DP628" t="n">
        <v>389</v>
      </c>
      <c r="DQ628" t="n">
        <v>145.9</v>
      </c>
      <c r="DR628" t="n">
        <v>145.9</v>
      </c>
      <c r="DS628" t="n">
        <v>5488.3</v>
      </c>
      <c r="DT628" t="n">
        <v>966.5</v>
      </c>
      <c r="DU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DP630" t="n">
        <v>147.8</v>
      </c>
      <c r="DQ630" t="n">
        <v>50.3</v>
      </c>
      <c r="DR630" t="n">
        <v>62.2</v>
      </c>
      <c r="DS630" t="n">
        <v>2637.8</v>
      </c>
      <c r="DT630" t="n">
        <v>641.8</v>
      </c>
      <c r="DU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DQ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DP633" t="n">
        <v>23</v>
      </c>
      <c r="DQ633" t="n">
        <v>17.2</v>
      </c>
      <c r="DS633" t="n">
        <v>399.3</v>
      </c>
      <c r="DU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DP634" t="n">
        <v>128.8</v>
      </c>
      <c r="DQ634" t="n">
        <v>57.2</v>
      </c>
      <c r="DS634" t="n">
        <v>2478.8</v>
      </c>
      <c r="DU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DP637" t="n">
        <v>203.3</v>
      </c>
      <c r="DQ637" t="n">
        <v>70.40000000000001</v>
      </c>
      <c r="DR637" t="n">
        <v>91.5</v>
      </c>
      <c r="DS637" t="n">
        <v>4848.1</v>
      </c>
      <c r="DT637" t="n">
        <v>655.9</v>
      </c>
      <c r="DU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DP639" t="n">
        <v>349.7</v>
      </c>
      <c r="DQ639" t="n">
        <v>55.2</v>
      </c>
      <c r="DR639" t="n">
        <v>131.1</v>
      </c>
      <c r="DS639" t="n">
        <v>12706.2</v>
      </c>
      <c r="DT639" t="n">
        <v>804</v>
      </c>
      <c r="DU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DP644" t="n">
        <v>71.40000000000001</v>
      </c>
      <c r="DQ644" t="n">
        <v>39.7</v>
      </c>
      <c r="DR644" t="n">
        <v>194.7</v>
      </c>
      <c r="DS644" t="n">
        <v>722.2</v>
      </c>
      <c r="DT644" t="n">
        <v>1780.9</v>
      </c>
      <c r="DU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DP647" t="n">
        <v>102.2</v>
      </c>
      <c r="DQ647" t="n">
        <v>58.8</v>
      </c>
      <c r="DR647" t="n">
        <v>235</v>
      </c>
      <c r="DS647" t="n">
        <v>896.1</v>
      </c>
      <c r="DT647" t="n">
        <v>5229.7</v>
      </c>
      <c r="DU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DP648" t="n">
        <v>184.4</v>
      </c>
      <c r="DQ648" t="n">
        <v>461</v>
      </c>
      <c r="DR648" t="n">
        <v>153.7</v>
      </c>
      <c r="DS648" t="n">
        <v>5364</v>
      </c>
      <c r="DT648" t="n">
        <v>2216.6</v>
      </c>
      <c r="DU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DP649" t="n">
        <v>285.4</v>
      </c>
      <c r="DQ649" t="n">
        <v>158.6</v>
      </c>
      <c r="DR649" t="n">
        <v>237.8</v>
      </c>
      <c r="DS649" t="n">
        <v>1501.9</v>
      </c>
      <c r="DT649" t="n">
        <v>8998.299999999999</v>
      </c>
      <c r="DU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DQ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DP652" t="n">
        <v>44.7</v>
      </c>
      <c r="DQ652" t="n">
        <v>25.5</v>
      </c>
      <c r="DR652" t="n">
        <v>44.7</v>
      </c>
      <c r="DS652" t="n">
        <v>403.4</v>
      </c>
      <c r="DT652" t="n">
        <v>588.3</v>
      </c>
      <c r="DU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DP655" t="n">
        <v>110.1</v>
      </c>
      <c r="DQ655" t="n">
        <v>91.8</v>
      </c>
      <c r="DR655" t="n">
        <v>275.2</v>
      </c>
      <c r="DS655" t="n">
        <v>2464.4</v>
      </c>
      <c r="DT655" t="n">
        <v>6409.9</v>
      </c>
      <c r="DU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DR656" t="n">
        <v>270</v>
      </c>
      <c r="DT656" t="n">
        <v>1678.4</v>
      </c>
      <c r="DU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DP657" t="n">
        <v>55</v>
      </c>
      <c r="DQ657" t="n">
        <v>41.2</v>
      </c>
      <c r="DR657" t="n">
        <v>165</v>
      </c>
      <c r="DS657" t="n">
        <v>439.6</v>
      </c>
      <c r="DT657" t="n">
        <v>6129.7</v>
      </c>
      <c r="DU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DP659" t="n">
        <v>918.5</v>
      </c>
      <c r="DQ659" t="n">
        <v>73.5</v>
      </c>
      <c r="DR659" t="n">
        <v>87.5</v>
      </c>
      <c r="DS659" t="n">
        <v>17411.5</v>
      </c>
      <c r="DT659" t="n">
        <v>819</v>
      </c>
      <c r="DU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DP661" t="n">
        <v>68.8</v>
      </c>
      <c r="DQ661" t="n">
        <v>31.8</v>
      </c>
      <c r="DR661" t="n">
        <v>59</v>
      </c>
      <c r="DS661" t="n">
        <v>580.3</v>
      </c>
      <c r="DT661" t="n">
        <v>638.9</v>
      </c>
      <c r="DU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DP664" t="n">
        <v>219.7</v>
      </c>
      <c r="DQ664" t="n">
        <v>94.09999999999999</v>
      </c>
      <c r="DR664" t="n">
        <v>131.8</v>
      </c>
      <c r="DS664" t="n">
        <v>2760.2</v>
      </c>
      <c r="DT664" t="n">
        <v>675.1</v>
      </c>
      <c r="DU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DP671" t="n">
        <v>87.90000000000001</v>
      </c>
      <c r="DQ671" t="n">
        <v>63.9</v>
      </c>
      <c r="DR671" t="n">
        <v>70.3</v>
      </c>
      <c r="DS671" t="n">
        <v>1557.6</v>
      </c>
      <c r="DT671" t="n">
        <v>925</v>
      </c>
      <c r="DU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DP676" t="n">
        <v>110.6</v>
      </c>
      <c r="DQ676" t="n">
        <v>56.7</v>
      </c>
      <c r="DR676" t="n">
        <v>165.9</v>
      </c>
      <c r="DS676" t="n">
        <v>1919.2</v>
      </c>
      <c r="DT676" t="n">
        <v>1364.2</v>
      </c>
      <c r="DU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DP684" t="n">
        <v>58.2</v>
      </c>
      <c r="DQ684" t="n">
        <v>24.4</v>
      </c>
      <c r="DR684" t="n">
        <v>189</v>
      </c>
      <c r="DS684" t="n">
        <v>376</v>
      </c>
      <c r="DT684" t="n">
        <v>1018.1</v>
      </c>
      <c r="DU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DP685" t="n">
        <v>139.9</v>
      </c>
      <c r="DQ685" t="n">
        <v>139.9</v>
      </c>
      <c r="DR685" t="n">
        <v>195.8</v>
      </c>
      <c r="DS685" t="n">
        <v>1580.8</v>
      </c>
      <c r="DT685" t="n">
        <v>1311.7</v>
      </c>
      <c r="DU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DP686" t="n">
        <v>58</v>
      </c>
      <c r="DQ686" t="n">
        <v>58</v>
      </c>
      <c r="DS686" t="n">
        <v>253.3</v>
      </c>
      <c r="DU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DP690" t="n">
        <v>121</v>
      </c>
      <c r="DQ690" t="n">
        <v>60.5</v>
      </c>
      <c r="DR690" t="n">
        <v>121</v>
      </c>
      <c r="DS690" t="n">
        <v>3075</v>
      </c>
      <c r="DT690" t="n">
        <v>2336</v>
      </c>
      <c r="DU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DP694" t="n">
        <v>6</v>
      </c>
      <c r="DQ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DP696" t="n">
        <v>113</v>
      </c>
      <c r="DQ696" t="n">
        <v>37.7</v>
      </c>
      <c r="DR696" t="n">
        <v>56.5</v>
      </c>
      <c r="DS696" t="n">
        <v>1028.3</v>
      </c>
      <c r="DT696" t="n">
        <v>971.3</v>
      </c>
      <c r="DU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DP697" t="n">
        <v>12.7</v>
      </c>
      <c r="DQ697" t="n">
        <v>7.6</v>
      </c>
      <c r="DR697" t="n">
        <v>38</v>
      </c>
      <c r="DS697" t="n">
        <v>362.9</v>
      </c>
      <c r="DT697" t="n">
        <v>1186.2</v>
      </c>
      <c r="DU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DP703" t="n">
        <v>150.6</v>
      </c>
      <c r="DQ703" t="n">
        <v>90.40000000000001</v>
      </c>
      <c r="DR703" t="n">
        <v>93.5</v>
      </c>
      <c r="DS703" t="n">
        <v>4847.6</v>
      </c>
      <c r="DT703" t="n">
        <v>833.2</v>
      </c>
      <c r="DU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DP705" t="n">
        <v>22</v>
      </c>
      <c r="DQ705" t="n">
        <v>11</v>
      </c>
      <c r="DS705" t="n">
        <v>439.4</v>
      </c>
      <c r="DU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DP708" t="n">
        <v>33.5</v>
      </c>
      <c r="DQ708" t="n">
        <v>16.8</v>
      </c>
      <c r="DR708" t="n">
        <v>67</v>
      </c>
      <c r="DS708" t="n">
        <v>650</v>
      </c>
      <c r="DT708" t="n">
        <v>609.7</v>
      </c>
      <c r="DU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DP711" t="n">
        <v>64.8</v>
      </c>
      <c r="DQ711" t="n">
        <v>28.8</v>
      </c>
      <c r="DR711" t="n">
        <v>86.3</v>
      </c>
      <c r="DS711" t="n">
        <v>518.3</v>
      </c>
      <c r="DT711" t="n">
        <v>1195.6</v>
      </c>
      <c r="DU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DP712" t="n">
        <v>45.8</v>
      </c>
      <c r="DQ712" t="n">
        <v>32.7</v>
      </c>
      <c r="DR712" t="n">
        <v>76.3</v>
      </c>
      <c r="DS712" t="n">
        <v>1049.7</v>
      </c>
      <c r="DT712" t="n">
        <v>447.3</v>
      </c>
      <c r="DU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DP713" t="n">
        <v>42.6</v>
      </c>
      <c r="DQ713" t="n">
        <v>41.6</v>
      </c>
      <c r="DR713" t="n">
        <v>59.7</v>
      </c>
      <c r="DS713" t="n">
        <v>907.5</v>
      </c>
      <c r="DT713" t="n">
        <v>545.4</v>
      </c>
      <c r="DU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</row>
  </sheetData>
  <autoFilter ref="A1:DV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11" customWidth="1" min="17" max="17"/>
    <col width="11" customWidth="1" min="18" max="18"/>
    <col width="11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hidden="1" width="11" customWidth="1" min="31" max="31"/>
    <col hidden="1" width="11" customWidth="1" min="32" max="32"/>
    <col hidden="1" width="11" customWidth="1" min="33" max="33"/>
    <col hidden="1" width="11" customWidth="1" min="34" max="34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Draftable</t>
        </is>
      </c>
      <c r="F1" s="1" t="inlineStr">
        <is>
          <t>Price</t>
        </is>
      </c>
      <c r="G1" s="1" t="inlineStr">
        <is>
          <t>Status</t>
        </is>
      </c>
      <c r="H1" s="1" t="inlineStr">
        <is>
          <t>News</t>
        </is>
      </c>
      <c r="I1" s="1" t="inlineStr">
        <is>
          <t>Mins 25/26</t>
        </is>
      </c>
      <c r="J1" s="1" t="inlineStr">
        <is>
          <t>Pts 25/26</t>
        </is>
      </c>
      <c r="K1" s="1" t="inlineStr">
        <is>
          <t>xMins 26/27</t>
        </is>
      </c>
      <c r="L1" s="1" t="inlineStr">
        <is>
          <t>P(CS)</t>
        </is>
      </c>
      <c r="M1" s="1" t="inlineStr">
        <is>
          <t>xG/90</t>
        </is>
      </c>
      <c r="N1" s="1" t="inlineStr">
        <is>
          <t>xG basis</t>
        </is>
      </c>
      <c r="O1" s="1" t="inlineStr">
        <is>
          <t>Placement ratio</t>
        </is>
      </c>
      <c r="P1" s="1" t="inlineStr">
        <is>
          <t>Placement sample xG</t>
        </is>
      </c>
      <c r="Q1" s="1" t="inlineStr">
        <is>
          <t>xA/90</t>
        </is>
      </c>
      <c r="R1" s="1" t="inlineStr">
        <is>
          <t>DefCon rate</t>
        </is>
      </c>
      <c r="S1" s="1" t="inlineStr">
        <is>
          <t>Bonus/90</t>
        </is>
      </c>
      <c r="T1" s="1" t="inlineStr">
        <is>
          <t>Appearance/90</t>
        </is>
      </c>
      <c r="U1" s="1" t="inlineStr">
        <is>
          <t>App pts/90</t>
        </is>
      </c>
      <c r="V1" s="1" t="inlineStr">
        <is>
          <t>xG pts/90</t>
        </is>
      </c>
      <c r="W1" s="1" t="inlineStr">
        <is>
          <t>xA pts/90</t>
        </is>
      </c>
      <c r="X1" s="1" t="inlineStr">
        <is>
          <t>CS pts/90</t>
        </is>
      </c>
      <c r="Y1" s="1" t="inlineStr">
        <is>
          <t>DC pts/90</t>
        </is>
      </c>
      <c r="Z1" s="1" t="inlineStr">
        <is>
          <t>Bonus pts/90</t>
        </is>
      </c>
      <c r="AA1" s="1" t="inlineStr">
        <is>
          <t>xPts/90</t>
        </is>
      </c>
      <c r="AB1" s="1" t="inlineStr">
        <is>
          <t>xPts season</t>
        </is>
      </c>
      <c r="AC1" s="1" t="inlineStr">
        <is>
          <t>VORP</t>
        </is>
      </c>
      <c r="AD1" s="1" t="inlineStr">
        <is>
          <t>VORP per £m</t>
        </is>
      </c>
      <c r="AE1" s="1" t="inlineStr">
        <is>
          <t>_pool GKP</t>
        </is>
      </c>
      <c r="AF1" s="1" t="inlineStr">
        <is>
          <t>_pool DEF</t>
        </is>
      </c>
      <c r="AG1" s="1" t="inlineStr">
        <is>
          <t>_pool MID</t>
        </is>
      </c>
      <c r="AH1" s="1" t="inlineStr">
        <is>
          <t>_pool FWD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b">
        <v>1</v>
      </c>
      <c r="F2" s="2" t="n">
        <v>15.5</v>
      </c>
      <c r="G2" t="inlineStr">
        <is>
          <t>a</t>
        </is>
      </c>
      <c r="I2" s="2" t="n">
        <v>2953</v>
      </c>
      <c r="J2" t="n">
        <v>239</v>
      </c>
      <c r="K2" s="3" t="n">
        <v>2953</v>
      </c>
      <c r="L2" s="3" t="n">
        <v>0.421</v>
      </c>
      <c r="M2" s="4" t="n">
        <v>0.7442</v>
      </c>
      <c r="N2" t="inlineStr">
        <is>
          <t>adjusted xGOT</t>
        </is>
      </c>
      <c r="O2" s="4" t="n">
        <v>0.958</v>
      </c>
      <c r="P2" s="4" t="n">
        <v>105.5</v>
      </c>
      <c r="Q2" s="4" t="n">
        <v>0.1246</v>
      </c>
      <c r="R2" s="4" t="n">
        <v>0</v>
      </c>
      <c r="S2" s="4" t="n">
        <v>1.3105</v>
      </c>
      <c r="T2" s="4" t="n">
        <v>2.072</v>
      </c>
      <c r="U2" s="4">
        <f>IF(T2="",IFERROR(VLOOKUP($C2,Assumptions!$A$4:$F$7,6,FALSE),0),T2)</f>
        <v/>
      </c>
      <c r="V2" s="4">
        <f>N(M2)*IFERROR(VLOOKUP($C2,Assumptions!$A$4:$F$7,2,FALSE),0)</f>
        <v/>
      </c>
      <c r="W2" s="4">
        <f>N(Q2)*IFERROR(VLOOKUP($C2,Assumptions!$A$4:$F$7,3,FALSE),0)*Assumptions!$B$11</f>
        <v/>
      </c>
      <c r="X2" s="4">
        <f>N(L2)*IFERROR(VLOOKUP($C2,Assumptions!$A$4:$F$7,4,FALSE),0)</f>
        <v/>
      </c>
      <c r="Y2" s="4">
        <f>N(R2)*IFERROR(VLOOKUP($C2,Assumptions!$A$4:$F$7,5,FALSE),0)</f>
        <v/>
      </c>
      <c r="Z2" s="4">
        <f>N(S2)</f>
        <v/>
      </c>
      <c r="AA2" s="4">
        <f>SUM(U2:Z2)</f>
        <v/>
      </c>
      <c r="AB2" s="4">
        <f>N(AA2)*N(K2)/90</f>
        <v/>
      </c>
      <c r="AC2" s="4">
        <f>IFERROR(AB2-VLOOKUP($C2,Assumptions!$A$29:$C$32,3,FALSE),"")</f>
        <v/>
      </c>
      <c r="AD2" s="4">
        <f>IFERROR(AC2/F2,"")</f>
        <v/>
      </c>
      <c r="AE2">
        <f>IF(AND($E2=TRUE,$C2="GKP"),AB2,"")</f>
        <v/>
      </c>
      <c r="AF2">
        <f>IF(AND($E2=TRUE,$C2="DEF"),AB2,"")</f>
        <v/>
      </c>
      <c r="AG2">
        <f>IF(AND($E2=TRUE,$C2="MID"),AB2,"")</f>
        <v/>
      </c>
      <c r="AH2">
        <f>IF(AND($E2=TRUE,$C2="FWD"),AB2,"")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b">
        <v>1</v>
      </c>
      <c r="F3" s="2" t="n">
        <v>12</v>
      </c>
      <c r="G3" t="inlineStr">
        <is>
          <t>a</t>
        </is>
      </c>
      <c r="I3" s="2" t="n">
        <v>3065</v>
      </c>
      <c r="J3" t="n">
        <v>235</v>
      </c>
      <c r="K3" s="3" t="n">
        <v>3065</v>
      </c>
      <c r="L3" s="3" t="n">
        <v>0.21</v>
      </c>
      <c r="M3" s="4" t="n">
        <v>0.3024</v>
      </c>
      <c r="N3" t="inlineStr">
        <is>
          <t>adjusted xGOT</t>
        </is>
      </c>
      <c r="O3" s="4" t="n">
        <v>0.954</v>
      </c>
      <c r="P3" s="4" t="n">
        <v>39.8</v>
      </c>
      <c r="Q3" s="4" t="n">
        <v>0.441</v>
      </c>
      <c r="R3" s="4" t="n">
        <v>0.143</v>
      </c>
      <c r="S3" s="4" t="n">
        <v>1.2626</v>
      </c>
      <c r="T3" s="4" t="n">
        <v>2.026</v>
      </c>
      <c r="U3" s="4">
        <f>IF(T3="",IFERROR(VLOOKUP($C3,Assumptions!$A$4:$F$7,6,FALSE),0),T3)</f>
        <v/>
      </c>
      <c r="V3" s="4">
        <f>N(M3)*IFERROR(VLOOKUP($C3,Assumptions!$A$4:$F$7,2,FALSE),0)</f>
        <v/>
      </c>
      <c r="W3" s="4">
        <f>N(Q3)*IFERROR(VLOOKUP($C3,Assumptions!$A$4:$F$7,3,FALSE),0)*Assumptions!$B$11</f>
        <v/>
      </c>
      <c r="X3" s="4">
        <f>N(L3)*IFERROR(VLOOKUP($C3,Assumptions!$A$4:$F$7,4,FALSE),0)</f>
        <v/>
      </c>
      <c r="Y3" s="4">
        <f>N(R3)*IFERROR(VLOOKUP($C3,Assumptions!$A$4:$F$7,5,FALSE),0)</f>
        <v/>
      </c>
      <c r="Z3" s="4">
        <f>N(S3)</f>
        <v/>
      </c>
      <c r="AA3" s="4">
        <f>SUM(U3:Z3)</f>
        <v/>
      </c>
      <c r="AB3" s="4">
        <f>N(AA3)*N(K3)/90</f>
        <v/>
      </c>
      <c r="AC3" s="4">
        <f>IFERROR(AB3-VLOOKUP($C3,Assumptions!$A$29:$C$32,3,FALSE),"")</f>
        <v/>
      </c>
      <c r="AD3" s="4">
        <f>IFERROR(AC3/F3,"")</f>
        <v/>
      </c>
      <c r="AE3">
        <f>IF(AND($E3=TRUE,$C3="GKP"),AB3,"")</f>
        <v/>
      </c>
      <c r="AF3">
        <f>IF(AND($E3=TRUE,$C3="DEF"),AB3,"")</f>
        <v/>
      </c>
      <c r="AG3">
        <f>IF(AND($E3=TRUE,$C3="MID"),AB3,"")</f>
        <v/>
      </c>
      <c r="AH3">
        <f>IF(AND($E3=TRUE,$C3="FWD"),AB3,"")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b">
        <v>1</v>
      </c>
      <c r="F4" s="2" t="n">
        <v>8</v>
      </c>
      <c r="G4" t="inlineStr">
        <is>
          <t>a</t>
        </is>
      </c>
      <c r="I4" s="2" t="n">
        <v>2750</v>
      </c>
      <c r="J4" t="n">
        <v>209</v>
      </c>
      <c r="K4" s="3" t="n">
        <v>2750</v>
      </c>
      <c r="L4" s="3" t="n">
        <v>0.5</v>
      </c>
      <c r="M4" s="4" t="n">
        <v>0.0785</v>
      </c>
      <c r="N4" t="inlineStr">
        <is>
          <t>adjusted xGOT</t>
        </is>
      </c>
      <c r="O4" s="4" t="n">
        <v>0.8159999999999999</v>
      </c>
      <c r="P4" s="4" t="n">
        <v>15.2</v>
      </c>
      <c r="Q4" s="4" t="n">
        <v>0.0732</v>
      </c>
      <c r="R4" s="4" t="n">
        <v>0.367</v>
      </c>
      <c r="S4" s="4" t="n">
        <v>0.7855</v>
      </c>
      <c r="T4" s="4" t="n">
        <v>2.029</v>
      </c>
      <c r="U4" s="4">
        <f>IF(T4="",IFERROR(VLOOKUP($C4,Assumptions!$A$4:$F$7,6,FALSE),0),T4)</f>
        <v/>
      </c>
      <c r="V4" s="4">
        <f>N(M4)*IFERROR(VLOOKUP($C4,Assumptions!$A$4:$F$7,2,FALSE),0)</f>
        <v/>
      </c>
      <c r="W4" s="4">
        <f>N(Q4)*IFERROR(VLOOKUP($C4,Assumptions!$A$4:$F$7,3,FALSE),0)*Assumptions!$B$11</f>
        <v/>
      </c>
      <c r="X4" s="4">
        <f>N(L4)*IFERROR(VLOOKUP($C4,Assumptions!$A$4:$F$7,4,FALSE),0)</f>
        <v/>
      </c>
      <c r="Y4" s="4">
        <f>N(R4)*IFERROR(VLOOKUP($C4,Assumptions!$A$4:$F$7,5,FALSE),0)</f>
        <v/>
      </c>
      <c r="Z4" s="4">
        <f>N(S4)</f>
        <v/>
      </c>
      <c r="AA4" s="4">
        <f>SUM(U4:Z4)</f>
        <v/>
      </c>
      <c r="AB4" s="4">
        <f>N(AA4)*N(K4)/90</f>
        <v/>
      </c>
      <c r="AC4" s="4">
        <f>IFERROR(AB4-VLOOKUP($C4,Assumptions!$A$29:$C$32,3,FALSE),"")</f>
        <v/>
      </c>
      <c r="AD4" s="4">
        <f>IFERROR(AC4/F4,"")</f>
        <v/>
      </c>
      <c r="AE4">
        <f>IF(AND($E4=TRUE,$C4="GKP"),AB4,"")</f>
        <v/>
      </c>
      <c r="AF4">
        <f>IF(AND($E4=TRUE,$C4="DEF"),AB4,"")</f>
        <v/>
      </c>
      <c r="AG4">
        <f>IF(AND($E4=TRUE,$C4="MID"),AB4,"")</f>
        <v/>
      </c>
      <c r="AH4">
        <f>IF(AND($E4=TRUE,$C4="FWD"),AB4,"")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b">
        <v>1</v>
      </c>
      <c r="F5" s="2" t="n">
        <v>8.5</v>
      </c>
      <c r="G5" t="inlineStr">
        <is>
          <t>a</t>
        </is>
      </c>
      <c r="I5" s="2" t="n">
        <v>3200</v>
      </c>
      <c r="J5" t="n">
        <v>202</v>
      </c>
      <c r="K5" s="3" t="n">
        <v>3200</v>
      </c>
      <c r="L5" s="3" t="n">
        <v>0.421</v>
      </c>
      <c r="M5" s="4" t="n">
        <v>0.3561</v>
      </c>
      <c r="N5" t="inlineStr">
        <is>
          <t>adjusted xGOT</t>
        </is>
      </c>
      <c r="O5" s="4" t="n">
        <v>1.141</v>
      </c>
      <c r="P5" s="4" t="n">
        <v>25.7</v>
      </c>
      <c r="Q5" s="4" t="n">
        <v>0.102</v>
      </c>
      <c r="R5" s="4" t="n">
        <v>0.081</v>
      </c>
      <c r="S5" s="4" t="n">
        <v>0.5344</v>
      </c>
      <c r="T5" s="4" t="n">
        <v>2.025</v>
      </c>
      <c r="U5" s="4">
        <f>IF(T5="",IFERROR(VLOOKUP($C5,Assumptions!$A$4:$F$7,6,FALSE),0),T5)</f>
        <v/>
      </c>
      <c r="V5" s="4">
        <f>N(M5)*IFERROR(VLOOKUP($C5,Assumptions!$A$4:$F$7,2,FALSE),0)</f>
        <v/>
      </c>
      <c r="W5" s="4">
        <f>N(Q5)*IFERROR(VLOOKUP($C5,Assumptions!$A$4:$F$7,3,FALSE),0)*Assumptions!$B$11</f>
        <v/>
      </c>
      <c r="X5" s="4">
        <f>N(L5)*IFERROR(VLOOKUP($C5,Assumptions!$A$4:$F$7,4,FALSE),0)</f>
        <v/>
      </c>
      <c r="Y5" s="4">
        <f>N(R5)*IFERROR(VLOOKUP($C5,Assumptions!$A$4:$F$7,5,FALSE),0)</f>
        <v/>
      </c>
      <c r="Z5" s="4">
        <f>N(S5)</f>
        <v/>
      </c>
      <c r="AA5" s="4">
        <f>SUM(U5:Z5)</f>
        <v/>
      </c>
      <c r="AB5" s="4">
        <f>N(AA5)*N(K5)/90</f>
        <v/>
      </c>
      <c r="AC5" s="4">
        <f>IFERROR(AB5-VLOOKUP($C5,Assumptions!$A$29:$C$32,3,FALSE),"")</f>
        <v/>
      </c>
      <c r="AD5" s="4">
        <f>IFERROR(AC5/F5,"")</f>
        <v/>
      </c>
      <c r="AE5">
        <f>IF(AND($E5=TRUE,$C5="GKP"),AB5,"")</f>
        <v/>
      </c>
      <c r="AF5">
        <f>IF(AND($E5=TRUE,$C5="DEF"),AB5,"")</f>
        <v/>
      </c>
      <c r="AG5">
        <f>IF(AND($E5=TRUE,$C5="MID"),AB5,"")</f>
        <v/>
      </c>
      <c r="AH5">
        <f>IF(AND($E5=TRUE,$C5="FWD"),AB5,"")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b">
        <v>1</v>
      </c>
      <c r="F6" s="2" t="n">
        <v>8</v>
      </c>
      <c r="G6" t="inlineStr">
        <is>
          <t>a</t>
        </is>
      </c>
      <c r="I6" s="2" t="n">
        <v>3101</v>
      </c>
      <c r="J6" t="n">
        <v>188</v>
      </c>
      <c r="K6" s="3" t="n">
        <v>3101</v>
      </c>
      <c r="L6" s="3" t="n">
        <v>0.237</v>
      </c>
      <c r="M6" s="4" t="n">
        <v>0.3102</v>
      </c>
      <c r="N6" t="inlineStr">
        <is>
          <t>adjusted xGOT</t>
        </is>
      </c>
      <c r="O6" s="4" t="n">
        <v>0.989</v>
      </c>
      <c r="P6" s="4" t="n">
        <v>30.5</v>
      </c>
      <c r="Q6" s="4" t="n">
        <v>0.1076</v>
      </c>
      <c r="R6" s="4" t="n">
        <v>0.029</v>
      </c>
      <c r="S6" s="4" t="n">
        <v>0.5224</v>
      </c>
      <c r="T6" s="4" t="n">
        <v>2.09</v>
      </c>
      <c r="U6" s="4">
        <f>IF(T6="",IFERROR(VLOOKUP($C6,Assumptions!$A$4:$F$7,6,FALSE),0),T6)</f>
        <v/>
      </c>
      <c r="V6" s="4">
        <f>N(M6)*IFERROR(VLOOKUP($C6,Assumptions!$A$4:$F$7,2,FALSE),0)</f>
        <v/>
      </c>
      <c r="W6" s="4">
        <f>N(Q6)*IFERROR(VLOOKUP($C6,Assumptions!$A$4:$F$7,3,FALSE),0)*Assumptions!$B$11</f>
        <v/>
      </c>
      <c r="X6" s="4">
        <f>N(L6)*IFERROR(VLOOKUP($C6,Assumptions!$A$4:$F$7,4,FALSE),0)</f>
        <v/>
      </c>
      <c r="Y6" s="4">
        <f>N(R6)*IFERROR(VLOOKUP($C6,Assumptions!$A$4:$F$7,5,FALSE),0)</f>
        <v/>
      </c>
      <c r="Z6" s="4">
        <f>N(S6)</f>
        <v/>
      </c>
      <c r="AA6" s="4">
        <f>SUM(U6:Z6)</f>
        <v/>
      </c>
      <c r="AB6" s="4">
        <f>N(AA6)*N(K6)/90</f>
        <v/>
      </c>
      <c r="AC6" s="4">
        <f>IFERROR(AB6-VLOOKUP($C6,Assumptions!$A$29:$C$32,3,FALSE),"")</f>
        <v/>
      </c>
      <c r="AD6" s="4">
        <f>IFERROR(AC6/F6,"")</f>
        <v/>
      </c>
      <c r="AE6">
        <f>IF(AND($E6=TRUE,$C6="GKP"),AB6,"")</f>
        <v/>
      </c>
      <c r="AF6">
        <f>IF(AND($E6=TRUE,$C6="DEF"),AB6,"")</f>
        <v/>
      </c>
      <c r="AG6">
        <f>IF(AND($E6=TRUE,$C6="MID"),AB6,"")</f>
        <v/>
      </c>
      <c r="AH6">
        <f>IF(AND($E6=TRUE,$C6="FWD"),AB6,"")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b">
        <v>1</v>
      </c>
      <c r="F7" s="2" t="n">
        <v>7.5</v>
      </c>
      <c r="G7" t="inlineStr">
        <is>
          <t>a</t>
        </is>
      </c>
      <c r="I7" s="2" t="n">
        <v>3093</v>
      </c>
      <c r="J7" t="n">
        <v>184</v>
      </c>
      <c r="K7" s="3" t="n">
        <v>3093</v>
      </c>
      <c r="L7" s="3" t="n">
        <v>0.5</v>
      </c>
      <c r="M7" s="4" t="n">
        <v>0.1037</v>
      </c>
      <c r="N7" t="inlineStr">
        <is>
          <t>adjusted xGOT</t>
        </is>
      </c>
      <c r="O7" s="4" t="n">
        <v>1.132</v>
      </c>
      <c r="P7" s="4" t="n">
        <v>12.6</v>
      </c>
      <c r="Q7" s="4" t="n">
        <v>0.2252</v>
      </c>
      <c r="R7" s="4" t="n">
        <v>0.4</v>
      </c>
      <c r="S7" s="4" t="n">
        <v>0.6984</v>
      </c>
      <c r="T7" s="4" t="n">
        <v>2.066</v>
      </c>
      <c r="U7" s="4">
        <f>IF(T7="",IFERROR(VLOOKUP($C7,Assumptions!$A$4:$F$7,6,FALSE),0),T7)</f>
        <v/>
      </c>
      <c r="V7" s="4">
        <f>N(M7)*IFERROR(VLOOKUP($C7,Assumptions!$A$4:$F$7,2,FALSE),0)</f>
        <v/>
      </c>
      <c r="W7" s="4">
        <f>N(Q7)*IFERROR(VLOOKUP($C7,Assumptions!$A$4:$F$7,3,FALSE),0)*Assumptions!$B$11</f>
        <v/>
      </c>
      <c r="X7" s="4">
        <f>N(L7)*IFERROR(VLOOKUP($C7,Assumptions!$A$4:$F$7,4,FALSE),0)</f>
        <v/>
      </c>
      <c r="Y7" s="4">
        <f>N(R7)*IFERROR(VLOOKUP($C7,Assumptions!$A$4:$F$7,5,FALSE),0)</f>
        <v/>
      </c>
      <c r="Z7" s="4">
        <f>N(S7)</f>
        <v/>
      </c>
      <c r="AA7" s="4">
        <f>SUM(U7:Z7)</f>
        <v/>
      </c>
      <c r="AB7" s="4">
        <f>N(AA7)*N(K7)/90</f>
        <v/>
      </c>
      <c r="AC7" s="4">
        <f>IFERROR(AB7-VLOOKUP($C7,Assumptions!$A$29:$C$32,3,FALSE),"")</f>
        <v/>
      </c>
      <c r="AD7" s="4">
        <f>IFERROR(AC7/F7,"")</f>
        <v/>
      </c>
      <c r="AE7">
        <f>IF(AND($E7=TRUE,$C7="GKP"),AB7,"")</f>
        <v/>
      </c>
      <c r="AF7">
        <f>IF(AND($E7=TRUE,$C7="DEF"),AB7,"")</f>
        <v/>
      </c>
      <c r="AG7">
        <f>IF(AND($E7=TRUE,$C7="MID"),AB7,"")</f>
        <v/>
      </c>
      <c r="AH7">
        <f>IF(AND($E7=TRUE,$C7="FWD"),AB7,"")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b">
        <v>1</v>
      </c>
      <c r="F8" s="2" t="n">
        <v>8</v>
      </c>
      <c r="G8" t="inlineStr">
        <is>
          <t>a</t>
        </is>
      </c>
      <c r="I8" s="2" t="n">
        <v>3282</v>
      </c>
      <c r="J8" t="n">
        <v>181</v>
      </c>
      <c r="K8" s="3" t="n">
        <v>3282</v>
      </c>
      <c r="L8" s="3" t="n">
        <v>0.263</v>
      </c>
      <c r="M8" s="4" t="n">
        <v>0.5525</v>
      </c>
      <c r="N8" t="inlineStr">
        <is>
          <t>adjusted xGOT</t>
        </is>
      </c>
      <c r="O8" s="4" t="n">
        <v>0.978</v>
      </c>
      <c r="P8" s="4" t="n">
        <v>20.7</v>
      </c>
      <c r="Q8" s="4" t="n">
        <v>0.07240000000000001</v>
      </c>
      <c r="R8" s="4" t="n">
        <v>0.027</v>
      </c>
      <c r="S8" s="4" t="n">
        <v>0.6032999999999999</v>
      </c>
      <c r="T8" s="4" t="n">
        <v>2.057</v>
      </c>
      <c r="U8" s="4">
        <f>IF(T8="",IFERROR(VLOOKUP($C8,Assumptions!$A$4:$F$7,6,FALSE),0),T8)</f>
        <v/>
      </c>
      <c r="V8" s="4">
        <f>N(M8)*IFERROR(VLOOKUP($C8,Assumptions!$A$4:$F$7,2,FALSE),0)</f>
        <v/>
      </c>
      <c r="W8" s="4">
        <f>N(Q8)*IFERROR(VLOOKUP($C8,Assumptions!$A$4:$F$7,3,FALSE),0)*Assumptions!$B$11</f>
        <v/>
      </c>
      <c r="X8" s="4">
        <f>N(L8)*IFERROR(VLOOKUP($C8,Assumptions!$A$4:$F$7,4,FALSE),0)</f>
        <v/>
      </c>
      <c r="Y8" s="4">
        <f>N(R8)*IFERROR(VLOOKUP($C8,Assumptions!$A$4:$F$7,5,FALSE),0)</f>
        <v/>
      </c>
      <c r="Z8" s="4">
        <f>N(S8)</f>
        <v/>
      </c>
      <c r="AA8" s="4">
        <f>SUM(U8:Z8)</f>
        <v/>
      </c>
      <c r="AB8" s="4">
        <f>N(AA8)*N(K8)/90</f>
        <v/>
      </c>
      <c r="AC8" s="4">
        <f>IFERROR(AB8-VLOOKUP($C8,Assumptions!$A$29:$C$32,3,FALSE),"")</f>
        <v/>
      </c>
      <c r="AD8" s="4">
        <f>IFERROR(AC8/F8,"")</f>
        <v/>
      </c>
      <c r="AE8">
        <f>IF(AND($E8=TRUE,$C8="GKP"),AB8,"")</f>
        <v/>
      </c>
      <c r="AF8">
        <f>IF(AND($E8=TRUE,$C8="DEF"),AB8,"")</f>
        <v/>
      </c>
      <c r="AG8">
        <f>IF(AND($E8=TRUE,$C8="MID"),AB8,"")</f>
        <v/>
      </c>
      <c r="AH8">
        <f>IF(AND($E8=TRUE,$C8="FWD"),AB8,"")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b">
        <v>1</v>
      </c>
      <c r="F9" s="2" t="n">
        <v>6.5</v>
      </c>
      <c r="G9" t="inlineStr">
        <is>
          <t>a</t>
        </is>
      </c>
      <c r="I9" s="2" t="n">
        <v>3332</v>
      </c>
      <c r="J9" t="n">
        <v>180</v>
      </c>
      <c r="K9" s="3" t="n">
        <v>3332</v>
      </c>
      <c r="L9" s="3" t="n">
        <v>0.421</v>
      </c>
      <c r="M9" s="4" t="n">
        <v>0.0716</v>
      </c>
      <c r="N9" t="inlineStr">
        <is>
          <t>adjusted xGOT</t>
        </is>
      </c>
      <c r="O9" s="4" t="n">
        <v>0.902</v>
      </c>
      <c r="P9" s="4" t="n">
        <v>7.8</v>
      </c>
      <c r="Q9" s="4" t="n">
        <v>0.1301</v>
      </c>
      <c r="R9" s="4" t="n">
        <v>0.703</v>
      </c>
      <c r="S9" s="4" t="n">
        <v>0.4862</v>
      </c>
      <c r="T9" s="4" t="n">
        <v>2.026</v>
      </c>
      <c r="U9" s="4">
        <f>IF(T9="",IFERROR(VLOOKUP($C9,Assumptions!$A$4:$F$7,6,FALSE),0),T9)</f>
        <v/>
      </c>
      <c r="V9" s="4">
        <f>N(M9)*IFERROR(VLOOKUP($C9,Assumptions!$A$4:$F$7,2,FALSE),0)</f>
        <v/>
      </c>
      <c r="W9" s="4">
        <f>N(Q9)*IFERROR(VLOOKUP($C9,Assumptions!$A$4:$F$7,3,FALSE),0)*Assumptions!$B$11</f>
        <v/>
      </c>
      <c r="X9" s="4">
        <f>N(L9)*IFERROR(VLOOKUP($C9,Assumptions!$A$4:$F$7,4,FALSE),0)</f>
        <v/>
      </c>
      <c r="Y9" s="4">
        <f>N(R9)*IFERROR(VLOOKUP($C9,Assumptions!$A$4:$F$7,5,FALSE),0)</f>
        <v/>
      </c>
      <c r="Z9" s="4">
        <f>N(S9)</f>
        <v/>
      </c>
      <c r="AA9" s="4">
        <f>SUM(U9:Z9)</f>
        <v/>
      </c>
      <c r="AB9" s="4">
        <f>N(AA9)*N(K9)/90</f>
        <v/>
      </c>
      <c r="AC9" s="4">
        <f>IFERROR(AB9-VLOOKUP($C9,Assumptions!$A$29:$C$32,3,FALSE),"")</f>
        <v/>
      </c>
      <c r="AD9" s="4">
        <f>IFERROR(AC9/F9,"")</f>
        <v/>
      </c>
      <c r="AE9">
        <f>IF(AND($E9=TRUE,$C9="GKP"),AB9,"")</f>
        <v/>
      </c>
      <c r="AF9">
        <f>IF(AND($E9=TRUE,$C9="DEF"),AB9,"")</f>
        <v/>
      </c>
      <c r="AG9">
        <f>IF(AND($E9=TRUE,$C9="MID"),AB9,"")</f>
        <v/>
      </c>
      <c r="AH9">
        <f>IF(AND($E9=TRUE,$C9="FWD"),AB9,"")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b">
        <v>1</v>
      </c>
      <c r="F10" s="2" t="n">
        <v>6</v>
      </c>
      <c r="G10" t="inlineStr">
        <is>
          <t>a</t>
        </is>
      </c>
      <c r="I10" s="2" t="n">
        <v>3150</v>
      </c>
      <c r="J10" t="n">
        <v>179</v>
      </c>
      <c r="K10" s="3" t="n">
        <v>3150</v>
      </c>
      <c r="L10" s="3" t="n">
        <v>0.421</v>
      </c>
      <c r="M10" s="4" t="n">
        <v>0.1254</v>
      </c>
      <c r="N10" t="inlineStr">
        <is>
          <t>adjusted xGOT</t>
        </is>
      </c>
      <c r="O10" s="4" t="n">
        <v>1.084</v>
      </c>
      <c r="P10" s="4" t="n">
        <v>8</v>
      </c>
      <c r="Q10" s="4" t="n">
        <v>0.0728</v>
      </c>
      <c r="R10" s="4" t="n">
        <v>0.314</v>
      </c>
      <c r="S10" s="4" t="n">
        <v>0.3429</v>
      </c>
      <c r="T10" s="4" t="n">
        <v>2</v>
      </c>
      <c r="U10" s="4">
        <f>IF(T10="",IFERROR(VLOOKUP($C10,Assumptions!$A$4:$F$7,6,FALSE),0),T10)</f>
        <v/>
      </c>
      <c r="V10" s="4">
        <f>N(M10)*IFERROR(VLOOKUP($C10,Assumptions!$A$4:$F$7,2,FALSE),0)</f>
        <v/>
      </c>
      <c r="W10" s="4">
        <f>N(Q10)*IFERROR(VLOOKUP($C10,Assumptions!$A$4:$F$7,3,FALSE),0)*Assumptions!$B$11</f>
        <v/>
      </c>
      <c r="X10" s="4">
        <f>N(L10)*IFERROR(VLOOKUP($C10,Assumptions!$A$4:$F$7,4,FALSE),0)</f>
        <v/>
      </c>
      <c r="Y10" s="4">
        <f>N(R10)*IFERROR(VLOOKUP($C10,Assumptions!$A$4:$F$7,5,FALSE),0)</f>
        <v/>
      </c>
      <c r="Z10" s="4">
        <f>N(S10)</f>
        <v/>
      </c>
      <c r="AA10" s="4">
        <f>SUM(U10:Z10)</f>
        <v/>
      </c>
      <c r="AB10" s="4">
        <f>N(AA10)*N(K10)/90</f>
        <v/>
      </c>
      <c r="AC10" s="4">
        <f>IFERROR(AB10-VLOOKUP($C10,Assumptions!$A$29:$C$32,3,FALSE),"")</f>
        <v/>
      </c>
      <c r="AD10" s="4">
        <f>IFERROR(AC10/F10,"")</f>
        <v/>
      </c>
      <c r="AE10">
        <f>IF(AND($E10=TRUE,$C10="GKP"),AB10,"")</f>
        <v/>
      </c>
      <c r="AF10">
        <f>IF(AND($E10=TRUE,$C10="DEF"),AB10,"")</f>
        <v/>
      </c>
      <c r="AG10">
        <f>IF(AND($E10=TRUE,$C10="MID"),AB10,"")</f>
        <v/>
      </c>
      <c r="AH10">
        <f>IF(AND($E10=TRUE,$C10="FWD"),AB10,"")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b">
        <v>1</v>
      </c>
      <c r="F11" s="2" t="n">
        <v>7.5</v>
      </c>
      <c r="G11" t="inlineStr">
        <is>
          <t>a</t>
        </is>
      </c>
      <c r="I11" s="2" t="n">
        <v>2658</v>
      </c>
      <c r="J11" t="n">
        <v>177</v>
      </c>
      <c r="K11" s="3" t="n">
        <v>2658</v>
      </c>
      <c r="L11" s="3" t="n">
        <v>0.237</v>
      </c>
      <c r="M11" s="4" t="n">
        <v>0.5062</v>
      </c>
      <c r="N11" t="inlineStr">
        <is>
          <t>adjusted xGOT</t>
        </is>
      </c>
      <c r="O11" s="4" t="n">
        <v>1.003</v>
      </c>
      <c r="P11" s="4" t="n">
        <v>35.9</v>
      </c>
      <c r="Q11" s="4" t="n">
        <v>0.1006</v>
      </c>
      <c r="R11" s="4" t="n">
        <v>0</v>
      </c>
      <c r="S11" s="4" t="n">
        <v>1.0158</v>
      </c>
      <c r="T11" s="4" t="n">
        <v>2.201</v>
      </c>
      <c r="U11" s="4">
        <f>IF(T11="",IFERROR(VLOOKUP($C11,Assumptions!$A$4:$F$7,6,FALSE),0),T11)</f>
        <v/>
      </c>
      <c r="V11" s="4">
        <f>N(M11)*IFERROR(VLOOKUP($C11,Assumptions!$A$4:$F$7,2,FALSE),0)</f>
        <v/>
      </c>
      <c r="W11" s="4">
        <f>N(Q11)*IFERROR(VLOOKUP($C11,Assumptions!$A$4:$F$7,3,FALSE),0)*Assumptions!$B$11</f>
        <v/>
      </c>
      <c r="X11" s="4">
        <f>N(L11)*IFERROR(VLOOKUP($C11,Assumptions!$A$4:$F$7,4,FALSE),0)</f>
        <v/>
      </c>
      <c r="Y11" s="4">
        <f>N(R11)*IFERROR(VLOOKUP($C11,Assumptions!$A$4:$F$7,5,FALSE),0)</f>
        <v/>
      </c>
      <c r="Z11" s="4">
        <f>N(S11)</f>
        <v/>
      </c>
      <c r="AA11" s="4">
        <f>SUM(U11:Z11)</f>
        <v/>
      </c>
      <c r="AB11" s="4">
        <f>N(AA11)*N(K11)/90</f>
        <v/>
      </c>
      <c r="AC11" s="4">
        <f>IFERROR(AB11-VLOOKUP($C11,Assumptions!$A$29:$C$32,3,FALSE),"")</f>
        <v/>
      </c>
      <c r="AD11" s="4">
        <f>IFERROR(AC11/F11,"")</f>
        <v/>
      </c>
      <c r="AE11">
        <f>IF(AND($E11=TRUE,$C11="GKP"),AB11,"")</f>
        <v/>
      </c>
      <c r="AF11">
        <f>IF(AND($E11=TRUE,$C11="DEF"),AB11,"")</f>
        <v/>
      </c>
      <c r="AG11">
        <f>IF(AND($E11=TRUE,$C11="MID"),AB11,"")</f>
        <v/>
      </c>
      <c r="AH11">
        <f>IF(AND($E11=TRUE,$C11="FWD"),AB11,"")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b">
        <v>1</v>
      </c>
      <c r="F12" s="2" t="n">
        <v>6.5</v>
      </c>
      <c r="G12" t="inlineStr">
        <is>
          <t>a</t>
        </is>
      </c>
      <c r="I12" s="2" t="n">
        <v>3420</v>
      </c>
      <c r="J12" t="n">
        <v>175</v>
      </c>
      <c r="K12" s="3" t="n">
        <v>3420</v>
      </c>
      <c r="L12" s="3" t="n">
        <v>0.263</v>
      </c>
      <c r="M12" s="4" t="n">
        <v>0.0983</v>
      </c>
      <c r="N12" t="inlineStr">
        <is>
          <t>adjusted xGOT</t>
        </is>
      </c>
      <c r="O12" s="4" t="n">
        <v>0.991</v>
      </c>
      <c r="P12" s="4" t="n">
        <v>11.4</v>
      </c>
      <c r="Q12" s="4" t="n">
        <v>0.0233</v>
      </c>
      <c r="R12" s="4" t="n">
        <v>0.421</v>
      </c>
      <c r="S12" s="4" t="n">
        <v>0.2368</v>
      </c>
      <c r="T12" s="4" t="n">
        <v>2</v>
      </c>
      <c r="U12" s="4">
        <f>IF(T12="",IFERROR(VLOOKUP($C12,Assumptions!$A$4:$F$7,6,FALSE),0),T12)</f>
        <v/>
      </c>
      <c r="V12" s="4">
        <f>N(M12)*IFERROR(VLOOKUP($C12,Assumptions!$A$4:$F$7,2,FALSE),0)</f>
        <v/>
      </c>
      <c r="W12" s="4">
        <f>N(Q12)*IFERROR(VLOOKUP($C12,Assumptions!$A$4:$F$7,3,FALSE),0)*Assumptions!$B$11</f>
        <v/>
      </c>
      <c r="X12" s="4">
        <f>N(L12)*IFERROR(VLOOKUP($C12,Assumptions!$A$4:$F$7,4,FALSE),0)</f>
        <v/>
      </c>
      <c r="Y12" s="4">
        <f>N(R12)*IFERROR(VLOOKUP($C12,Assumptions!$A$4:$F$7,5,FALSE),0)</f>
        <v/>
      </c>
      <c r="Z12" s="4">
        <f>N(S12)</f>
        <v/>
      </c>
      <c r="AA12" s="4">
        <f>SUM(U12:Z12)</f>
        <v/>
      </c>
      <c r="AB12" s="4">
        <f>N(AA12)*N(K12)/90</f>
        <v/>
      </c>
      <c r="AC12" s="4">
        <f>IFERROR(AB12-VLOOKUP($C12,Assumptions!$A$29:$C$32,3,FALSE),"")</f>
        <v/>
      </c>
      <c r="AD12" s="4">
        <f>IFERROR(AC12/F12,"")</f>
        <v/>
      </c>
      <c r="AE12">
        <f>IF(AND($E12=TRUE,$C12="GKP"),AB12,"")</f>
        <v/>
      </c>
      <c r="AF12">
        <f>IF(AND($E12=TRUE,$C12="DEF"),AB12,"")</f>
        <v/>
      </c>
      <c r="AG12">
        <f>IF(AND($E12=TRUE,$C12="MID"),AB12,"")</f>
        <v/>
      </c>
      <c r="AH12">
        <f>IF(AND($E12=TRUE,$C12="FWD"),AB12,"")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b">
        <v>1</v>
      </c>
      <c r="F13" s="2" t="n">
        <v>6</v>
      </c>
      <c r="G13" t="inlineStr">
        <is>
          <t>a</t>
        </is>
      </c>
      <c r="I13" s="2" t="n">
        <v>3288</v>
      </c>
      <c r="J13" t="n">
        <v>175</v>
      </c>
      <c r="K13" s="3" t="n">
        <v>3288</v>
      </c>
      <c r="L13" s="3" t="n">
        <v>0.237</v>
      </c>
      <c r="M13" s="4" t="n">
        <v>0.0335</v>
      </c>
      <c r="N13" t="inlineStr">
        <is>
          <t>adjusted xGOT</t>
        </is>
      </c>
      <c r="O13" s="4" t="n">
        <v>0.799</v>
      </c>
      <c r="P13" s="4" t="n">
        <v>6</v>
      </c>
      <c r="Q13" s="4" t="n">
        <v>0.1197</v>
      </c>
      <c r="R13" s="4" t="n">
        <v>0.703</v>
      </c>
      <c r="S13" s="4" t="n">
        <v>0.3285</v>
      </c>
      <c r="T13" s="4" t="n">
        <v>2.026</v>
      </c>
      <c r="U13" s="4">
        <f>IF(T13="",IFERROR(VLOOKUP($C13,Assumptions!$A$4:$F$7,6,FALSE),0),T13)</f>
        <v/>
      </c>
      <c r="V13" s="4">
        <f>N(M13)*IFERROR(VLOOKUP($C13,Assumptions!$A$4:$F$7,2,FALSE),0)</f>
        <v/>
      </c>
      <c r="W13" s="4">
        <f>N(Q13)*IFERROR(VLOOKUP($C13,Assumptions!$A$4:$F$7,3,FALSE),0)*Assumptions!$B$11</f>
        <v/>
      </c>
      <c r="X13" s="4">
        <f>N(L13)*IFERROR(VLOOKUP($C13,Assumptions!$A$4:$F$7,4,FALSE),0)</f>
        <v/>
      </c>
      <c r="Y13" s="4">
        <f>N(R13)*IFERROR(VLOOKUP($C13,Assumptions!$A$4:$F$7,5,FALSE),0)</f>
        <v/>
      </c>
      <c r="Z13" s="4">
        <f>N(S13)</f>
        <v/>
      </c>
      <c r="AA13" s="4">
        <f>SUM(U13:Z13)</f>
        <v/>
      </c>
      <c r="AB13" s="4">
        <f>N(AA13)*N(K13)/90</f>
        <v/>
      </c>
      <c r="AC13" s="4">
        <f>IFERROR(AB13-VLOOKUP($C13,Assumptions!$A$29:$C$32,3,FALSE),"")</f>
        <v/>
      </c>
      <c r="AD13" s="4">
        <f>IFERROR(AC13/F13,"")</f>
        <v/>
      </c>
      <c r="AE13">
        <f>IF(AND($E13=TRUE,$C13="GKP"),AB13,"")</f>
        <v/>
      </c>
      <c r="AF13">
        <f>IF(AND($E13=TRUE,$C13="DEF"),AB13,"")</f>
        <v/>
      </c>
      <c r="AG13">
        <f>IF(AND($E13=TRUE,$C13="MID"),AB13,"")</f>
        <v/>
      </c>
      <c r="AH13">
        <f>IF(AND($E13=TRUE,$C13="FWD"),AB13,"")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b">
        <v>1</v>
      </c>
      <c r="F14" s="2" t="n">
        <v>6</v>
      </c>
      <c r="G14" t="inlineStr">
        <is>
          <t>a</t>
        </is>
      </c>
      <c r="I14" s="2" t="n">
        <v>3330</v>
      </c>
      <c r="J14" t="n">
        <v>170</v>
      </c>
      <c r="K14" s="3" t="n">
        <v>3330</v>
      </c>
      <c r="L14" s="3" t="n">
        <v>0.29</v>
      </c>
      <c r="M14" s="4" t="n">
        <v>0.0555</v>
      </c>
      <c r="N14" t="inlineStr">
        <is>
          <t>adjusted xGOT</t>
        </is>
      </c>
      <c r="O14" s="4" t="n">
        <v>0.8120000000000001</v>
      </c>
      <c r="P14" s="4" t="n">
        <v>9.4</v>
      </c>
      <c r="Q14" s="4" t="n">
        <v>0.0562</v>
      </c>
      <c r="R14" s="4" t="n">
        <v>0.595</v>
      </c>
      <c r="S14" s="4" t="n">
        <v>0.3243</v>
      </c>
      <c r="T14" s="4" t="n">
        <v>2</v>
      </c>
      <c r="U14" s="4">
        <f>IF(T14="",IFERROR(VLOOKUP($C14,Assumptions!$A$4:$F$7,6,FALSE),0),T14)</f>
        <v/>
      </c>
      <c r="V14" s="4">
        <f>N(M14)*IFERROR(VLOOKUP($C14,Assumptions!$A$4:$F$7,2,FALSE),0)</f>
        <v/>
      </c>
      <c r="W14" s="4">
        <f>N(Q14)*IFERROR(VLOOKUP($C14,Assumptions!$A$4:$F$7,3,FALSE),0)*Assumptions!$B$11</f>
        <v/>
      </c>
      <c r="X14" s="4">
        <f>N(L14)*IFERROR(VLOOKUP($C14,Assumptions!$A$4:$F$7,4,FALSE),0)</f>
        <v/>
      </c>
      <c r="Y14" s="4">
        <f>N(R14)*IFERROR(VLOOKUP($C14,Assumptions!$A$4:$F$7,5,FALSE),0)</f>
        <v/>
      </c>
      <c r="Z14" s="4">
        <f>N(S14)</f>
        <v/>
      </c>
      <c r="AA14" s="4">
        <f>SUM(U14:Z14)</f>
        <v/>
      </c>
      <c r="AB14" s="4">
        <f>N(AA14)*N(K14)/90</f>
        <v/>
      </c>
      <c r="AC14" s="4">
        <f>IFERROR(AB14-VLOOKUP($C14,Assumptions!$A$29:$C$32,3,FALSE),"")</f>
        <v/>
      </c>
      <c r="AD14" s="4">
        <f>IFERROR(AC14/F14,"")</f>
        <v/>
      </c>
      <c r="AE14">
        <f>IF(AND($E14=TRUE,$C14="GKP"),AB14,"")</f>
        <v/>
      </c>
      <c r="AF14">
        <f>IF(AND($E14=TRUE,$C14="DEF"),AB14,"")</f>
        <v/>
      </c>
      <c r="AG14">
        <f>IF(AND($E14=TRUE,$C14="MID"),AB14,"")</f>
        <v/>
      </c>
      <c r="AH14">
        <f>IF(AND($E14=TRUE,$C14="FWD"),AB14,"")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b">
        <v>1</v>
      </c>
      <c r="F15" s="2" t="n">
        <v>7.5</v>
      </c>
      <c r="G15" t="inlineStr">
        <is>
          <t>a</t>
        </is>
      </c>
      <c r="I15" s="2" t="n">
        <v>3280</v>
      </c>
      <c r="J15" t="n">
        <v>169</v>
      </c>
      <c r="K15" s="3" t="n">
        <v>3280</v>
      </c>
      <c r="L15" s="3" t="n">
        <v>0.237</v>
      </c>
      <c r="M15" s="4" t="n">
        <v>0.2094</v>
      </c>
      <c r="N15" t="inlineStr">
        <is>
          <t>adjusted xGOT</t>
        </is>
      </c>
      <c r="O15" s="4" t="n">
        <v>1.116</v>
      </c>
      <c r="P15" s="4" t="n">
        <v>14.7</v>
      </c>
      <c r="Q15" s="4" t="n">
        <v>0.1618</v>
      </c>
      <c r="R15" s="4" t="n">
        <v>0.027</v>
      </c>
      <c r="S15" s="4" t="n">
        <v>0.4665</v>
      </c>
      <c r="T15" s="4" t="n">
        <v>2.03</v>
      </c>
      <c r="U15" s="4">
        <f>IF(T15="",IFERROR(VLOOKUP($C15,Assumptions!$A$4:$F$7,6,FALSE),0),T15)</f>
        <v/>
      </c>
      <c r="V15" s="4">
        <f>N(M15)*IFERROR(VLOOKUP($C15,Assumptions!$A$4:$F$7,2,FALSE),0)</f>
        <v/>
      </c>
      <c r="W15" s="4">
        <f>N(Q15)*IFERROR(VLOOKUP($C15,Assumptions!$A$4:$F$7,3,FALSE),0)*Assumptions!$B$11</f>
        <v/>
      </c>
      <c r="X15" s="4">
        <f>N(L15)*IFERROR(VLOOKUP($C15,Assumptions!$A$4:$F$7,4,FALSE),0)</f>
        <v/>
      </c>
      <c r="Y15" s="4">
        <f>N(R15)*IFERROR(VLOOKUP($C15,Assumptions!$A$4:$F$7,5,FALSE),0)</f>
        <v/>
      </c>
      <c r="Z15" s="4">
        <f>N(S15)</f>
        <v/>
      </c>
      <c r="AA15" s="4">
        <f>SUM(U15:Z15)</f>
        <v/>
      </c>
      <c r="AB15" s="4">
        <f>N(AA15)*N(K15)/90</f>
        <v/>
      </c>
      <c r="AC15" s="4">
        <f>IFERROR(AB15-VLOOKUP($C15,Assumptions!$A$29:$C$32,3,FALSE),"")</f>
        <v/>
      </c>
      <c r="AD15" s="4">
        <f>IFERROR(AC15/F15,"")</f>
        <v/>
      </c>
      <c r="AE15">
        <f>IF(AND($E15=TRUE,$C15="GKP"),AB15,"")</f>
        <v/>
      </c>
      <c r="AF15">
        <f>IF(AND($E15=TRUE,$C15="DEF"),AB15,"")</f>
        <v/>
      </c>
      <c r="AG15">
        <f>IF(AND($E15=TRUE,$C15="MID"),AB15,"")</f>
        <v/>
      </c>
      <c r="AH15">
        <f>IF(AND($E15=TRUE,$C15="FWD"),AB15,"")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b">
        <v>1</v>
      </c>
      <c r="F16" s="2" t="n">
        <v>6.5</v>
      </c>
      <c r="G16" t="inlineStr">
        <is>
          <t>a</t>
        </is>
      </c>
      <c r="I16" s="2" t="n">
        <v>2674</v>
      </c>
      <c r="J16" t="n">
        <v>168</v>
      </c>
      <c r="K16" s="3" t="n">
        <v>2674</v>
      </c>
      <c r="L16" s="3" t="n">
        <v>0.21</v>
      </c>
      <c r="M16" s="4" t="n">
        <v>0.2446</v>
      </c>
      <c r="N16" t="inlineStr">
        <is>
          <t>adjusted xGOT</t>
        </is>
      </c>
      <c r="O16" s="4" t="n">
        <v>1.236</v>
      </c>
      <c r="P16" s="4" t="n">
        <v>15.6</v>
      </c>
      <c r="Q16" s="4" t="n">
        <v>0.1729</v>
      </c>
      <c r="R16" s="4" t="n">
        <v>0.031</v>
      </c>
      <c r="S16" s="4" t="n">
        <v>0.7068</v>
      </c>
      <c r="T16" s="4" t="n">
        <v>2.221</v>
      </c>
      <c r="U16" s="4">
        <f>IF(T16="",IFERROR(VLOOKUP($C16,Assumptions!$A$4:$F$7,6,FALSE),0),T16)</f>
        <v/>
      </c>
      <c r="V16" s="4">
        <f>N(M16)*IFERROR(VLOOKUP($C16,Assumptions!$A$4:$F$7,2,FALSE),0)</f>
        <v/>
      </c>
      <c r="W16" s="4">
        <f>N(Q16)*IFERROR(VLOOKUP($C16,Assumptions!$A$4:$F$7,3,FALSE),0)*Assumptions!$B$11</f>
        <v/>
      </c>
      <c r="X16" s="4">
        <f>N(L16)*IFERROR(VLOOKUP($C16,Assumptions!$A$4:$F$7,4,FALSE),0)</f>
        <v/>
      </c>
      <c r="Y16" s="4">
        <f>N(R16)*IFERROR(VLOOKUP($C16,Assumptions!$A$4:$F$7,5,FALSE),0)</f>
        <v/>
      </c>
      <c r="Z16" s="4">
        <f>N(S16)</f>
        <v/>
      </c>
      <c r="AA16" s="4">
        <f>SUM(U16:Z16)</f>
        <v/>
      </c>
      <c r="AB16" s="4">
        <f>N(AA16)*N(K16)/90</f>
        <v/>
      </c>
      <c r="AC16" s="4">
        <f>IFERROR(AB16-VLOOKUP($C16,Assumptions!$A$29:$C$32,3,FALSE),"")</f>
        <v/>
      </c>
      <c r="AD16" s="4">
        <f>IFERROR(AC16/F16,"")</f>
        <v/>
      </c>
      <c r="AE16">
        <f>IF(AND($E16=TRUE,$C16="GKP"),AB16,"")</f>
        <v/>
      </c>
      <c r="AF16">
        <f>IF(AND($E16=TRUE,$C16="DEF"),AB16,"")</f>
        <v/>
      </c>
      <c r="AG16">
        <f>IF(AND($E16=TRUE,$C16="MID"),AB16,"")</f>
        <v/>
      </c>
      <c r="AH16">
        <f>IF(AND($E16=TRUE,$C16="FWD"),AB16,"")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b">
        <v>1</v>
      </c>
      <c r="F17" s="2" t="n">
        <v>8</v>
      </c>
      <c r="G17" t="inlineStr">
        <is>
          <t>a</t>
        </is>
      </c>
      <c r="I17" s="2" t="n">
        <v>2833</v>
      </c>
      <c r="J17" t="n">
        <v>167</v>
      </c>
      <c r="K17" s="3" t="n">
        <v>2833</v>
      </c>
      <c r="L17" s="3" t="n">
        <v>0.237</v>
      </c>
      <c r="M17" s="4" t="n">
        <v>0.5014999999999999</v>
      </c>
      <c r="N17" t="inlineStr">
        <is>
          <t>adjusted xGOT</t>
        </is>
      </c>
      <c r="O17" s="4" t="n">
        <v>1.025</v>
      </c>
      <c r="P17" s="4" t="n">
        <v>63.4</v>
      </c>
      <c r="Q17" s="4" t="n">
        <v>0.0635</v>
      </c>
      <c r="R17" s="4" t="n">
        <v>0</v>
      </c>
      <c r="S17" s="4" t="n">
        <v>0.826</v>
      </c>
      <c r="T17" s="4" t="n">
        <v>2.192</v>
      </c>
      <c r="U17" s="4">
        <f>IF(T17="",IFERROR(VLOOKUP($C17,Assumptions!$A$4:$F$7,6,FALSE),0),T17)</f>
        <v/>
      </c>
      <c r="V17" s="4">
        <f>N(M17)*IFERROR(VLOOKUP($C17,Assumptions!$A$4:$F$7,2,FALSE),0)</f>
        <v/>
      </c>
      <c r="W17" s="4">
        <f>N(Q17)*IFERROR(VLOOKUP($C17,Assumptions!$A$4:$F$7,3,FALSE),0)*Assumptions!$B$11</f>
        <v/>
      </c>
      <c r="X17" s="4">
        <f>N(L17)*IFERROR(VLOOKUP($C17,Assumptions!$A$4:$F$7,4,FALSE),0)</f>
        <v/>
      </c>
      <c r="Y17" s="4">
        <f>N(R17)*IFERROR(VLOOKUP($C17,Assumptions!$A$4:$F$7,5,FALSE),0)</f>
        <v/>
      </c>
      <c r="Z17" s="4">
        <f>N(S17)</f>
        <v/>
      </c>
      <c r="AA17" s="4">
        <f>SUM(U17:Z17)</f>
        <v/>
      </c>
      <c r="AB17" s="4">
        <f>N(AA17)*N(K17)/90</f>
        <v/>
      </c>
      <c r="AC17" s="4">
        <f>IFERROR(AB17-VLOOKUP($C17,Assumptions!$A$29:$C$32,3,FALSE),"")</f>
        <v/>
      </c>
      <c r="AD17" s="4">
        <f>IFERROR(AC17/F17,"")</f>
        <v/>
      </c>
      <c r="AE17">
        <f>IF(AND($E17=TRUE,$C17="GKP"),AB17,"")</f>
        <v/>
      </c>
      <c r="AF17">
        <f>IF(AND($E17=TRUE,$C17="DEF"),AB17,"")</f>
        <v/>
      </c>
      <c r="AG17">
        <f>IF(AND($E17=TRUE,$C17="MID"),AB17,"")</f>
        <v/>
      </c>
      <c r="AH17">
        <f>IF(AND($E17=TRUE,$C17="FWD"),AB17,"")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b">
        <v>1</v>
      </c>
      <c r="F18" s="2" t="n">
        <v>5.5</v>
      </c>
      <c r="G18" t="inlineStr">
        <is>
          <t>a</t>
        </is>
      </c>
      <c r="I18" s="2" t="n">
        <v>3378</v>
      </c>
      <c r="J18" t="n">
        <v>165</v>
      </c>
      <c r="K18" s="3" t="n">
        <v>3378</v>
      </c>
      <c r="L18" s="3" t="n">
        <v>0.29</v>
      </c>
      <c r="M18" s="4" t="n">
        <v>0.0369</v>
      </c>
      <c r="N18" t="inlineStr">
        <is>
          <t>adjusted xGOT</t>
        </is>
      </c>
      <c r="O18" s="4" t="n">
        <v>1.027</v>
      </c>
      <c r="P18" s="4" t="n">
        <v>1.4</v>
      </c>
      <c r="Q18" s="4" t="n">
        <v>0.09959999999999999</v>
      </c>
      <c r="R18" s="4" t="n">
        <v>0.316</v>
      </c>
      <c r="S18" s="4" t="n">
        <v>0.5062</v>
      </c>
      <c r="T18" s="4" t="n">
        <v>2.025</v>
      </c>
      <c r="U18" s="4">
        <f>IF(T18="",IFERROR(VLOOKUP($C18,Assumptions!$A$4:$F$7,6,FALSE),0),T18)</f>
        <v/>
      </c>
      <c r="V18" s="4">
        <f>N(M18)*IFERROR(VLOOKUP($C18,Assumptions!$A$4:$F$7,2,FALSE),0)</f>
        <v/>
      </c>
      <c r="W18" s="4">
        <f>N(Q18)*IFERROR(VLOOKUP($C18,Assumptions!$A$4:$F$7,3,FALSE),0)*Assumptions!$B$11</f>
        <v/>
      </c>
      <c r="X18" s="4">
        <f>N(L18)*IFERROR(VLOOKUP($C18,Assumptions!$A$4:$F$7,4,FALSE),0)</f>
        <v/>
      </c>
      <c r="Y18" s="4">
        <f>N(R18)*IFERROR(VLOOKUP($C18,Assumptions!$A$4:$F$7,5,FALSE),0)</f>
        <v/>
      </c>
      <c r="Z18" s="4">
        <f>N(S18)</f>
        <v/>
      </c>
      <c r="AA18" s="4">
        <f>SUM(U18:Z18)</f>
        <v/>
      </c>
      <c r="AB18" s="4">
        <f>N(AA18)*N(K18)/90</f>
        <v/>
      </c>
      <c r="AC18" s="4">
        <f>IFERROR(AB18-VLOOKUP($C18,Assumptions!$A$29:$C$32,3,FALSE),"")</f>
        <v/>
      </c>
      <c r="AD18" s="4">
        <f>IFERROR(AC18/F18,"")</f>
        <v/>
      </c>
      <c r="AE18">
        <f>IF(AND($E18=TRUE,$C18="GKP"),AB18,"")</f>
        <v/>
      </c>
      <c r="AF18">
        <f>IF(AND($E18=TRUE,$C18="DEF"),AB18,"")</f>
        <v/>
      </c>
      <c r="AG18">
        <f>IF(AND($E18=TRUE,$C18="MID"),AB18,"")</f>
        <v/>
      </c>
      <c r="AH18">
        <f>IF(AND($E18=TRUE,$C18="FWD"),AB18,"")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b">
        <v>1</v>
      </c>
      <c r="F19" s="2" t="n">
        <v>6</v>
      </c>
      <c r="G19" t="inlineStr">
        <is>
          <t>a</t>
        </is>
      </c>
      <c r="I19" s="2" t="n">
        <v>3330</v>
      </c>
      <c r="J19" t="n">
        <v>162</v>
      </c>
      <c r="K19" s="3" t="n">
        <v>3330</v>
      </c>
      <c r="L19" s="3" t="n">
        <v>0.5</v>
      </c>
      <c r="M19" s="4" t="n">
        <v>0</v>
      </c>
      <c r="N19" t="inlineStr">
        <is>
          <t>adjusted xGOT</t>
        </is>
      </c>
      <c r="O19" s="4" t="n">
        <v>0.986</v>
      </c>
      <c r="P19" s="4" t="n">
        <v>0.1</v>
      </c>
      <c r="Q19" s="4" t="n">
        <v>0.003</v>
      </c>
      <c r="R19" s="4" t="n">
        <v>0</v>
      </c>
      <c r="S19" s="4" t="n">
        <v>0.2973</v>
      </c>
      <c r="T19" s="4" t="n">
        <v>2</v>
      </c>
      <c r="U19" s="4">
        <f>IF(T19="",IFERROR(VLOOKUP($C19,Assumptions!$A$4:$F$7,6,FALSE),0),T19)</f>
        <v/>
      </c>
      <c r="V19" s="4">
        <f>N(M19)*IFERROR(VLOOKUP($C19,Assumptions!$A$4:$F$7,2,FALSE),0)</f>
        <v/>
      </c>
      <c r="W19" s="4">
        <f>N(Q19)*IFERROR(VLOOKUP($C19,Assumptions!$A$4:$F$7,3,FALSE),0)*Assumptions!$B$11</f>
        <v/>
      </c>
      <c r="X19" s="4">
        <f>N(L19)*IFERROR(VLOOKUP($C19,Assumptions!$A$4:$F$7,4,FALSE),0)</f>
        <v/>
      </c>
      <c r="Y19" s="4">
        <f>N(R19)*IFERROR(VLOOKUP($C19,Assumptions!$A$4:$F$7,5,FALSE),0)</f>
        <v/>
      </c>
      <c r="Z19" s="4">
        <f>N(S19)</f>
        <v/>
      </c>
      <c r="AA19" s="4">
        <f>SUM(U19:Z19)</f>
        <v/>
      </c>
      <c r="AB19" s="4">
        <f>N(AA19)*N(K19)/90</f>
        <v/>
      </c>
      <c r="AC19" s="4">
        <f>IFERROR(AB19-VLOOKUP($C19,Assumptions!$A$29:$C$32,3,FALSE),"")</f>
        <v/>
      </c>
      <c r="AD19" s="4">
        <f>IFERROR(AC19/F19,"")</f>
        <v/>
      </c>
      <c r="AE19">
        <f>IF(AND($E19=TRUE,$C19="GKP"),AB19,"")</f>
        <v/>
      </c>
      <c r="AF19">
        <f>IF(AND($E19=TRUE,$C19="DEF"),AB19,"")</f>
        <v/>
      </c>
      <c r="AG19">
        <f>IF(AND($E19=TRUE,$C19="MID"),AB19,"")</f>
        <v/>
      </c>
      <c r="AH19">
        <f>IF(AND($E19=TRUE,$C19="FWD"),AB19,"")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b">
        <v>1</v>
      </c>
      <c r="F20" s="2" t="n">
        <v>7</v>
      </c>
      <c r="G20" t="inlineStr">
        <is>
          <t>a</t>
        </is>
      </c>
      <c r="I20" s="2" t="n">
        <v>3232</v>
      </c>
      <c r="J20" t="n">
        <v>160</v>
      </c>
      <c r="K20" s="3" t="n">
        <v>3232</v>
      </c>
      <c r="L20" s="3" t="n">
        <v>0.263</v>
      </c>
      <c r="M20" s="4" t="n">
        <v>0.1056</v>
      </c>
      <c r="N20" t="inlineStr">
        <is>
          <t>adjusted xGOT</t>
        </is>
      </c>
      <c r="O20" s="4" t="n">
        <v>0.797</v>
      </c>
      <c r="P20" s="4" t="n">
        <v>15.3</v>
      </c>
      <c r="Q20" s="4" t="n">
        <v>0.2181</v>
      </c>
      <c r="R20" s="4" t="n">
        <v>0.278</v>
      </c>
      <c r="S20" s="4" t="n">
        <v>0.5848</v>
      </c>
      <c r="T20" s="4" t="n">
        <v>2.005</v>
      </c>
      <c r="U20" s="4">
        <f>IF(T20="",IFERROR(VLOOKUP($C20,Assumptions!$A$4:$F$7,6,FALSE),0),T20)</f>
        <v/>
      </c>
      <c r="V20" s="4">
        <f>N(M20)*IFERROR(VLOOKUP($C20,Assumptions!$A$4:$F$7,2,FALSE),0)</f>
        <v/>
      </c>
      <c r="W20" s="4">
        <f>N(Q20)*IFERROR(VLOOKUP($C20,Assumptions!$A$4:$F$7,3,FALSE),0)*Assumptions!$B$11</f>
        <v/>
      </c>
      <c r="X20" s="4">
        <f>N(L20)*IFERROR(VLOOKUP($C20,Assumptions!$A$4:$F$7,4,FALSE),0)</f>
        <v/>
      </c>
      <c r="Y20" s="4">
        <f>N(R20)*IFERROR(VLOOKUP($C20,Assumptions!$A$4:$F$7,5,FALSE),0)</f>
        <v/>
      </c>
      <c r="Z20" s="4">
        <f>N(S20)</f>
        <v/>
      </c>
      <c r="AA20" s="4">
        <f>SUM(U20:Z20)</f>
        <v/>
      </c>
      <c r="AB20" s="4">
        <f>N(AA20)*N(K20)/90</f>
        <v/>
      </c>
      <c r="AC20" s="4">
        <f>IFERROR(AB20-VLOOKUP($C20,Assumptions!$A$29:$C$32,3,FALSE),"")</f>
        <v/>
      </c>
      <c r="AD20" s="4">
        <f>IFERROR(AC20/F20,"")</f>
        <v/>
      </c>
      <c r="AE20">
        <f>IF(AND($E20=TRUE,$C20="GKP"),AB20,"")</f>
        <v/>
      </c>
      <c r="AF20">
        <f>IF(AND($E20=TRUE,$C20="DEF"),AB20,"")</f>
        <v/>
      </c>
      <c r="AG20">
        <f>IF(AND($E20=TRUE,$C20="MID"),AB20,"")</f>
        <v/>
      </c>
      <c r="AH20">
        <f>IF(AND($E20=TRUE,$C20="FWD"),AB20,"")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b">
        <v>1</v>
      </c>
      <c r="F21" s="2" t="n">
        <v>6.5</v>
      </c>
      <c r="G21" t="inlineStr">
        <is>
          <t>a</t>
        </is>
      </c>
      <c r="I21" s="2" t="n">
        <v>2643</v>
      </c>
      <c r="J21" t="n">
        <v>160</v>
      </c>
      <c r="K21" s="3" t="n">
        <v>2643</v>
      </c>
      <c r="L21" s="3" t="n">
        <v>0.421</v>
      </c>
      <c r="M21" s="4" t="n">
        <v>0.2165</v>
      </c>
      <c r="N21" t="inlineStr">
        <is>
          <t>adjusted xGOT</t>
        </is>
      </c>
      <c r="O21" s="4" t="n">
        <v>1.039</v>
      </c>
      <c r="P21" s="4" t="n">
        <v>7.4</v>
      </c>
      <c r="Q21" s="4" t="n">
        <v>0.111</v>
      </c>
      <c r="R21" s="4" t="n">
        <v>0.034</v>
      </c>
      <c r="S21" s="4" t="n">
        <v>0.3746</v>
      </c>
      <c r="T21" s="4" t="n">
        <v>2.111</v>
      </c>
      <c r="U21" s="4">
        <f>IF(T21="",IFERROR(VLOOKUP($C21,Assumptions!$A$4:$F$7,6,FALSE),0),T21)</f>
        <v/>
      </c>
      <c r="V21" s="4">
        <f>N(M21)*IFERROR(VLOOKUP($C21,Assumptions!$A$4:$F$7,2,FALSE),0)</f>
        <v/>
      </c>
      <c r="W21" s="4">
        <f>N(Q21)*IFERROR(VLOOKUP($C21,Assumptions!$A$4:$F$7,3,FALSE),0)*Assumptions!$B$11</f>
        <v/>
      </c>
      <c r="X21" s="4">
        <f>N(L21)*IFERROR(VLOOKUP($C21,Assumptions!$A$4:$F$7,4,FALSE),0)</f>
        <v/>
      </c>
      <c r="Y21" s="4">
        <f>N(R21)*IFERROR(VLOOKUP($C21,Assumptions!$A$4:$F$7,5,FALSE),0)</f>
        <v/>
      </c>
      <c r="Z21" s="4">
        <f>N(S21)</f>
        <v/>
      </c>
      <c r="AA21" s="4">
        <f>SUM(U21:Z21)</f>
        <v/>
      </c>
      <c r="AB21" s="4">
        <f>N(AA21)*N(K21)/90</f>
        <v/>
      </c>
      <c r="AC21" s="4">
        <f>IFERROR(AB21-VLOOKUP($C21,Assumptions!$A$29:$C$32,3,FALSE),"")</f>
        <v/>
      </c>
      <c r="AD21" s="4">
        <f>IFERROR(AC21/F21,"")</f>
        <v/>
      </c>
      <c r="AE21">
        <f>IF(AND($E21=TRUE,$C21="GKP"),AB21,"")</f>
        <v/>
      </c>
      <c r="AF21">
        <f>IF(AND($E21=TRUE,$C21="DEF"),AB21,"")</f>
        <v/>
      </c>
      <c r="AG21">
        <f>IF(AND($E21=TRUE,$C21="MID"),AB21,"")</f>
        <v/>
      </c>
      <c r="AH21">
        <f>IF(AND($E21=TRUE,$C21="FWD"),AB21,"")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b">
        <v>1</v>
      </c>
      <c r="F22" s="2" t="n">
        <v>6</v>
      </c>
      <c r="G22" t="inlineStr">
        <is>
          <t>i</t>
        </is>
      </c>
      <c r="H22" t="inlineStr">
        <is>
          <t>Groin injury - Expected back 22 Aug</t>
        </is>
      </c>
      <c r="I22" s="2" t="n">
        <v>3413</v>
      </c>
      <c r="J22" t="n">
        <v>159</v>
      </c>
      <c r="K22" s="3" t="n">
        <v>3413</v>
      </c>
      <c r="L22" s="3" t="n">
        <v>0.29</v>
      </c>
      <c r="M22" s="4" t="n">
        <v>0.0507</v>
      </c>
      <c r="N22" t="inlineStr">
        <is>
          <t>adjusted xGOT</t>
        </is>
      </c>
      <c r="O22" s="4" t="n">
        <v>0.916</v>
      </c>
      <c r="P22" s="4" t="n">
        <v>6.1</v>
      </c>
      <c r="Q22" s="4" t="n">
        <v>0.1615</v>
      </c>
      <c r="R22" s="4" t="n">
        <v>0.526</v>
      </c>
      <c r="S22" s="4" t="n">
        <v>0.3164</v>
      </c>
      <c r="T22" s="4" t="n">
        <v>2.004</v>
      </c>
      <c r="U22" s="4">
        <f>IF(T22="",IFERROR(VLOOKUP($C22,Assumptions!$A$4:$F$7,6,FALSE),0),T22)</f>
        <v/>
      </c>
      <c r="V22" s="4">
        <f>N(M22)*IFERROR(VLOOKUP($C22,Assumptions!$A$4:$F$7,2,FALSE),0)</f>
        <v/>
      </c>
      <c r="W22" s="4">
        <f>N(Q22)*IFERROR(VLOOKUP($C22,Assumptions!$A$4:$F$7,3,FALSE),0)*Assumptions!$B$11</f>
        <v/>
      </c>
      <c r="X22" s="4">
        <f>N(L22)*IFERROR(VLOOKUP($C22,Assumptions!$A$4:$F$7,4,FALSE),0)</f>
        <v/>
      </c>
      <c r="Y22" s="4">
        <f>N(R22)*IFERROR(VLOOKUP($C22,Assumptions!$A$4:$F$7,5,FALSE),0)</f>
        <v/>
      </c>
      <c r="Z22" s="4">
        <f>N(S22)</f>
        <v/>
      </c>
      <c r="AA22" s="4">
        <f>SUM(U22:Z22)</f>
        <v/>
      </c>
      <c r="AB22" s="4">
        <f>N(AA22)*N(K22)/90</f>
        <v/>
      </c>
      <c r="AC22" s="4">
        <f>IFERROR(AB22-VLOOKUP($C22,Assumptions!$A$29:$C$32,3,FALSE),"")</f>
        <v/>
      </c>
      <c r="AD22" s="4">
        <f>IFERROR(AC22/F22,"")</f>
        <v/>
      </c>
      <c r="AE22">
        <f>IF(AND($E22=TRUE,$C22="GKP"),AB22,"")</f>
        <v/>
      </c>
      <c r="AF22">
        <f>IF(AND($E22=TRUE,$C22="DEF"),AB22,"")</f>
        <v/>
      </c>
      <c r="AG22">
        <f>IF(AND($E22=TRUE,$C22="MID"),AB22,"")</f>
        <v/>
      </c>
      <c r="AH22">
        <f>IF(AND($E22=TRUE,$C22="FWD"),AB22,"")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b">
        <v>1</v>
      </c>
      <c r="F23" s="2" t="n">
        <v>7</v>
      </c>
      <c r="G23" t="inlineStr">
        <is>
          <t>a</t>
        </is>
      </c>
      <c r="I23" s="2" t="n">
        <v>3114</v>
      </c>
      <c r="J23" t="n">
        <v>157</v>
      </c>
      <c r="K23" s="3" t="n">
        <v>3114</v>
      </c>
      <c r="L23" s="3" t="n">
        <v>0.237</v>
      </c>
      <c r="M23" s="4" t="n">
        <v>0.3449</v>
      </c>
      <c r="N23" t="inlineStr">
        <is>
          <t>adjusted xGOT</t>
        </is>
      </c>
      <c r="O23" s="4" t="n">
        <v>1.06</v>
      </c>
      <c r="P23" s="4" t="n">
        <v>24</v>
      </c>
      <c r="Q23" s="4" t="n">
        <v>0.233</v>
      </c>
      <c r="R23" s="4" t="n">
        <v>0.057</v>
      </c>
      <c r="S23" s="4" t="n">
        <v>0.5491</v>
      </c>
      <c r="T23" s="4" t="n">
        <v>2.052</v>
      </c>
      <c r="U23" s="4">
        <f>IF(T23="",IFERROR(VLOOKUP($C23,Assumptions!$A$4:$F$7,6,FALSE),0),T23)</f>
        <v/>
      </c>
      <c r="V23" s="4">
        <f>N(M23)*IFERROR(VLOOKUP($C23,Assumptions!$A$4:$F$7,2,FALSE),0)</f>
        <v/>
      </c>
      <c r="W23" s="4">
        <f>N(Q23)*IFERROR(VLOOKUP($C23,Assumptions!$A$4:$F$7,3,FALSE),0)*Assumptions!$B$11</f>
        <v/>
      </c>
      <c r="X23" s="4">
        <f>N(L23)*IFERROR(VLOOKUP($C23,Assumptions!$A$4:$F$7,4,FALSE),0)</f>
        <v/>
      </c>
      <c r="Y23" s="4">
        <f>N(R23)*IFERROR(VLOOKUP($C23,Assumptions!$A$4:$F$7,5,FALSE),0)</f>
        <v/>
      </c>
      <c r="Z23" s="4">
        <f>N(S23)</f>
        <v/>
      </c>
      <c r="AA23" s="4">
        <f>SUM(U23:Z23)</f>
        <v/>
      </c>
      <c r="AB23" s="4">
        <f>N(AA23)*N(K23)/90</f>
        <v/>
      </c>
      <c r="AC23" s="4">
        <f>IFERROR(AB23-VLOOKUP($C23,Assumptions!$A$29:$C$32,3,FALSE),"")</f>
        <v/>
      </c>
      <c r="AD23" s="4">
        <f>IFERROR(AC23/F23,"")</f>
        <v/>
      </c>
      <c r="AE23">
        <f>IF(AND($E23=TRUE,$C23="GKP"),AB23,"")</f>
        <v/>
      </c>
      <c r="AF23">
        <f>IF(AND($E23=TRUE,$C23="DEF"),AB23,"")</f>
        <v/>
      </c>
      <c r="AG23">
        <f>IF(AND($E23=TRUE,$C23="MID"),AB23,"")</f>
        <v/>
      </c>
      <c r="AH23">
        <f>IF(AND($E23=TRUE,$C23="FWD"),AB23,"")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b">
        <v>1</v>
      </c>
      <c r="F24" s="2" t="n">
        <v>9.5</v>
      </c>
      <c r="G24" t="inlineStr">
        <is>
          <t>a</t>
        </is>
      </c>
      <c r="I24" s="2" t="n">
        <v>2218</v>
      </c>
      <c r="J24" t="n">
        <v>157</v>
      </c>
      <c r="K24" s="3" t="n">
        <v>2218</v>
      </c>
      <c r="L24" s="3" t="n">
        <v>0.5</v>
      </c>
      <c r="M24" s="4" t="n">
        <v>0.2958</v>
      </c>
      <c r="N24" t="inlineStr">
        <is>
          <t>adjusted xGOT</t>
        </is>
      </c>
      <c r="O24" s="4" t="n">
        <v>0.963</v>
      </c>
      <c r="P24" s="4" t="n">
        <v>41.3</v>
      </c>
      <c r="Q24" s="4" t="n">
        <v>0.3188</v>
      </c>
      <c r="R24" s="4" t="n">
        <v>0.2</v>
      </c>
      <c r="S24" s="4" t="n">
        <v>0.6492</v>
      </c>
      <c r="T24" s="4" t="n">
        <v>2.191</v>
      </c>
      <c r="U24" s="4">
        <f>IF(T24="",IFERROR(VLOOKUP($C24,Assumptions!$A$4:$F$7,6,FALSE),0),T24)</f>
        <v/>
      </c>
      <c r="V24" s="4">
        <f>N(M24)*IFERROR(VLOOKUP($C24,Assumptions!$A$4:$F$7,2,FALSE),0)</f>
        <v/>
      </c>
      <c r="W24" s="4">
        <f>N(Q24)*IFERROR(VLOOKUP($C24,Assumptions!$A$4:$F$7,3,FALSE),0)*Assumptions!$B$11</f>
        <v/>
      </c>
      <c r="X24" s="4">
        <f>N(L24)*IFERROR(VLOOKUP($C24,Assumptions!$A$4:$F$7,4,FALSE),0)</f>
        <v/>
      </c>
      <c r="Y24" s="4">
        <f>N(R24)*IFERROR(VLOOKUP($C24,Assumptions!$A$4:$F$7,5,FALSE),0)</f>
        <v/>
      </c>
      <c r="Z24" s="4">
        <f>N(S24)</f>
        <v/>
      </c>
      <c r="AA24" s="4">
        <f>SUM(U24:Z24)</f>
        <v/>
      </c>
      <c r="AB24" s="4">
        <f>N(AA24)*N(K24)/90</f>
        <v/>
      </c>
      <c r="AC24" s="4">
        <f>IFERROR(AB24-VLOOKUP($C24,Assumptions!$A$29:$C$32,3,FALSE),"")</f>
        <v/>
      </c>
      <c r="AD24" s="4">
        <f>IFERROR(AC24/F24,"")</f>
        <v/>
      </c>
      <c r="AE24">
        <f>IF(AND($E24=TRUE,$C24="GKP"),AB24,"")</f>
        <v/>
      </c>
      <c r="AF24">
        <f>IF(AND($E24=TRUE,$C24="DEF"),AB24,"")</f>
        <v/>
      </c>
      <c r="AG24">
        <f>IF(AND($E24=TRUE,$C24="MID"),AB24,"")</f>
        <v/>
      </c>
      <c r="AH24">
        <f>IF(AND($E24=TRUE,$C24="FWD"),AB24,"")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b">
        <v>1</v>
      </c>
      <c r="F25" s="2" t="n">
        <v>6</v>
      </c>
      <c r="G25" t="inlineStr">
        <is>
          <t>a</t>
        </is>
      </c>
      <c r="I25" s="2" t="n">
        <v>3085</v>
      </c>
      <c r="J25" t="n">
        <v>154</v>
      </c>
      <c r="K25" s="3" t="n">
        <v>3085</v>
      </c>
      <c r="L25" s="3" t="n">
        <v>0.237</v>
      </c>
      <c r="M25" s="4" t="n">
        <v>0.0574</v>
      </c>
      <c r="N25" t="inlineStr">
        <is>
          <t>adjusted xGOT</t>
        </is>
      </c>
      <c r="O25" s="4" t="n">
        <v>0.803</v>
      </c>
      <c r="P25" s="4" t="n">
        <v>6</v>
      </c>
      <c r="Q25" s="4" t="n">
        <v>0.0309</v>
      </c>
      <c r="R25" s="4" t="n">
        <v>0.571</v>
      </c>
      <c r="S25" s="4" t="n">
        <v>0.3501</v>
      </c>
      <c r="T25" s="4" t="n">
        <v>2.013</v>
      </c>
      <c r="U25" s="4">
        <f>IF(T25="",IFERROR(VLOOKUP($C25,Assumptions!$A$4:$F$7,6,FALSE),0),T25)</f>
        <v/>
      </c>
      <c r="V25" s="4">
        <f>N(M25)*IFERROR(VLOOKUP($C25,Assumptions!$A$4:$F$7,2,FALSE),0)</f>
        <v/>
      </c>
      <c r="W25" s="4">
        <f>N(Q25)*IFERROR(VLOOKUP($C25,Assumptions!$A$4:$F$7,3,FALSE),0)*Assumptions!$B$11</f>
        <v/>
      </c>
      <c r="X25" s="4">
        <f>N(L25)*IFERROR(VLOOKUP($C25,Assumptions!$A$4:$F$7,4,FALSE),0)</f>
        <v/>
      </c>
      <c r="Y25" s="4">
        <f>N(R25)*IFERROR(VLOOKUP($C25,Assumptions!$A$4:$F$7,5,FALSE),0)</f>
        <v/>
      </c>
      <c r="Z25" s="4">
        <f>N(S25)</f>
        <v/>
      </c>
      <c r="AA25" s="4">
        <f>SUM(U25:Z25)</f>
        <v/>
      </c>
      <c r="AB25" s="4">
        <f>N(AA25)*N(K25)/90</f>
        <v/>
      </c>
      <c r="AC25" s="4">
        <f>IFERROR(AB25-VLOOKUP($C25,Assumptions!$A$29:$C$32,3,FALSE),"")</f>
        <v/>
      </c>
      <c r="AD25" s="4">
        <f>IFERROR(AC25/F25,"")</f>
        <v/>
      </c>
      <c r="AE25">
        <f>IF(AND($E25=TRUE,$C25="GKP"),AB25,"")</f>
        <v/>
      </c>
      <c r="AF25">
        <f>IF(AND($E25=TRUE,$C25="DEF"),AB25,"")</f>
        <v/>
      </c>
      <c r="AG25">
        <f>IF(AND($E25=TRUE,$C25="MID"),AB25,"")</f>
        <v/>
      </c>
      <c r="AH25">
        <f>IF(AND($E25=TRUE,$C25="FWD"),AB25,"")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b">
        <v>1</v>
      </c>
      <c r="F26" s="2" t="n">
        <v>7</v>
      </c>
      <c r="G26" t="inlineStr">
        <is>
          <t>a</t>
        </is>
      </c>
      <c r="I26" s="2" t="n">
        <v>2456</v>
      </c>
      <c r="J26" t="n">
        <v>154</v>
      </c>
      <c r="K26" s="3" t="n">
        <v>2456</v>
      </c>
      <c r="L26" s="3" t="n">
        <v>0.5</v>
      </c>
      <c r="M26" s="4" t="n">
        <v>0.2267</v>
      </c>
      <c r="N26" t="inlineStr">
        <is>
          <t>adjusted xGOT</t>
        </is>
      </c>
      <c r="O26" s="4" t="n">
        <v>1.107</v>
      </c>
      <c r="P26" s="4" t="n">
        <v>17.7</v>
      </c>
      <c r="Q26" s="4" t="n">
        <v>0.1618</v>
      </c>
      <c r="R26" s="4" t="n">
        <v>0.185</v>
      </c>
      <c r="S26" s="4" t="n">
        <v>0.8062</v>
      </c>
      <c r="T26" s="4" t="n">
        <v>2.052</v>
      </c>
      <c r="U26" s="4">
        <f>IF(T26="",IFERROR(VLOOKUP($C26,Assumptions!$A$4:$F$7,6,FALSE),0),T26)</f>
        <v/>
      </c>
      <c r="V26" s="4">
        <f>N(M26)*IFERROR(VLOOKUP($C26,Assumptions!$A$4:$F$7,2,FALSE),0)</f>
        <v/>
      </c>
      <c r="W26" s="4">
        <f>N(Q26)*IFERROR(VLOOKUP($C26,Assumptions!$A$4:$F$7,3,FALSE),0)*Assumptions!$B$11</f>
        <v/>
      </c>
      <c r="X26" s="4">
        <f>N(L26)*IFERROR(VLOOKUP($C26,Assumptions!$A$4:$F$7,4,FALSE),0)</f>
        <v/>
      </c>
      <c r="Y26" s="4">
        <f>N(R26)*IFERROR(VLOOKUP($C26,Assumptions!$A$4:$F$7,5,FALSE),0)</f>
        <v/>
      </c>
      <c r="Z26" s="4">
        <f>N(S26)</f>
        <v/>
      </c>
      <c r="AA26" s="4">
        <f>SUM(U26:Z26)</f>
        <v/>
      </c>
      <c r="AB26" s="4">
        <f>N(AA26)*N(K26)/90</f>
        <v/>
      </c>
      <c r="AC26" s="4">
        <f>IFERROR(AB26-VLOOKUP($C26,Assumptions!$A$29:$C$32,3,FALSE),"")</f>
        <v/>
      </c>
      <c r="AD26" s="4">
        <f>IFERROR(AC26/F26,"")</f>
        <v/>
      </c>
      <c r="AE26">
        <f>IF(AND($E26=TRUE,$C26="GKP"),AB26,"")</f>
        <v/>
      </c>
      <c r="AF26">
        <f>IF(AND($E26=TRUE,$C26="DEF"),AB26,"")</f>
        <v/>
      </c>
      <c r="AG26">
        <f>IF(AND($E26=TRUE,$C26="MID"),AB26,"")</f>
        <v/>
      </c>
      <c r="AH26">
        <f>IF(AND($E26=TRUE,$C26="FWD"),AB26,"")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b">
        <v>1</v>
      </c>
      <c r="F27" s="2" t="n">
        <v>6</v>
      </c>
      <c r="G27" t="inlineStr">
        <is>
          <t>a</t>
        </is>
      </c>
      <c r="I27" s="2" t="n">
        <v>2861</v>
      </c>
      <c r="J27" t="n">
        <v>154</v>
      </c>
      <c r="K27" s="3" t="n">
        <v>2861</v>
      </c>
      <c r="L27" s="3" t="n">
        <v>0.421</v>
      </c>
      <c r="M27" s="4" t="n">
        <v>0.0105</v>
      </c>
      <c r="N27" t="inlineStr">
        <is>
          <t>adjusted xGOT</t>
        </is>
      </c>
      <c r="O27" s="4" t="n">
        <v>0.98</v>
      </c>
      <c r="P27" s="4" t="n">
        <v>4.8</v>
      </c>
      <c r="Q27" s="4" t="n">
        <v>0.0838</v>
      </c>
      <c r="R27" s="4" t="n">
        <v>0.125</v>
      </c>
      <c r="S27" s="4" t="n">
        <v>0.5033</v>
      </c>
      <c r="T27" s="4" t="n">
        <v>2.013</v>
      </c>
      <c r="U27" s="4">
        <f>IF(T27="",IFERROR(VLOOKUP($C27,Assumptions!$A$4:$F$7,6,FALSE),0),T27)</f>
        <v/>
      </c>
      <c r="V27" s="4">
        <f>N(M27)*IFERROR(VLOOKUP($C27,Assumptions!$A$4:$F$7,2,FALSE),0)</f>
        <v/>
      </c>
      <c r="W27" s="4">
        <f>N(Q27)*IFERROR(VLOOKUP($C27,Assumptions!$A$4:$F$7,3,FALSE),0)*Assumptions!$B$11</f>
        <v/>
      </c>
      <c r="X27" s="4">
        <f>N(L27)*IFERROR(VLOOKUP($C27,Assumptions!$A$4:$F$7,4,FALSE),0)</f>
        <v/>
      </c>
      <c r="Y27" s="4">
        <f>N(R27)*IFERROR(VLOOKUP($C27,Assumptions!$A$4:$F$7,5,FALSE),0)</f>
        <v/>
      </c>
      <c r="Z27" s="4">
        <f>N(S27)</f>
        <v/>
      </c>
      <c r="AA27" s="4">
        <f>SUM(U27:Z27)</f>
        <v/>
      </c>
      <c r="AB27" s="4">
        <f>N(AA27)*N(K27)/90</f>
        <v/>
      </c>
      <c r="AC27" s="4">
        <f>IFERROR(AB27-VLOOKUP($C27,Assumptions!$A$29:$C$32,3,FALSE),"")</f>
        <v/>
      </c>
      <c r="AD27" s="4">
        <f>IFERROR(AC27/F27,"")</f>
        <v/>
      </c>
      <c r="AE27">
        <f>IF(AND($E27=TRUE,$C27="GKP"),AB27,"")</f>
        <v/>
      </c>
      <c r="AF27">
        <f>IF(AND($E27=TRUE,$C27="DEF"),AB27,"")</f>
        <v/>
      </c>
      <c r="AG27">
        <f>IF(AND($E27=TRUE,$C27="MID"),AB27,"")</f>
        <v/>
      </c>
      <c r="AH27">
        <f>IF(AND($E27=TRUE,$C27="FWD"),AB27,"")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b">
        <v>1</v>
      </c>
      <c r="F28" s="2" t="n">
        <v>5.5</v>
      </c>
      <c r="G28" t="inlineStr">
        <is>
          <t>d</t>
        </is>
      </c>
      <c r="H28" t="inlineStr">
        <is>
          <t>Knock - 75% chance of playing</t>
        </is>
      </c>
      <c r="I28" s="2" t="n">
        <v>2784</v>
      </c>
      <c r="J28" t="n">
        <v>151</v>
      </c>
      <c r="K28" s="3" t="n">
        <v>2784</v>
      </c>
      <c r="L28" s="3" t="n">
        <v>0.29</v>
      </c>
      <c r="M28" s="4" t="n">
        <v>0.0506</v>
      </c>
      <c r="N28" t="inlineStr">
        <is>
          <t>adjusted xGOT</t>
        </is>
      </c>
      <c r="O28" s="4" t="n">
        <v>0.967</v>
      </c>
      <c r="P28" s="4" t="n">
        <v>1.6</v>
      </c>
      <c r="Q28" s="4" t="n">
        <v>0.0873</v>
      </c>
      <c r="R28" s="4" t="n">
        <v>0.406</v>
      </c>
      <c r="S28" s="4" t="n">
        <v>0.3556</v>
      </c>
      <c r="T28" s="4" t="n">
        <v>2.037</v>
      </c>
      <c r="U28" s="4">
        <f>IF(T28="",IFERROR(VLOOKUP($C28,Assumptions!$A$4:$F$7,6,FALSE),0),T28)</f>
        <v/>
      </c>
      <c r="V28" s="4">
        <f>N(M28)*IFERROR(VLOOKUP($C28,Assumptions!$A$4:$F$7,2,FALSE),0)</f>
        <v/>
      </c>
      <c r="W28" s="4">
        <f>N(Q28)*IFERROR(VLOOKUP($C28,Assumptions!$A$4:$F$7,3,FALSE),0)*Assumptions!$B$11</f>
        <v/>
      </c>
      <c r="X28" s="4">
        <f>N(L28)*IFERROR(VLOOKUP($C28,Assumptions!$A$4:$F$7,4,FALSE),0)</f>
        <v/>
      </c>
      <c r="Y28" s="4">
        <f>N(R28)*IFERROR(VLOOKUP($C28,Assumptions!$A$4:$F$7,5,FALSE),0)</f>
        <v/>
      </c>
      <c r="Z28" s="4">
        <f>N(S28)</f>
        <v/>
      </c>
      <c r="AA28" s="4">
        <f>SUM(U28:Z28)</f>
        <v/>
      </c>
      <c r="AB28" s="4">
        <f>N(AA28)*N(K28)/90</f>
        <v/>
      </c>
      <c r="AC28" s="4">
        <f>IFERROR(AB28-VLOOKUP($C28,Assumptions!$A$29:$C$32,3,FALSE),"")</f>
        <v/>
      </c>
      <c r="AD28" s="4">
        <f>IFERROR(AC28/F28,"")</f>
        <v/>
      </c>
      <c r="AE28">
        <f>IF(AND($E28=TRUE,$C28="GKP"),AB28,"")</f>
        <v/>
      </c>
      <c r="AF28">
        <f>IF(AND($E28=TRUE,$C28="DEF"),AB28,"")</f>
        <v/>
      </c>
      <c r="AG28">
        <f>IF(AND($E28=TRUE,$C28="MID"),AB28,"")</f>
        <v/>
      </c>
      <c r="AH28">
        <f>IF(AND($E28=TRUE,$C28="FWD"),AB28,"")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b">
        <v>1</v>
      </c>
      <c r="F29" s="2" t="n">
        <v>6.5</v>
      </c>
      <c r="G29" t="inlineStr">
        <is>
          <t>a</t>
        </is>
      </c>
      <c r="I29" s="2" t="n">
        <v>2629</v>
      </c>
      <c r="J29" t="n">
        <v>151</v>
      </c>
      <c r="K29" s="3" t="n">
        <v>2629</v>
      </c>
      <c r="L29" s="3" t="n">
        <v>0.29</v>
      </c>
      <c r="M29" s="4" t="n">
        <v>0.1525</v>
      </c>
      <c r="N29" t="inlineStr">
        <is>
          <t>adjusted xGOT</t>
        </is>
      </c>
      <c r="O29" s="4" t="n">
        <v>1.024</v>
      </c>
      <c r="P29" s="4" t="n">
        <v>6.7</v>
      </c>
      <c r="Q29" s="4" t="n">
        <v>0.2039</v>
      </c>
      <c r="R29" s="4" t="n">
        <v>0.167</v>
      </c>
      <c r="S29" s="4" t="n">
        <v>0.6162</v>
      </c>
      <c r="T29" s="4" t="n">
        <v>2.054</v>
      </c>
      <c r="U29" s="4">
        <f>IF(T29="",IFERROR(VLOOKUP($C29,Assumptions!$A$4:$F$7,6,FALSE),0),T29)</f>
        <v/>
      </c>
      <c r="V29" s="4">
        <f>N(M29)*IFERROR(VLOOKUP($C29,Assumptions!$A$4:$F$7,2,FALSE),0)</f>
        <v/>
      </c>
      <c r="W29" s="4">
        <f>N(Q29)*IFERROR(VLOOKUP($C29,Assumptions!$A$4:$F$7,3,FALSE),0)*Assumptions!$B$11</f>
        <v/>
      </c>
      <c r="X29" s="4">
        <f>N(L29)*IFERROR(VLOOKUP($C29,Assumptions!$A$4:$F$7,4,FALSE),0)</f>
        <v/>
      </c>
      <c r="Y29" s="4">
        <f>N(R29)*IFERROR(VLOOKUP($C29,Assumptions!$A$4:$F$7,5,FALSE),0)</f>
        <v/>
      </c>
      <c r="Z29" s="4">
        <f>N(S29)</f>
        <v/>
      </c>
      <c r="AA29" s="4">
        <f>SUM(U29:Z29)</f>
        <v/>
      </c>
      <c r="AB29" s="4">
        <f>N(AA29)*N(K29)/90</f>
        <v/>
      </c>
      <c r="AC29" s="4">
        <f>IFERROR(AB29-VLOOKUP($C29,Assumptions!$A$29:$C$32,3,FALSE),"")</f>
        <v/>
      </c>
      <c r="AD29" s="4">
        <f>IFERROR(AC29/F29,"")</f>
        <v/>
      </c>
      <c r="AE29">
        <f>IF(AND($E29=TRUE,$C29="GKP"),AB29,"")</f>
        <v/>
      </c>
      <c r="AF29">
        <f>IF(AND($E29=TRUE,$C29="DEF"),AB29,"")</f>
        <v/>
      </c>
      <c r="AG29">
        <f>IF(AND($E29=TRUE,$C29="MID"),AB29,"")</f>
        <v/>
      </c>
      <c r="AH29">
        <f>IF(AND($E29=TRUE,$C29="FWD"),AB29,"")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b">
        <v>1</v>
      </c>
      <c r="F30" s="2" t="n">
        <v>6.5</v>
      </c>
      <c r="G30" t="inlineStr">
        <is>
          <t>i</t>
        </is>
      </c>
      <c r="H30" t="inlineStr">
        <is>
          <t>Groin injury - Unknown return date</t>
        </is>
      </c>
      <c r="I30" s="2" t="n">
        <v>2452</v>
      </c>
      <c r="J30" t="n">
        <v>149</v>
      </c>
      <c r="K30" s="3" t="n">
        <v>2452</v>
      </c>
      <c r="L30" s="3" t="n">
        <v>0.5</v>
      </c>
      <c r="M30" s="4" t="n">
        <v>0.1612</v>
      </c>
      <c r="N30" t="inlineStr">
        <is>
          <t>adjusted xGOT</t>
        </is>
      </c>
      <c r="O30" s="4" t="n">
        <v>0.9330000000000001</v>
      </c>
      <c r="P30" s="4" t="n">
        <v>5.9</v>
      </c>
      <c r="Q30" s="4" t="n">
        <v>0.0756</v>
      </c>
      <c r="R30" s="4" t="n">
        <v>0.107</v>
      </c>
      <c r="S30" s="4" t="n">
        <v>0.367</v>
      </c>
      <c r="T30" s="4" t="n">
        <v>2.055</v>
      </c>
      <c r="U30" s="4">
        <f>IF(T30="",IFERROR(VLOOKUP($C30,Assumptions!$A$4:$F$7,6,FALSE),0),T30)</f>
        <v/>
      </c>
      <c r="V30" s="4">
        <f>N(M30)*IFERROR(VLOOKUP($C30,Assumptions!$A$4:$F$7,2,FALSE),0)</f>
        <v/>
      </c>
      <c r="W30" s="4">
        <f>N(Q30)*IFERROR(VLOOKUP($C30,Assumptions!$A$4:$F$7,3,FALSE),0)*Assumptions!$B$11</f>
        <v/>
      </c>
      <c r="X30" s="4">
        <f>N(L30)*IFERROR(VLOOKUP($C30,Assumptions!$A$4:$F$7,4,FALSE),0)</f>
        <v/>
      </c>
      <c r="Y30" s="4">
        <f>N(R30)*IFERROR(VLOOKUP($C30,Assumptions!$A$4:$F$7,5,FALSE),0)</f>
        <v/>
      </c>
      <c r="Z30" s="4">
        <f>N(S30)</f>
        <v/>
      </c>
      <c r="AA30" s="4">
        <f>SUM(U30:Z30)</f>
        <v/>
      </c>
      <c r="AB30" s="4">
        <f>N(AA30)*N(K30)/90</f>
        <v/>
      </c>
      <c r="AC30" s="4">
        <f>IFERROR(AB30-VLOOKUP($C30,Assumptions!$A$29:$C$32,3,FALSE),"")</f>
        <v/>
      </c>
      <c r="AD30" s="4">
        <f>IFERROR(AC30/F30,"")</f>
        <v/>
      </c>
      <c r="AE30">
        <f>IF(AND($E30=TRUE,$C30="GKP"),AB30,"")</f>
        <v/>
      </c>
      <c r="AF30">
        <f>IF(AND($E30=TRUE,$C30="DEF"),AB30,"")</f>
        <v/>
      </c>
      <c r="AG30">
        <f>IF(AND($E30=TRUE,$C30="MID"),AB30,"")</f>
        <v/>
      </c>
      <c r="AH30">
        <f>IF(AND($E30=TRUE,$C30="FWD"),AB30,"")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b">
        <v>1</v>
      </c>
      <c r="F31" s="2" t="n">
        <v>8</v>
      </c>
      <c r="G31" t="inlineStr">
        <is>
          <t>a</t>
        </is>
      </c>
      <c r="I31" s="2" t="n">
        <v>2611</v>
      </c>
      <c r="J31" t="n">
        <v>148</v>
      </c>
      <c r="K31" s="3" t="n">
        <v>2611</v>
      </c>
      <c r="L31" s="3" t="n">
        <v>0.21</v>
      </c>
      <c r="M31" s="4" t="n">
        <v>0.4251</v>
      </c>
      <c r="N31" t="inlineStr">
        <is>
          <t>adjusted xGOT</t>
        </is>
      </c>
      <c r="O31" s="4" t="n">
        <v>1.029</v>
      </c>
      <c r="P31" s="4" t="n">
        <v>43.7</v>
      </c>
      <c r="Q31" s="4" t="n">
        <v>0.1737</v>
      </c>
      <c r="R31" s="4" t="n">
        <v>0</v>
      </c>
      <c r="S31" s="4" t="n">
        <v>0.586</v>
      </c>
      <c r="T31" s="4" t="n">
        <v>2.206</v>
      </c>
      <c r="U31" s="4">
        <f>IF(T31="",IFERROR(VLOOKUP($C31,Assumptions!$A$4:$F$7,6,FALSE),0),T31)</f>
        <v/>
      </c>
      <c r="V31" s="4">
        <f>N(M31)*IFERROR(VLOOKUP($C31,Assumptions!$A$4:$F$7,2,FALSE),0)</f>
        <v/>
      </c>
      <c r="W31" s="4">
        <f>N(Q31)*IFERROR(VLOOKUP($C31,Assumptions!$A$4:$F$7,3,FALSE),0)*Assumptions!$B$11</f>
        <v/>
      </c>
      <c r="X31" s="4">
        <f>N(L31)*IFERROR(VLOOKUP($C31,Assumptions!$A$4:$F$7,4,FALSE),0)</f>
        <v/>
      </c>
      <c r="Y31" s="4">
        <f>N(R31)*IFERROR(VLOOKUP($C31,Assumptions!$A$4:$F$7,5,FALSE),0)</f>
        <v/>
      </c>
      <c r="Z31" s="4">
        <f>N(S31)</f>
        <v/>
      </c>
      <c r="AA31" s="4">
        <f>SUM(U31:Z31)</f>
        <v/>
      </c>
      <c r="AB31" s="4">
        <f>N(AA31)*N(K31)/90</f>
        <v/>
      </c>
      <c r="AC31" s="4">
        <f>IFERROR(AB31-VLOOKUP($C31,Assumptions!$A$29:$C$32,3,FALSE),"")</f>
        <v/>
      </c>
      <c r="AD31" s="4">
        <f>IFERROR(AC31/F31,"")</f>
        <v/>
      </c>
      <c r="AE31">
        <f>IF(AND($E31=TRUE,$C31="GKP"),AB31,"")</f>
        <v/>
      </c>
      <c r="AF31">
        <f>IF(AND($E31=TRUE,$C31="DEF"),AB31,"")</f>
        <v/>
      </c>
      <c r="AG31">
        <f>IF(AND($E31=TRUE,$C31="MID"),AB31,"")</f>
        <v/>
      </c>
      <c r="AH31">
        <f>IF(AND($E31=TRUE,$C31="FWD"),AB31,"")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b">
        <v>1</v>
      </c>
      <c r="F32" s="2" t="n">
        <v>5</v>
      </c>
      <c r="G32" t="inlineStr">
        <is>
          <t>a</t>
        </is>
      </c>
      <c r="I32" s="2" t="n">
        <v>3210</v>
      </c>
      <c r="J32" t="n">
        <v>148</v>
      </c>
      <c r="K32" s="3" t="n">
        <v>3210</v>
      </c>
      <c r="L32" s="3" t="n">
        <v>0.237</v>
      </c>
      <c r="M32" s="4" t="n">
        <v>0.09030000000000001</v>
      </c>
      <c r="N32" t="inlineStr">
        <is>
          <t>adjusted xGOT</t>
        </is>
      </c>
      <c r="O32" s="4" t="n">
        <v>0.973</v>
      </c>
      <c r="P32" s="4" t="n">
        <v>6.6</v>
      </c>
      <c r="Q32" s="4" t="n">
        <v>0.0364</v>
      </c>
      <c r="R32" s="4" t="n">
        <v>0.361</v>
      </c>
      <c r="S32" s="4" t="n">
        <v>0.1963</v>
      </c>
      <c r="T32" s="4" t="n">
        <v>2.019</v>
      </c>
      <c r="U32" s="4">
        <f>IF(T32="",IFERROR(VLOOKUP($C32,Assumptions!$A$4:$F$7,6,FALSE),0),T32)</f>
        <v/>
      </c>
      <c r="V32" s="4">
        <f>N(M32)*IFERROR(VLOOKUP($C32,Assumptions!$A$4:$F$7,2,FALSE),0)</f>
        <v/>
      </c>
      <c r="W32" s="4">
        <f>N(Q32)*IFERROR(VLOOKUP($C32,Assumptions!$A$4:$F$7,3,FALSE),0)*Assumptions!$B$11</f>
        <v/>
      </c>
      <c r="X32" s="4">
        <f>N(L32)*IFERROR(VLOOKUP($C32,Assumptions!$A$4:$F$7,4,FALSE),0)</f>
        <v/>
      </c>
      <c r="Y32" s="4">
        <f>N(R32)*IFERROR(VLOOKUP($C32,Assumptions!$A$4:$F$7,5,FALSE),0)</f>
        <v/>
      </c>
      <c r="Z32" s="4">
        <f>N(S32)</f>
        <v/>
      </c>
      <c r="AA32" s="4">
        <f>SUM(U32:Z32)</f>
        <v/>
      </c>
      <c r="AB32" s="4">
        <f>N(AA32)*N(K32)/90</f>
        <v/>
      </c>
      <c r="AC32" s="4">
        <f>IFERROR(AB32-VLOOKUP($C32,Assumptions!$A$29:$C$32,3,FALSE),"")</f>
        <v/>
      </c>
      <c r="AD32" s="4">
        <f>IFERROR(AC32/F32,"")</f>
        <v/>
      </c>
      <c r="AE32">
        <f>IF(AND($E32=TRUE,$C32="GKP"),AB32,"")</f>
        <v/>
      </c>
      <c r="AF32">
        <f>IF(AND($E32=TRUE,$C32="DEF"),AB32,"")</f>
        <v/>
      </c>
      <c r="AG32">
        <f>IF(AND($E32=TRUE,$C32="MID"),AB32,"")</f>
        <v/>
      </c>
      <c r="AH32">
        <f>IF(AND($E32=TRUE,$C32="FWD"),AB32,"")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b">
        <v>1</v>
      </c>
      <c r="F33" s="2" t="n">
        <v>6</v>
      </c>
      <c r="G33" t="inlineStr">
        <is>
          <t>a</t>
        </is>
      </c>
      <c r="I33" s="2" t="n">
        <v>2930</v>
      </c>
      <c r="J33" t="n">
        <v>147</v>
      </c>
      <c r="K33" s="3" t="n">
        <v>2930</v>
      </c>
      <c r="L33" s="3" t="n">
        <v>0.29</v>
      </c>
      <c r="M33" s="4" t="n">
        <v>0.1565</v>
      </c>
      <c r="N33" t="inlineStr">
        <is>
          <t>adjusted xGOT</t>
        </is>
      </c>
      <c r="O33" s="4" t="n">
        <v>0.976</v>
      </c>
      <c r="P33" s="4" t="n">
        <v>5.2</v>
      </c>
      <c r="Q33" s="4" t="n">
        <v>0.2073</v>
      </c>
      <c r="R33" s="4" t="n">
        <v>0.242</v>
      </c>
      <c r="S33" s="4" t="n">
        <v>0.4608</v>
      </c>
      <c r="T33" s="4" t="n">
        <v>2.119</v>
      </c>
      <c r="U33" s="4">
        <f>IF(T33="",IFERROR(VLOOKUP($C33,Assumptions!$A$4:$F$7,6,FALSE),0),T33)</f>
        <v/>
      </c>
      <c r="V33" s="4">
        <f>N(M33)*IFERROR(VLOOKUP($C33,Assumptions!$A$4:$F$7,2,FALSE),0)</f>
        <v/>
      </c>
      <c r="W33" s="4">
        <f>N(Q33)*IFERROR(VLOOKUP($C33,Assumptions!$A$4:$F$7,3,FALSE),0)*Assumptions!$B$11</f>
        <v/>
      </c>
      <c r="X33" s="4">
        <f>N(L33)*IFERROR(VLOOKUP($C33,Assumptions!$A$4:$F$7,4,FALSE),0)</f>
        <v/>
      </c>
      <c r="Y33" s="4">
        <f>N(R33)*IFERROR(VLOOKUP($C33,Assumptions!$A$4:$F$7,5,FALSE),0)</f>
        <v/>
      </c>
      <c r="Z33" s="4">
        <f>N(S33)</f>
        <v/>
      </c>
      <c r="AA33" s="4">
        <f>SUM(U33:Z33)</f>
        <v/>
      </c>
      <c r="AB33" s="4">
        <f>N(AA33)*N(K33)/90</f>
        <v/>
      </c>
      <c r="AC33" s="4">
        <f>IFERROR(AB33-VLOOKUP($C33,Assumptions!$A$29:$C$32,3,FALSE),"")</f>
        <v/>
      </c>
      <c r="AD33" s="4">
        <f>IFERROR(AC33/F33,"")</f>
        <v/>
      </c>
      <c r="AE33">
        <f>IF(AND($E33=TRUE,$C33="GKP"),AB33,"")</f>
        <v/>
      </c>
      <c r="AF33">
        <f>IF(AND($E33=TRUE,$C33="DEF"),AB33,"")</f>
        <v/>
      </c>
      <c r="AG33">
        <f>IF(AND($E33=TRUE,$C33="MID"),AB33,"")</f>
        <v/>
      </c>
      <c r="AH33">
        <f>IF(AND($E33=TRUE,$C33="FWD"),AB33,"")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b">
        <v>1</v>
      </c>
      <c r="F34" s="2" t="n">
        <v>6</v>
      </c>
      <c r="G34" t="inlineStr">
        <is>
          <t>a</t>
        </is>
      </c>
      <c r="I34" s="2" t="n">
        <v>2991</v>
      </c>
      <c r="J34" t="n">
        <v>144</v>
      </c>
      <c r="K34" s="3" t="n">
        <v>2991</v>
      </c>
      <c r="L34" s="3" t="n">
        <v>0.263</v>
      </c>
      <c r="M34" s="4" t="n">
        <v>0.056</v>
      </c>
      <c r="N34" t="inlineStr">
        <is>
          <t>adjusted xGOT</t>
        </is>
      </c>
      <c r="O34" s="4" t="n">
        <v>0.985</v>
      </c>
      <c r="P34" s="4" t="n">
        <v>5.1</v>
      </c>
      <c r="Q34" s="4" t="n">
        <v>0.0696</v>
      </c>
      <c r="R34" s="4" t="n">
        <v>0.206</v>
      </c>
      <c r="S34" s="4" t="n">
        <v>0.5115</v>
      </c>
      <c r="T34" s="4" t="n">
        <v>2.076</v>
      </c>
      <c r="U34" s="4">
        <f>IF(T34="",IFERROR(VLOOKUP($C34,Assumptions!$A$4:$F$7,6,FALSE),0),T34)</f>
        <v/>
      </c>
      <c r="V34" s="4">
        <f>N(M34)*IFERROR(VLOOKUP($C34,Assumptions!$A$4:$F$7,2,FALSE),0)</f>
        <v/>
      </c>
      <c r="W34" s="4">
        <f>N(Q34)*IFERROR(VLOOKUP($C34,Assumptions!$A$4:$F$7,3,FALSE),0)*Assumptions!$B$11</f>
        <v/>
      </c>
      <c r="X34" s="4">
        <f>N(L34)*IFERROR(VLOOKUP($C34,Assumptions!$A$4:$F$7,4,FALSE),0)</f>
        <v/>
      </c>
      <c r="Y34" s="4">
        <f>N(R34)*IFERROR(VLOOKUP($C34,Assumptions!$A$4:$F$7,5,FALSE),0)</f>
        <v/>
      </c>
      <c r="Z34" s="4">
        <f>N(S34)</f>
        <v/>
      </c>
      <c r="AA34" s="4">
        <f>SUM(U34:Z34)</f>
        <v/>
      </c>
      <c r="AB34" s="4">
        <f>N(AA34)*N(K34)/90</f>
        <v/>
      </c>
      <c r="AC34" s="4">
        <f>IFERROR(AB34-VLOOKUP($C34,Assumptions!$A$29:$C$32,3,FALSE),"")</f>
        <v/>
      </c>
      <c r="AD34" s="4">
        <f>IFERROR(AC34/F34,"")</f>
        <v/>
      </c>
      <c r="AE34">
        <f>IF(AND($E34=TRUE,$C34="GKP"),AB34,"")</f>
        <v/>
      </c>
      <c r="AF34">
        <f>IF(AND($E34=TRUE,$C34="DEF"),AB34,"")</f>
        <v/>
      </c>
      <c r="AG34">
        <f>IF(AND($E34=TRUE,$C34="MID"),AB34,"")</f>
        <v/>
      </c>
      <c r="AH34">
        <f>IF(AND($E34=TRUE,$C34="FWD"),AB34,"")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b">
        <v>1</v>
      </c>
      <c r="F35" s="2" t="n">
        <v>8</v>
      </c>
      <c r="G35" t="inlineStr">
        <is>
          <t>a</t>
        </is>
      </c>
      <c r="I35" s="2" t="n">
        <v>2493</v>
      </c>
      <c r="J35" t="n">
        <v>143</v>
      </c>
      <c r="K35" s="3" t="n">
        <v>2493</v>
      </c>
      <c r="L35" s="3" t="n">
        <v>0.21</v>
      </c>
      <c r="M35" s="4" t="n">
        <v>0.2624</v>
      </c>
      <c r="N35" t="inlineStr">
        <is>
          <t>adjusted xGOT</t>
        </is>
      </c>
      <c r="O35" s="4" t="n">
        <v>1.053</v>
      </c>
      <c r="P35" s="4" t="n">
        <v>26.8</v>
      </c>
      <c r="Q35" s="4" t="n">
        <v>0.1274</v>
      </c>
      <c r="R35" s="4" t="n">
        <v>0.034</v>
      </c>
      <c r="S35" s="4" t="n">
        <v>0.5415</v>
      </c>
      <c r="T35" s="4" t="n">
        <v>2.202</v>
      </c>
      <c r="U35" s="4">
        <f>IF(T35="",IFERROR(VLOOKUP($C35,Assumptions!$A$4:$F$7,6,FALSE),0),T35)</f>
        <v/>
      </c>
      <c r="V35" s="4">
        <f>N(M35)*IFERROR(VLOOKUP($C35,Assumptions!$A$4:$F$7,2,FALSE),0)</f>
        <v/>
      </c>
      <c r="W35" s="4">
        <f>N(Q35)*IFERROR(VLOOKUP($C35,Assumptions!$A$4:$F$7,3,FALSE),0)*Assumptions!$B$11</f>
        <v/>
      </c>
      <c r="X35" s="4">
        <f>N(L35)*IFERROR(VLOOKUP($C35,Assumptions!$A$4:$F$7,4,FALSE),0)</f>
        <v/>
      </c>
      <c r="Y35" s="4">
        <f>N(R35)*IFERROR(VLOOKUP($C35,Assumptions!$A$4:$F$7,5,FALSE),0)</f>
        <v/>
      </c>
      <c r="Z35" s="4">
        <f>N(S35)</f>
        <v/>
      </c>
      <c r="AA35" s="4">
        <f>SUM(U35:Z35)</f>
        <v/>
      </c>
      <c r="AB35" s="4">
        <f>N(AA35)*N(K35)/90</f>
        <v/>
      </c>
      <c r="AC35" s="4">
        <f>IFERROR(AB35-VLOOKUP($C35,Assumptions!$A$29:$C$32,3,FALSE),"")</f>
        <v/>
      </c>
      <c r="AD35" s="4">
        <f>IFERROR(AC35/F35,"")</f>
        <v/>
      </c>
      <c r="AE35">
        <f>IF(AND($E35=TRUE,$C35="GKP"),AB35,"")</f>
        <v/>
      </c>
      <c r="AF35">
        <f>IF(AND($E35=TRUE,$C35="DEF"),AB35,"")</f>
        <v/>
      </c>
      <c r="AG35">
        <f>IF(AND($E35=TRUE,$C35="MID"),AB35,"")</f>
        <v/>
      </c>
      <c r="AH35">
        <f>IF(AND($E35=TRUE,$C35="FWD"),AB35,"")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b">
        <v>1</v>
      </c>
      <c r="F36" s="2" t="n">
        <v>5</v>
      </c>
      <c r="G36" t="inlineStr">
        <is>
          <t>a</t>
        </is>
      </c>
      <c r="I36" s="2" t="n">
        <v>3330</v>
      </c>
      <c r="J36" t="n">
        <v>143</v>
      </c>
      <c r="K36" s="3" t="n">
        <v>3330</v>
      </c>
      <c r="L36" s="3" t="n">
        <v>0.263</v>
      </c>
      <c r="M36" s="4" t="n">
        <v>0</v>
      </c>
      <c r="N36" t="inlineStr">
        <is>
          <t>blended xG</t>
        </is>
      </c>
      <c r="O36" s="4" t="n">
        <v>1</v>
      </c>
      <c r="P36" s="4" t="n">
        <v>0</v>
      </c>
      <c r="Q36" s="4" t="n">
        <v>0.0044</v>
      </c>
      <c r="R36" s="4" t="n">
        <v>0</v>
      </c>
      <c r="S36" s="4" t="n">
        <v>0.3784</v>
      </c>
      <c r="T36" s="4" t="n">
        <v>2</v>
      </c>
      <c r="U36" s="4">
        <f>IF(T36="",IFERROR(VLOOKUP($C36,Assumptions!$A$4:$F$7,6,FALSE),0),T36)</f>
        <v/>
      </c>
      <c r="V36" s="4">
        <f>N(M36)*IFERROR(VLOOKUP($C36,Assumptions!$A$4:$F$7,2,FALSE),0)</f>
        <v/>
      </c>
      <c r="W36" s="4">
        <f>N(Q36)*IFERROR(VLOOKUP($C36,Assumptions!$A$4:$F$7,3,FALSE),0)*Assumptions!$B$11</f>
        <v/>
      </c>
      <c r="X36" s="4">
        <f>N(L36)*IFERROR(VLOOKUP($C36,Assumptions!$A$4:$F$7,4,FALSE),0)</f>
        <v/>
      </c>
      <c r="Y36" s="4">
        <f>N(R36)*IFERROR(VLOOKUP($C36,Assumptions!$A$4:$F$7,5,FALSE),0)</f>
        <v/>
      </c>
      <c r="Z36" s="4">
        <f>N(S36)</f>
        <v/>
      </c>
      <c r="AA36" s="4">
        <f>SUM(U36:Z36)</f>
        <v/>
      </c>
      <c r="AB36" s="4">
        <f>N(AA36)*N(K36)/90</f>
        <v/>
      </c>
      <c r="AC36" s="4">
        <f>IFERROR(AB36-VLOOKUP($C36,Assumptions!$A$29:$C$32,3,FALSE),"")</f>
        <v/>
      </c>
      <c r="AD36" s="4">
        <f>IFERROR(AC36/F36,"")</f>
        <v/>
      </c>
      <c r="AE36">
        <f>IF(AND($E36=TRUE,$C36="GKP"),AB36,"")</f>
        <v/>
      </c>
      <c r="AF36">
        <f>IF(AND($E36=TRUE,$C36="DEF"),AB36,"")</f>
        <v/>
      </c>
      <c r="AG36">
        <f>IF(AND($E36=TRUE,$C36="MID"),AB36,"")</f>
        <v/>
      </c>
      <c r="AH36">
        <f>IF(AND($E36=TRUE,$C36="FWD"),AB36,"")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b">
        <v>1</v>
      </c>
      <c r="F37" s="2" t="n">
        <v>6</v>
      </c>
      <c r="G37" t="inlineStr">
        <is>
          <t>a</t>
        </is>
      </c>
      <c r="I37" s="2" t="n">
        <v>2721</v>
      </c>
      <c r="J37" t="n">
        <v>142</v>
      </c>
      <c r="K37" s="3" t="n">
        <v>2721</v>
      </c>
      <c r="L37" s="3" t="n">
        <v>0.21</v>
      </c>
      <c r="M37" s="4" t="n">
        <v>0.4469</v>
      </c>
      <c r="N37" t="inlineStr">
        <is>
          <t>adjusted xGOT</t>
        </is>
      </c>
      <c r="O37" s="4" t="n">
        <v>0.868</v>
      </c>
      <c r="P37" s="4" t="n">
        <v>40.9</v>
      </c>
      <c r="Q37" s="4" t="n">
        <v>0.0431</v>
      </c>
      <c r="R37" s="4" t="n">
        <v>0</v>
      </c>
      <c r="S37" s="4" t="n">
        <v>0.6615</v>
      </c>
      <c r="T37" s="4" t="n">
        <v>2.15</v>
      </c>
      <c r="U37" s="4">
        <f>IF(T37="",IFERROR(VLOOKUP($C37,Assumptions!$A$4:$F$7,6,FALSE),0),T37)</f>
        <v/>
      </c>
      <c r="V37" s="4">
        <f>N(M37)*IFERROR(VLOOKUP($C37,Assumptions!$A$4:$F$7,2,FALSE),0)</f>
        <v/>
      </c>
      <c r="W37" s="4">
        <f>N(Q37)*IFERROR(VLOOKUP($C37,Assumptions!$A$4:$F$7,3,FALSE),0)*Assumptions!$B$11</f>
        <v/>
      </c>
      <c r="X37" s="4">
        <f>N(L37)*IFERROR(VLOOKUP($C37,Assumptions!$A$4:$F$7,4,FALSE),0)</f>
        <v/>
      </c>
      <c r="Y37" s="4">
        <f>N(R37)*IFERROR(VLOOKUP($C37,Assumptions!$A$4:$F$7,5,FALSE),0)</f>
        <v/>
      </c>
      <c r="Z37" s="4">
        <f>N(S37)</f>
        <v/>
      </c>
      <c r="AA37" s="4">
        <f>SUM(U37:Z37)</f>
        <v/>
      </c>
      <c r="AB37" s="4">
        <f>N(AA37)*N(K37)/90</f>
        <v/>
      </c>
      <c r="AC37" s="4">
        <f>IFERROR(AB37-VLOOKUP($C37,Assumptions!$A$29:$C$32,3,FALSE),"")</f>
        <v/>
      </c>
      <c r="AD37" s="4">
        <f>IFERROR(AC37/F37,"")</f>
        <v/>
      </c>
      <c r="AE37">
        <f>IF(AND($E37=TRUE,$C37="GKP"),AB37,"")</f>
        <v/>
      </c>
      <c r="AF37">
        <f>IF(AND($E37=TRUE,$C37="DEF"),AB37,"")</f>
        <v/>
      </c>
      <c r="AG37">
        <f>IF(AND($E37=TRUE,$C37="MID"),AB37,"")</f>
        <v/>
      </c>
      <c r="AH37">
        <f>IF(AND($E37=TRUE,$C37="FWD"),AB37,"")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b">
        <v>1</v>
      </c>
      <c r="F38" s="2" t="n">
        <v>6</v>
      </c>
      <c r="G38" t="inlineStr">
        <is>
          <t>a</t>
        </is>
      </c>
      <c r="I38" s="2" t="n">
        <v>2732</v>
      </c>
      <c r="J38" t="n">
        <v>137</v>
      </c>
      <c r="K38" s="3" t="n">
        <v>2732</v>
      </c>
      <c r="L38" s="3" t="n">
        <v>0.29</v>
      </c>
      <c r="M38" s="4" t="n">
        <v>0.2664</v>
      </c>
      <c r="N38" t="inlineStr">
        <is>
          <t>adjusted xGOT</t>
        </is>
      </c>
      <c r="O38" s="4" t="n">
        <v>0.892</v>
      </c>
      <c r="P38" s="4" t="n">
        <v>21.6</v>
      </c>
      <c r="Q38" s="4" t="n">
        <v>0.1772</v>
      </c>
      <c r="R38" s="4" t="n">
        <v>0.097</v>
      </c>
      <c r="S38" s="4" t="n">
        <v>0.4612</v>
      </c>
      <c r="T38" s="4" t="n">
        <v>2.141</v>
      </c>
      <c r="U38" s="4">
        <f>IF(T38="",IFERROR(VLOOKUP($C38,Assumptions!$A$4:$F$7,6,FALSE),0),T38)</f>
        <v/>
      </c>
      <c r="V38" s="4">
        <f>N(M38)*IFERROR(VLOOKUP($C38,Assumptions!$A$4:$F$7,2,FALSE),0)</f>
        <v/>
      </c>
      <c r="W38" s="4">
        <f>N(Q38)*IFERROR(VLOOKUP($C38,Assumptions!$A$4:$F$7,3,FALSE),0)*Assumptions!$B$11</f>
        <v/>
      </c>
      <c r="X38" s="4">
        <f>N(L38)*IFERROR(VLOOKUP($C38,Assumptions!$A$4:$F$7,4,FALSE),0)</f>
        <v/>
      </c>
      <c r="Y38" s="4">
        <f>N(R38)*IFERROR(VLOOKUP($C38,Assumptions!$A$4:$F$7,5,FALSE),0)</f>
        <v/>
      </c>
      <c r="Z38" s="4">
        <f>N(S38)</f>
        <v/>
      </c>
      <c r="AA38" s="4">
        <f>SUM(U38:Z38)</f>
        <v/>
      </c>
      <c r="AB38" s="4">
        <f>N(AA38)*N(K38)/90</f>
        <v/>
      </c>
      <c r="AC38" s="4">
        <f>IFERROR(AB38-VLOOKUP($C38,Assumptions!$A$29:$C$32,3,FALSE),"")</f>
        <v/>
      </c>
      <c r="AD38" s="4">
        <f>IFERROR(AC38/F38,"")</f>
        <v/>
      </c>
      <c r="AE38">
        <f>IF(AND($E38=TRUE,$C38="GKP"),AB38,"")</f>
        <v/>
      </c>
      <c r="AF38">
        <f>IF(AND($E38=TRUE,$C38="DEF"),AB38,"")</f>
        <v/>
      </c>
      <c r="AG38">
        <f>IF(AND($E38=TRUE,$C38="MID"),AB38,"")</f>
        <v/>
      </c>
      <c r="AH38">
        <f>IF(AND($E38=TRUE,$C38="FWD"),AB38,"")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b">
        <v>1</v>
      </c>
      <c r="F39" s="2" t="n">
        <v>6</v>
      </c>
      <c r="G39" t="inlineStr">
        <is>
          <t>i</t>
        </is>
      </c>
      <c r="H39" t="inlineStr">
        <is>
          <t>Back injury - Unknown return date</t>
        </is>
      </c>
      <c r="I39" s="2" t="n">
        <v>2614</v>
      </c>
      <c r="J39" t="n">
        <v>137</v>
      </c>
      <c r="K39" s="3" t="n">
        <v>2614</v>
      </c>
      <c r="L39" s="3" t="n">
        <v>0.5</v>
      </c>
      <c r="M39" s="4" t="n">
        <v>0.0287</v>
      </c>
      <c r="N39" t="inlineStr">
        <is>
          <t>adjusted xGOT</t>
        </is>
      </c>
      <c r="O39" s="4" t="n">
        <v>0.949</v>
      </c>
      <c r="P39" s="4" t="n">
        <v>5.9</v>
      </c>
      <c r="Q39" s="4" t="n">
        <v>0.0433</v>
      </c>
      <c r="R39" s="4" t="n">
        <v>0.133</v>
      </c>
      <c r="S39" s="4" t="n">
        <v>0.3787</v>
      </c>
      <c r="T39" s="4" t="n">
        <v>2.031</v>
      </c>
      <c r="U39" s="4">
        <f>IF(T39="",IFERROR(VLOOKUP($C39,Assumptions!$A$4:$F$7,6,FALSE),0),T39)</f>
        <v/>
      </c>
      <c r="V39" s="4">
        <f>N(M39)*IFERROR(VLOOKUP($C39,Assumptions!$A$4:$F$7,2,FALSE),0)</f>
        <v/>
      </c>
      <c r="W39" s="4">
        <f>N(Q39)*IFERROR(VLOOKUP($C39,Assumptions!$A$4:$F$7,3,FALSE),0)*Assumptions!$B$11</f>
        <v/>
      </c>
      <c r="X39" s="4">
        <f>N(L39)*IFERROR(VLOOKUP($C39,Assumptions!$A$4:$F$7,4,FALSE),0)</f>
        <v/>
      </c>
      <c r="Y39" s="4">
        <f>N(R39)*IFERROR(VLOOKUP($C39,Assumptions!$A$4:$F$7,5,FALSE),0)</f>
        <v/>
      </c>
      <c r="Z39" s="4">
        <f>N(S39)</f>
        <v/>
      </c>
      <c r="AA39" s="4">
        <f>SUM(U39:Z39)</f>
        <v/>
      </c>
      <c r="AB39" s="4">
        <f>N(AA39)*N(K39)/90</f>
        <v/>
      </c>
      <c r="AC39" s="4">
        <f>IFERROR(AB39-VLOOKUP($C39,Assumptions!$A$29:$C$32,3,FALSE),"")</f>
        <v/>
      </c>
      <c r="AD39" s="4">
        <f>IFERROR(AC39/F39,"")</f>
        <v/>
      </c>
      <c r="AE39">
        <f>IF(AND($E39=TRUE,$C39="GKP"),AB39,"")</f>
        <v/>
      </c>
      <c r="AF39">
        <f>IF(AND($E39=TRUE,$C39="DEF"),AB39,"")</f>
        <v/>
      </c>
      <c r="AG39">
        <f>IF(AND($E39=TRUE,$C39="MID"),AB39,"")</f>
        <v/>
      </c>
      <c r="AH39">
        <f>IF(AND($E39=TRUE,$C39="FWD"),AB39,"")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b">
        <v>1</v>
      </c>
      <c r="F40" s="2" t="n">
        <v>6</v>
      </c>
      <c r="G40" t="inlineStr">
        <is>
          <t>a</t>
        </is>
      </c>
      <c r="I40" s="2" t="n">
        <v>2369</v>
      </c>
      <c r="J40" t="n">
        <v>137</v>
      </c>
      <c r="K40" s="3" t="n">
        <v>2369</v>
      </c>
      <c r="L40" s="3" t="n">
        <v>0.21</v>
      </c>
      <c r="M40" s="4" t="n">
        <v>0.1096</v>
      </c>
      <c r="N40" t="inlineStr">
        <is>
          <t>adjusted xGOT</t>
        </is>
      </c>
      <c r="O40" s="4" t="n">
        <v>1.002</v>
      </c>
      <c r="P40" s="4" t="n">
        <v>2.9</v>
      </c>
      <c r="Q40" s="4" t="n">
        <v>0.1981</v>
      </c>
      <c r="R40" s="4" t="n">
        <v>0.357</v>
      </c>
      <c r="S40" s="4" t="n">
        <v>0.5319</v>
      </c>
      <c r="T40" s="4" t="n">
        <v>2.127</v>
      </c>
      <c r="U40" s="4">
        <f>IF(T40="",IFERROR(VLOOKUP($C40,Assumptions!$A$4:$F$7,6,FALSE),0),T40)</f>
        <v/>
      </c>
      <c r="V40" s="4">
        <f>N(M40)*IFERROR(VLOOKUP($C40,Assumptions!$A$4:$F$7,2,FALSE),0)</f>
        <v/>
      </c>
      <c r="W40" s="4">
        <f>N(Q40)*IFERROR(VLOOKUP($C40,Assumptions!$A$4:$F$7,3,FALSE),0)*Assumptions!$B$11</f>
        <v/>
      </c>
      <c r="X40" s="4">
        <f>N(L40)*IFERROR(VLOOKUP($C40,Assumptions!$A$4:$F$7,4,FALSE),0)</f>
        <v/>
      </c>
      <c r="Y40" s="4">
        <f>N(R40)*IFERROR(VLOOKUP($C40,Assumptions!$A$4:$F$7,5,FALSE),0)</f>
        <v/>
      </c>
      <c r="Z40" s="4">
        <f>N(S40)</f>
        <v/>
      </c>
      <c r="AA40" s="4">
        <f>SUM(U40:Z40)</f>
        <v/>
      </c>
      <c r="AB40" s="4">
        <f>N(AA40)*N(K40)/90</f>
        <v/>
      </c>
      <c r="AC40" s="4">
        <f>IFERROR(AB40-VLOOKUP($C40,Assumptions!$A$29:$C$32,3,FALSE),"")</f>
        <v/>
      </c>
      <c r="AD40" s="4">
        <f>IFERROR(AC40/F40,"")</f>
        <v/>
      </c>
      <c r="AE40">
        <f>IF(AND($E40=TRUE,$C40="GKP"),AB40,"")</f>
        <v/>
      </c>
      <c r="AF40">
        <f>IF(AND($E40=TRUE,$C40="DEF"),AB40,"")</f>
        <v/>
      </c>
      <c r="AG40">
        <f>IF(AND($E40=TRUE,$C40="MID"),AB40,"")</f>
        <v/>
      </c>
      <c r="AH40">
        <f>IF(AND($E40=TRUE,$C40="FWD"),AB40,"")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b">
        <v>1</v>
      </c>
      <c r="F41" s="2" t="n">
        <v>5.5</v>
      </c>
      <c r="G41" t="inlineStr">
        <is>
          <t>a</t>
        </is>
      </c>
      <c r="I41" s="2" t="n">
        <v>2400</v>
      </c>
      <c r="J41" t="n">
        <v>136</v>
      </c>
      <c r="K41" s="3" t="n">
        <v>2400</v>
      </c>
      <c r="L41" s="3" t="n">
        <v>0.316</v>
      </c>
      <c r="M41" s="4" t="n">
        <v>0.08119999999999999</v>
      </c>
      <c r="N41" t="inlineStr">
        <is>
          <t>adjusted xGOT</t>
        </is>
      </c>
      <c r="O41" s="4" t="n">
        <v>0.884</v>
      </c>
      <c r="P41" s="4" t="n">
        <v>8.6</v>
      </c>
      <c r="Q41" s="4" t="n">
        <v>0.1689</v>
      </c>
      <c r="R41" s="4" t="n">
        <v>0.241</v>
      </c>
      <c r="S41" s="4" t="n">
        <v>0.3375</v>
      </c>
      <c r="T41" s="4" t="n">
        <v>2.062</v>
      </c>
      <c r="U41" s="4">
        <f>IF(T41="",IFERROR(VLOOKUP($C41,Assumptions!$A$4:$F$7,6,FALSE),0),T41)</f>
        <v/>
      </c>
      <c r="V41" s="4">
        <f>N(M41)*IFERROR(VLOOKUP($C41,Assumptions!$A$4:$F$7,2,FALSE),0)</f>
        <v/>
      </c>
      <c r="W41" s="4">
        <f>N(Q41)*IFERROR(VLOOKUP($C41,Assumptions!$A$4:$F$7,3,FALSE),0)*Assumptions!$B$11</f>
        <v/>
      </c>
      <c r="X41" s="4">
        <f>N(L41)*IFERROR(VLOOKUP($C41,Assumptions!$A$4:$F$7,4,FALSE),0)</f>
        <v/>
      </c>
      <c r="Y41" s="4">
        <f>N(R41)*IFERROR(VLOOKUP($C41,Assumptions!$A$4:$F$7,5,FALSE),0)</f>
        <v/>
      </c>
      <c r="Z41" s="4">
        <f>N(S41)</f>
        <v/>
      </c>
      <c r="AA41" s="4">
        <f>SUM(U41:Z41)</f>
        <v/>
      </c>
      <c r="AB41" s="4">
        <f>N(AA41)*N(K41)/90</f>
        <v/>
      </c>
      <c r="AC41" s="4">
        <f>IFERROR(AB41-VLOOKUP($C41,Assumptions!$A$29:$C$32,3,FALSE),"")</f>
        <v/>
      </c>
      <c r="AD41" s="4">
        <f>IFERROR(AC41/F41,"")</f>
        <v/>
      </c>
      <c r="AE41">
        <f>IF(AND($E41=TRUE,$C41="GKP"),AB41,"")</f>
        <v/>
      </c>
      <c r="AF41">
        <f>IF(AND($E41=TRUE,$C41="DEF"),AB41,"")</f>
        <v/>
      </c>
      <c r="AG41">
        <f>IF(AND($E41=TRUE,$C41="MID"),AB41,"")</f>
        <v/>
      </c>
      <c r="AH41">
        <f>IF(AND($E41=TRUE,$C41="FWD"),AB41,"")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b">
        <v>1</v>
      </c>
      <c r="F42" s="2" t="n">
        <v>5.5</v>
      </c>
      <c r="G42" t="inlineStr">
        <is>
          <t>u</t>
        </is>
      </c>
      <c r="H42" t="inlineStr">
        <is>
          <t>Has joined Como permanently</t>
        </is>
      </c>
      <c r="I42" s="2" t="n">
        <v>2780</v>
      </c>
      <c r="J42" t="n">
        <v>136</v>
      </c>
      <c r="K42" s="3" t="n">
        <v>2780</v>
      </c>
      <c r="L42" s="3" t="n">
        <v>0.237</v>
      </c>
      <c r="M42" s="4" t="n">
        <v>0.0555</v>
      </c>
      <c r="N42" t="inlineStr">
        <is>
          <t>adjusted xGOT</t>
        </is>
      </c>
      <c r="O42" s="4" t="n">
        <v>1.19</v>
      </c>
      <c r="P42" s="4" t="n">
        <v>4.4</v>
      </c>
      <c r="Q42" s="4" t="n">
        <v>0.0269</v>
      </c>
      <c r="R42" s="4" t="n">
        <v>0.452</v>
      </c>
      <c r="S42" s="4" t="n">
        <v>0.1942</v>
      </c>
      <c r="T42" s="4" t="n">
        <v>2.072</v>
      </c>
      <c r="U42" s="4">
        <f>IF(T42="",IFERROR(VLOOKUP($C42,Assumptions!$A$4:$F$7,6,FALSE),0),T42)</f>
        <v/>
      </c>
      <c r="V42" s="4">
        <f>N(M42)*IFERROR(VLOOKUP($C42,Assumptions!$A$4:$F$7,2,FALSE),0)</f>
        <v/>
      </c>
      <c r="W42" s="4">
        <f>N(Q42)*IFERROR(VLOOKUP($C42,Assumptions!$A$4:$F$7,3,FALSE),0)*Assumptions!$B$11</f>
        <v/>
      </c>
      <c r="X42" s="4">
        <f>N(L42)*IFERROR(VLOOKUP($C42,Assumptions!$A$4:$F$7,4,FALSE),0)</f>
        <v/>
      </c>
      <c r="Y42" s="4">
        <f>N(R42)*IFERROR(VLOOKUP($C42,Assumptions!$A$4:$F$7,5,FALSE),0)</f>
        <v/>
      </c>
      <c r="Z42" s="4">
        <f>N(S42)</f>
        <v/>
      </c>
      <c r="AA42" s="4">
        <f>SUM(U42:Z42)</f>
        <v/>
      </c>
      <c r="AB42" s="4">
        <f>N(AA42)*N(K42)/90</f>
        <v/>
      </c>
      <c r="AC42" s="4">
        <f>IFERROR(AB42-VLOOKUP($C42,Assumptions!$A$29:$C$32,3,FALSE),"")</f>
        <v/>
      </c>
      <c r="AD42" s="4">
        <f>IFERROR(AC42/F42,"")</f>
        <v/>
      </c>
      <c r="AE42">
        <f>IF(AND($E42=TRUE,$C42="GKP"),AB42,"")</f>
        <v/>
      </c>
      <c r="AF42">
        <f>IF(AND($E42=TRUE,$C42="DEF"),AB42,"")</f>
        <v/>
      </c>
      <c r="AG42">
        <f>IF(AND($E42=TRUE,$C42="MID"),AB42,"")</f>
        <v/>
      </c>
      <c r="AH42">
        <f>IF(AND($E42=TRUE,$C42="FWD"),AB42,"")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b">
        <v>1</v>
      </c>
      <c r="F43" s="2" t="n">
        <v>5</v>
      </c>
      <c r="G43" t="inlineStr">
        <is>
          <t>a</t>
        </is>
      </c>
      <c r="I43" s="2" t="n">
        <v>3150</v>
      </c>
      <c r="J43" t="n">
        <v>136</v>
      </c>
      <c r="K43" s="3" t="n">
        <v>3150</v>
      </c>
      <c r="L43" s="3" t="n">
        <v>0.29</v>
      </c>
      <c r="M43" s="4" t="n">
        <v>0</v>
      </c>
      <c r="N43" t="inlineStr">
        <is>
          <t>blended xG</t>
        </is>
      </c>
      <c r="O43" s="4" t="n">
        <v>1</v>
      </c>
      <c r="P43" s="4" t="n">
        <v>0</v>
      </c>
      <c r="Q43" s="4" t="n">
        <v>0.0115</v>
      </c>
      <c r="R43" s="4" t="n">
        <v>0</v>
      </c>
      <c r="S43" s="4" t="n">
        <v>0.3429</v>
      </c>
      <c r="T43" s="4" t="n">
        <v>2</v>
      </c>
      <c r="U43" s="4">
        <f>IF(T43="",IFERROR(VLOOKUP($C43,Assumptions!$A$4:$F$7,6,FALSE),0),T43)</f>
        <v/>
      </c>
      <c r="V43" s="4">
        <f>N(M43)*IFERROR(VLOOKUP($C43,Assumptions!$A$4:$F$7,2,FALSE),0)</f>
        <v/>
      </c>
      <c r="W43" s="4">
        <f>N(Q43)*IFERROR(VLOOKUP($C43,Assumptions!$A$4:$F$7,3,FALSE),0)*Assumptions!$B$11</f>
        <v/>
      </c>
      <c r="X43" s="4">
        <f>N(L43)*IFERROR(VLOOKUP($C43,Assumptions!$A$4:$F$7,4,FALSE),0)</f>
        <v/>
      </c>
      <c r="Y43" s="4">
        <f>N(R43)*IFERROR(VLOOKUP($C43,Assumptions!$A$4:$F$7,5,FALSE),0)</f>
        <v/>
      </c>
      <c r="Z43" s="4">
        <f>N(S43)</f>
        <v/>
      </c>
      <c r="AA43" s="4">
        <f>SUM(U43:Z43)</f>
        <v/>
      </c>
      <c r="AB43" s="4">
        <f>N(AA43)*N(K43)/90</f>
        <v/>
      </c>
      <c r="AC43" s="4">
        <f>IFERROR(AB43-VLOOKUP($C43,Assumptions!$A$29:$C$32,3,FALSE),"")</f>
        <v/>
      </c>
      <c r="AD43" s="4">
        <f>IFERROR(AC43/F43,"")</f>
        <v/>
      </c>
      <c r="AE43">
        <f>IF(AND($E43=TRUE,$C43="GKP"),AB43,"")</f>
        <v/>
      </c>
      <c r="AF43">
        <f>IF(AND($E43=TRUE,$C43="DEF"),AB43,"")</f>
        <v/>
      </c>
      <c r="AG43">
        <f>IF(AND($E43=TRUE,$C43="MID"),AB43,"")</f>
        <v/>
      </c>
      <c r="AH43">
        <f>IF(AND($E43=TRUE,$C43="FWD"),AB43,"")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b">
        <v>1</v>
      </c>
      <c r="F44" s="2" t="n">
        <v>6.5</v>
      </c>
      <c r="G44" t="inlineStr">
        <is>
          <t>a</t>
        </is>
      </c>
      <c r="I44" s="2" t="n">
        <v>2271</v>
      </c>
      <c r="J44" t="n">
        <v>136</v>
      </c>
      <c r="K44" s="3" t="n">
        <v>2271</v>
      </c>
      <c r="L44" s="3" t="n">
        <v>0.263</v>
      </c>
      <c r="M44" s="4" t="n">
        <v>0.2639</v>
      </c>
      <c r="N44" t="inlineStr">
        <is>
          <t>adjusted xGOT</t>
        </is>
      </c>
      <c r="O44" s="4" t="n">
        <v>0.838</v>
      </c>
      <c r="P44" s="4" t="n">
        <v>22.5</v>
      </c>
      <c r="Q44" s="4" t="n">
        <v>0.1978</v>
      </c>
      <c r="R44" s="4" t="n">
        <v>0.08</v>
      </c>
      <c r="S44" s="4" t="n">
        <v>0.6341</v>
      </c>
      <c r="T44" s="4" t="n">
        <v>2.219</v>
      </c>
      <c r="U44" s="4">
        <f>IF(T44="",IFERROR(VLOOKUP($C44,Assumptions!$A$4:$F$7,6,FALSE),0),T44)</f>
        <v/>
      </c>
      <c r="V44" s="4">
        <f>N(M44)*IFERROR(VLOOKUP($C44,Assumptions!$A$4:$F$7,2,FALSE),0)</f>
        <v/>
      </c>
      <c r="W44" s="4">
        <f>N(Q44)*IFERROR(VLOOKUP($C44,Assumptions!$A$4:$F$7,3,FALSE),0)*Assumptions!$B$11</f>
        <v/>
      </c>
      <c r="X44" s="4">
        <f>N(L44)*IFERROR(VLOOKUP($C44,Assumptions!$A$4:$F$7,4,FALSE),0)</f>
        <v/>
      </c>
      <c r="Y44" s="4">
        <f>N(R44)*IFERROR(VLOOKUP($C44,Assumptions!$A$4:$F$7,5,FALSE),0)</f>
        <v/>
      </c>
      <c r="Z44" s="4">
        <f>N(S44)</f>
        <v/>
      </c>
      <c r="AA44" s="4">
        <f>SUM(U44:Z44)</f>
        <v/>
      </c>
      <c r="AB44" s="4">
        <f>N(AA44)*N(K44)/90</f>
        <v/>
      </c>
      <c r="AC44" s="4">
        <f>IFERROR(AB44-VLOOKUP($C44,Assumptions!$A$29:$C$32,3,FALSE),"")</f>
        <v/>
      </c>
      <c r="AD44" s="4">
        <f>IFERROR(AC44/F44,"")</f>
        <v/>
      </c>
      <c r="AE44">
        <f>IF(AND($E44=TRUE,$C44="GKP"),AB44,"")</f>
        <v/>
      </c>
      <c r="AF44">
        <f>IF(AND($E44=TRUE,$C44="DEF"),AB44,"")</f>
        <v/>
      </c>
      <c r="AG44">
        <f>IF(AND($E44=TRUE,$C44="MID"),AB44,"")</f>
        <v/>
      </c>
      <c r="AH44">
        <f>IF(AND($E44=TRUE,$C44="FWD"),AB44,"")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b">
        <v>1</v>
      </c>
      <c r="F45" s="2" t="n">
        <v>6</v>
      </c>
      <c r="G45" t="inlineStr">
        <is>
          <t>a</t>
        </is>
      </c>
      <c r="I45" s="2" t="n">
        <v>2848</v>
      </c>
      <c r="J45" t="n">
        <v>136</v>
      </c>
      <c r="K45" s="3" t="n">
        <v>2848</v>
      </c>
      <c r="L45" s="3" t="n">
        <v>0.29</v>
      </c>
      <c r="M45" s="4" t="n">
        <v>0.116</v>
      </c>
      <c r="N45" t="inlineStr">
        <is>
          <t>adjusted xGOT</t>
        </is>
      </c>
      <c r="O45" s="4" t="n">
        <v>0.966</v>
      </c>
      <c r="P45" s="4" t="n">
        <v>5.4</v>
      </c>
      <c r="Q45" s="4" t="n">
        <v>0.0921</v>
      </c>
      <c r="R45" s="4" t="n">
        <v>0.441</v>
      </c>
      <c r="S45" s="4" t="n">
        <v>0.2844</v>
      </c>
      <c r="T45" s="4" t="n">
        <v>2.212</v>
      </c>
      <c r="U45" s="4">
        <f>IF(T45="",IFERROR(VLOOKUP($C45,Assumptions!$A$4:$F$7,6,FALSE),0),T45)</f>
        <v/>
      </c>
      <c r="V45" s="4">
        <f>N(M45)*IFERROR(VLOOKUP($C45,Assumptions!$A$4:$F$7,2,FALSE),0)</f>
        <v/>
      </c>
      <c r="W45" s="4">
        <f>N(Q45)*IFERROR(VLOOKUP($C45,Assumptions!$A$4:$F$7,3,FALSE),0)*Assumptions!$B$11</f>
        <v/>
      </c>
      <c r="X45" s="4">
        <f>N(L45)*IFERROR(VLOOKUP($C45,Assumptions!$A$4:$F$7,4,FALSE),0)</f>
        <v/>
      </c>
      <c r="Y45" s="4">
        <f>N(R45)*IFERROR(VLOOKUP($C45,Assumptions!$A$4:$F$7,5,FALSE),0)</f>
        <v/>
      </c>
      <c r="Z45" s="4">
        <f>N(S45)</f>
        <v/>
      </c>
      <c r="AA45" s="4">
        <f>SUM(U45:Z45)</f>
        <v/>
      </c>
      <c r="AB45" s="4">
        <f>N(AA45)*N(K45)/90</f>
        <v/>
      </c>
      <c r="AC45" s="4">
        <f>IFERROR(AB45-VLOOKUP($C45,Assumptions!$A$29:$C$32,3,FALSE),"")</f>
        <v/>
      </c>
      <c r="AD45" s="4">
        <f>IFERROR(AC45/F45,"")</f>
        <v/>
      </c>
      <c r="AE45">
        <f>IF(AND($E45=TRUE,$C45="GKP"),AB45,"")</f>
        <v/>
      </c>
      <c r="AF45">
        <f>IF(AND($E45=TRUE,$C45="DEF"),AB45,"")</f>
        <v/>
      </c>
      <c r="AG45">
        <f>IF(AND($E45=TRUE,$C45="MID"),AB45,"")</f>
        <v/>
      </c>
      <c r="AH45">
        <f>IF(AND($E45=TRUE,$C45="FWD"),AB45,"")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b">
        <v>1</v>
      </c>
      <c r="F46" s="2" t="n">
        <v>6</v>
      </c>
      <c r="G46" t="inlineStr">
        <is>
          <t>a</t>
        </is>
      </c>
      <c r="I46" s="2" t="n">
        <v>3017</v>
      </c>
      <c r="J46" t="n">
        <v>135</v>
      </c>
      <c r="K46" s="3" t="n">
        <v>3017</v>
      </c>
      <c r="L46" s="3" t="n">
        <v>0.237</v>
      </c>
      <c r="M46" s="4" t="n">
        <v>0.0501</v>
      </c>
      <c r="N46" t="inlineStr">
        <is>
          <t>adjusted xGOT</t>
        </is>
      </c>
      <c r="O46" s="4" t="n">
        <v>0.843</v>
      </c>
      <c r="P46" s="4" t="n">
        <v>6.1</v>
      </c>
      <c r="Q46" s="4" t="n">
        <v>0.0939</v>
      </c>
      <c r="R46" s="4" t="n">
        <v>0.429</v>
      </c>
      <c r="S46" s="4" t="n">
        <v>0.179</v>
      </c>
      <c r="T46" s="4" t="n">
        <v>2.088</v>
      </c>
      <c r="U46" s="4">
        <f>IF(T46="",IFERROR(VLOOKUP($C46,Assumptions!$A$4:$F$7,6,FALSE),0),T46)</f>
        <v/>
      </c>
      <c r="V46" s="4">
        <f>N(M46)*IFERROR(VLOOKUP($C46,Assumptions!$A$4:$F$7,2,FALSE),0)</f>
        <v/>
      </c>
      <c r="W46" s="4">
        <f>N(Q46)*IFERROR(VLOOKUP($C46,Assumptions!$A$4:$F$7,3,FALSE),0)*Assumptions!$B$11</f>
        <v/>
      </c>
      <c r="X46" s="4">
        <f>N(L46)*IFERROR(VLOOKUP($C46,Assumptions!$A$4:$F$7,4,FALSE),0)</f>
        <v/>
      </c>
      <c r="Y46" s="4">
        <f>N(R46)*IFERROR(VLOOKUP($C46,Assumptions!$A$4:$F$7,5,FALSE),0)</f>
        <v/>
      </c>
      <c r="Z46" s="4">
        <f>N(S46)</f>
        <v/>
      </c>
      <c r="AA46" s="4">
        <f>SUM(U46:Z46)</f>
        <v/>
      </c>
      <c r="AB46" s="4">
        <f>N(AA46)*N(K46)/90</f>
        <v/>
      </c>
      <c r="AC46" s="4">
        <f>IFERROR(AB46-VLOOKUP($C46,Assumptions!$A$29:$C$32,3,FALSE),"")</f>
        <v/>
      </c>
      <c r="AD46" s="4">
        <f>IFERROR(AC46/F46,"")</f>
        <v/>
      </c>
      <c r="AE46">
        <f>IF(AND($E46=TRUE,$C46="GKP"),AB46,"")</f>
        <v/>
      </c>
      <c r="AF46">
        <f>IF(AND($E46=TRUE,$C46="DEF"),AB46,"")</f>
        <v/>
      </c>
      <c r="AG46">
        <f>IF(AND($E46=TRUE,$C46="MID"),AB46,"")</f>
        <v/>
      </c>
      <c r="AH46">
        <f>IF(AND($E46=TRUE,$C46="FWD"),AB46,"")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b">
        <v>1</v>
      </c>
      <c r="F47" s="2" t="n">
        <v>7.5</v>
      </c>
      <c r="G47" t="inlineStr">
        <is>
          <t>a</t>
        </is>
      </c>
      <c r="I47" s="2" t="n">
        <v>1772</v>
      </c>
      <c r="J47" t="n">
        <v>135</v>
      </c>
      <c r="K47" s="3" t="n">
        <v>1772</v>
      </c>
      <c r="L47" s="3" t="n">
        <v>0.421</v>
      </c>
      <c r="M47" s="4" t="n">
        <v>0.2231</v>
      </c>
      <c r="N47" t="inlineStr">
        <is>
          <t>adjusted xGOT</t>
        </is>
      </c>
      <c r="O47" s="4" t="n">
        <v>1.026</v>
      </c>
      <c r="P47" s="4" t="n">
        <v>4.3</v>
      </c>
      <c r="Q47" s="4" t="n">
        <v>0.4991</v>
      </c>
      <c r="R47" s="4" t="n">
        <v>0.105</v>
      </c>
      <c r="S47" s="4" t="n">
        <v>0.8126</v>
      </c>
      <c r="T47" s="4" t="n">
        <v>2.489</v>
      </c>
      <c r="U47" s="4">
        <f>IF(T47="",IFERROR(VLOOKUP($C47,Assumptions!$A$4:$F$7,6,FALSE),0),T47)</f>
        <v/>
      </c>
      <c r="V47" s="4">
        <f>N(M47)*IFERROR(VLOOKUP($C47,Assumptions!$A$4:$F$7,2,FALSE),0)</f>
        <v/>
      </c>
      <c r="W47" s="4">
        <f>N(Q47)*IFERROR(VLOOKUP($C47,Assumptions!$A$4:$F$7,3,FALSE),0)*Assumptions!$B$11</f>
        <v/>
      </c>
      <c r="X47" s="4">
        <f>N(L47)*IFERROR(VLOOKUP($C47,Assumptions!$A$4:$F$7,4,FALSE),0)</f>
        <v/>
      </c>
      <c r="Y47" s="4">
        <f>N(R47)*IFERROR(VLOOKUP($C47,Assumptions!$A$4:$F$7,5,FALSE),0)</f>
        <v/>
      </c>
      <c r="Z47" s="4">
        <f>N(S47)</f>
        <v/>
      </c>
      <c r="AA47" s="4">
        <f>SUM(U47:Z47)</f>
        <v/>
      </c>
      <c r="AB47" s="4">
        <f>N(AA47)*N(K47)/90</f>
        <v/>
      </c>
      <c r="AC47" s="4">
        <f>IFERROR(AB47-VLOOKUP($C47,Assumptions!$A$29:$C$32,3,FALSE),"")</f>
        <v/>
      </c>
      <c r="AD47" s="4">
        <f>IFERROR(AC47/F47,"")</f>
        <v/>
      </c>
      <c r="AE47">
        <f>IF(AND($E47=TRUE,$C47="GKP"),AB47,"")</f>
        <v/>
      </c>
      <c r="AF47">
        <f>IF(AND($E47=TRUE,$C47="DEF"),AB47,"")</f>
        <v/>
      </c>
      <c r="AG47">
        <f>IF(AND($E47=TRUE,$C47="MID"),AB47,"")</f>
        <v/>
      </c>
      <c r="AH47">
        <f>IF(AND($E47=TRUE,$C47="FWD"),AB47,"")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b">
        <v>1</v>
      </c>
      <c r="F48" s="2" t="n">
        <v>5.5</v>
      </c>
      <c r="G48" t="inlineStr">
        <is>
          <t>a</t>
        </is>
      </c>
      <c r="I48" s="2" t="n">
        <v>3420</v>
      </c>
      <c r="J48" t="n">
        <v>135</v>
      </c>
      <c r="K48" s="3" t="n">
        <v>3420</v>
      </c>
      <c r="L48" s="3" t="n">
        <v>0.29</v>
      </c>
      <c r="M48" s="4" t="n">
        <v>0</v>
      </c>
      <c r="N48" t="inlineStr">
        <is>
          <t>blended xG</t>
        </is>
      </c>
      <c r="O48" s="4" t="n">
        <v>1</v>
      </c>
      <c r="P48" s="4" t="n">
        <v>0</v>
      </c>
      <c r="Q48" s="4" t="n">
        <v>0.0057</v>
      </c>
      <c r="R48" s="4" t="n">
        <v>0</v>
      </c>
      <c r="S48" s="4" t="n">
        <v>0.3947</v>
      </c>
      <c r="T48" s="4" t="n">
        <v>2</v>
      </c>
      <c r="U48" s="4">
        <f>IF(T48="",IFERROR(VLOOKUP($C48,Assumptions!$A$4:$F$7,6,FALSE),0),T48)</f>
        <v/>
      </c>
      <c r="V48" s="4">
        <f>N(M48)*IFERROR(VLOOKUP($C48,Assumptions!$A$4:$F$7,2,FALSE),0)</f>
        <v/>
      </c>
      <c r="W48" s="4">
        <f>N(Q48)*IFERROR(VLOOKUP($C48,Assumptions!$A$4:$F$7,3,FALSE),0)*Assumptions!$B$11</f>
        <v/>
      </c>
      <c r="X48" s="4">
        <f>N(L48)*IFERROR(VLOOKUP($C48,Assumptions!$A$4:$F$7,4,FALSE),0)</f>
        <v/>
      </c>
      <c r="Y48" s="4">
        <f>N(R48)*IFERROR(VLOOKUP($C48,Assumptions!$A$4:$F$7,5,FALSE),0)</f>
        <v/>
      </c>
      <c r="Z48" s="4">
        <f>N(S48)</f>
        <v/>
      </c>
      <c r="AA48" s="4">
        <f>SUM(U48:Z48)</f>
        <v/>
      </c>
      <c r="AB48" s="4">
        <f>N(AA48)*N(K48)/90</f>
        <v/>
      </c>
      <c r="AC48" s="4">
        <f>IFERROR(AB48-VLOOKUP($C48,Assumptions!$A$29:$C$32,3,FALSE),"")</f>
        <v/>
      </c>
      <c r="AD48" s="4">
        <f>IFERROR(AC48/F48,"")</f>
        <v/>
      </c>
      <c r="AE48">
        <f>IF(AND($E48=TRUE,$C48="GKP"),AB48,"")</f>
        <v/>
      </c>
      <c r="AF48">
        <f>IF(AND($E48=TRUE,$C48="DEF"),AB48,"")</f>
        <v/>
      </c>
      <c r="AG48">
        <f>IF(AND($E48=TRUE,$C48="MID"),AB48,"")</f>
        <v/>
      </c>
      <c r="AH48">
        <f>IF(AND($E48=TRUE,$C48="FWD"),AB48,"")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b">
        <v>1</v>
      </c>
      <c r="F49" s="2" t="n">
        <v>5.5</v>
      </c>
      <c r="G49" t="inlineStr">
        <is>
          <t>a</t>
        </is>
      </c>
      <c r="I49" s="2" t="n">
        <v>3060</v>
      </c>
      <c r="J49" t="n">
        <v>135</v>
      </c>
      <c r="K49" s="3" t="n">
        <v>3060</v>
      </c>
      <c r="L49" s="3" t="n">
        <v>0.421</v>
      </c>
      <c r="M49" s="4" t="n">
        <v>0</v>
      </c>
      <c r="N49" t="inlineStr">
        <is>
          <t>blended xG</t>
        </is>
      </c>
      <c r="O49" s="4" t="n">
        <v>1</v>
      </c>
      <c r="P49" s="4" t="n">
        <v>0</v>
      </c>
      <c r="Q49" s="4" t="n">
        <v>0.0019</v>
      </c>
      <c r="R49" s="4" t="n">
        <v>0</v>
      </c>
      <c r="S49" s="4" t="n">
        <v>0.1765</v>
      </c>
      <c r="T49" s="4" t="n">
        <v>2</v>
      </c>
      <c r="U49" s="4">
        <f>IF(T49="",IFERROR(VLOOKUP($C49,Assumptions!$A$4:$F$7,6,FALSE),0),T49)</f>
        <v/>
      </c>
      <c r="V49" s="4">
        <f>N(M49)*IFERROR(VLOOKUP($C49,Assumptions!$A$4:$F$7,2,FALSE),0)</f>
        <v/>
      </c>
      <c r="W49" s="4">
        <f>N(Q49)*IFERROR(VLOOKUP($C49,Assumptions!$A$4:$F$7,3,FALSE),0)*Assumptions!$B$11</f>
        <v/>
      </c>
      <c r="X49" s="4">
        <f>N(L49)*IFERROR(VLOOKUP($C49,Assumptions!$A$4:$F$7,4,FALSE),0)</f>
        <v/>
      </c>
      <c r="Y49" s="4">
        <f>N(R49)*IFERROR(VLOOKUP($C49,Assumptions!$A$4:$F$7,5,FALSE),0)</f>
        <v/>
      </c>
      <c r="Z49" s="4">
        <f>N(S49)</f>
        <v/>
      </c>
      <c r="AA49" s="4">
        <f>SUM(U49:Z49)</f>
        <v/>
      </c>
      <c r="AB49" s="4">
        <f>N(AA49)*N(K49)/90</f>
        <v/>
      </c>
      <c r="AC49" s="4">
        <f>IFERROR(AB49-VLOOKUP($C49,Assumptions!$A$29:$C$32,3,FALSE),"")</f>
        <v/>
      </c>
      <c r="AD49" s="4">
        <f>IFERROR(AC49/F49,"")</f>
        <v/>
      </c>
      <c r="AE49">
        <f>IF(AND($E49=TRUE,$C49="GKP"),AB49,"")</f>
        <v/>
      </c>
      <c r="AF49">
        <f>IF(AND($E49=TRUE,$C49="DEF"),AB49,"")</f>
        <v/>
      </c>
      <c r="AG49">
        <f>IF(AND($E49=TRUE,$C49="MID"),AB49,"")</f>
        <v/>
      </c>
      <c r="AH49">
        <f>IF(AND($E49=TRUE,$C49="FWD"),AB49,"")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b">
        <v>1</v>
      </c>
      <c r="F50" s="2" t="n">
        <v>4.5</v>
      </c>
      <c r="G50" t="inlineStr">
        <is>
          <t>a</t>
        </is>
      </c>
      <c r="I50" s="2" t="n">
        <v>3253</v>
      </c>
      <c r="J50" t="n">
        <v>135</v>
      </c>
      <c r="K50" s="3" t="n">
        <v>3253</v>
      </c>
      <c r="L50" s="3" t="n">
        <v>0.316</v>
      </c>
      <c r="M50" s="4" t="n">
        <v>0.0427</v>
      </c>
      <c r="N50" t="inlineStr">
        <is>
          <t>adjusted xGOT</t>
        </is>
      </c>
      <c r="O50" s="4" t="n">
        <v>0.97</v>
      </c>
      <c r="P50" s="4" t="n">
        <v>4.8</v>
      </c>
      <c r="Q50" s="4" t="n">
        <v>0.077</v>
      </c>
      <c r="R50" s="4" t="n">
        <v>0.167</v>
      </c>
      <c r="S50" s="4" t="n">
        <v>0.2213</v>
      </c>
      <c r="T50" s="4" t="n">
        <v>2.02</v>
      </c>
      <c r="U50" s="4">
        <f>IF(T50="",IFERROR(VLOOKUP($C50,Assumptions!$A$4:$F$7,6,FALSE),0),T50)</f>
        <v/>
      </c>
      <c r="V50" s="4">
        <f>N(M50)*IFERROR(VLOOKUP($C50,Assumptions!$A$4:$F$7,2,FALSE),0)</f>
        <v/>
      </c>
      <c r="W50" s="4">
        <f>N(Q50)*IFERROR(VLOOKUP($C50,Assumptions!$A$4:$F$7,3,FALSE),0)*Assumptions!$B$11</f>
        <v/>
      </c>
      <c r="X50" s="4">
        <f>N(L50)*IFERROR(VLOOKUP($C50,Assumptions!$A$4:$F$7,4,FALSE),0)</f>
        <v/>
      </c>
      <c r="Y50" s="4">
        <f>N(R50)*IFERROR(VLOOKUP($C50,Assumptions!$A$4:$F$7,5,FALSE),0)</f>
        <v/>
      </c>
      <c r="Z50" s="4">
        <f>N(S50)</f>
        <v/>
      </c>
      <c r="AA50" s="4">
        <f>SUM(U50:Z50)</f>
        <v/>
      </c>
      <c r="AB50" s="4">
        <f>N(AA50)*N(K50)/90</f>
        <v/>
      </c>
      <c r="AC50" s="4">
        <f>IFERROR(AB50-VLOOKUP($C50,Assumptions!$A$29:$C$32,3,FALSE),"")</f>
        <v/>
      </c>
      <c r="AD50" s="4">
        <f>IFERROR(AC50/F50,"")</f>
        <v/>
      </c>
      <c r="AE50">
        <f>IF(AND($E50=TRUE,$C50="GKP"),AB50,"")</f>
        <v/>
      </c>
      <c r="AF50">
        <f>IF(AND($E50=TRUE,$C50="DEF"),AB50,"")</f>
        <v/>
      </c>
      <c r="AG50">
        <f>IF(AND($E50=TRUE,$C50="MID"),AB50,"")</f>
        <v/>
      </c>
      <c r="AH50">
        <f>IF(AND($E50=TRUE,$C50="FWD"),AB50,"")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b">
        <v>1</v>
      </c>
      <c r="F51" s="2" t="n">
        <v>5.5</v>
      </c>
      <c r="G51" t="inlineStr">
        <is>
          <t>a</t>
        </is>
      </c>
      <c r="I51" s="2" t="n">
        <v>3119</v>
      </c>
      <c r="J51" t="n">
        <v>134</v>
      </c>
      <c r="K51" s="3" t="n">
        <v>3119</v>
      </c>
      <c r="L51" s="3" t="n">
        <v>0.21</v>
      </c>
      <c r="M51" s="4" t="n">
        <v>0.0688</v>
      </c>
      <c r="N51" t="inlineStr">
        <is>
          <t>adjusted xGOT</t>
        </is>
      </c>
      <c r="O51" s="4" t="n">
        <v>0.965</v>
      </c>
      <c r="P51" s="4" t="n">
        <v>2.5</v>
      </c>
      <c r="Q51" s="4" t="n">
        <v>0.0487</v>
      </c>
      <c r="R51" s="4" t="n">
        <v>0.543</v>
      </c>
      <c r="S51" s="4" t="n">
        <v>0.3174</v>
      </c>
      <c r="T51" s="4" t="n">
        <v>2.02</v>
      </c>
      <c r="U51" s="4">
        <f>IF(T51="",IFERROR(VLOOKUP($C51,Assumptions!$A$4:$F$7,6,FALSE),0),T51)</f>
        <v/>
      </c>
      <c r="V51" s="4">
        <f>N(M51)*IFERROR(VLOOKUP($C51,Assumptions!$A$4:$F$7,2,FALSE),0)</f>
        <v/>
      </c>
      <c r="W51" s="4">
        <f>N(Q51)*IFERROR(VLOOKUP($C51,Assumptions!$A$4:$F$7,3,FALSE),0)*Assumptions!$B$11</f>
        <v/>
      </c>
      <c r="X51" s="4">
        <f>N(L51)*IFERROR(VLOOKUP($C51,Assumptions!$A$4:$F$7,4,FALSE),0)</f>
        <v/>
      </c>
      <c r="Y51" s="4">
        <f>N(R51)*IFERROR(VLOOKUP($C51,Assumptions!$A$4:$F$7,5,FALSE),0)</f>
        <v/>
      </c>
      <c r="Z51" s="4">
        <f>N(S51)</f>
        <v/>
      </c>
      <c r="AA51" s="4">
        <f>SUM(U51:Z51)</f>
        <v/>
      </c>
      <c r="AB51" s="4">
        <f>N(AA51)*N(K51)/90</f>
        <v/>
      </c>
      <c r="AC51" s="4">
        <f>IFERROR(AB51-VLOOKUP($C51,Assumptions!$A$29:$C$32,3,FALSE),"")</f>
        <v/>
      </c>
      <c r="AD51" s="4">
        <f>IFERROR(AC51/F51,"")</f>
        <v/>
      </c>
      <c r="AE51">
        <f>IF(AND($E51=TRUE,$C51="GKP"),AB51,"")</f>
        <v/>
      </c>
      <c r="AF51">
        <f>IF(AND($E51=TRUE,$C51="DEF"),AB51,"")</f>
        <v/>
      </c>
      <c r="AG51">
        <f>IF(AND($E51=TRUE,$C51="MID"),AB51,"")</f>
        <v/>
      </c>
      <c r="AH51">
        <f>IF(AND($E51=TRUE,$C51="FWD"),AB51,"")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b">
        <v>1</v>
      </c>
      <c r="F52" s="2" t="n">
        <v>5.5</v>
      </c>
      <c r="G52" t="inlineStr">
        <is>
          <t>a</t>
        </is>
      </c>
      <c r="I52" s="2" t="n">
        <v>2991</v>
      </c>
      <c r="J52" t="n">
        <v>133</v>
      </c>
      <c r="K52" s="3" t="n">
        <v>2991</v>
      </c>
      <c r="L52" s="3" t="n">
        <v>0.5</v>
      </c>
      <c r="M52" s="4" t="n">
        <v>0.0914</v>
      </c>
      <c r="N52" t="inlineStr">
        <is>
          <t>adjusted xGOT</t>
        </is>
      </c>
      <c r="O52" s="4" t="n">
        <v>1.07</v>
      </c>
      <c r="P52" s="4" t="n">
        <v>2.8</v>
      </c>
      <c r="Q52" s="4" t="n">
        <v>0.0505</v>
      </c>
      <c r="R52" s="4" t="n">
        <v>0.206</v>
      </c>
      <c r="S52" s="4" t="n">
        <v>0.2708</v>
      </c>
      <c r="T52" s="4" t="n">
        <v>2.106</v>
      </c>
      <c r="U52" s="4">
        <f>IF(T52="",IFERROR(VLOOKUP($C52,Assumptions!$A$4:$F$7,6,FALSE),0),T52)</f>
        <v/>
      </c>
      <c r="V52" s="4">
        <f>N(M52)*IFERROR(VLOOKUP($C52,Assumptions!$A$4:$F$7,2,FALSE),0)</f>
        <v/>
      </c>
      <c r="W52" s="4">
        <f>N(Q52)*IFERROR(VLOOKUP($C52,Assumptions!$A$4:$F$7,3,FALSE),0)*Assumptions!$B$11</f>
        <v/>
      </c>
      <c r="X52" s="4">
        <f>N(L52)*IFERROR(VLOOKUP($C52,Assumptions!$A$4:$F$7,4,FALSE),0)</f>
        <v/>
      </c>
      <c r="Y52" s="4">
        <f>N(R52)*IFERROR(VLOOKUP($C52,Assumptions!$A$4:$F$7,5,FALSE),0)</f>
        <v/>
      </c>
      <c r="Z52" s="4">
        <f>N(S52)</f>
        <v/>
      </c>
      <c r="AA52" s="4">
        <f>SUM(U52:Z52)</f>
        <v/>
      </c>
      <c r="AB52" s="4">
        <f>N(AA52)*N(K52)/90</f>
        <v/>
      </c>
      <c r="AC52" s="4">
        <f>IFERROR(AB52-VLOOKUP($C52,Assumptions!$A$29:$C$32,3,FALSE),"")</f>
        <v/>
      </c>
      <c r="AD52" s="4">
        <f>IFERROR(AC52/F52,"")</f>
        <v/>
      </c>
      <c r="AE52">
        <f>IF(AND($E52=TRUE,$C52="GKP"),AB52,"")</f>
        <v/>
      </c>
      <c r="AF52">
        <f>IF(AND($E52=TRUE,$C52="DEF"),AB52,"")</f>
        <v/>
      </c>
      <c r="AG52">
        <f>IF(AND($E52=TRUE,$C52="MID"),AB52,"")</f>
        <v/>
      </c>
      <c r="AH52">
        <f>IF(AND($E52=TRUE,$C52="FWD"),AB52,"")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b">
        <v>1</v>
      </c>
      <c r="F53" s="2" t="n">
        <v>7</v>
      </c>
      <c r="G53" t="inlineStr">
        <is>
          <t>a</t>
        </is>
      </c>
      <c r="I53" s="2" t="n">
        <v>2736</v>
      </c>
      <c r="J53" t="n">
        <v>131</v>
      </c>
      <c r="K53" s="3" t="n">
        <v>2736</v>
      </c>
      <c r="L53" s="3" t="n">
        <v>0.263</v>
      </c>
      <c r="M53" s="4" t="n">
        <v>0.2404</v>
      </c>
      <c r="N53" t="inlineStr">
        <is>
          <t>adjusted xGOT</t>
        </is>
      </c>
      <c r="O53" s="4" t="n">
        <v>0.875</v>
      </c>
      <c r="P53" s="4" t="n">
        <v>31</v>
      </c>
      <c r="Q53" s="4" t="n">
        <v>0.1852</v>
      </c>
      <c r="R53" s="4" t="n">
        <v>0.031</v>
      </c>
      <c r="S53" s="4" t="n">
        <v>0.1645</v>
      </c>
      <c r="T53" s="4" t="n">
        <v>2.204</v>
      </c>
      <c r="U53" s="4">
        <f>IF(T53="",IFERROR(VLOOKUP($C53,Assumptions!$A$4:$F$7,6,FALSE),0),T53)</f>
        <v/>
      </c>
      <c r="V53" s="4">
        <f>N(M53)*IFERROR(VLOOKUP($C53,Assumptions!$A$4:$F$7,2,FALSE),0)</f>
        <v/>
      </c>
      <c r="W53" s="4">
        <f>N(Q53)*IFERROR(VLOOKUP($C53,Assumptions!$A$4:$F$7,3,FALSE),0)*Assumptions!$B$11</f>
        <v/>
      </c>
      <c r="X53" s="4">
        <f>N(L53)*IFERROR(VLOOKUP($C53,Assumptions!$A$4:$F$7,4,FALSE),0)</f>
        <v/>
      </c>
      <c r="Y53" s="4">
        <f>N(R53)*IFERROR(VLOOKUP($C53,Assumptions!$A$4:$F$7,5,FALSE),0)</f>
        <v/>
      </c>
      <c r="Z53" s="4">
        <f>N(S53)</f>
        <v/>
      </c>
      <c r="AA53" s="4">
        <f>SUM(U53:Z53)</f>
        <v/>
      </c>
      <c r="AB53" s="4">
        <f>N(AA53)*N(K53)/90</f>
        <v/>
      </c>
      <c r="AC53" s="4">
        <f>IFERROR(AB53-VLOOKUP($C53,Assumptions!$A$29:$C$32,3,FALSE),"")</f>
        <v/>
      </c>
      <c r="AD53" s="4">
        <f>IFERROR(AC53/F53,"")</f>
        <v/>
      </c>
      <c r="AE53">
        <f>IF(AND($E53=TRUE,$C53="GKP"),AB53,"")</f>
        <v/>
      </c>
      <c r="AF53">
        <f>IF(AND($E53=TRUE,$C53="DEF"),AB53,"")</f>
        <v/>
      </c>
      <c r="AG53">
        <f>IF(AND($E53=TRUE,$C53="MID"),AB53,"")</f>
        <v/>
      </c>
      <c r="AH53">
        <f>IF(AND($E53=TRUE,$C53="FWD"),AB53,"")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b">
        <v>1</v>
      </c>
      <c r="F54" s="2" t="n">
        <v>5</v>
      </c>
      <c r="G54" t="inlineStr">
        <is>
          <t>a</t>
        </is>
      </c>
      <c r="I54" s="2" t="n">
        <v>3330</v>
      </c>
      <c r="J54" t="n">
        <v>131</v>
      </c>
      <c r="K54" s="3" t="n">
        <v>3330</v>
      </c>
      <c r="L54" s="3" t="n">
        <v>0.316</v>
      </c>
      <c r="M54" s="4" t="n">
        <v>0</v>
      </c>
      <c r="N54" t="inlineStr">
        <is>
          <t>adjusted xGOT</t>
        </is>
      </c>
      <c r="O54" s="4" t="n">
        <v>0.999</v>
      </c>
      <c r="P54" s="4" t="n">
        <v>0</v>
      </c>
      <c r="Q54" s="4" t="n">
        <v>0.0017</v>
      </c>
      <c r="R54" s="4" t="n">
        <v>0</v>
      </c>
      <c r="S54" s="4" t="n">
        <v>0.1892</v>
      </c>
      <c r="T54" s="4" t="n">
        <v>2</v>
      </c>
      <c r="U54" s="4">
        <f>IF(T54="",IFERROR(VLOOKUP($C54,Assumptions!$A$4:$F$7,6,FALSE),0),T54)</f>
        <v/>
      </c>
      <c r="V54" s="4">
        <f>N(M54)*IFERROR(VLOOKUP($C54,Assumptions!$A$4:$F$7,2,FALSE),0)</f>
        <v/>
      </c>
      <c r="W54" s="4">
        <f>N(Q54)*IFERROR(VLOOKUP($C54,Assumptions!$A$4:$F$7,3,FALSE),0)*Assumptions!$B$11</f>
        <v/>
      </c>
      <c r="X54" s="4">
        <f>N(L54)*IFERROR(VLOOKUP($C54,Assumptions!$A$4:$F$7,4,FALSE),0)</f>
        <v/>
      </c>
      <c r="Y54" s="4">
        <f>N(R54)*IFERROR(VLOOKUP($C54,Assumptions!$A$4:$F$7,5,FALSE),0)</f>
        <v/>
      </c>
      <c r="Z54" s="4">
        <f>N(S54)</f>
        <v/>
      </c>
      <c r="AA54" s="4">
        <f>SUM(U54:Z54)</f>
        <v/>
      </c>
      <c r="AB54" s="4">
        <f>N(AA54)*N(K54)/90</f>
        <v/>
      </c>
      <c r="AC54" s="4">
        <f>IFERROR(AB54-VLOOKUP($C54,Assumptions!$A$29:$C$32,3,FALSE),"")</f>
        <v/>
      </c>
      <c r="AD54" s="4">
        <f>IFERROR(AC54/F54,"")</f>
        <v/>
      </c>
      <c r="AE54">
        <f>IF(AND($E54=TRUE,$C54="GKP"),AB54,"")</f>
        <v/>
      </c>
      <c r="AF54">
        <f>IF(AND($E54=TRUE,$C54="DEF"),AB54,"")</f>
        <v/>
      </c>
      <c r="AG54">
        <f>IF(AND($E54=TRUE,$C54="MID"),AB54,"")</f>
        <v/>
      </c>
      <c r="AH54">
        <f>IF(AND($E54=TRUE,$C54="FWD"),AB54,"")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b">
        <v>1</v>
      </c>
      <c r="F55" s="2" t="n">
        <v>5</v>
      </c>
      <c r="G55" t="inlineStr">
        <is>
          <t>a</t>
        </is>
      </c>
      <c r="I55" s="2" t="n">
        <v>2588</v>
      </c>
      <c r="J55" t="n">
        <v>131</v>
      </c>
      <c r="K55" s="3" t="n">
        <v>2588</v>
      </c>
      <c r="L55" s="3" t="n">
        <v>0.29</v>
      </c>
      <c r="M55" s="4" t="n">
        <v>0.08400000000000001</v>
      </c>
      <c r="N55" t="inlineStr">
        <is>
          <t>adjusted xGOT</t>
        </is>
      </c>
      <c r="O55" s="4" t="n">
        <v>1.05</v>
      </c>
      <c r="P55" s="4" t="n">
        <v>4.8</v>
      </c>
      <c r="Q55" s="4" t="n">
        <v>0.0108</v>
      </c>
      <c r="R55" s="4" t="n">
        <v>0.517</v>
      </c>
      <c r="S55" s="4" t="n">
        <v>0.313</v>
      </c>
      <c r="T55" s="4" t="n">
        <v>2.156</v>
      </c>
      <c r="U55" s="4">
        <f>IF(T55="",IFERROR(VLOOKUP($C55,Assumptions!$A$4:$F$7,6,FALSE),0),T55)</f>
        <v/>
      </c>
      <c r="V55" s="4">
        <f>N(M55)*IFERROR(VLOOKUP($C55,Assumptions!$A$4:$F$7,2,FALSE),0)</f>
        <v/>
      </c>
      <c r="W55" s="4">
        <f>N(Q55)*IFERROR(VLOOKUP($C55,Assumptions!$A$4:$F$7,3,FALSE),0)*Assumptions!$B$11</f>
        <v/>
      </c>
      <c r="X55" s="4">
        <f>N(L55)*IFERROR(VLOOKUP($C55,Assumptions!$A$4:$F$7,4,FALSE),0)</f>
        <v/>
      </c>
      <c r="Y55" s="4">
        <f>N(R55)*IFERROR(VLOOKUP($C55,Assumptions!$A$4:$F$7,5,FALSE),0)</f>
        <v/>
      </c>
      <c r="Z55" s="4">
        <f>N(S55)</f>
        <v/>
      </c>
      <c r="AA55" s="4">
        <f>SUM(U55:Z55)</f>
        <v/>
      </c>
      <c r="AB55" s="4">
        <f>N(AA55)*N(K55)/90</f>
        <v/>
      </c>
      <c r="AC55" s="4">
        <f>IFERROR(AB55-VLOOKUP($C55,Assumptions!$A$29:$C$32,3,FALSE),"")</f>
        <v/>
      </c>
      <c r="AD55" s="4">
        <f>IFERROR(AC55/F55,"")</f>
        <v/>
      </c>
      <c r="AE55">
        <f>IF(AND($E55=TRUE,$C55="GKP"),AB55,"")</f>
        <v/>
      </c>
      <c r="AF55">
        <f>IF(AND($E55=TRUE,$C55="DEF"),AB55,"")</f>
        <v/>
      </c>
      <c r="AG55">
        <f>IF(AND($E55=TRUE,$C55="MID"),AB55,"")</f>
        <v/>
      </c>
      <c r="AH55">
        <f>IF(AND($E55=TRUE,$C55="FWD"),AB55,"")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b">
        <v>1</v>
      </c>
      <c r="F56" s="2" t="n">
        <v>7</v>
      </c>
      <c r="G56" t="inlineStr">
        <is>
          <t>a</t>
        </is>
      </c>
      <c r="I56" s="2" t="n">
        <v>2078</v>
      </c>
      <c r="J56" t="n">
        <v>131</v>
      </c>
      <c r="K56" s="3" t="n">
        <v>2078</v>
      </c>
      <c r="L56" s="3" t="n">
        <v>0.421</v>
      </c>
      <c r="M56" s="4" t="n">
        <v>0.3272</v>
      </c>
      <c r="N56" t="inlineStr">
        <is>
          <t>adjusted xGOT</t>
        </is>
      </c>
      <c r="O56" s="4" t="n">
        <v>1.253</v>
      </c>
      <c r="P56" s="4" t="n">
        <v>27.1</v>
      </c>
      <c r="Q56" s="4" t="n">
        <v>0.2353</v>
      </c>
      <c r="R56" s="4" t="n">
        <v>0.13</v>
      </c>
      <c r="S56" s="4" t="n">
        <v>0.5629999999999999</v>
      </c>
      <c r="T56" s="4" t="n">
        <v>2.382</v>
      </c>
      <c r="U56" s="4">
        <f>IF(T56="",IFERROR(VLOOKUP($C56,Assumptions!$A$4:$F$7,6,FALSE),0),T56)</f>
        <v/>
      </c>
      <c r="V56" s="4">
        <f>N(M56)*IFERROR(VLOOKUP($C56,Assumptions!$A$4:$F$7,2,FALSE),0)</f>
        <v/>
      </c>
      <c r="W56" s="4">
        <f>N(Q56)*IFERROR(VLOOKUP($C56,Assumptions!$A$4:$F$7,3,FALSE),0)*Assumptions!$B$11</f>
        <v/>
      </c>
      <c r="X56" s="4">
        <f>N(L56)*IFERROR(VLOOKUP($C56,Assumptions!$A$4:$F$7,4,FALSE),0)</f>
        <v/>
      </c>
      <c r="Y56" s="4">
        <f>N(R56)*IFERROR(VLOOKUP($C56,Assumptions!$A$4:$F$7,5,FALSE),0)</f>
        <v/>
      </c>
      <c r="Z56" s="4">
        <f>N(S56)</f>
        <v/>
      </c>
      <c r="AA56" s="4">
        <f>SUM(U56:Z56)</f>
        <v/>
      </c>
      <c r="AB56" s="4">
        <f>N(AA56)*N(K56)/90</f>
        <v/>
      </c>
      <c r="AC56" s="4">
        <f>IFERROR(AB56-VLOOKUP($C56,Assumptions!$A$29:$C$32,3,FALSE),"")</f>
        <v/>
      </c>
      <c r="AD56" s="4">
        <f>IFERROR(AC56/F56,"")</f>
        <v/>
      </c>
      <c r="AE56">
        <f>IF(AND($E56=TRUE,$C56="GKP"),AB56,"")</f>
        <v/>
      </c>
      <c r="AF56">
        <f>IF(AND($E56=TRUE,$C56="DEF"),AB56,"")</f>
        <v/>
      </c>
      <c r="AG56">
        <f>IF(AND($E56=TRUE,$C56="MID"),AB56,"")</f>
        <v/>
      </c>
      <c r="AH56">
        <f>IF(AND($E56=TRUE,$C56="FWD"),AB56,"")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b">
        <v>1</v>
      </c>
      <c r="F57" s="2" t="n">
        <v>4.5</v>
      </c>
      <c r="G57" t="inlineStr">
        <is>
          <t>a</t>
        </is>
      </c>
      <c r="I57" s="2" t="n">
        <v>3420</v>
      </c>
      <c r="J57" t="n">
        <v>130</v>
      </c>
      <c r="K57" s="3" t="n">
        <v>3420</v>
      </c>
      <c r="L57" s="3" t="n">
        <v>0.263</v>
      </c>
      <c r="M57" s="4" t="n">
        <v>0</v>
      </c>
      <c r="N57" t="inlineStr">
        <is>
          <t>blended xG</t>
        </is>
      </c>
      <c r="O57" s="4" t="n">
        <v>1</v>
      </c>
      <c r="P57" s="4" t="n">
        <v>0</v>
      </c>
      <c r="Q57" s="4" t="n">
        <v>0.0018</v>
      </c>
      <c r="R57" s="4" t="n">
        <v>0</v>
      </c>
      <c r="S57" s="4" t="n">
        <v>0.2895</v>
      </c>
      <c r="T57" s="4" t="n">
        <v>2</v>
      </c>
      <c r="U57" s="4">
        <f>IF(T57="",IFERROR(VLOOKUP($C57,Assumptions!$A$4:$F$7,6,FALSE),0),T57)</f>
        <v/>
      </c>
      <c r="V57" s="4">
        <f>N(M57)*IFERROR(VLOOKUP($C57,Assumptions!$A$4:$F$7,2,FALSE),0)</f>
        <v/>
      </c>
      <c r="W57" s="4">
        <f>N(Q57)*IFERROR(VLOOKUP($C57,Assumptions!$A$4:$F$7,3,FALSE),0)*Assumptions!$B$11</f>
        <v/>
      </c>
      <c r="X57" s="4">
        <f>N(L57)*IFERROR(VLOOKUP($C57,Assumptions!$A$4:$F$7,4,FALSE),0)</f>
        <v/>
      </c>
      <c r="Y57" s="4">
        <f>N(R57)*IFERROR(VLOOKUP($C57,Assumptions!$A$4:$F$7,5,FALSE),0)</f>
        <v/>
      </c>
      <c r="Z57" s="4">
        <f>N(S57)</f>
        <v/>
      </c>
      <c r="AA57" s="4">
        <f>SUM(U57:Z57)</f>
        <v/>
      </c>
      <c r="AB57" s="4">
        <f>N(AA57)*N(K57)/90</f>
        <v/>
      </c>
      <c r="AC57" s="4">
        <f>IFERROR(AB57-VLOOKUP($C57,Assumptions!$A$29:$C$32,3,FALSE),"")</f>
        <v/>
      </c>
      <c r="AD57" s="4">
        <f>IFERROR(AC57/F57,"")</f>
        <v/>
      </c>
      <c r="AE57">
        <f>IF(AND($E57=TRUE,$C57="GKP"),AB57,"")</f>
        <v/>
      </c>
      <c r="AF57">
        <f>IF(AND($E57=TRUE,$C57="DEF"),AB57,"")</f>
        <v/>
      </c>
      <c r="AG57">
        <f>IF(AND($E57=TRUE,$C57="MID"),AB57,"")</f>
        <v/>
      </c>
      <c r="AH57">
        <f>IF(AND($E57=TRUE,$C57="FWD"),AB57,"")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b">
        <v>1</v>
      </c>
      <c r="F58" s="2" t="n">
        <v>5.5</v>
      </c>
      <c r="G58" t="inlineStr">
        <is>
          <t>a</t>
        </is>
      </c>
      <c r="I58" s="2" t="n">
        <v>2971</v>
      </c>
      <c r="J58" t="n">
        <v>129</v>
      </c>
      <c r="K58" s="3" t="n">
        <v>2971</v>
      </c>
      <c r="L58" s="3" t="n">
        <v>0.263</v>
      </c>
      <c r="M58" s="4" t="n">
        <v>0.06320000000000001</v>
      </c>
      <c r="N58" t="inlineStr">
        <is>
          <t>adjusted xGOT</t>
        </is>
      </c>
      <c r="O58" s="4" t="n">
        <v>0.931</v>
      </c>
      <c r="P58" s="4" t="n">
        <v>6.5</v>
      </c>
      <c r="Q58" s="4" t="n">
        <v>0.06270000000000001</v>
      </c>
      <c r="R58" s="4" t="n">
        <v>0.5</v>
      </c>
      <c r="S58" s="4" t="n">
        <v>0.1818</v>
      </c>
      <c r="T58" s="4" t="n">
        <v>2.03</v>
      </c>
      <c r="U58" s="4">
        <f>IF(T58="",IFERROR(VLOOKUP($C58,Assumptions!$A$4:$F$7,6,FALSE),0),T58)</f>
        <v/>
      </c>
      <c r="V58" s="4">
        <f>N(M58)*IFERROR(VLOOKUP($C58,Assumptions!$A$4:$F$7,2,FALSE),0)</f>
        <v/>
      </c>
      <c r="W58" s="4">
        <f>N(Q58)*IFERROR(VLOOKUP($C58,Assumptions!$A$4:$F$7,3,FALSE),0)*Assumptions!$B$11</f>
        <v/>
      </c>
      <c r="X58" s="4">
        <f>N(L58)*IFERROR(VLOOKUP($C58,Assumptions!$A$4:$F$7,4,FALSE),0)</f>
        <v/>
      </c>
      <c r="Y58" s="4">
        <f>N(R58)*IFERROR(VLOOKUP($C58,Assumptions!$A$4:$F$7,5,FALSE),0)</f>
        <v/>
      </c>
      <c r="Z58" s="4">
        <f>N(S58)</f>
        <v/>
      </c>
      <c r="AA58" s="4">
        <f>SUM(U58:Z58)</f>
        <v/>
      </c>
      <c r="AB58" s="4">
        <f>N(AA58)*N(K58)/90</f>
        <v/>
      </c>
      <c r="AC58" s="4">
        <f>IFERROR(AB58-VLOOKUP($C58,Assumptions!$A$29:$C$32,3,FALSE),"")</f>
        <v/>
      </c>
      <c r="AD58" s="4">
        <f>IFERROR(AC58/F58,"")</f>
        <v/>
      </c>
      <c r="AE58">
        <f>IF(AND($E58=TRUE,$C58="GKP"),AB58,"")</f>
        <v/>
      </c>
      <c r="AF58">
        <f>IF(AND($E58=TRUE,$C58="DEF"),AB58,"")</f>
        <v/>
      </c>
      <c r="AG58">
        <f>IF(AND($E58=TRUE,$C58="MID"),AB58,"")</f>
        <v/>
      </c>
      <c r="AH58">
        <f>IF(AND($E58=TRUE,$C58="FWD"),AB58,"")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b">
        <v>1</v>
      </c>
      <c r="F59" s="2" t="n">
        <v>5</v>
      </c>
      <c r="G59" t="inlineStr">
        <is>
          <t>a</t>
        </is>
      </c>
      <c r="I59" s="2" t="n">
        <v>3203</v>
      </c>
      <c r="J59" t="n">
        <v>128</v>
      </c>
      <c r="K59" s="3" t="n">
        <v>3203</v>
      </c>
      <c r="L59" s="3" t="n">
        <v>0.237</v>
      </c>
      <c r="M59" s="4" t="n">
        <v>0.0581</v>
      </c>
      <c r="N59" t="inlineStr">
        <is>
          <t>adjusted xGOT</t>
        </is>
      </c>
      <c r="O59" s="4" t="n">
        <v>1.029</v>
      </c>
      <c r="P59" s="4" t="n">
        <v>6.3</v>
      </c>
      <c r="Q59" s="4" t="n">
        <v>0.1175</v>
      </c>
      <c r="R59" s="4" t="n">
        <v>0.111</v>
      </c>
      <c r="S59" s="4" t="n">
        <v>0.4215</v>
      </c>
      <c r="T59" s="4" t="n">
        <v>1.995</v>
      </c>
      <c r="U59" s="4">
        <f>IF(T59="",IFERROR(VLOOKUP($C59,Assumptions!$A$4:$F$7,6,FALSE),0),T59)</f>
        <v/>
      </c>
      <c r="V59" s="4">
        <f>N(M59)*IFERROR(VLOOKUP($C59,Assumptions!$A$4:$F$7,2,FALSE),0)</f>
        <v/>
      </c>
      <c r="W59" s="4">
        <f>N(Q59)*IFERROR(VLOOKUP($C59,Assumptions!$A$4:$F$7,3,FALSE),0)*Assumptions!$B$11</f>
        <v/>
      </c>
      <c r="X59" s="4">
        <f>N(L59)*IFERROR(VLOOKUP($C59,Assumptions!$A$4:$F$7,4,FALSE),0)</f>
        <v/>
      </c>
      <c r="Y59" s="4">
        <f>N(R59)*IFERROR(VLOOKUP($C59,Assumptions!$A$4:$F$7,5,FALSE),0)</f>
        <v/>
      </c>
      <c r="Z59" s="4">
        <f>N(S59)</f>
        <v/>
      </c>
      <c r="AA59" s="4">
        <f>SUM(U59:Z59)</f>
        <v/>
      </c>
      <c r="AB59" s="4">
        <f>N(AA59)*N(K59)/90</f>
        <v/>
      </c>
      <c r="AC59" s="4">
        <f>IFERROR(AB59-VLOOKUP($C59,Assumptions!$A$29:$C$32,3,FALSE),"")</f>
        <v/>
      </c>
      <c r="AD59" s="4">
        <f>IFERROR(AC59/F59,"")</f>
        <v/>
      </c>
      <c r="AE59">
        <f>IF(AND($E59=TRUE,$C59="GKP"),AB59,"")</f>
        <v/>
      </c>
      <c r="AF59">
        <f>IF(AND($E59=TRUE,$C59="DEF"),AB59,"")</f>
        <v/>
      </c>
      <c r="AG59">
        <f>IF(AND($E59=TRUE,$C59="MID"),AB59,"")</f>
        <v/>
      </c>
      <c r="AH59">
        <f>IF(AND($E59=TRUE,$C59="FWD"),AB59,"")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b">
        <v>1</v>
      </c>
      <c r="F60" s="2" t="n">
        <v>7.5</v>
      </c>
      <c r="G60" t="inlineStr">
        <is>
          <t>a</t>
        </is>
      </c>
      <c r="I60" s="2" t="n">
        <v>2217</v>
      </c>
      <c r="J60" t="n">
        <v>128</v>
      </c>
      <c r="K60" s="3" t="n">
        <v>2217</v>
      </c>
      <c r="L60" s="3" t="n">
        <v>0.5</v>
      </c>
      <c r="M60" s="4" t="n">
        <v>0.4274</v>
      </c>
      <c r="N60" t="inlineStr">
        <is>
          <t>adjusted xGOT</t>
        </is>
      </c>
      <c r="O60" s="4" t="n">
        <v>0.859</v>
      </c>
      <c r="P60" s="4" t="n">
        <v>12.3</v>
      </c>
      <c r="Q60" s="4" t="n">
        <v>0.09320000000000001</v>
      </c>
      <c r="R60" s="4" t="n">
        <v>0</v>
      </c>
      <c r="S60" s="4" t="n">
        <v>0.6495</v>
      </c>
      <c r="T60" s="4" t="n">
        <v>2.355</v>
      </c>
      <c r="U60" s="4">
        <f>IF(T60="",IFERROR(VLOOKUP($C60,Assumptions!$A$4:$F$7,6,FALSE),0),T60)</f>
        <v/>
      </c>
      <c r="V60" s="4">
        <f>N(M60)*IFERROR(VLOOKUP($C60,Assumptions!$A$4:$F$7,2,FALSE),0)</f>
        <v/>
      </c>
      <c r="W60" s="4">
        <f>N(Q60)*IFERROR(VLOOKUP($C60,Assumptions!$A$4:$F$7,3,FALSE),0)*Assumptions!$B$11</f>
        <v/>
      </c>
      <c r="X60" s="4">
        <f>N(L60)*IFERROR(VLOOKUP($C60,Assumptions!$A$4:$F$7,4,FALSE),0)</f>
        <v/>
      </c>
      <c r="Y60" s="4">
        <f>N(R60)*IFERROR(VLOOKUP($C60,Assumptions!$A$4:$F$7,5,FALSE),0)</f>
        <v/>
      </c>
      <c r="Z60" s="4">
        <f>N(S60)</f>
        <v/>
      </c>
      <c r="AA60" s="4">
        <f>SUM(U60:Z60)</f>
        <v/>
      </c>
      <c r="AB60" s="4">
        <f>N(AA60)*N(K60)/90</f>
        <v/>
      </c>
      <c r="AC60" s="4">
        <f>IFERROR(AB60-VLOOKUP($C60,Assumptions!$A$29:$C$32,3,FALSE),"")</f>
        <v/>
      </c>
      <c r="AD60" s="4">
        <f>IFERROR(AC60/F60,"")</f>
        <v/>
      </c>
      <c r="AE60">
        <f>IF(AND($E60=TRUE,$C60="GKP"),AB60,"")</f>
        <v/>
      </c>
      <c r="AF60">
        <f>IF(AND($E60=TRUE,$C60="DEF"),AB60,"")</f>
        <v/>
      </c>
      <c r="AG60">
        <f>IF(AND($E60=TRUE,$C60="MID"),AB60,"")</f>
        <v/>
      </c>
      <c r="AH60">
        <f>IF(AND($E60=TRUE,$C60="FWD"),AB60,"")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b">
        <v>1</v>
      </c>
      <c r="F61" s="2" t="n">
        <v>6</v>
      </c>
      <c r="G61" t="inlineStr">
        <is>
          <t>a</t>
        </is>
      </c>
      <c r="I61" s="2" t="n">
        <v>2781</v>
      </c>
      <c r="J61" t="n">
        <v>128</v>
      </c>
      <c r="K61" s="3" t="n">
        <v>2781</v>
      </c>
      <c r="L61" s="3" t="n">
        <v>0.29</v>
      </c>
      <c r="M61" s="4" t="n">
        <v>0.2564</v>
      </c>
      <c r="N61" t="inlineStr">
        <is>
          <t>adjusted xGOT</t>
        </is>
      </c>
      <c r="O61" s="4" t="n">
        <v>1.186</v>
      </c>
      <c r="P61" s="4" t="n">
        <v>12.9</v>
      </c>
      <c r="Q61" s="4" t="n">
        <v>0.1435</v>
      </c>
      <c r="R61" s="4" t="n">
        <v>0.188</v>
      </c>
      <c r="S61" s="4" t="n">
        <v>0.2589</v>
      </c>
      <c r="T61" s="4" t="n">
        <v>2.071</v>
      </c>
      <c r="U61" s="4">
        <f>IF(T61="",IFERROR(VLOOKUP($C61,Assumptions!$A$4:$F$7,6,FALSE),0),T61)</f>
        <v/>
      </c>
      <c r="V61" s="4">
        <f>N(M61)*IFERROR(VLOOKUP($C61,Assumptions!$A$4:$F$7,2,FALSE),0)</f>
        <v/>
      </c>
      <c r="W61" s="4">
        <f>N(Q61)*IFERROR(VLOOKUP($C61,Assumptions!$A$4:$F$7,3,FALSE),0)*Assumptions!$B$11</f>
        <v/>
      </c>
      <c r="X61" s="4">
        <f>N(L61)*IFERROR(VLOOKUP($C61,Assumptions!$A$4:$F$7,4,FALSE),0)</f>
        <v/>
      </c>
      <c r="Y61" s="4">
        <f>N(R61)*IFERROR(VLOOKUP($C61,Assumptions!$A$4:$F$7,5,FALSE),0)</f>
        <v/>
      </c>
      <c r="Z61" s="4">
        <f>N(S61)</f>
        <v/>
      </c>
      <c r="AA61" s="4">
        <f>SUM(U61:Z61)</f>
        <v/>
      </c>
      <c r="AB61" s="4">
        <f>N(AA61)*N(K61)/90</f>
        <v/>
      </c>
      <c r="AC61" s="4">
        <f>IFERROR(AB61-VLOOKUP($C61,Assumptions!$A$29:$C$32,3,FALSE),"")</f>
        <v/>
      </c>
      <c r="AD61" s="4">
        <f>IFERROR(AC61/F61,"")</f>
        <v/>
      </c>
      <c r="AE61">
        <f>IF(AND($E61=TRUE,$C61="GKP"),AB61,"")</f>
        <v/>
      </c>
      <c r="AF61">
        <f>IF(AND($E61=TRUE,$C61="DEF"),AB61,"")</f>
        <v/>
      </c>
      <c r="AG61">
        <f>IF(AND($E61=TRUE,$C61="MID"),AB61,"")</f>
        <v/>
      </c>
      <c r="AH61">
        <f>IF(AND($E61=TRUE,$C61="FWD"),AB61,"")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b">
        <v>1</v>
      </c>
      <c r="F62" s="2" t="n">
        <v>5</v>
      </c>
      <c r="G62" t="inlineStr">
        <is>
          <t>a</t>
        </is>
      </c>
      <c r="I62" s="2" t="n">
        <v>2825</v>
      </c>
      <c r="J62" t="n">
        <v>128</v>
      </c>
      <c r="K62" s="3" t="n">
        <v>2825</v>
      </c>
      <c r="L62" s="3" t="n">
        <v>0.316</v>
      </c>
      <c r="M62" s="4" t="n">
        <v>0.07199999999999999</v>
      </c>
      <c r="N62" t="inlineStr">
        <is>
          <t>adjusted xGOT</t>
        </is>
      </c>
      <c r="O62" s="4" t="n">
        <v>0.9340000000000001</v>
      </c>
      <c r="P62" s="4" t="n">
        <v>5.1</v>
      </c>
      <c r="Q62" s="4" t="n">
        <v>0.0326</v>
      </c>
      <c r="R62" s="4" t="n">
        <v>0.419</v>
      </c>
      <c r="S62" s="4" t="n">
        <v>0.1593</v>
      </c>
      <c r="T62" s="4" t="n">
        <v>2.039</v>
      </c>
      <c r="U62" s="4">
        <f>IF(T62="",IFERROR(VLOOKUP($C62,Assumptions!$A$4:$F$7,6,FALSE),0),T62)</f>
        <v/>
      </c>
      <c r="V62" s="4">
        <f>N(M62)*IFERROR(VLOOKUP($C62,Assumptions!$A$4:$F$7,2,FALSE),0)</f>
        <v/>
      </c>
      <c r="W62" s="4">
        <f>N(Q62)*IFERROR(VLOOKUP($C62,Assumptions!$A$4:$F$7,3,FALSE),0)*Assumptions!$B$11</f>
        <v/>
      </c>
      <c r="X62" s="4">
        <f>N(L62)*IFERROR(VLOOKUP($C62,Assumptions!$A$4:$F$7,4,FALSE),0)</f>
        <v/>
      </c>
      <c r="Y62" s="4">
        <f>N(R62)*IFERROR(VLOOKUP($C62,Assumptions!$A$4:$F$7,5,FALSE),0)</f>
        <v/>
      </c>
      <c r="Z62" s="4">
        <f>N(S62)</f>
        <v/>
      </c>
      <c r="AA62" s="4">
        <f>SUM(U62:Z62)</f>
        <v/>
      </c>
      <c r="AB62" s="4">
        <f>N(AA62)*N(K62)/90</f>
        <v/>
      </c>
      <c r="AC62" s="4">
        <f>IFERROR(AB62-VLOOKUP($C62,Assumptions!$A$29:$C$32,3,FALSE),"")</f>
        <v/>
      </c>
      <c r="AD62" s="4">
        <f>IFERROR(AC62/F62,"")</f>
        <v/>
      </c>
      <c r="AE62">
        <f>IF(AND($E62=TRUE,$C62="GKP"),AB62,"")</f>
        <v/>
      </c>
      <c r="AF62">
        <f>IF(AND($E62=TRUE,$C62="DEF"),AB62,"")</f>
        <v/>
      </c>
      <c r="AG62">
        <f>IF(AND($E62=TRUE,$C62="MID"),AB62,"")</f>
        <v/>
      </c>
      <c r="AH62">
        <f>IF(AND($E62=TRUE,$C62="FWD"),AB62,"")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b">
        <v>1</v>
      </c>
      <c r="F63" s="2" t="n">
        <v>6</v>
      </c>
      <c r="G63" t="inlineStr">
        <is>
          <t>a</t>
        </is>
      </c>
      <c r="I63" s="2" t="n">
        <v>2717</v>
      </c>
      <c r="J63" t="n">
        <v>127</v>
      </c>
      <c r="K63" s="3" t="n">
        <v>2717</v>
      </c>
      <c r="L63" s="3" t="n">
        <v>0.263</v>
      </c>
      <c r="M63" s="4" t="n">
        <v>0.2106</v>
      </c>
      <c r="N63" t="inlineStr">
        <is>
          <t>adjusted xGOT</t>
        </is>
      </c>
      <c r="O63" s="4" t="n">
        <v>1.244</v>
      </c>
      <c r="P63" s="4" t="n">
        <v>6.9</v>
      </c>
      <c r="Q63" s="4" t="n">
        <v>0.1197</v>
      </c>
      <c r="R63" s="4" t="n">
        <v>0.031</v>
      </c>
      <c r="S63" s="4" t="n">
        <v>0.1987</v>
      </c>
      <c r="T63" s="4" t="n">
        <v>2.219</v>
      </c>
      <c r="U63" s="4">
        <f>IF(T63="",IFERROR(VLOOKUP($C63,Assumptions!$A$4:$F$7,6,FALSE),0),T63)</f>
        <v/>
      </c>
      <c r="V63" s="4">
        <f>N(M63)*IFERROR(VLOOKUP($C63,Assumptions!$A$4:$F$7,2,FALSE),0)</f>
        <v/>
      </c>
      <c r="W63" s="4">
        <f>N(Q63)*IFERROR(VLOOKUP($C63,Assumptions!$A$4:$F$7,3,FALSE),0)*Assumptions!$B$11</f>
        <v/>
      </c>
      <c r="X63" s="4">
        <f>N(L63)*IFERROR(VLOOKUP($C63,Assumptions!$A$4:$F$7,4,FALSE),0)</f>
        <v/>
      </c>
      <c r="Y63" s="4">
        <f>N(R63)*IFERROR(VLOOKUP($C63,Assumptions!$A$4:$F$7,5,FALSE),0)</f>
        <v/>
      </c>
      <c r="Z63" s="4">
        <f>N(S63)</f>
        <v/>
      </c>
      <c r="AA63" s="4">
        <f>SUM(U63:Z63)</f>
        <v/>
      </c>
      <c r="AB63" s="4">
        <f>N(AA63)*N(K63)/90</f>
        <v/>
      </c>
      <c r="AC63" s="4">
        <f>IFERROR(AB63-VLOOKUP($C63,Assumptions!$A$29:$C$32,3,FALSE),"")</f>
        <v/>
      </c>
      <c r="AD63" s="4">
        <f>IFERROR(AC63/F63,"")</f>
        <v/>
      </c>
      <c r="AE63">
        <f>IF(AND($E63=TRUE,$C63="GKP"),AB63,"")</f>
        <v/>
      </c>
      <c r="AF63">
        <f>IF(AND($E63=TRUE,$C63="DEF"),AB63,"")</f>
        <v/>
      </c>
      <c r="AG63">
        <f>IF(AND($E63=TRUE,$C63="MID"),AB63,"")</f>
        <v/>
      </c>
      <c r="AH63">
        <f>IF(AND($E63=TRUE,$C63="FWD"),AB63,"")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b">
        <v>1</v>
      </c>
      <c r="F64" s="2" t="n">
        <v>5</v>
      </c>
      <c r="G64" t="inlineStr">
        <is>
          <t>a</t>
        </is>
      </c>
      <c r="I64" s="2" t="n">
        <v>2963</v>
      </c>
      <c r="J64" t="n">
        <v>126</v>
      </c>
      <c r="K64" s="3" t="n">
        <v>2963</v>
      </c>
      <c r="L64" s="3" t="n">
        <v>0.21</v>
      </c>
      <c r="M64" s="4" t="n">
        <v>0.1515</v>
      </c>
      <c r="N64" t="inlineStr">
        <is>
          <t>adjusted xGOT</t>
        </is>
      </c>
      <c r="O64" s="4" t="n">
        <v>1.039</v>
      </c>
      <c r="P64" s="4" t="n">
        <v>4.8</v>
      </c>
      <c r="Q64" s="4" t="n">
        <v>0.0271</v>
      </c>
      <c r="R64" s="4" t="n">
        <v>0.364</v>
      </c>
      <c r="S64" s="4" t="n">
        <v>0.2734</v>
      </c>
      <c r="T64" s="4" t="n">
        <v>2.035</v>
      </c>
      <c r="U64" s="4">
        <f>IF(T64="",IFERROR(VLOOKUP($C64,Assumptions!$A$4:$F$7,6,FALSE),0),T64)</f>
        <v/>
      </c>
      <c r="V64" s="4">
        <f>N(M64)*IFERROR(VLOOKUP($C64,Assumptions!$A$4:$F$7,2,FALSE),0)</f>
        <v/>
      </c>
      <c r="W64" s="4">
        <f>N(Q64)*IFERROR(VLOOKUP($C64,Assumptions!$A$4:$F$7,3,FALSE),0)*Assumptions!$B$11</f>
        <v/>
      </c>
      <c r="X64" s="4">
        <f>N(L64)*IFERROR(VLOOKUP($C64,Assumptions!$A$4:$F$7,4,FALSE),0)</f>
        <v/>
      </c>
      <c r="Y64" s="4">
        <f>N(R64)*IFERROR(VLOOKUP($C64,Assumptions!$A$4:$F$7,5,FALSE),0)</f>
        <v/>
      </c>
      <c r="Z64" s="4">
        <f>N(S64)</f>
        <v/>
      </c>
      <c r="AA64" s="4">
        <f>SUM(U64:Z64)</f>
        <v/>
      </c>
      <c r="AB64" s="4">
        <f>N(AA64)*N(K64)/90</f>
        <v/>
      </c>
      <c r="AC64" s="4">
        <f>IFERROR(AB64-VLOOKUP($C64,Assumptions!$A$29:$C$32,3,FALSE),"")</f>
        <v/>
      </c>
      <c r="AD64" s="4">
        <f>IFERROR(AC64/F64,"")</f>
        <v/>
      </c>
      <c r="AE64">
        <f>IF(AND($E64=TRUE,$C64="GKP"),AB64,"")</f>
        <v/>
      </c>
      <c r="AF64">
        <f>IF(AND($E64=TRUE,$C64="DEF"),AB64,"")</f>
        <v/>
      </c>
      <c r="AG64">
        <f>IF(AND($E64=TRUE,$C64="MID"),AB64,"")</f>
        <v/>
      </c>
      <c r="AH64">
        <f>IF(AND($E64=TRUE,$C64="FWD"),AB64,"")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b">
        <v>1</v>
      </c>
      <c r="F65" s="2" t="n">
        <v>5.5</v>
      </c>
      <c r="G65" t="inlineStr">
        <is>
          <t>a</t>
        </is>
      </c>
      <c r="I65" s="2" t="n">
        <v>2449</v>
      </c>
      <c r="J65" t="n">
        <v>126</v>
      </c>
      <c r="K65" s="3" t="n">
        <v>2449</v>
      </c>
      <c r="L65" s="3" t="n">
        <v>0.21</v>
      </c>
      <c r="M65" s="4" t="n">
        <v>0.1593</v>
      </c>
      <c r="N65" t="inlineStr">
        <is>
          <t>adjusted xGOT</t>
        </is>
      </c>
      <c r="O65" s="4" t="n">
        <v>0.957</v>
      </c>
      <c r="P65" s="4" t="n">
        <v>8.5</v>
      </c>
      <c r="Q65" s="4" t="n">
        <v>0.1702</v>
      </c>
      <c r="R65" s="4" t="n">
        <v>0.1</v>
      </c>
      <c r="S65" s="4" t="n">
        <v>0.2205</v>
      </c>
      <c r="T65" s="4" t="n">
        <v>2.389</v>
      </c>
      <c r="U65" s="4">
        <f>IF(T65="",IFERROR(VLOOKUP($C65,Assumptions!$A$4:$F$7,6,FALSE),0),T65)</f>
        <v/>
      </c>
      <c r="V65" s="4">
        <f>N(M65)*IFERROR(VLOOKUP($C65,Assumptions!$A$4:$F$7,2,FALSE),0)</f>
        <v/>
      </c>
      <c r="W65" s="4">
        <f>N(Q65)*IFERROR(VLOOKUP($C65,Assumptions!$A$4:$F$7,3,FALSE),0)*Assumptions!$B$11</f>
        <v/>
      </c>
      <c r="X65" s="4">
        <f>N(L65)*IFERROR(VLOOKUP($C65,Assumptions!$A$4:$F$7,4,FALSE),0)</f>
        <v/>
      </c>
      <c r="Y65" s="4">
        <f>N(R65)*IFERROR(VLOOKUP($C65,Assumptions!$A$4:$F$7,5,FALSE),0)</f>
        <v/>
      </c>
      <c r="Z65" s="4">
        <f>N(S65)</f>
        <v/>
      </c>
      <c r="AA65" s="4">
        <f>SUM(U65:Z65)</f>
        <v/>
      </c>
      <c r="AB65" s="4">
        <f>N(AA65)*N(K65)/90</f>
        <v/>
      </c>
      <c r="AC65" s="4">
        <f>IFERROR(AB65-VLOOKUP($C65,Assumptions!$A$29:$C$32,3,FALSE),"")</f>
        <v/>
      </c>
      <c r="AD65" s="4">
        <f>IFERROR(AC65/F65,"")</f>
        <v/>
      </c>
      <c r="AE65">
        <f>IF(AND($E65=TRUE,$C65="GKP"),AB65,"")</f>
        <v/>
      </c>
      <c r="AF65">
        <f>IF(AND($E65=TRUE,$C65="DEF"),AB65,"")</f>
        <v/>
      </c>
      <c r="AG65">
        <f>IF(AND($E65=TRUE,$C65="MID"),AB65,"")</f>
        <v/>
      </c>
      <c r="AH65">
        <f>IF(AND($E65=TRUE,$C65="FWD"),AB65,"")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b">
        <v>1</v>
      </c>
      <c r="F66" s="2" t="n">
        <v>6</v>
      </c>
      <c r="G66" t="inlineStr">
        <is>
          <t>a</t>
        </is>
      </c>
      <c r="I66" s="2" t="n">
        <v>2249</v>
      </c>
      <c r="J66" t="n">
        <v>126</v>
      </c>
      <c r="K66" s="3" t="n">
        <v>2249</v>
      </c>
      <c r="L66" s="3" t="n">
        <v>0.237</v>
      </c>
      <c r="M66" s="4" t="n">
        <v>0.4876</v>
      </c>
      <c r="N66" t="inlineStr">
        <is>
          <t>adjusted xGOT</t>
        </is>
      </c>
      <c r="O66" s="4" t="n">
        <v>0.986</v>
      </c>
      <c r="P66" s="4" t="n">
        <v>35.6</v>
      </c>
      <c r="Q66" s="4" t="n">
        <v>0.0733</v>
      </c>
      <c r="R66" s="4" t="n">
        <v>0</v>
      </c>
      <c r="S66" s="4" t="n">
        <v>0.7203000000000001</v>
      </c>
      <c r="T66" s="4" t="n">
        <v>2.481</v>
      </c>
      <c r="U66" s="4">
        <f>IF(T66="",IFERROR(VLOOKUP($C66,Assumptions!$A$4:$F$7,6,FALSE),0),T66)</f>
        <v/>
      </c>
      <c r="V66" s="4">
        <f>N(M66)*IFERROR(VLOOKUP($C66,Assumptions!$A$4:$F$7,2,FALSE),0)</f>
        <v/>
      </c>
      <c r="W66" s="4">
        <f>N(Q66)*IFERROR(VLOOKUP($C66,Assumptions!$A$4:$F$7,3,FALSE),0)*Assumptions!$B$11</f>
        <v/>
      </c>
      <c r="X66" s="4">
        <f>N(L66)*IFERROR(VLOOKUP($C66,Assumptions!$A$4:$F$7,4,FALSE),0)</f>
        <v/>
      </c>
      <c r="Y66" s="4">
        <f>N(R66)*IFERROR(VLOOKUP($C66,Assumptions!$A$4:$F$7,5,FALSE),0)</f>
        <v/>
      </c>
      <c r="Z66" s="4">
        <f>N(S66)</f>
        <v/>
      </c>
      <c r="AA66" s="4">
        <f>SUM(U66:Z66)</f>
        <v/>
      </c>
      <c r="AB66" s="4">
        <f>N(AA66)*N(K66)/90</f>
        <v/>
      </c>
      <c r="AC66" s="4">
        <f>IFERROR(AB66-VLOOKUP($C66,Assumptions!$A$29:$C$32,3,FALSE),"")</f>
        <v/>
      </c>
      <c r="AD66" s="4">
        <f>IFERROR(AC66/F66,"")</f>
        <v/>
      </c>
      <c r="AE66">
        <f>IF(AND($E66=TRUE,$C66="GKP"),AB66,"")</f>
        <v/>
      </c>
      <c r="AF66">
        <f>IF(AND($E66=TRUE,$C66="DEF"),AB66,"")</f>
        <v/>
      </c>
      <c r="AG66">
        <f>IF(AND($E66=TRUE,$C66="MID"),AB66,"")</f>
        <v/>
      </c>
      <c r="AH66">
        <f>IF(AND($E66=TRUE,$C66="FWD"),AB66,"")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b">
        <v>1</v>
      </c>
      <c r="F67" s="2" t="n">
        <v>7.5</v>
      </c>
      <c r="G67" t="inlineStr">
        <is>
          <t>a</t>
        </is>
      </c>
      <c r="I67" s="2" t="n">
        <v>2374</v>
      </c>
      <c r="J67" t="n">
        <v>125</v>
      </c>
      <c r="K67" s="3" t="n">
        <v>2374</v>
      </c>
      <c r="L67" s="3" t="n">
        <v>0.263</v>
      </c>
      <c r="M67" s="4" t="n">
        <v>0.2532</v>
      </c>
      <c r="N67" t="inlineStr">
        <is>
          <t>adjusted xGOT</t>
        </is>
      </c>
      <c r="O67" s="4" t="n">
        <v>0.978</v>
      </c>
      <c r="P67" s="4" t="n">
        <v>6.8</v>
      </c>
      <c r="Q67" s="4" t="n">
        <v>0.1995</v>
      </c>
      <c r="R67" s="4" t="n">
        <v>0.037</v>
      </c>
      <c r="S67" s="4" t="n">
        <v>0.6445</v>
      </c>
      <c r="T67" s="4" t="n">
        <v>2.275</v>
      </c>
      <c r="U67" s="4">
        <f>IF(T67="",IFERROR(VLOOKUP($C67,Assumptions!$A$4:$F$7,6,FALSE),0),T67)</f>
        <v/>
      </c>
      <c r="V67" s="4">
        <f>N(M67)*IFERROR(VLOOKUP($C67,Assumptions!$A$4:$F$7,2,FALSE),0)</f>
        <v/>
      </c>
      <c r="W67" s="4">
        <f>N(Q67)*IFERROR(VLOOKUP($C67,Assumptions!$A$4:$F$7,3,FALSE),0)*Assumptions!$B$11</f>
        <v/>
      </c>
      <c r="X67" s="4">
        <f>N(L67)*IFERROR(VLOOKUP($C67,Assumptions!$A$4:$F$7,4,FALSE),0)</f>
        <v/>
      </c>
      <c r="Y67" s="4">
        <f>N(R67)*IFERROR(VLOOKUP($C67,Assumptions!$A$4:$F$7,5,FALSE),0)</f>
        <v/>
      </c>
      <c r="Z67" s="4">
        <f>N(S67)</f>
        <v/>
      </c>
      <c r="AA67" s="4">
        <f>SUM(U67:Z67)</f>
        <v/>
      </c>
      <c r="AB67" s="4">
        <f>N(AA67)*N(K67)/90</f>
        <v/>
      </c>
      <c r="AC67" s="4">
        <f>IFERROR(AB67-VLOOKUP($C67,Assumptions!$A$29:$C$32,3,FALSE),"")</f>
        <v/>
      </c>
      <c r="AD67" s="4">
        <f>IFERROR(AC67/F67,"")</f>
        <v/>
      </c>
      <c r="AE67">
        <f>IF(AND($E67=TRUE,$C67="GKP"),AB67,"")</f>
        <v/>
      </c>
      <c r="AF67">
        <f>IF(AND($E67=TRUE,$C67="DEF"),AB67,"")</f>
        <v/>
      </c>
      <c r="AG67">
        <f>IF(AND($E67=TRUE,$C67="MID"),AB67,"")</f>
        <v/>
      </c>
      <c r="AH67">
        <f>IF(AND($E67=TRUE,$C67="FWD"),AB67,"")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b">
        <v>1</v>
      </c>
      <c r="F68" s="2" t="n">
        <v>6.5</v>
      </c>
      <c r="G68" t="inlineStr">
        <is>
          <t>a</t>
        </is>
      </c>
      <c r="I68" s="2" t="n">
        <v>2629</v>
      </c>
      <c r="J68" t="n">
        <v>125</v>
      </c>
      <c r="K68" s="3" t="n">
        <v>2629</v>
      </c>
      <c r="L68" s="3" t="n">
        <v>0.237</v>
      </c>
      <c r="M68" s="4" t="n">
        <v>0.1289</v>
      </c>
      <c r="N68" t="inlineStr">
        <is>
          <t>adjusted xGOT</t>
        </is>
      </c>
      <c r="O68" s="4" t="n">
        <v>0.82</v>
      </c>
      <c r="P68" s="4" t="n">
        <v>12.4</v>
      </c>
      <c r="Q68" s="4" t="n">
        <v>0.2529</v>
      </c>
      <c r="R68" s="4" t="n">
        <v>0</v>
      </c>
      <c r="S68" s="4" t="n">
        <v>0.3423</v>
      </c>
      <c r="T68" s="4" t="n">
        <v>2.191</v>
      </c>
      <c r="U68" s="4">
        <f>IF(T68="",IFERROR(VLOOKUP($C68,Assumptions!$A$4:$F$7,6,FALSE),0),T68)</f>
        <v/>
      </c>
      <c r="V68" s="4">
        <f>N(M68)*IFERROR(VLOOKUP($C68,Assumptions!$A$4:$F$7,2,FALSE),0)</f>
        <v/>
      </c>
      <c r="W68" s="4">
        <f>N(Q68)*IFERROR(VLOOKUP($C68,Assumptions!$A$4:$F$7,3,FALSE),0)*Assumptions!$B$11</f>
        <v/>
      </c>
      <c r="X68" s="4">
        <f>N(L68)*IFERROR(VLOOKUP($C68,Assumptions!$A$4:$F$7,4,FALSE),0)</f>
        <v/>
      </c>
      <c r="Y68" s="4">
        <f>N(R68)*IFERROR(VLOOKUP($C68,Assumptions!$A$4:$F$7,5,FALSE),0)</f>
        <v/>
      </c>
      <c r="Z68" s="4">
        <f>N(S68)</f>
        <v/>
      </c>
      <c r="AA68" s="4">
        <f>SUM(U68:Z68)</f>
        <v/>
      </c>
      <c r="AB68" s="4">
        <f>N(AA68)*N(K68)/90</f>
        <v/>
      </c>
      <c r="AC68" s="4">
        <f>IFERROR(AB68-VLOOKUP($C68,Assumptions!$A$29:$C$32,3,FALSE),"")</f>
        <v/>
      </c>
      <c r="AD68" s="4">
        <f>IFERROR(AC68/F68,"")</f>
        <v/>
      </c>
      <c r="AE68">
        <f>IF(AND($E68=TRUE,$C68="GKP"),AB68,"")</f>
        <v/>
      </c>
      <c r="AF68">
        <f>IF(AND($E68=TRUE,$C68="DEF"),AB68,"")</f>
        <v/>
      </c>
      <c r="AG68">
        <f>IF(AND($E68=TRUE,$C68="MID"),AB68,"")</f>
        <v/>
      </c>
      <c r="AH68">
        <f>IF(AND($E68=TRUE,$C68="FWD"),AB68,"")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b">
        <v>1</v>
      </c>
      <c r="F69" s="2" t="n">
        <v>7.5</v>
      </c>
      <c r="G69" t="inlineStr">
        <is>
          <t>i</t>
        </is>
      </c>
      <c r="H69" t="inlineStr">
        <is>
          <t>Achilles injury - Unknown return date</t>
        </is>
      </c>
      <c r="I69" s="2" t="n">
        <v>1797</v>
      </c>
      <c r="J69" t="n">
        <v>125</v>
      </c>
      <c r="K69" s="3" t="n">
        <v>1797</v>
      </c>
      <c r="L69" s="3" t="n">
        <v>0.263</v>
      </c>
      <c r="M69" s="4" t="n">
        <v>0.4807</v>
      </c>
      <c r="N69" t="inlineStr">
        <is>
          <t>adjusted xGOT</t>
        </is>
      </c>
      <c r="O69" s="4" t="n">
        <v>0.95</v>
      </c>
      <c r="P69" s="4" t="n">
        <v>10.1</v>
      </c>
      <c r="Q69" s="4" t="n">
        <v>0.1237</v>
      </c>
      <c r="R69" s="4" t="n">
        <v>0</v>
      </c>
      <c r="S69" s="4" t="n">
        <v>1.1018</v>
      </c>
      <c r="T69" s="4" t="n">
        <v>2.354</v>
      </c>
      <c r="U69" s="4">
        <f>IF(T69="",IFERROR(VLOOKUP($C69,Assumptions!$A$4:$F$7,6,FALSE),0),T69)</f>
        <v/>
      </c>
      <c r="V69" s="4">
        <f>N(M69)*IFERROR(VLOOKUP($C69,Assumptions!$A$4:$F$7,2,FALSE),0)</f>
        <v/>
      </c>
      <c r="W69" s="4">
        <f>N(Q69)*IFERROR(VLOOKUP($C69,Assumptions!$A$4:$F$7,3,FALSE),0)*Assumptions!$B$11</f>
        <v/>
      </c>
      <c r="X69" s="4">
        <f>N(L69)*IFERROR(VLOOKUP($C69,Assumptions!$A$4:$F$7,4,FALSE),0)</f>
        <v/>
      </c>
      <c r="Y69" s="4">
        <f>N(R69)*IFERROR(VLOOKUP($C69,Assumptions!$A$4:$F$7,5,FALSE),0)</f>
        <v/>
      </c>
      <c r="Z69" s="4">
        <f>N(S69)</f>
        <v/>
      </c>
      <c r="AA69" s="4">
        <f>SUM(U69:Z69)</f>
        <v/>
      </c>
      <c r="AB69" s="4">
        <f>N(AA69)*N(K69)/90</f>
        <v/>
      </c>
      <c r="AC69" s="4">
        <f>IFERROR(AB69-VLOOKUP($C69,Assumptions!$A$29:$C$32,3,FALSE),"")</f>
        <v/>
      </c>
      <c r="AD69" s="4">
        <f>IFERROR(AC69/F69,"")</f>
        <v/>
      </c>
      <c r="AE69">
        <f>IF(AND($E69=TRUE,$C69="GKP"),AB69,"")</f>
        <v/>
      </c>
      <c r="AF69">
        <f>IF(AND($E69=TRUE,$C69="DEF"),AB69,"")</f>
        <v/>
      </c>
      <c r="AG69">
        <f>IF(AND($E69=TRUE,$C69="MID"),AB69,"")</f>
        <v/>
      </c>
      <c r="AH69">
        <f>IF(AND($E69=TRUE,$C69="FWD"),AB69,"")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b">
        <v>1</v>
      </c>
      <c r="F70" s="2" t="n">
        <v>5</v>
      </c>
      <c r="G70" t="inlineStr">
        <is>
          <t>d</t>
        </is>
      </c>
      <c r="H70" t="inlineStr">
        <is>
          <t>Knock - 75% chance of playing</t>
        </is>
      </c>
      <c r="I70" s="2" t="n">
        <v>2797</v>
      </c>
      <c r="J70" t="n">
        <v>125</v>
      </c>
      <c r="K70" s="3" t="n">
        <v>2797</v>
      </c>
      <c r="L70" s="3" t="n">
        <v>0.29</v>
      </c>
      <c r="M70" s="4" t="n">
        <v>0.0515</v>
      </c>
      <c r="N70" t="inlineStr">
        <is>
          <t>adjusted xGOT</t>
        </is>
      </c>
      <c r="O70" s="4" t="n">
        <v>0.988</v>
      </c>
      <c r="P70" s="4" t="n">
        <v>1.6</v>
      </c>
      <c r="Q70" s="4" t="n">
        <v>0.0244</v>
      </c>
      <c r="R70" s="4" t="n">
        <v>0.375</v>
      </c>
      <c r="S70" s="4" t="n">
        <v>0.1609</v>
      </c>
      <c r="T70" s="4" t="n">
        <v>2.059</v>
      </c>
      <c r="U70" s="4">
        <f>IF(T70="",IFERROR(VLOOKUP($C70,Assumptions!$A$4:$F$7,6,FALSE),0),T70)</f>
        <v/>
      </c>
      <c r="V70" s="4">
        <f>N(M70)*IFERROR(VLOOKUP($C70,Assumptions!$A$4:$F$7,2,FALSE),0)</f>
        <v/>
      </c>
      <c r="W70" s="4">
        <f>N(Q70)*IFERROR(VLOOKUP($C70,Assumptions!$A$4:$F$7,3,FALSE),0)*Assumptions!$B$11</f>
        <v/>
      </c>
      <c r="X70" s="4">
        <f>N(L70)*IFERROR(VLOOKUP($C70,Assumptions!$A$4:$F$7,4,FALSE),0)</f>
        <v/>
      </c>
      <c r="Y70" s="4">
        <f>N(R70)*IFERROR(VLOOKUP($C70,Assumptions!$A$4:$F$7,5,FALSE),0)</f>
        <v/>
      </c>
      <c r="Z70" s="4">
        <f>N(S70)</f>
        <v/>
      </c>
      <c r="AA70" s="4">
        <f>SUM(U70:Z70)</f>
        <v/>
      </c>
      <c r="AB70" s="4">
        <f>N(AA70)*N(K70)/90</f>
        <v/>
      </c>
      <c r="AC70" s="4">
        <f>IFERROR(AB70-VLOOKUP($C70,Assumptions!$A$29:$C$32,3,FALSE),"")</f>
        <v/>
      </c>
      <c r="AD70" s="4">
        <f>IFERROR(AC70/F70,"")</f>
        <v/>
      </c>
      <c r="AE70">
        <f>IF(AND($E70=TRUE,$C70="GKP"),AB70,"")</f>
        <v/>
      </c>
      <c r="AF70">
        <f>IF(AND($E70=TRUE,$C70="DEF"),AB70,"")</f>
        <v/>
      </c>
      <c r="AG70">
        <f>IF(AND($E70=TRUE,$C70="MID"),AB70,"")</f>
        <v/>
      </c>
      <c r="AH70">
        <f>IF(AND($E70=TRUE,$C70="FWD"),AB70,"")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b">
        <v>1</v>
      </c>
      <c r="F71" s="2" t="n">
        <v>6</v>
      </c>
      <c r="G71" t="inlineStr">
        <is>
          <t>a</t>
        </is>
      </c>
      <c r="I71" s="2" t="n">
        <v>2744</v>
      </c>
      <c r="J71" t="n">
        <v>125</v>
      </c>
      <c r="K71" s="3" t="n">
        <v>2744</v>
      </c>
      <c r="L71" s="3" t="n">
        <v>0.263</v>
      </c>
      <c r="M71" s="4" t="n">
        <v>0.3777</v>
      </c>
      <c r="N71" t="inlineStr">
        <is>
          <t>adjusted xGOT</t>
        </is>
      </c>
      <c r="O71" s="4" t="n">
        <v>0.953</v>
      </c>
      <c r="P71" s="4" t="n">
        <v>23.9</v>
      </c>
      <c r="Q71" s="4" t="n">
        <v>0.1085</v>
      </c>
      <c r="R71" s="4" t="n">
        <v>0</v>
      </c>
      <c r="S71" s="4" t="n">
        <v>0.164</v>
      </c>
      <c r="T71" s="4" t="n">
        <v>2.132</v>
      </c>
      <c r="U71" s="4">
        <f>IF(T71="",IFERROR(VLOOKUP($C71,Assumptions!$A$4:$F$7,6,FALSE),0),T71)</f>
        <v/>
      </c>
      <c r="V71" s="4">
        <f>N(M71)*IFERROR(VLOOKUP($C71,Assumptions!$A$4:$F$7,2,FALSE),0)</f>
        <v/>
      </c>
      <c r="W71" s="4">
        <f>N(Q71)*IFERROR(VLOOKUP($C71,Assumptions!$A$4:$F$7,3,FALSE),0)*Assumptions!$B$11</f>
        <v/>
      </c>
      <c r="X71" s="4">
        <f>N(L71)*IFERROR(VLOOKUP($C71,Assumptions!$A$4:$F$7,4,FALSE),0)</f>
        <v/>
      </c>
      <c r="Y71" s="4">
        <f>N(R71)*IFERROR(VLOOKUP($C71,Assumptions!$A$4:$F$7,5,FALSE),0)</f>
        <v/>
      </c>
      <c r="Z71" s="4">
        <f>N(S71)</f>
        <v/>
      </c>
      <c r="AA71" s="4">
        <f>SUM(U71:Z71)</f>
        <v/>
      </c>
      <c r="AB71" s="4">
        <f>N(AA71)*N(K71)/90</f>
        <v/>
      </c>
      <c r="AC71" s="4">
        <f>IFERROR(AB71-VLOOKUP($C71,Assumptions!$A$29:$C$32,3,FALSE),"")</f>
        <v/>
      </c>
      <c r="AD71" s="4">
        <f>IFERROR(AC71/F71,"")</f>
        <v/>
      </c>
      <c r="AE71">
        <f>IF(AND($E71=TRUE,$C71="GKP"),AB71,"")</f>
        <v/>
      </c>
      <c r="AF71">
        <f>IF(AND($E71=TRUE,$C71="DEF"),AB71,"")</f>
        <v/>
      </c>
      <c r="AG71">
        <f>IF(AND($E71=TRUE,$C71="MID"),AB71,"")</f>
        <v/>
      </c>
      <c r="AH71">
        <f>IF(AND($E71=TRUE,$C71="FWD"),AB71,"")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b">
        <v>1</v>
      </c>
      <c r="F72" s="2" t="n">
        <v>4.5</v>
      </c>
      <c r="G72" t="inlineStr">
        <is>
          <t>a</t>
        </is>
      </c>
      <c r="I72" s="2" t="n">
        <v>3420</v>
      </c>
      <c r="J72" t="n">
        <v>124</v>
      </c>
      <c r="K72" s="3" t="n">
        <v>3420</v>
      </c>
      <c r="L72" s="3" t="n">
        <v>0.29</v>
      </c>
      <c r="M72" s="4" t="n">
        <v>0</v>
      </c>
      <c r="N72" t="inlineStr">
        <is>
          <t>blended xG</t>
        </is>
      </c>
      <c r="O72" s="4" t="n">
        <v>1</v>
      </c>
      <c r="P72" s="4" t="n">
        <v>0</v>
      </c>
      <c r="Q72" s="4" t="n">
        <v>0</v>
      </c>
      <c r="R72" s="4" t="n">
        <v>0</v>
      </c>
      <c r="S72" s="4" t="n">
        <v>0.1842</v>
      </c>
      <c r="T72" s="4" t="n">
        <v>2</v>
      </c>
      <c r="U72" s="4">
        <f>IF(T72="",IFERROR(VLOOKUP($C72,Assumptions!$A$4:$F$7,6,FALSE),0),T72)</f>
        <v/>
      </c>
      <c r="V72" s="4">
        <f>N(M72)*IFERROR(VLOOKUP($C72,Assumptions!$A$4:$F$7,2,FALSE),0)</f>
        <v/>
      </c>
      <c r="W72" s="4">
        <f>N(Q72)*IFERROR(VLOOKUP($C72,Assumptions!$A$4:$F$7,3,FALSE),0)*Assumptions!$B$11</f>
        <v/>
      </c>
      <c r="X72" s="4">
        <f>N(L72)*IFERROR(VLOOKUP($C72,Assumptions!$A$4:$F$7,4,FALSE),0)</f>
        <v/>
      </c>
      <c r="Y72" s="4">
        <f>N(R72)*IFERROR(VLOOKUP($C72,Assumptions!$A$4:$F$7,5,FALSE),0)</f>
        <v/>
      </c>
      <c r="Z72" s="4">
        <f>N(S72)</f>
        <v/>
      </c>
      <c r="AA72" s="4">
        <f>SUM(U72:Z72)</f>
        <v/>
      </c>
      <c r="AB72" s="4">
        <f>N(AA72)*N(K72)/90</f>
        <v/>
      </c>
      <c r="AC72" s="4">
        <f>IFERROR(AB72-VLOOKUP($C72,Assumptions!$A$29:$C$32,3,FALSE),"")</f>
        <v/>
      </c>
      <c r="AD72" s="4">
        <f>IFERROR(AC72/F72,"")</f>
        <v/>
      </c>
      <c r="AE72">
        <f>IF(AND($E72=TRUE,$C72="GKP"),AB72,"")</f>
        <v/>
      </c>
      <c r="AF72">
        <f>IF(AND($E72=TRUE,$C72="DEF"),AB72,"")</f>
        <v/>
      </c>
      <c r="AG72">
        <f>IF(AND($E72=TRUE,$C72="MID"),AB72,"")</f>
        <v/>
      </c>
      <c r="AH72">
        <f>IF(AND($E72=TRUE,$C72="FWD"),AB72,"")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b">
        <v>1</v>
      </c>
      <c r="F73" s="2" t="n">
        <v>5.5</v>
      </c>
      <c r="G73" t="inlineStr">
        <is>
          <t>a</t>
        </is>
      </c>
      <c r="I73" s="2" t="n">
        <v>2901</v>
      </c>
      <c r="J73" t="n">
        <v>124</v>
      </c>
      <c r="K73" s="3" t="n">
        <v>2901</v>
      </c>
      <c r="L73" s="3" t="n">
        <v>0.29</v>
      </c>
      <c r="M73" s="4" t="n">
        <v>0.0342</v>
      </c>
      <c r="N73" t="inlineStr">
        <is>
          <t>adjusted xGOT</t>
        </is>
      </c>
      <c r="O73" s="4" t="n">
        <v>1.091</v>
      </c>
      <c r="P73" s="4" t="n">
        <v>5.7</v>
      </c>
      <c r="Q73" s="4" t="n">
        <v>0.1153</v>
      </c>
      <c r="R73" s="4" t="n">
        <v>0.406</v>
      </c>
      <c r="S73" s="4" t="n">
        <v>0.2482</v>
      </c>
      <c r="T73" s="4" t="n">
        <v>2.048</v>
      </c>
      <c r="U73" s="4">
        <f>IF(T73="",IFERROR(VLOOKUP($C73,Assumptions!$A$4:$F$7,6,FALSE),0),T73)</f>
        <v/>
      </c>
      <c r="V73" s="4">
        <f>N(M73)*IFERROR(VLOOKUP($C73,Assumptions!$A$4:$F$7,2,FALSE),0)</f>
        <v/>
      </c>
      <c r="W73" s="4">
        <f>N(Q73)*IFERROR(VLOOKUP($C73,Assumptions!$A$4:$F$7,3,FALSE),0)*Assumptions!$B$11</f>
        <v/>
      </c>
      <c r="X73" s="4">
        <f>N(L73)*IFERROR(VLOOKUP($C73,Assumptions!$A$4:$F$7,4,FALSE),0)</f>
        <v/>
      </c>
      <c r="Y73" s="4">
        <f>N(R73)*IFERROR(VLOOKUP($C73,Assumptions!$A$4:$F$7,5,FALSE),0)</f>
        <v/>
      </c>
      <c r="Z73" s="4">
        <f>N(S73)</f>
        <v/>
      </c>
      <c r="AA73" s="4">
        <f>SUM(U73:Z73)</f>
        <v/>
      </c>
      <c r="AB73" s="4">
        <f>N(AA73)*N(K73)/90</f>
        <v/>
      </c>
      <c r="AC73" s="4">
        <f>IFERROR(AB73-VLOOKUP($C73,Assumptions!$A$29:$C$32,3,FALSE),"")</f>
        <v/>
      </c>
      <c r="AD73" s="4">
        <f>IFERROR(AC73/F73,"")</f>
        <v/>
      </c>
      <c r="AE73">
        <f>IF(AND($E73=TRUE,$C73="GKP"),AB73,"")</f>
        <v/>
      </c>
      <c r="AF73">
        <f>IF(AND($E73=TRUE,$C73="DEF"),AB73,"")</f>
        <v/>
      </c>
      <c r="AG73">
        <f>IF(AND($E73=TRUE,$C73="MID"),AB73,"")</f>
        <v/>
      </c>
      <c r="AH73">
        <f>IF(AND($E73=TRUE,$C73="FWD"),AB73,"")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b">
        <v>1</v>
      </c>
      <c r="F74" s="2" t="n">
        <v>5</v>
      </c>
      <c r="G74" t="inlineStr">
        <is>
          <t>s</t>
        </is>
      </c>
      <c r="H74" t="inlineStr">
        <is>
          <t>Suspended until 30 Aug</t>
        </is>
      </c>
      <c r="I74" s="2" t="n">
        <v>2882</v>
      </c>
      <c r="J74" t="n">
        <v>123</v>
      </c>
      <c r="K74" s="3" t="n">
        <v>2882</v>
      </c>
      <c r="L74" s="3" t="n">
        <v>0.237</v>
      </c>
      <c r="M74" s="4" t="n">
        <v>0.0428</v>
      </c>
      <c r="N74" t="inlineStr">
        <is>
          <t>adjusted xGOT</t>
        </is>
      </c>
      <c r="O74" s="4" t="n">
        <v>0.958</v>
      </c>
      <c r="P74" s="4" t="n">
        <v>6.1</v>
      </c>
      <c r="Q74" s="4" t="n">
        <v>0.0376</v>
      </c>
      <c r="R74" s="4" t="n">
        <v>0.606</v>
      </c>
      <c r="S74" s="4" t="n">
        <v>0.1874</v>
      </c>
      <c r="T74" s="4" t="n">
        <v>1.999</v>
      </c>
      <c r="U74" s="4">
        <f>IF(T74="",IFERROR(VLOOKUP($C74,Assumptions!$A$4:$F$7,6,FALSE),0),T74)</f>
        <v/>
      </c>
      <c r="V74" s="4">
        <f>N(M74)*IFERROR(VLOOKUP($C74,Assumptions!$A$4:$F$7,2,FALSE),0)</f>
        <v/>
      </c>
      <c r="W74" s="4">
        <f>N(Q74)*IFERROR(VLOOKUP($C74,Assumptions!$A$4:$F$7,3,FALSE),0)*Assumptions!$B$11</f>
        <v/>
      </c>
      <c r="X74" s="4">
        <f>N(L74)*IFERROR(VLOOKUP($C74,Assumptions!$A$4:$F$7,4,FALSE),0)</f>
        <v/>
      </c>
      <c r="Y74" s="4">
        <f>N(R74)*IFERROR(VLOOKUP($C74,Assumptions!$A$4:$F$7,5,FALSE),0)</f>
        <v/>
      </c>
      <c r="Z74" s="4">
        <f>N(S74)</f>
        <v/>
      </c>
      <c r="AA74" s="4">
        <f>SUM(U74:Z74)</f>
        <v/>
      </c>
      <c r="AB74" s="4">
        <f>N(AA74)*N(K74)/90</f>
        <v/>
      </c>
      <c r="AC74" s="4">
        <f>IFERROR(AB74-VLOOKUP($C74,Assumptions!$A$29:$C$32,3,FALSE),"")</f>
        <v/>
      </c>
      <c r="AD74" s="4">
        <f>IFERROR(AC74/F74,"")</f>
        <v/>
      </c>
      <c r="AE74">
        <f>IF(AND($E74=TRUE,$C74="GKP"),AB74,"")</f>
        <v/>
      </c>
      <c r="AF74">
        <f>IF(AND($E74=TRUE,$C74="DEF"),AB74,"")</f>
        <v/>
      </c>
      <c r="AG74">
        <f>IF(AND($E74=TRUE,$C74="MID"),AB74,"")</f>
        <v/>
      </c>
      <c r="AH74">
        <f>IF(AND($E74=TRUE,$C74="FWD"),AB74,"")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b">
        <v>1</v>
      </c>
      <c r="F75" s="2" t="n">
        <v>4.5</v>
      </c>
      <c r="G75" t="inlineStr">
        <is>
          <t>a</t>
        </is>
      </c>
      <c r="I75" s="2" t="n">
        <v>3420</v>
      </c>
      <c r="J75" t="n">
        <v>122</v>
      </c>
      <c r="K75" s="3" t="n">
        <v>3420</v>
      </c>
      <c r="L75" s="3" t="n">
        <v>0.237</v>
      </c>
      <c r="M75" s="4" t="n">
        <v>0</v>
      </c>
      <c r="N75" t="inlineStr">
        <is>
          <t>blended xG</t>
        </is>
      </c>
      <c r="O75" s="4" t="n">
        <v>1</v>
      </c>
      <c r="P75" s="4" t="n">
        <v>0</v>
      </c>
      <c r="Q75" s="4" t="n">
        <v>0.0003</v>
      </c>
      <c r="R75" s="4" t="n">
        <v>0</v>
      </c>
      <c r="S75" s="4" t="n">
        <v>0.2632</v>
      </c>
      <c r="T75" s="4" t="n">
        <v>2</v>
      </c>
      <c r="U75" s="4">
        <f>IF(T75="",IFERROR(VLOOKUP($C75,Assumptions!$A$4:$F$7,6,FALSE),0),T75)</f>
        <v/>
      </c>
      <c r="V75" s="4">
        <f>N(M75)*IFERROR(VLOOKUP($C75,Assumptions!$A$4:$F$7,2,FALSE),0)</f>
        <v/>
      </c>
      <c r="W75" s="4">
        <f>N(Q75)*IFERROR(VLOOKUP($C75,Assumptions!$A$4:$F$7,3,FALSE),0)*Assumptions!$B$11</f>
        <v/>
      </c>
      <c r="X75" s="4">
        <f>N(L75)*IFERROR(VLOOKUP($C75,Assumptions!$A$4:$F$7,4,FALSE),0)</f>
        <v/>
      </c>
      <c r="Y75" s="4">
        <f>N(R75)*IFERROR(VLOOKUP($C75,Assumptions!$A$4:$F$7,5,FALSE),0)</f>
        <v/>
      </c>
      <c r="Z75" s="4">
        <f>N(S75)</f>
        <v/>
      </c>
      <c r="AA75" s="4">
        <f>SUM(U75:Z75)</f>
        <v/>
      </c>
      <c r="AB75" s="4">
        <f>N(AA75)*N(K75)/90</f>
        <v/>
      </c>
      <c r="AC75" s="4">
        <f>IFERROR(AB75-VLOOKUP($C75,Assumptions!$A$29:$C$32,3,FALSE),"")</f>
        <v/>
      </c>
      <c r="AD75" s="4">
        <f>IFERROR(AC75/F75,"")</f>
        <v/>
      </c>
      <c r="AE75">
        <f>IF(AND($E75=TRUE,$C75="GKP"),AB75,"")</f>
        <v/>
      </c>
      <c r="AF75">
        <f>IF(AND($E75=TRUE,$C75="DEF"),AB75,"")</f>
        <v/>
      </c>
      <c r="AG75">
        <f>IF(AND($E75=TRUE,$C75="MID"),AB75,"")</f>
        <v/>
      </c>
      <c r="AH75">
        <f>IF(AND($E75=TRUE,$C75="FWD"),AB75,"")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b">
        <v>1</v>
      </c>
      <c r="F76" s="2" t="n">
        <v>5</v>
      </c>
      <c r="G76" t="inlineStr">
        <is>
          <t>a</t>
        </is>
      </c>
      <c r="I76" s="2" t="n">
        <v>2835</v>
      </c>
      <c r="J76" t="n">
        <v>120</v>
      </c>
      <c r="K76" s="3" t="n">
        <v>2835</v>
      </c>
      <c r="L76" s="3" t="n">
        <v>0.237</v>
      </c>
      <c r="M76" s="4" t="n">
        <v>0</v>
      </c>
      <c r="N76" t="inlineStr">
        <is>
          <t>blended xG</t>
        </is>
      </c>
      <c r="O76" s="4" t="n">
        <v>1</v>
      </c>
      <c r="P76" s="4" t="n">
        <v>0</v>
      </c>
      <c r="Q76" s="4" t="n">
        <v>0.0069</v>
      </c>
      <c r="R76" s="4" t="n">
        <v>0</v>
      </c>
      <c r="S76" s="4" t="n">
        <v>0.3175</v>
      </c>
      <c r="T76" s="4" t="n">
        <v>2</v>
      </c>
      <c r="U76" s="4">
        <f>IF(T76="",IFERROR(VLOOKUP($C76,Assumptions!$A$4:$F$7,6,FALSE),0),T76)</f>
        <v/>
      </c>
      <c r="V76" s="4">
        <f>N(M76)*IFERROR(VLOOKUP($C76,Assumptions!$A$4:$F$7,2,FALSE),0)</f>
        <v/>
      </c>
      <c r="W76" s="4">
        <f>N(Q76)*IFERROR(VLOOKUP($C76,Assumptions!$A$4:$F$7,3,FALSE),0)*Assumptions!$B$11</f>
        <v/>
      </c>
      <c r="X76" s="4">
        <f>N(L76)*IFERROR(VLOOKUP($C76,Assumptions!$A$4:$F$7,4,FALSE),0)</f>
        <v/>
      </c>
      <c r="Y76" s="4">
        <f>N(R76)*IFERROR(VLOOKUP($C76,Assumptions!$A$4:$F$7,5,FALSE),0)</f>
        <v/>
      </c>
      <c r="Z76" s="4">
        <f>N(S76)</f>
        <v/>
      </c>
      <c r="AA76" s="4">
        <f>SUM(U76:Z76)</f>
        <v/>
      </c>
      <c r="AB76" s="4">
        <f>N(AA76)*N(K76)/90</f>
        <v/>
      </c>
      <c r="AC76" s="4">
        <f>IFERROR(AB76-VLOOKUP($C76,Assumptions!$A$29:$C$32,3,FALSE),"")</f>
        <v/>
      </c>
      <c r="AD76" s="4">
        <f>IFERROR(AC76/F76,"")</f>
        <v/>
      </c>
      <c r="AE76">
        <f>IF(AND($E76=TRUE,$C76="GKP"),AB76,"")</f>
        <v/>
      </c>
      <c r="AF76">
        <f>IF(AND($E76=TRUE,$C76="DEF"),AB76,"")</f>
        <v/>
      </c>
      <c r="AG76">
        <f>IF(AND($E76=TRUE,$C76="MID"),AB76,"")</f>
        <v/>
      </c>
      <c r="AH76">
        <f>IF(AND($E76=TRUE,$C76="FWD"),AB76,"")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b">
        <v>1</v>
      </c>
      <c r="F77" s="2" t="n">
        <v>7.5</v>
      </c>
      <c r="G77" t="inlineStr">
        <is>
          <t>a</t>
        </is>
      </c>
      <c r="I77" s="2" t="n">
        <v>1773</v>
      </c>
      <c r="J77" t="n">
        <v>120</v>
      </c>
      <c r="K77" s="3" t="n">
        <v>1773</v>
      </c>
      <c r="L77" s="3" t="n">
        <v>0.421</v>
      </c>
      <c r="M77" s="4" t="n">
        <v>0.1865</v>
      </c>
      <c r="N77" t="inlineStr">
        <is>
          <t>adjusted xGOT</t>
        </is>
      </c>
      <c r="O77" s="4" t="n">
        <v>1.28</v>
      </c>
      <c r="P77" s="4" t="n">
        <v>6.8</v>
      </c>
      <c r="Q77" s="4" t="n">
        <v>0.3404</v>
      </c>
      <c r="R77" s="4" t="n">
        <v>0</v>
      </c>
      <c r="S77" s="4" t="n">
        <v>0.7614</v>
      </c>
      <c r="T77" s="4" t="n">
        <v>2.437</v>
      </c>
      <c r="U77" s="4">
        <f>IF(T77="",IFERROR(VLOOKUP($C77,Assumptions!$A$4:$F$7,6,FALSE),0),T77)</f>
        <v/>
      </c>
      <c r="V77" s="4">
        <f>N(M77)*IFERROR(VLOOKUP($C77,Assumptions!$A$4:$F$7,2,FALSE),0)</f>
        <v/>
      </c>
      <c r="W77" s="4">
        <f>N(Q77)*IFERROR(VLOOKUP($C77,Assumptions!$A$4:$F$7,3,FALSE),0)*Assumptions!$B$11</f>
        <v/>
      </c>
      <c r="X77" s="4">
        <f>N(L77)*IFERROR(VLOOKUP($C77,Assumptions!$A$4:$F$7,4,FALSE),0)</f>
        <v/>
      </c>
      <c r="Y77" s="4">
        <f>N(R77)*IFERROR(VLOOKUP($C77,Assumptions!$A$4:$F$7,5,FALSE),0)</f>
        <v/>
      </c>
      <c r="Z77" s="4">
        <f>N(S77)</f>
        <v/>
      </c>
      <c r="AA77" s="4">
        <f>SUM(U77:Z77)</f>
        <v/>
      </c>
      <c r="AB77" s="4">
        <f>N(AA77)*N(K77)/90</f>
        <v/>
      </c>
      <c r="AC77" s="4">
        <f>IFERROR(AB77-VLOOKUP($C77,Assumptions!$A$29:$C$32,3,FALSE),"")</f>
        <v/>
      </c>
      <c r="AD77" s="4">
        <f>IFERROR(AC77/F77,"")</f>
        <v/>
      </c>
      <c r="AE77">
        <f>IF(AND($E77=TRUE,$C77="GKP"),AB77,"")</f>
        <v/>
      </c>
      <c r="AF77">
        <f>IF(AND($E77=TRUE,$C77="DEF"),AB77,"")</f>
        <v/>
      </c>
      <c r="AG77">
        <f>IF(AND($E77=TRUE,$C77="MID"),AB77,"")</f>
        <v/>
      </c>
      <c r="AH77">
        <f>IF(AND($E77=TRUE,$C77="FWD"),AB77,"")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b">
        <v>1</v>
      </c>
      <c r="F78" s="2" t="n">
        <v>5.5</v>
      </c>
      <c r="G78" t="inlineStr">
        <is>
          <t>a</t>
        </is>
      </c>
      <c r="I78" s="2" t="n">
        <v>3375</v>
      </c>
      <c r="J78" t="n">
        <v>119</v>
      </c>
      <c r="K78" s="3" t="n">
        <v>3375</v>
      </c>
      <c r="L78" s="3" t="n">
        <v>0.237</v>
      </c>
      <c r="M78" s="4" t="n">
        <v>0.022</v>
      </c>
      <c r="N78" t="inlineStr">
        <is>
          <t>adjusted xGOT</t>
        </is>
      </c>
      <c r="O78" s="4" t="n">
        <v>0.994</v>
      </c>
      <c r="P78" s="4" t="n">
        <v>4.9</v>
      </c>
      <c r="Q78" s="4" t="n">
        <v>0.0126</v>
      </c>
      <c r="R78" s="4" t="n">
        <v>0.351</v>
      </c>
      <c r="S78" s="4" t="n">
        <v>0.0267</v>
      </c>
      <c r="T78" s="4" t="n">
        <v>2</v>
      </c>
      <c r="U78" s="4">
        <f>IF(T78="",IFERROR(VLOOKUP($C78,Assumptions!$A$4:$F$7,6,FALSE),0),T78)</f>
        <v/>
      </c>
      <c r="V78" s="4">
        <f>N(M78)*IFERROR(VLOOKUP($C78,Assumptions!$A$4:$F$7,2,FALSE),0)</f>
        <v/>
      </c>
      <c r="W78" s="4">
        <f>N(Q78)*IFERROR(VLOOKUP($C78,Assumptions!$A$4:$F$7,3,FALSE),0)*Assumptions!$B$11</f>
        <v/>
      </c>
      <c r="X78" s="4">
        <f>N(L78)*IFERROR(VLOOKUP($C78,Assumptions!$A$4:$F$7,4,FALSE),0)</f>
        <v/>
      </c>
      <c r="Y78" s="4">
        <f>N(R78)*IFERROR(VLOOKUP($C78,Assumptions!$A$4:$F$7,5,FALSE),0)</f>
        <v/>
      </c>
      <c r="Z78" s="4">
        <f>N(S78)</f>
        <v/>
      </c>
      <c r="AA78" s="4">
        <f>SUM(U78:Z78)</f>
        <v/>
      </c>
      <c r="AB78" s="4">
        <f>N(AA78)*N(K78)/90</f>
        <v/>
      </c>
      <c r="AC78" s="4">
        <f>IFERROR(AB78-VLOOKUP($C78,Assumptions!$A$29:$C$32,3,FALSE),"")</f>
        <v/>
      </c>
      <c r="AD78" s="4">
        <f>IFERROR(AC78/F78,"")</f>
        <v/>
      </c>
      <c r="AE78">
        <f>IF(AND($E78=TRUE,$C78="GKP"),AB78,"")</f>
        <v/>
      </c>
      <c r="AF78">
        <f>IF(AND($E78=TRUE,$C78="DEF"),AB78,"")</f>
        <v/>
      </c>
      <c r="AG78">
        <f>IF(AND($E78=TRUE,$C78="MID"),AB78,"")</f>
        <v/>
      </c>
      <c r="AH78">
        <f>IF(AND($E78=TRUE,$C78="FWD"),AB78,"")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b">
        <v>1</v>
      </c>
      <c r="F79" s="2" t="n">
        <v>6</v>
      </c>
      <c r="G79" t="inlineStr">
        <is>
          <t>a</t>
        </is>
      </c>
      <c r="I79" s="2" t="n">
        <v>1954</v>
      </c>
      <c r="J79" t="n">
        <v>119</v>
      </c>
      <c r="K79" s="3" t="n">
        <v>1954</v>
      </c>
      <c r="L79" s="3" t="n">
        <v>0.237</v>
      </c>
      <c r="M79" s="4" t="n">
        <v>0.4198</v>
      </c>
      <c r="N79" t="inlineStr">
        <is>
          <t>adjusted xGOT</t>
        </is>
      </c>
      <c r="O79" s="4" t="n">
        <v>1.055</v>
      </c>
      <c r="P79" s="4" t="n">
        <v>25.3</v>
      </c>
      <c r="Q79" s="4" t="n">
        <v>0.1121</v>
      </c>
      <c r="R79" s="4" t="n">
        <v>0</v>
      </c>
      <c r="S79" s="4" t="n">
        <v>0.783</v>
      </c>
      <c r="T79" s="4" t="n">
        <v>2.349</v>
      </c>
      <c r="U79" s="4">
        <f>IF(T79="",IFERROR(VLOOKUP($C79,Assumptions!$A$4:$F$7,6,FALSE),0),T79)</f>
        <v/>
      </c>
      <c r="V79" s="4">
        <f>N(M79)*IFERROR(VLOOKUP($C79,Assumptions!$A$4:$F$7,2,FALSE),0)</f>
        <v/>
      </c>
      <c r="W79" s="4">
        <f>N(Q79)*IFERROR(VLOOKUP($C79,Assumptions!$A$4:$F$7,3,FALSE),0)*Assumptions!$B$11</f>
        <v/>
      </c>
      <c r="X79" s="4">
        <f>N(L79)*IFERROR(VLOOKUP($C79,Assumptions!$A$4:$F$7,4,FALSE),0)</f>
        <v/>
      </c>
      <c r="Y79" s="4">
        <f>N(R79)*IFERROR(VLOOKUP($C79,Assumptions!$A$4:$F$7,5,FALSE),0)</f>
        <v/>
      </c>
      <c r="Z79" s="4">
        <f>N(S79)</f>
        <v/>
      </c>
      <c r="AA79" s="4">
        <f>SUM(U79:Z79)</f>
        <v/>
      </c>
      <c r="AB79" s="4">
        <f>N(AA79)*N(K79)/90</f>
        <v/>
      </c>
      <c r="AC79" s="4">
        <f>IFERROR(AB79-VLOOKUP($C79,Assumptions!$A$29:$C$32,3,FALSE),"")</f>
        <v/>
      </c>
      <c r="AD79" s="4">
        <f>IFERROR(AC79/F79,"")</f>
        <v/>
      </c>
      <c r="AE79">
        <f>IF(AND($E79=TRUE,$C79="GKP"),AB79,"")</f>
        <v/>
      </c>
      <c r="AF79">
        <f>IF(AND($E79=TRUE,$C79="DEF"),AB79,"")</f>
        <v/>
      </c>
      <c r="AG79">
        <f>IF(AND($E79=TRUE,$C79="MID"),AB79,"")</f>
        <v/>
      </c>
      <c r="AH79">
        <f>IF(AND($E79=TRUE,$C79="FWD"),AB79,"")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b">
        <v>1</v>
      </c>
      <c r="F80" s="2" t="n">
        <v>4.5</v>
      </c>
      <c r="G80" t="inlineStr">
        <is>
          <t>a</t>
        </is>
      </c>
      <c r="I80" s="2" t="n">
        <v>3130</v>
      </c>
      <c r="J80" t="n">
        <v>118</v>
      </c>
      <c r="K80" s="3" t="n">
        <v>3130</v>
      </c>
      <c r="L80" s="3" t="n">
        <v>0.263</v>
      </c>
      <c r="M80" s="4" t="n">
        <v>0.0626</v>
      </c>
      <c r="N80" t="inlineStr">
        <is>
          <t>adjusted xGOT</t>
        </is>
      </c>
      <c r="O80" s="4" t="n">
        <v>1.057</v>
      </c>
      <c r="P80" s="4" t="n">
        <v>2.5</v>
      </c>
      <c r="Q80" s="4" t="n">
        <v>0.0799</v>
      </c>
      <c r="R80" s="4" t="n">
        <v>0.059</v>
      </c>
      <c r="S80" s="4" t="n">
        <v>0.23</v>
      </c>
      <c r="T80" s="4" t="n">
        <v>2.07</v>
      </c>
      <c r="U80" s="4">
        <f>IF(T80="",IFERROR(VLOOKUP($C80,Assumptions!$A$4:$F$7,6,FALSE),0),T80)</f>
        <v/>
      </c>
      <c r="V80" s="4">
        <f>N(M80)*IFERROR(VLOOKUP($C80,Assumptions!$A$4:$F$7,2,FALSE),0)</f>
        <v/>
      </c>
      <c r="W80" s="4">
        <f>N(Q80)*IFERROR(VLOOKUP($C80,Assumptions!$A$4:$F$7,3,FALSE),0)*Assumptions!$B$11</f>
        <v/>
      </c>
      <c r="X80" s="4">
        <f>N(L80)*IFERROR(VLOOKUP($C80,Assumptions!$A$4:$F$7,4,FALSE),0)</f>
        <v/>
      </c>
      <c r="Y80" s="4">
        <f>N(R80)*IFERROR(VLOOKUP($C80,Assumptions!$A$4:$F$7,5,FALSE),0)</f>
        <v/>
      </c>
      <c r="Z80" s="4">
        <f>N(S80)</f>
        <v/>
      </c>
      <c r="AA80" s="4">
        <f>SUM(U80:Z80)</f>
        <v/>
      </c>
      <c r="AB80" s="4">
        <f>N(AA80)*N(K80)/90</f>
        <v/>
      </c>
      <c r="AC80" s="4">
        <f>IFERROR(AB80-VLOOKUP($C80,Assumptions!$A$29:$C$32,3,FALSE),"")</f>
        <v/>
      </c>
      <c r="AD80" s="4">
        <f>IFERROR(AC80/F80,"")</f>
        <v/>
      </c>
      <c r="AE80">
        <f>IF(AND($E80=TRUE,$C80="GKP"),AB80,"")</f>
        <v/>
      </c>
      <c r="AF80">
        <f>IF(AND($E80=TRUE,$C80="DEF"),AB80,"")</f>
        <v/>
      </c>
      <c r="AG80">
        <f>IF(AND($E80=TRUE,$C80="MID"),AB80,"")</f>
        <v/>
      </c>
      <c r="AH80">
        <f>IF(AND($E80=TRUE,$C80="FWD"),AB80,"")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b">
        <v>1</v>
      </c>
      <c r="F81" s="2" t="n">
        <v>6.5</v>
      </c>
      <c r="G81" t="inlineStr">
        <is>
          <t>a</t>
        </is>
      </c>
      <c r="I81" s="2" t="n">
        <v>2173</v>
      </c>
      <c r="J81" t="n">
        <v>117</v>
      </c>
      <c r="K81" s="3" t="n">
        <v>2173</v>
      </c>
      <c r="L81" s="3" t="n">
        <v>0.316</v>
      </c>
      <c r="M81" s="4" t="n">
        <v>0.4489</v>
      </c>
      <c r="N81" t="inlineStr">
        <is>
          <t>adjusted xGOT</t>
        </is>
      </c>
      <c r="O81" s="4" t="n">
        <v>0.992</v>
      </c>
      <c r="P81" s="4" t="n">
        <v>21.8</v>
      </c>
      <c r="Q81" s="4" t="n">
        <v>0.0698</v>
      </c>
      <c r="R81" s="4" t="n">
        <v>0</v>
      </c>
      <c r="S81" s="4" t="n">
        <v>0.4142</v>
      </c>
      <c r="T81" s="4" t="n">
        <v>2.071</v>
      </c>
      <c r="U81" s="4">
        <f>IF(T81="",IFERROR(VLOOKUP($C81,Assumptions!$A$4:$F$7,6,FALSE),0),T81)</f>
        <v/>
      </c>
      <c r="V81" s="4">
        <f>N(M81)*IFERROR(VLOOKUP($C81,Assumptions!$A$4:$F$7,2,FALSE),0)</f>
        <v/>
      </c>
      <c r="W81" s="4">
        <f>N(Q81)*IFERROR(VLOOKUP($C81,Assumptions!$A$4:$F$7,3,FALSE),0)*Assumptions!$B$11</f>
        <v/>
      </c>
      <c r="X81" s="4">
        <f>N(L81)*IFERROR(VLOOKUP($C81,Assumptions!$A$4:$F$7,4,FALSE),0)</f>
        <v/>
      </c>
      <c r="Y81" s="4">
        <f>N(R81)*IFERROR(VLOOKUP($C81,Assumptions!$A$4:$F$7,5,FALSE),0)</f>
        <v/>
      </c>
      <c r="Z81" s="4">
        <f>N(S81)</f>
        <v/>
      </c>
      <c r="AA81" s="4">
        <f>SUM(U81:Z81)</f>
        <v/>
      </c>
      <c r="AB81" s="4">
        <f>N(AA81)*N(K81)/90</f>
        <v/>
      </c>
      <c r="AC81" s="4">
        <f>IFERROR(AB81-VLOOKUP($C81,Assumptions!$A$29:$C$32,3,FALSE),"")</f>
        <v/>
      </c>
      <c r="AD81" s="4">
        <f>IFERROR(AC81/F81,"")</f>
        <v/>
      </c>
      <c r="AE81">
        <f>IF(AND($E81=TRUE,$C81="GKP"),AB81,"")</f>
        <v/>
      </c>
      <c r="AF81">
        <f>IF(AND($E81=TRUE,$C81="DEF"),AB81,"")</f>
        <v/>
      </c>
      <c r="AG81">
        <f>IF(AND($E81=TRUE,$C81="MID"),AB81,"")</f>
        <v/>
      </c>
      <c r="AH81">
        <f>IF(AND($E81=TRUE,$C81="FWD"),AB81,"")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b">
        <v>1</v>
      </c>
      <c r="F82" s="2" t="n">
        <v>6</v>
      </c>
      <c r="G82" t="inlineStr">
        <is>
          <t>i</t>
        </is>
      </c>
      <c r="H82" t="inlineStr">
        <is>
          <t>Leg injury - Expected back 28 Nov</t>
        </is>
      </c>
      <c r="I82" s="2" t="n">
        <v>2389</v>
      </c>
      <c r="J82" t="n">
        <v>117</v>
      </c>
      <c r="K82" s="3" t="n">
        <v>2389</v>
      </c>
      <c r="L82" s="3" t="n">
        <v>0.263</v>
      </c>
      <c r="M82" s="4" t="n">
        <v>0.1513</v>
      </c>
      <c r="N82" t="inlineStr">
        <is>
          <t>adjusted xGOT</t>
        </is>
      </c>
      <c r="O82" s="4" t="n">
        <v>1.054</v>
      </c>
      <c r="P82" s="4" t="n">
        <v>7.9</v>
      </c>
      <c r="Q82" s="4" t="n">
        <v>0.2053</v>
      </c>
      <c r="R82" s="4" t="n">
        <v>0.038</v>
      </c>
      <c r="S82" s="4" t="n">
        <v>0.3767</v>
      </c>
      <c r="T82" s="4" t="n">
        <v>2.223</v>
      </c>
      <c r="U82" s="4">
        <f>IF(T82="",IFERROR(VLOOKUP($C82,Assumptions!$A$4:$F$7,6,FALSE),0),T82)</f>
        <v/>
      </c>
      <c r="V82" s="4">
        <f>N(M82)*IFERROR(VLOOKUP($C82,Assumptions!$A$4:$F$7,2,FALSE),0)</f>
        <v/>
      </c>
      <c r="W82" s="4">
        <f>N(Q82)*IFERROR(VLOOKUP($C82,Assumptions!$A$4:$F$7,3,FALSE),0)*Assumptions!$B$11</f>
        <v/>
      </c>
      <c r="X82" s="4">
        <f>N(L82)*IFERROR(VLOOKUP($C82,Assumptions!$A$4:$F$7,4,FALSE),0)</f>
        <v/>
      </c>
      <c r="Y82" s="4">
        <f>N(R82)*IFERROR(VLOOKUP($C82,Assumptions!$A$4:$F$7,5,FALSE),0)</f>
        <v/>
      </c>
      <c r="Z82" s="4">
        <f>N(S82)</f>
        <v/>
      </c>
      <c r="AA82" s="4">
        <f>SUM(U82:Z82)</f>
        <v/>
      </c>
      <c r="AB82" s="4">
        <f>N(AA82)*N(K82)/90</f>
        <v/>
      </c>
      <c r="AC82" s="4">
        <f>IFERROR(AB82-VLOOKUP($C82,Assumptions!$A$29:$C$32,3,FALSE),"")</f>
        <v/>
      </c>
      <c r="AD82" s="4">
        <f>IFERROR(AC82/F82,"")</f>
        <v/>
      </c>
      <c r="AE82">
        <f>IF(AND($E82=TRUE,$C82="GKP"),AB82,"")</f>
        <v/>
      </c>
      <c r="AF82">
        <f>IF(AND($E82=TRUE,$C82="DEF"),AB82,"")</f>
        <v/>
      </c>
      <c r="AG82">
        <f>IF(AND($E82=TRUE,$C82="MID"),AB82,"")</f>
        <v/>
      </c>
      <c r="AH82">
        <f>IF(AND($E82=TRUE,$C82="FWD"),AB82,"")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b">
        <v>1</v>
      </c>
      <c r="F83" s="2" t="n">
        <v>5.5</v>
      </c>
      <c r="G83" t="inlineStr">
        <is>
          <t>a</t>
        </is>
      </c>
      <c r="I83" s="2" t="n">
        <v>2793</v>
      </c>
      <c r="J83" t="n">
        <v>117</v>
      </c>
      <c r="K83" s="3" t="n">
        <v>2793</v>
      </c>
      <c r="L83" s="3" t="n">
        <v>0.237</v>
      </c>
      <c r="M83" s="4" t="n">
        <v>0.0338</v>
      </c>
      <c r="N83" t="inlineStr">
        <is>
          <t>adjusted xGOT</t>
        </is>
      </c>
      <c r="O83" s="4" t="n">
        <v>0.999</v>
      </c>
      <c r="P83" s="4" t="n">
        <v>7.4</v>
      </c>
      <c r="Q83" s="4" t="n">
        <v>0.1388</v>
      </c>
      <c r="R83" s="4" t="n">
        <v>0.25</v>
      </c>
      <c r="S83" s="4" t="n">
        <v>0.29</v>
      </c>
      <c r="T83" s="4" t="n">
        <v>2.095</v>
      </c>
      <c r="U83" s="4">
        <f>IF(T83="",IFERROR(VLOOKUP($C83,Assumptions!$A$4:$F$7,6,FALSE),0),T83)</f>
        <v/>
      </c>
      <c r="V83" s="4">
        <f>N(M83)*IFERROR(VLOOKUP($C83,Assumptions!$A$4:$F$7,2,FALSE),0)</f>
        <v/>
      </c>
      <c r="W83" s="4">
        <f>N(Q83)*IFERROR(VLOOKUP($C83,Assumptions!$A$4:$F$7,3,FALSE),0)*Assumptions!$B$11</f>
        <v/>
      </c>
      <c r="X83" s="4">
        <f>N(L83)*IFERROR(VLOOKUP($C83,Assumptions!$A$4:$F$7,4,FALSE),0)</f>
        <v/>
      </c>
      <c r="Y83" s="4">
        <f>N(R83)*IFERROR(VLOOKUP($C83,Assumptions!$A$4:$F$7,5,FALSE),0)</f>
        <v/>
      </c>
      <c r="Z83" s="4">
        <f>N(S83)</f>
        <v/>
      </c>
      <c r="AA83" s="4">
        <f>SUM(U83:Z83)</f>
        <v/>
      </c>
      <c r="AB83" s="4">
        <f>N(AA83)*N(K83)/90</f>
        <v/>
      </c>
      <c r="AC83" s="4">
        <f>IFERROR(AB83-VLOOKUP($C83,Assumptions!$A$29:$C$32,3,FALSE),"")</f>
        <v/>
      </c>
      <c r="AD83" s="4">
        <f>IFERROR(AC83/F83,"")</f>
        <v/>
      </c>
      <c r="AE83">
        <f>IF(AND($E83=TRUE,$C83="GKP"),AB83,"")</f>
        <v/>
      </c>
      <c r="AF83">
        <f>IF(AND($E83=TRUE,$C83="DEF"),AB83,"")</f>
        <v/>
      </c>
      <c r="AG83">
        <f>IF(AND($E83=TRUE,$C83="MID"),AB83,"")</f>
        <v/>
      </c>
      <c r="AH83">
        <f>IF(AND($E83=TRUE,$C83="FWD"),AB83,"")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b">
        <v>1</v>
      </c>
      <c r="F84" s="2" t="n">
        <v>4.5</v>
      </c>
      <c r="G84" t="inlineStr">
        <is>
          <t>a</t>
        </is>
      </c>
      <c r="I84" s="2" t="n">
        <v>3016</v>
      </c>
      <c r="J84" t="n">
        <v>117</v>
      </c>
      <c r="K84" s="3" t="n">
        <v>3016</v>
      </c>
      <c r="L84" s="3" t="n">
        <v>0.237</v>
      </c>
      <c r="M84" s="4" t="n">
        <v>0.0354</v>
      </c>
      <c r="N84" t="inlineStr">
        <is>
          <t>adjusted xGOT</t>
        </is>
      </c>
      <c r="O84" s="4" t="n">
        <v>1.04</v>
      </c>
      <c r="P84" s="4" t="n">
        <v>6.2</v>
      </c>
      <c r="Q84" s="4" t="n">
        <v>0.09180000000000001</v>
      </c>
      <c r="R84" s="4" t="n">
        <v>0.029</v>
      </c>
      <c r="S84" s="4" t="n">
        <v>0.2089</v>
      </c>
      <c r="T84" s="4" t="n">
        <v>2.029</v>
      </c>
      <c r="U84" s="4">
        <f>IF(T84="",IFERROR(VLOOKUP($C84,Assumptions!$A$4:$F$7,6,FALSE),0),T84)</f>
        <v/>
      </c>
      <c r="V84" s="4">
        <f>N(M84)*IFERROR(VLOOKUP($C84,Assumptions!$A$4:$F$7,2,FALSE),0)</f>
        <v/>
      </c>
      <c r="W84" s="4">
        <f>N(Q84)*IFERROR(VLOOKUP($C84,Assumptions!$A$4:$F$7,3,FALSE),0)*Assumptions!$B$11</f>
        <v/>
      </c>
      <c r="X84" s="4">
        <f>N(L84)*IFERROR(VLOOKUP($C84,Assumptions!$A$4:$F$7,4,FALSE),0)</f>
        <v/>
      </c>
      <c r="Y84" s="4">
        <f>N(R84)*IFERROR(VLOOKUP($C84,Assumptions!$A$4:$F$7,5,FALSE),0)</f>
        <v/>
      </c>
      <c r="Z84" s="4">
        <f>N(S84)</f>
        <v/>
      </c>
      <c r="AA84" s="4">
        <f>SUM(U84:Z84)</f>
        <v/>
      </c>
      <c r="AB84" s="4">
        <f>N(AA84)*N(K84)/90</f>
        <v/>
      </c>
      <c r="AC84" s="4">
        <f>IFERROR(AB84-VLOOKUP($C84,Assumptions!$A$29:$C$32,3,FALSE),"")</f>
        <v/>
      </c>
      <c r="AD84" s="4">
        <f>IFERROR(AC84/F84,"")</f>
        <v/>
      </c>
      <c r="AE84">
        <f>IF(AND($E84=TRUE,$C84="GKP"),AB84,"")</f>
        <v/>
      </c>
      <c r="AF84">
        <f>IF(AND($E84=TRUE,$C84="DEF"),AB84,"")</f>
        <v/>
      </c>
      <c r="AG84">
        <f>IF(AND($E84=TRUE,$C84="MID"),AB84,"")</f>
        <v/>
      </c>
      <c r="AH84">
        <f>IF(AND($E84=TRUE,$C84="FWD"),AB84,"")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b">
        <v>1</v>
      </c>
      <c r="F85" s="2" t="n">
        <v>5</v>
      </c>
      <c r="G85" t="inlineStr">
        <is>
          <t>a</t>
        </is>
      </c>
      <c r="I85" s="2" t="n">
        <v>2144</v>
      </c>
      <c r="J85" t="n">
        <v>116</v>
      </c>
      <c r="K85" s="3" t="n">
        <v>2144</v>
      </c>
      <c r="L85" s="3" t="n">
        <v>0.29</v>
      </c>
      <c r="M85" s="4" t="n">
        <v>0.1017</v>
      </c>
      <c r="N85" t="inlineStr">
        <is>
          <t>adjusted xGOT</t>
        </is>
      </c>
      <c r="O85" s="4" t="n">
        <v>0.985</v>
      </c>
      <c r="P85" s="4" t="n">
        <v>2.5</v>
      </c>
      <c r="Q85" s="4" t="n">
        <v>0.0464</v>
      </c>
      <c r="R85" s="4" t="n">
        <v>0.625</v>
      </c>
      <c r="S85" s="4" t="n">
        <v>0.3358</v>
      </c>
      <c r="T85" s="4" t="n">
        <v>2.141</v>
      </c>
      <c r="U85" s="4">
        <f>IF(T85="",IFERROR(VLOOKUP($C85,Assumptions!$A$4:$F$7,6,FALSE),0),T85)</f>
        <v/>
      </c>
      <c r="V85" s="4">
        <f>N(M85)*IFERROR(VLOOKUP($C85,Assumptions!$A$4:$F$7,2,FALSE),0)</f>
        <v/>
      </c>
      <c r="W85" s="4">
        <f>N(Q85)*IFERROR(VLOOKUP($C85,Assumptions!$A$4:$F$7,3,FALSE),0)*Assumptions!$B$11</f>
        <v/>
      </c>
      <c r="X85" s="4">
        <f>N(L85)*IFERROR(VLOOKUP($C85,Assumptions!$A$4:$F$7,4,FALSE),0)</f>
        <v/>
      </c>
      <c r="Y85" s="4">
        <f>N(R85)*IFERROR(VLOOKUP($C85,Assumptions!$A$4:$F$7,5,FALSE),0)</f>
        <v/>
      </c>
      <c r="Z85" s="4">
        <f>N(S85)</f>
        <v/>
      </c>
      <c r="AA85" s="4">
        <f>SUM(U85:Z85)</f>
        <v/>
      </c>
      <c r="AB85" s="4">
        <f>N(AA85)*N(K85)/90</f>
        <v/>
      </c>
      <c r="AC85" s="4">
        <f>IFERROR(AB85-VLOOKUP($C85,Assumptions!$A$29:$C$32,3,FALSE),"")</f>
        <v/>
      </c>
      <c r="AD85" s="4">
        <f>IFERROR(AC85/F85,"")</f>
        <v/>
      </c>
      <c r="AE85">
        <f>IF(AND($E85=TRUE,$C85="GKP"),AB85,"")</f>
        <v/>
      </c>
      <c r="AF85">
        <f>IF(AND($E85=TRUE,$C85="DEF"),AB85,"")</f>
        <v/>
      </c>
      <c r="AG85">
        <f>IF(AND($E85=TRUE,$C85="MID"),AB85,"")</f>
        <v/>
      </c>
      <c r="AH85">
        <f>IF(AND($E85=TRUE,$C85="FWD"),AB85,"")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b">
        <v>1</v>
      </c>
      <c r="F86" s="2" t="n">
        <v>5</v>
      </c>
      <c r="G86" t="inlineStr">
        <is>
          <t>a</t>
        </is>
      </c>
      <c r="I86" s="2" t="n">
        <v>3118</v>
      </c>
      <c r="J86" t="n">
        <v>116</v>
      </c>
      <c r="K86" s="3" t="n">
        <v>3118</v>
      </c>
      <c r="L86" s="3" t="n">
        <v>0.29</v>
      </c>
      <c r="M86" s="4" t="n">
        <v>0.0554</v>
      </c>
      <c r="N86" t="inlineStr">
        <is>
          <t>adjusted xGOT</t>
        </is>
      </c>
      <c r="O86" s="4" t="n">
        <v>1.149</v>
      </c>
      <c r="P86" s="4" t="n">
        <v>2.4</v>
      </c>
      <c r="Q86" s="4" t="n">
        <v>0.0249</v>
      </c>
      <c r="R86" s="4" t="n">
        <v>0.171</v>
      </c>
      <c r="S86" s="4" t="n">
        <v>0.1155</v>
      </c>
      <c r="T86" s="4" t="n">
        <v>2.107</v>
      </c>
      <c r="U86" s="4">
        <f>IF(T86="",IFERROR(VLOOKUP($C86,Assumptions!$A$4:$F$7,6,FALSE),0),T86)</f>
        <v/>
      </c>
      <c r="V86" s="4">
        <f>N(M86)*IFERROR(VLOOKUP($C86,Assumptions!$A$4:$F$7,2,FALSE),0)</f>
        <v/>
      </c>
      <c r="W86" s="4">
        <f>N(Q86)*IFERROR(VLOOKUP($C86,Assumptions!$A$4:$F$7,3,FALSE),0)*Assumptions!$B$11</f>
        <v/>
      </c>
      <c r="X86" s="4">
        <f>N(L86)*IFERROR(VLOOKUP($C86,Assumptions!$A$4:$F$7,4,FALSE),0)</f>
        <v/>
      </c>
      <c r="Y86" s="4">
        <f>N(R86)*IFERROR(VLOOKUP($C86,Assumptions!$A$4:$F$7,5,FALSE),0)</f>
        <v/>
      </c>
      <c r="Z86" s="4">
        <f>N(S86)</f>
        <v/>
      </c>
      <c r="AA86" s="4">
        <f>SUM(U86:Z86)</f>
        <v/>
      </c>
      <c r="AB86" s="4">
        <f>N(AA86)*N(K86)/90</f>
        <v/>
      </c>
      <c r="AC86" s="4">
        <f>IFERROR(AB86-VLOOKUP($C86,Assumptions!$A$29:$C$32,3,FALSE),"")</f>
        <v/>
      </c>
      <c r="AD86" s="4">
        <f>IFERROR(AC86/F86,"")</f>
        <v/>
      </c>
      <c r="AE86">
        <f>IF(AND($E86=TRUE,$C86="GKP"),AB86,"")</f>
        <v/>
      </c>
      <c r="AF86">
        <f>IF(AND($E86=TRUE,$C86="DEF"),AB86,"")</f>
        <v/>
      </c>
      <c r="AG86">
        <f>IF(AND($E86=TRUE,$C86="MID"),AB86,"")</f>
        <v/>
      </c>
      <c r="AH86">
        <f>IF(AND($E86=TRUE,$C86="FWD"),AB86,"")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b">
        <v>1</v>
      </c>
      <c r="F87" s="2" t="n">
        <v>5</v>
      </c>
      <c r="G87" t="inlineStr">
        <is>
          <t>a</t>
        </is>
      </c>
      <c r="I87" s="2" t="n">
        <v>3041</v>
      </c>
      <c r="J87" t="n">
        <v>116</v>
      </c>
      <c r="K87" s="3" t="n">
        <v>3041</v>
      </c>
      <c r="L87" s="3" t="n">
        <v>0.237</v>
      </c>
      <c r="M87" s="4" t="n">
        <v>0.09760000000000001</v>
      </c>
      <c r="N87" t="inlineStr">
        <is>
          <t>adjusted xGOT</t>
        </is>
      </c>
      <c r="O87" s="4" t="n">
        <v>1.17</v>
      </c>
      <c r="P87" s="4" t="n">
        <v>4</v>
      </c>
      <c r="Q87" s="4" t="n">
        <v>0.0206</v>
      </c>
      <c r="R87" s="4" t="n">
        <v>0.08599999999999999</v>
      </c>
      <c r="S87" s="4" t="n">
        <v>0.2664</v>
      </c>
      <c r="T87" s="4" t="n">
        <v>2.012</v>
      </c>
      <c r="U87" s="4">
        <f>IF(T87="",IFERROR(VLOOKUP($C87,Assumptions!$A$4:$F$7,6,FALSE),0),T87)</f>
        <v/>
      </c>
      <c r="V87" s="4">
        <f>N(M87)*IFERROR(VLOOKUP($C87,Assumptions!$A$4:$F$7,2,FALSE),0)</f>
        <v/>
      </c>
      <c r="W87" s="4">
        <f>N(Q87)*IFERROR(VLOOKUP($C87,Assumptions!$A$4:$F$7,3,FALSE),0)*Assumptions!$B$11</f>
        <v/>
      </c>
      <c r="X87" s="4">
        <f>N(L87)*IFERROR(VLOOKUP($C87,Assumptions!$A$4:$F$7,4,FALSE),0)</f>
        <v/>
      </c>
      <c r="Y87" s="4">
        <f>N(R87)*IFERROR(VLOOKUP($C87,Assumptions!$A$4:$F$7,5,FALSE),0)</f>
        <v/>
      </c>
      <c r="Z87" s="4">
        <f>N(S87)</f>
        <v/>
      </c>
      <c r="AA87" s="4">
        <f>SUM(U87:Z87)</f>
        <v/>
      </c>
      <c r="AB87" s="4">
        <f>N(AA87)*N(K87)/90</f>
        <v/>
      </c>
      <c r="AC87" s="4">
        <f>IFERROR(AB87-VLOOKUP($C87,Assumptions!$A$29:$C$32,3,FALSE),"")</f>
        <v/>
      </c>
      <c r="AD87" s="4">
        <f>IFERROR(AC87/F87,"")</f>
        <v/>
      </c>
      <c r="AE87">
        <f>IF(AND($E87=TRUE,$C87="GKP"),AB87,"")</f>
        <v/>
      </c>
      <c r="AF87">
        <f>IF(AND($E87=TRUE,$C87="DEF"),AB87,"")</f>
        <v/>
      </c>
      <c r="AG87">
        <f>IF(AND($E87=TRUE,$C87="MID"),AB87,"")</f>
        <v/>
      </c>
      <c r="AH87">
        <f>IF(AND($E87=TRUE,$C87="FWD"),AB87,"")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b">
        <v>1</v>
      </c>
      <c r="F88" s="2" t="n">
        <v>5.5</v>
      </c>
      <c r="G88" t="inlineStr">
        <is>
          <t>a</t>
        </is>
      </c>
      <c r="I88" s="2" t="n">
        <v>1957</v>
      </c>
      <c r="J88" t="n">
        <v>115</v>
      </c>
      <c r="K88" s="3" t="n">
        <v>1957</v>
      </c>
      <c r="L88" s="3" t="n">
        <v>0.237</v>
      </c>
      <c r="M88" s="4" t="n">
        <v>0.0538</v>
      </c>
      <c r="N88" t="inlineStr">
        <is>
          <t>adjusted xGOT</t>
        </is>
      </c>
      <c r="O88" s="4" t="n">
        <v>1.124</v>
      </c>
      <c r="P88" s="4" t="n">
        <v>2.8</v>
      </c>
      <c r="Q88" s="4" t="n">
        <v>0.1654</v>
      </c>
      <c r="R88" s="4" t="n">
        <v>0.1</v>
      </c>
      <c r="S88" s="4" t="n">
        <v>0.5518999999999999</v>
      </c>
      <c r="T88" s="4" t="n">
        <v>2.207</v>
      </c>
      <c r="U88" s="4">
        <f>IF(T88="",IFERROR(VLOOKUP($C88,Assumptions!$A$4:$F$7,6,FALSE),0),T88)</f>
        <v/>
      </c>
      <c r="V88" s="4">
        <f>N(M88)*IFERROR(VLOOKUP($C88,Assumptions!$A$4:$F$7,2,FALSE),0)</f>
        <v/>
      </c>
      <c r="W88" s="4">
        <f>N(Q88)*IFERROR(VLOOKUP($C88,Assumptions!$A$4:$F$7,3,FALSE),0)*Assumptions!$B$11</f>
        <v/>
      </c>
      <c r="X88" s="4">
        <f>N(L88)*IFERROR(VLOOKUP($C88,Assumptions!$A$4:$F$7,4,FALSE),0)</f>
        <v/>
      </c>
      <c r="Y88" s="4">
        <f>N(R88)*IFERROR(VLOOKUP($C88,Assumptions!$A$4:$F$7,5,FALSE),0)</f>
        <v/>
      </c>
      <c r="Z88" s="4">
        <f>N(S88)</f>
        <v/>
      </c>
      <c r="AA88" s="4">
        <f>SUM(U88:Z88)</f>
        <v/>
      </c>
      <c r="AB88" s="4">
        <f>N(AA88)*N(K88)/90</f>
        <v/>
      </c>
      <c r="AC88" s="4">
        <f>IFERROR(AB88-VLOOKUP($C88,Assumptions!$A$29:$C$32,3,FALSE),"")</f>
        <v/>
      </c>
      <c r="AD88" s="4">
        <f>IFERROR(AC88/F88,"")</f>
        <v/>
      </c>
      <c r="AE88">
        <f>IF(AND($E88=TRUE,$C88="GKP"),AB88,"")</f>
        <v/>
      </c>
      <c r="AF88">
        <f>IF(AND($E88=TRUE,$C88="DEF"),AB88,"")</f>
        <v/>
      </c>
      <c r="AG88">
        <f>IF(AND($E88=TRUE,$C88="MID"),AB88,"")</f>
        <v/>
      </c>
      <c r="AH88">
        <f>IF(AND($E88=TRUE,$C88="FWD"),AB88,"")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b">
        <v>1</v>
      </c>
      <c r="F89" s="2" t="n">
        <v>6</v>
      </c>
      <c r="G89" t="inlineStr">
        <is>
          <t>a</t>
        </is>
      </c>
      <c r="I89" s="2" t="n">
        <v>2741</v>
      </c>
      <c r="J89" t="n">
        <v>115</v>
      </c>
      <c r="K89" s="3" t="n">
        <v>2741</v>
      </c>
      <c r="L89" s="3" t="n">
        <v>0.29</v>
      </c>
      <c r="M89" s="4" t="n">
        <v>0.2942</v>
      </c>
      <c r="N89" t="inlineStr">
        <is>
          <t>adjusted xGOT</t>
        </is>
      </c>
      <c r="O89" s="4" t="n">
        <v>0.842</v>
      </c>
      <c r="P89" s="4" t="n">
        <v>23.1</v>
      </c>
      <c r="Q89" s="4" t="n">
        <v>0.0747</v>
      </c>
      <c r="R89" s="4" t="n">
        <v>0</v>
      </c>
      <c r="S89" s="4" t="n">
        <v>0.197</v>
      </c>
      <c r="T89" s="4" t="n">
        <v>2.167</v>
      </c>
      <c r="U89" s="4">
        <f>IF(T89="",IFERROR(VLOOKUP($C89,Assumptions!$A$4:$F$7,6,FALSE),0),T89)</f>
        <v/>
      </c>
      <c r="V89" s="4">
        <f>N(M89)*IFERROR(VLOOKUP($C89,Assumptions!$A$4:$F$7,2,FALSE),0)</f>
        <v/>
      </c>
      <c r="W89" s="4">
        <f>N(Q89)*IFERROR(VLOOKUP($C89,Assumptions!$A$4:$F$7,3,FALSE),0)*Assumptions!$B$11</f>
        <v/>
      </c>
      <c r="X89" s="4">
        <f>N(L89)*IFERROR(VLOOKUP($C89,Assumptions!$A$4:$F$7,4,FALSE),0)</f>
        <v/>
      </c>
      <c r="Y89" s="4">
        <f>N(R89)*IFERROR(VLOOKUP($C89,Assumptions!$A$4:$F$7,5,FALSE),0)</f>
        <v/>
      </c>
      <c r="Z89" s="4">
        <f>N(S89)</f>
        <v/>
      </c>
      <c r="AA89" s="4">
        <f>SUM(U89:Z89)</f>
        <v/>
      </c>
      <c r="AB89" s="4">
        <f>N(AA89)*N(K89)/90</f>
        <v/>
      </c>
      <c r="AC89" s="4">
        <f>IFERROR(AB89-VLOOKUP($C89,Assumptions!$A$29:$C$32,3,FALSE),"")</f>
        <v/>
      </c>
      <c r="AD89" s="4">
        <f>IFERROR(AC89/F89,"")</f>
        <v/>
      </c>
      <c r="AE89">
        <f>IF(AND($E89=TRUE,$C89="GKP"),AB89,"")</f>
        <v/>
      </c>
      <c r="AF89">
        <f>IF(AND($E89=TRUE,$C89="DEF"),AB89,"")</f>
        <v/>
      </c>
      <c r="AG89">
        <f>IF(AND($E89=TRUE,$C89="MID"),AB89,"")</f>
        <v/>
      </c>
      <c r="AH89">
        <f>IF(AND($E89=TRUE,$C89="FWD"),AB89,"")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b">
        <v>1</v>
      </c>
      <c r="F90" s="2" t="n">
        <v>5.5</v>
      </c>
      <c r="G90" t="inlineStr">
        <is>
          <t>a</t>
        </is>
      </c>
      <c r="I90" s="2" t="n">
        <v>1960</v>
      </c>
      <c r="J90" t="n">
        <v>115</v>
      </c>
      <c r="K90" s="3" t="n">
        <v>1960</v>
      </c>
      <c r="L90" s="3" t="n">
        <v>0.263</v>
      </c>
      <c r="M90" s="4" t="n">
        <v>0.1357</v>
      </c>
      <c r="N90" t="inlineStr">
        <is>
          <t>adjusted xGOT</t>
        </is>
      </c>
      <c r="O90" s="4" t="n">
        <v>0.982</v>
      </c>
      <c r="P90" s="4" t="n">
        <v>12.9</v>
      </c>
      <c r="Q90" s="4" t="n">
        <v>0.1199</v>
      </c>
      <c r="R90" s="4" t="n">
        <v>0</v>
      </c>
      <c r="S90" s="4" t="n">
        <v>0.2755</v>
      </c>
      <c r="T90" s="4" t="n">
        <v>2.617</v>
      </c>
      <c r="U90" s="4">
        <f>IF(T90="",IFERROR(VLOOKUP($C90,Assumptions!$A$4:$F$7,6,FALSE),0),T90)</f>
        <v/>
      </c>
      <c r="V90" s="4">
        <f>N(M90)*IFERROR(VLOOKUP($C90,Assumptions!$A$4:$F$7,2,FALSE),0)</f>
        <v/>
      </c>
      <c r="W90" s="4">
        <f>N(Q90)*IFERROR(VLOOKUP($C90,Assumptions!$A$4:$F$7,3,FALSE),0)*Assumptions!$B$11</f>
        <v/>
      </c>
      <c r="X90" s="4">
        <f>N(L90)*IFERROR(VLOOKUP($C90,Assumptions!$A$4:$F$7,4,FALSE),0)</f>
        <v/>
      </c>
      <c r="Y90" s="4">
        <f>N(R90)*IFERROR(VLOOKUP($C90,Assumptions!$A$4:$F$7,5,FALSE),0)</f>
        <v/>
      </c>
      <c r="Z90" s="4">
        <f>N(S90)</f>
        <v/>
      </c>
      <c r="AA90" s="4">
        <f>SUM(U90:Z90)</f>
        <v/>
      </c>
      <c r="AB90" s="4">
        <f>N(AA90)*N(K90)/90</f>
        <v/>
      </c>
      <c r="AC90" s="4">
        <f>IFERROR(AB90-VLOOKUP($C90,Assumptions!$A$29:$C$32,3,FALSE),"")</f>
        <v/>
      </c>
      <c r="AD90" s="4">
        <f>IFERROR(AC90/F90,"")</f>
        <v/>
      </c>
      <c r="AE90">
        <f>IF(AND($E90=TRUE,$C90="GKP"),AB90,"")</f>
        <v/>
      </c>
      <c r="AF90">
        <f>IF(AND($E90=TRUE,$C90="DEF"),AB90,"")</f>
        <v/>
      </c>
      <c r="AG90">
        <f>IF(AND($E90=TRUE,$C90="MID"),AB90,"")</f>
        <v/>
      </c>
      <c r="AH90">
        <f>IF(AND($E90=TRUE,$C90="FWD"),AB90,"")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b">
        <v>1</v>
      </c>
      <c r="F91" s="2" t="n">
        <v>9.5</v>
      </c>
      <c r="G91" t="inlineStr">
        <is>
          <t>a</t>
        </is>
      </c>
      <c r="I91" s="2" t="n">
        <v>1954</v>
      </c>
      <c r="J91" t="n">
        <v>114</v>
      </c>
      <c r="K91" s="3" t="n">
        <v>1954</v>
      </c>
      <c r="L91" s="3" t="n">
        <v>0.237</v>
      </c>
      <c r="M91" s="4" t="n">
        <v>0.5047</v>
      </c>
      <c r="N91" t="inlineStr">
        <is>
          <t>adjusted xGOT</t>
        </is>
      </c>
      <c r="O91" s="4" t="n">
        <v>1.039</v>
      </c>
      <c r="P91" s="4" t="n">
        <v>45</v>
      </c>
      <c r="Q91" s="4" t="n">
        <v>0.1062</v>
      </c>
      <c r="R91" s="4" t="n">
        <v>0.083</v>
      </c>
      <c r="S91" s="4" t="n">
        <v>0.5067</v>
      </c>
      <c r="T91" s="4" t="n">
        <v>2.165</v>
      </c>
      <c r="U91" s="4">
        <f>IF(T91="",IFERROR(VLOOKUP($C91,Assumptions!$A$4:$F$7,6,FALSE),0),T91)</f>
        <v/>
      </c>
      <c r="V91" s="4">
        <f>N(M91)*IFERROR(VLOOKUP($C91,Assumptions!$A$4:$F$7,2,FALSE),0)</f>
        <v/>
      </c>
      <c r="W91" s="4">
        <f>N(Q91)*IFERROR(VLOOKUP($C91,Assumptions!$A$4:$F$7,3,FALSE),0)*Assumptions!$B$11</f>
        <v/>
      </c>
      <c r="X91" s="4">
        <f>N(L91)*IFERROR(VLOOKUP($C91,Assumptions!$A$4:$F$7,4,FALSE),0)</f>
        <v/>
      </c>
      <c r="Y91" s="4">
        <f>N(R91)*IFERROR(VLOOKUP($C91,Assumptions!$A$4:$F$7,5,FALSE),0)</f>
        <v/>
      </c>
      <c r="Z91" s="4">
        <f>N(S91)</f>
        <v/>
      </c>
      <c r="AA91" s="4">
        <f>SUM(U91:Z91)</f>
        <v/>
      </c>
      <c r="AB91" s="4">
        <f>N(AA91)*N(K91)/90</f>
        <v/>
      </c>
      <c r="AC91" s="4">
        <f>IFERROR(AB91-VLOOKUP($C91,Assumptions!$A$29:$C$32,3,FALSE),"")</f>
        <v/>
      </c>
      <c r="AD91" s="4">
        <f>IFERROR(AC91/F91,"")</f>
        <v/>
      </c>
      <c r="AE91">
        <f>IF(AND($E91=TRUE,$C91="GKP"),AB91,"")</f>
        <v/>
      </c>
      <c r="AF91">
        <f>IF(AND($E91=TRUE,$C91="DEF"),AB91,"")</f>
        <v/>
      </c>
      <c r="AG91">
        <f>IF(AND($E91=TRUE,$C91="MID"),AB91,"")</f>
        <v/>
      </c>
      <c r="AH91">
        <f>IF(AND($E91=TRUE,$C91="FWD"),AB91,"")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b">
        <v>1</v>
      </c>
      <c r="F92" s="2" t="n">
        <v>6.5</v>
      </c>
      <c r="G92" t="inlineStr">
        <is>
          <t>a</t>
        </is>
      </c>
      <c r="I92" s="2" t="n">
        <v>2210</v>
      </c>
      <c r="J92" t="n">
        <v>114</v>
      </c>
      <c r="K92" s="3" t="n">
        <v>2210</v>
      </c>
      <c r="L92" s="3" t="n">
        <v>0.316</v>
      </c>
      <c r="M92" s="4" t="n">
        <v>0.5736</v>
      </c>
      <c r="N92" t="inlineStr">
        <is>
          <t>adjusted xGOT</t>
        </is>
      </c>
      <c r="O92" s="4" t="n">
        <v>0.977</v>
      </c>
      <c r="P92" s="4" t="n">
        <v>42.5</v>
      </c>
      <c r="Q92" s="4" t="n">
        <v>0.0523</v>
      </c>
      <c r="R92" s="4" t="n">
        <v>0</v>
      </c>
      <c r="S92" s="4" t="n">
        <v>0.5701000000000001</v>
      </c>
      <c r="T92" s="4" t="n">
        <v>2.24</v>
      </c>
      <c r="U92" s="4">
        <f>IF(T92="",IFERROR(VLOOKUP($C92,Assumptions!$A$4:$F$7,6,FALSE),0),T92)</f>
        <v/>
      </c>
      <c r="V92" s="4">
        <f>N(M92)*IFERROR(VLOOKUP($C92,Assumptions!$A$4:$F$7,2,FALSE),0)</f>
        <v/>
      </c>
      <c r="W92" s="4">
        <f>N(Q92)*IFERROR(VLOOKUP($C92,Assumptions!$A$4:$F$7,3,FALSE),0)*Assumptions!$B$11</f>
        <v/>
      </c>
      <c r="X92" s="4">
        <f>N(L92)*IFERROR(VLOOKUP($C92,Assumptions!$A$4:$F$7,4,FALSE),0)</f>
        <v/>
      </c>
      <c r="Y92" s="4">
        <f>N(R92)*IFERROR(VLOOKUP($C92,Assumptions!$A$4:$F$7,5,FALSE),0)</f>
        <v/>
      </c>
      <c r="Z92" s="4">
        <f>N(S92)</f>
        <v/>
      </c>
      <c r="AA92" s="4">
        <f>SUM(U92:Z92)</f>
        <v/>
      </c>
      <c r="AB92" s="4">
        <f>N(AA92)*N(K92)/90</f>
        <v/>
      </c>
      <c r="AC92" s="4">
        <f>IFERROR(AB92-VLOOKUP($C92,Assumptions!$A$29:$C$32,3,FALSE),"")</f>
        <v/>
      </c>
      <c r="AD92" s="4">
        <f>IFERROR(AC92/F92,"")</f>
        <v/>
      </c>
      <c r="AE92">
        <f>IF(AND($E92=TRUE,$C92="GKP"),AB92,"")</f>
        <v/>
      </c>
      <c r="AF92">
        <f>IF(AND($E92=TRUE,$C92="DEF"),AB92,"")</f>
        <v/>
      </c>
      <c r="AG92">
        <f>IF(AND($E92=TRUE,$C92="MID"),AB92,"")</f>
        <v/>
      </c>
      <c r="AH92">
        <f>IF(AND($E92=TRUE,$C92="FWD"),AB92,"")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b">
        <v>1</v>
      </c>
      <c r="F93" s="2" t="n">
        <v>6</v>
      </c>
      <c r="G93" t="inlineStr">
        <is>
          <t>a</t>
        </is>
      </c>
      <c r="I93" s="2" t="n">
        <v>2293</v>
      </c>
      <c r="J93" t="n">
        <v>114</v>
      </c>
      <c r="K93" s="3" t="n">
        <v>2293</v>
      </c>
      <c r="L93" s="3" t="n">
        <v>0.237</v>
      </c>
      <c r="M93" s="4" t="n">
        <v>0.2284</v>
      </c>
      <c r="N93" t="inlineStr">
        <is>
          <t>adjusted xGOT</t>
        </is>
      </c>
      <c r="O93" s="4" t="n">
        <v>0.898</v>
      </c>
      <c r="P93" s="4" t="n">
        <v>6.5</v>
      </c>
      <c r="Q93" s="4" t="n">
        <v>0.06950000000000001</v>
      </c>
      <c r="R93" s="4" t="n">
        <v>0</v>
      </c>
      <c r="S93" s="4" t="n">
        <v>0.5102</v>
      </c>
      <c r="T93" s="4" t="n">
        <v>2.394</v>
      </c>
      <c r="U93" s="4">
        <f>IF(T93="",IFERROR(VLOOKUP($C93,Assumptions!$A$4:$F$7,6,FALSE),0),T93)</f>
        <v/>
      </c>
      <c r="V93" s="4">
        <f>N(M93)*IFERROR(VLOOKUP($C93,Assumptions!$A$4:$F$7,2,FALSE),0)</f>
        <v/>
      </c>
      <c r="W93" s="4">
        <f>N(Q93)*IFERROR(VLOOKUP($C93,Assumptions!$A$4:$F$7,3,FALSE),0)*Assumptions!$B$11</f>
        <v/>
      </c>
      <c r="X93" s="4">
        <f>N(L93)*IFERROR(VLOOKUP($C93,Assumptions!$A$4:$F$7,4,FALSE),0)</f>
        <v/>
      </c>
      <c r="Y93" s="4">
        <f>N(R93)*IFERROR(VLOOKUP($C93,Assumptions!$A$4:$F$7,5,FALSE),0)</f>
        <v/>
      </c>
      <c r="Z93" s="4">
        <f>N(S93)</f>
        <v/>
      </c>
      <c r="AA93" s="4">
        <f>SUM(U93:Z93)</f>
        <v/>
      </c>
      <c r="AB93" s="4">
        <f>N(AA93)*N(K93)/90</f>
        <v/>
      </c>
      <c r="AC93" s="4">
        <f>IFERROR(AB93-VLOOKUP($C93,Assumptions!$A$29:$C$32,3,FALSE),"")</f>
        <v/>
      </c>
      <c r="AD93" s="4">
        <f>IFERROR(AC93/F93,"")</f>
        <v/>
      </c>
      <c r="AE93">
        <f>IF(AND($E93=TRUE,$C93="GKP"),AB93,"")</f>
        <v/>
      </c>
      <c r="AF93">
        <f>IF(AND($E93=TRUE,$C93="DEF"),AB93,"")</f>
        <v/>
      </c>
      <c r="AG93">
        <f>IF(AND($E93=TRUE,$C93="MID"),AB93,"")</f>
        <v/>
      </c>
      <c r="AH93">
        <f>IF(AND($E93=TRUE,$C93="FWD"),AB93,"")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b">
        <v>1</v>
      </c>
      <c r="F94" s="2" t="n">
        <v>7.5</v>
      </c>
      <c r="G94" t="inlineStr">
        <is>
          <t>i</t>
        </is>
      </c>
      <c r="H94" t="inlineStr">
        <is>
          <t>Foot injury - Unknown return date</t>
        </is>
      </c>
      <c r="I94" s="2" t="n">
        <v>1663</v>
      </c>
      <c r="J94" t="n">
        <v>113</v>
      </c>
      <c r="K94" s="3" t="n">
        <v>1663</v>
      </c>
      <c r="L94" s="3" t="n">
        <v>0.29</v>
      </c>
      <c r="M94" s="4" t="n">
        <v>0.4908</v>
      </c>
      <c r="N94" t="inlineStr">
        <is>
          <t>adjusted xGOT</t>
        </is>
      </c>
      <c r="O94" s="4" t="n">
        <v>1.091</v>
      </c>
      <c r="P94" s="4" t="n">
        <v>8.300000000000001</v>
      </c>
      <c r="Q94" s="4" t="n">
        <v>0.09</v>
      </c>
      <c r="R94" s="4" t="n">
        <v>0</v>
      </c>
      <c r="S94" s="4" t="n">
        <v>0.7577</v>
      </c>
      <c r="T94" s="4" t="n">
        <v>2.868</v>
      </c>
      <c r="U94" s="4">
        <f>IF(T94="",IFERROR(VLOOKUP($C94,Assumptions!$A$4:$F$7,6,FALSE),0),T94)</f>
        <v/>
      </c>
      <c r="V94" s="4">
        <f>N(M94)*IFERROR(VLOOKUP($C94,Assumptions!$A$4:$F$7,2,FALSE),0)</f>
        <v/>
      </c>
      <c r="W94" s="4">
        <f>N(Q94)*IFERROR(VLOOKUP($C94,Assumptions!$A$4:$F$7,3,FALSE),0)*Assumptions!$B$11</f>
        <v/>
      </c>
      <c r="X94" s="4">
        <f>N(L94)*IFERROR(VLOOKUP($C94,Assumptions!$A$4:$F$7,4,FALSE),0)</f>
        <v/>
      </c>
      <c r="Y94" s="4">
        <f>N(R94)*IFERROR(VLOOKUP($C94,Assumptions!$A$4:$F$7,5,FALSE),0)</f>
        <v/>
      </c>
      <c r="Z94" s="4">
        <f>N(S94)</f>
        <v/>
      </c>
      <c r="AA94" s="4">
        <f>SUM(U94:Z94)</f>
        <v/>
      </c>
      <c r="AB94" s="4">
        <f>N(AA94)*N(K94)/90</f>
        <v/>
      </c>
      <c r="AC94" s="4">
        <f>IFERROR(AB94-VLOOKUP($C94,Assumptions!$A$29:$C$32,3,FALSE),"")</f>
        <v/>
      </c>
      <c r="AD94" s="4">
        <f>IFERROR(AC94/F94,"")</f>
        <v/>
      </c>
      <c r="AE94">
        <f>IF(AND($E94=TRUE,$C94="GKP"),AB94,"")</f>
        <v/>
      </c>
      <c r="AF94">
        <f>IF(AND($E94=TRUE,$C94="DEF"),AB94,"")</f>
        <v/>
      </c>
      <c r="AG94">
        <f>IF(AND($E94=TRUE,$C94="MID"),AB94,"")</f>
        <v/>
      </c>
      <c r="AH94">
        <f>IF(AND($E94=TRUE,$C94="FWD"),AB94,"")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b">
        <v>1</v>
      </c>
      <c r="F95" s="2" t="n">
        <v>5</v>
      </c>
      <c r="G95" t="inlineStr">
        <is>
          <t>a</t>
        </is>
      </c>
      <c r="I95" s="2" t="n">
        <v>2761</v>
      </c>
      <c r="J95" t="n">
        <v>113</v>
      </c>
      <c r="K95" s="3" t="n">
        <v>2761</v>
      </c>
      <c r="L95" s="3" t="n">
        <v>0.263</v>
      </c>
      <c r="M95" s="4" t="n">
        <v>0.0871</v>
      </c>
      <c r="N95" t="inlineStr">
        <is>
          <t>adjusted xGOT</t>
        </is>
      </c>
      <c r="O95" s="4" t="n">
        <v>0.796</v>
      </c>
      <c r="P95" s="4" t="n">
        <v>5.4</v>
      </c>
      <c r="Q95" s="4" t="n">
        <v>0.0594</v>
      </c>
      <c r="R95" s="4" t="n">
        <v>0.4</v>
      </c>
      <c r="S95" s="4" t="n">
        <v>0.0326</v>
      </c>
      <c r="T95" s="4" t="n">
        <v>2.021</v>
      </c>
      <c r="U95" s="4">
        <f>IF(T95="",IFERROR(VLOOKUP($C95,Assumptions!$A$4:$F$7,6,FALSE),0),T95)</f>
        <v/>
      </c>
      <c r="V95" s="4">
        <f>N(M95)*IFERROR(VLOOKUP($C95,Assumptions!$A$4:$F$7,2,FALSE),0)</f>
        <v/>
      </c>
      <c r="W95" s="4">
        <f>N(Q95)*IFERROR(VLOOKUP($C95,Assumptions!$A$4:$F$7,3,FALSE),0)*Assumptions!$B$11</f>
        <v/>
      </c>
      <c r="X95" s="4">
        <f>N(L95)*IFERROR(VLOOKUP($C95,Assumptions!$A$4:$F$7,4,FALSE),0)</f>
        <v/>
      </c>
      <c r="Y95" s="4">
        <f>N(R95)*IFERROR(VLOOKUP($C95,Assumptions!$A$4:$F$7,5,FALSE),0)</f>
        <v/>
      </c>
      <c r="Z95" s="4">
        <f>N(S95)</f>
        <v/>
      </c>
      <c r="AA95" s="4">
        <f>SUM(U95:Z95)</f>
        <v/>
      </c>
      <c r="AB95" s="4">
        <f>N(AA95)*N(K95)/90</f>
        <v/>
      </c>
      <c r="AC95" s="4">
        <f>IFERROR(AB95-VLOOKUP($C95,Assumptions!$A$29:$C$32,3,FALSE),"")</f>
        <v/>
      </c>
      <c r="AD95" s="4">
        <f>IFERROR(AC95/F95,"")</f>
        <v/>
      </c>
      <c r="AE95">
        <f>IF(AND($E95=TRUE,$C95="GKP"),AB95,"")</f>
        <v/>
      </c>
      <c r="AF95">
        <f>IF(AND($E95=TRUE,$C95="DEF"),AB95,"")</f>
        <v/>
      </c>
      <c r="AG95">
        <f>IF(AND($E95=TRUE,$C95="MID"),AB95,"")</f>
        <v/>
      </c>
      <c r="AH95">
        <f>IF(AND($E95=TRUE,$C95="FWD"),AB95,"")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b">
        <v>1</v>
      </c>
      <c r="F96" s="2" t="n">
        <v>4.5</v>
      </c>
      <c r="G96" t="inlineStr">
        <is>
          <t>a</t>
        </is>
      </c>
      <c r="I96" s="2" t="n">
        <v>3258</v>
      </c>
      <c r="J96" t="n">
        <v>113</v>
      </c>
      <c r="K96" s="3" t="n">
        <v>3258</v>
      </c>
      <c r="L96" s="3" t="n">
        <v>0.263</v>
      </c>
      <c r="M96" s="4" t="n">
        <v>0.0351</v>
      </c>
      <c r="N96" t="inlineStr">
        <is>
          <t>adjusted xGOT</t>
        </is>
      </c>
      <c r="O96" s="4" t="n">
        <v>0.993</v>
      </c>
      <c r="P96" s="4" t="n">
        <v>1.5</v>
      </c>
      <c r="Q96" s="4" t="n">
        <v>0.0839</v>
      </c>
      <c r="R96" s="4" t="n">
        <v>0.081</v>
      </c>
      <c r="S96" s="4" t="n">
        <v>0.2486</v>
      </c>
      <c r="T96" s="4" t="n">
        <v>2.044</v>
      </c>
      <c r="U96" s="4">
        <f>IF(T96="",IFERROR(VLOOKUP($C96,Assumptions!$A$4:$F$7,6,FALSE),0),T96)</f>
        <v/>
      </c>
      <c r="V96" s="4">
        <f>N(M96)*IFERROR(VLOOKUP($C96,Assumptions!$A$4:$F$7,2,FALSE),0)</f>
        <v/>
      </c>
      <c r="W96" s="4">
        <f>N(Q96)*IFERROR(VLOOKUP($C96,Assumptions!$A$4:$F$7,3,FALSE),0)*Assumptions!$B$11</f>
        <v/>
      </c>
      <c r="X96" s="4">
        <f>N(L96)*IFERROR(VLOOKUP($C96,Assumptions!$A$4:$F$7,4,FALSE),0)</f>
        <v/>
      </c>
      <c r="Y96" s="4">
        <f>N(R96)*IFERROR(VLOOKUP($C96,Assumptions!$A$4:$F$7,5,FALSE),0)</f>
        <v/>
      </c>
      <c r="Z96" s="4">
        <f>N(S96)</f>
        <v/>
      </c>
      <c r="AA96" s="4">
        <f>SUM(U96:Z96)</f>
        <v/>
      </c>
      <c r="AB96" s="4">
        <f>N(AA96)*N(K96)/90</f>
        <v/>
      </c>
      <c r="AC96" s="4">
        <f>IFERROR(AB96-VLOOKUP($C96,Assumptions!$A$29:$C$32,3,FALSE),"")</f>
        <v/>
      </c>
      <c r="AD96" s="4">
        <f>IFERROR(AC96/F96,"")</f>
        <v/>
      </c>
      <c r="AE96">
        <f>IF(AND($E96=TRUE,$C96="GKP"),AB96,"")</f>
        <v/>
      </c>
      <c r="AF96">
        <f>IF(AND($E96=TRUE,$C96="DEF"),AB96,"")</f>
        <v/>
      </c>
      <c r="AG96">
        <f>IF(AND($E96=TRUE,$C96="MID"),AB96,"")</f>
        <v/>
      </c>
      <c r="AH96">
        <f>IF(AND($E96=TRUE,$C96="FWD"),AB96,"")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b">
        <v>1</v>
      </c>
      <c r="F97" s="2" t="n">
        <v>4.5</v>
      </c>
      <c r="G97" t="inlineStr">
        <is>
          <t>a</t>
        </is>
      </c>
      <c r="I97" s="2" t="n">
        <v>3220</v>
      </c>
      <c r="J97" t="n">
        <v>113</v>
      </c>
      <c r="K97" s="3" t="n">
        <v>3220</v>
      </c>
      <c r="L97" s="3" t="n">
        <v>0.21</v>
      </c>
      <c r="M97" s="4" t="n">
        <v>0.021</v>
      </c>
      <c r="N97" t="inlineStr">
        <is>
          <t>adjusted xGOT</t>
        </is>
      </c>
      <c r="O97" s="4" t="n">
        <v>1.042</v>
      </c>
      <c r="P97" s="4" t="n">
        <v>1.9</v>
      </c>
      <c r="Q97" s="4" t="n">
        <v>0.0485</v>
      </c>
      <c r="R97" s="4" t="n">
        <v>0.132</v>
      </c>
      <c r="S97" s="4" t="n">
        <v>0.0559</v>
      </c>
      <c r="T97" s="4" t="n">
        <v>2.096</v>
      </c>
      <c r="U97" s="4">
        <f>IF(T97="",IFERROR(VLOOKUP($C97,Assumptions!$A$4:$F$7,6,FALSE),0),T97)</f>
        <v/>
      </c>
      <c r="V97" s="4">
        <f>N(M97)*IFERROR(VLOOKUP($C97,Assumptions!$A$4:$F$7,2,FALSE),0)</f>
        <v/>
      </c>
      <c r="W97" s="4">
        <f>N(Q97)*IFERROR(VLOOKUP($C97,Assumptions!$A$4:$F$7,3,FALSE),0)*Assumptions!$B$11</f>
        <v/>
      </c>
      <c r="X97" s="4">
        <f>N(L97)*IFERROR(VLOOKUP($C97,Assumptions!$A$4:$F$7,4,FALSE),0)</f>
        <v/>
      </c>
      <c r="Y97" s="4">
        <f>N(R97)*IFERROR(VLOOKUP($C97,Assumptions!$A$4:$F$7,5,FALSE),0)</f>
        <v/>
      </c>
      <c r="Z97" s="4">
        <f>N(S97)</f>
        <v/>
      </c>
      <c r="AA97" s="4">
        <f>SUM(U97:Z97)</f>
        <v/>
      </c>
      <c r="AB97" s="4">
        <f>N(AA97)*N(K97)/90</f>
        <v/>
      </c>
      <c r="AC97" s="4">
        <f>IFERROR(AB97-VLOOKUP($C97,Assumptions!$A$29:$C$32,3,FALSE),"")</f>
        <v/>
      </c>
      <c r="AD97" s="4">
        <f>IFERROR(AC97/F97,"")</f>
        <v/>
      </c>
      <c r="AE97">
        <f>IF(AND($E97=TRUE,$C97="GKP"),AB97,"")</f>
        <v/>
      </c>
      <c r="AF97">
        <f>IF(AND($E97=TRUE,$C97="DEF"),AB97,"")</f>
        <v/>
      </c>
      <c r="AG97">
        <f>IF(AND($E97=TRUE,$C97="MID"),AB97,"")</f>
        <v/>
      </c>
      <c r="AH97">
        <f>IF(AND($E97=TRUE,$C97="FWD"),AB97,"")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b">
        <v>1</v>
      </c>
      <c r="F98" s="2" t="n">
        <v>5.5</v>
      </c>
      <c r="G98" t="inlineStr">
        <is>
          <t>a</t>
        </is>
      </c>
      <c r="I98" s="2" t="n">
        <v>2139</v>
      </c>
      <c r="J98" t="n">
        <v>113</v>
      </c>
      <c r="K98" s="3" t="n">
        <v>2139</v>
      </c>
      <c r="L98" s="3" t="n">
        <v>0.421</v>
      </c>
      <c r="M98" s="4" t="n">
        <v>0.0213</v>
      </c>
      <c r="N98" t="inlineStr">
        <is>
          <t>adjusted xGOT</t>
        </is>
      </c>
      <c r="O98" s="4" t="n">
        <v>0.887</v>
      </c>
      <c r="P98" s="4" t="n">
        <v>4.8</v>
      </c>
      <c r="Q98" s="4" t="n">
        <v>0.0226</v>
      </c>
      <c r="R98" s="4" t="n">
        <v>0.208</v>
      </c>
      <c r="S98" s="4" t="n">
        <v>0.1262</v>
      </c>
      <c r="T98" s="4" t="n">
        <v>2.062</v>
      </c>
      <c r="U98" s="4">
        <f>IF(T98="",IFERROR(VLOOKUP($C98,Assumptions!$A$4:$F$7,6,FALSE),0),T98)</f>
        <v/>
      </c>
      <c r="V98" s="4">
        <f>N(M98)*IFERROR(VLOOKUP($C98,Assumptions!$A$4:$F$7,2,FALSE),0)</f>
        <v/>
      </c>
      <c r="W98" s="4">
        <f>N(Q98)*IFERROR(VLOOKUP($C98,Assumptions!$A$4:$F$7,3,FALSE),0)*Assumptions!$B$11</f>
        <v/>
      </c>
      <c r="X98" s="4">
        <f>N(L98)*IFERROR(VLOOKUP($C98,Assumptions!$A$4:$F$7,4,FALSE),0)</f>
        <v/>
      </c>
      <c r="Y98" s="4">
        <f>N(R98)*IFERROR(VLOOKUP($C98,Assumptions!$A$4:$F$7,5,FALSE),0)</f>
        <v/>
      </c>
      <c r="Z98" s="4">
        <f>N(S98)</f>
        <v/>
      </c>
      <c r="AA98" s="4">
        <f>SUM(U98:Z98)</f>
        <v/>
      </c>
      <c r="AB98" s="4">
        <f>N(AA98)*N(K98)/90</f>
        <v/>
      </c>
      <c r="AC98" s="4">
        <f>IFERROR(AB98-VLOOKUP($C98,Assumptions!$A$29:$C$32,3,FALSE),"")</f>
        <v/>
      </c>
      <c r="AD98" s="4">
        <f>IFERROR(AC98/F98,"")</f>
        <v/>
      </c>
      <c r="AE98">
        <f>IF(AND($E98=TRUE,$C98="GKP"),AB98,"")</f>
        <v/>
      </c>
      <c r="AF98">
        <f>IF(AND($E98=TRUE,$C98="DEF"),AB98,"")</f>
        <v/>
      </c>
      <c r="AG98">
        <f>IF(AND($E98=TRUE,$C98="MID"),AB98,"")</f>
        <v/>
      </c>
      <c r="AH98">
        <f>IF(AND($E98=TRUE,$C98="FWD"),AB98,"")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b">
        <v>1</v>
      </c>
      <c r="F99" s="2" t="n">
        <v>5</v>
      </c>
      <c r="G99" t="inlineStr">
        <is>
          <t>a</t>
        </is>
      </c>
      <c r="I99" s="2" t="n">
        <v>3040</v>
      </c>
      <c r="J99" t="n">
        <v>113</v>
      </c>
      <c r="K99" s="3" t="n">
        <v>3040</v>
      </c>
      <c r="L99" s="3" t="n">
        <v>0.237</v>
      </c>
      <c r="M99" s="4" t="n">
        <v>0</v>
      </c>
      <c r="N99" t="inlineStr">
        <is>
          <t>blended xG</t>
        </is>
      </c>
      <c r="O99" s="4" t="n">
        <v>1</v>
      </c>
      <c r="P99" s="4" t="n">
        <v>0</v>
      </c>
      <c r="Q99" s="4" t="n">
        <v>0.0137</v>
      </c>
      <c r="R99" s="4" t="n">
        <v>0</v>
      </c>
      <c r="S99" s="4" t="n">
        <v>0.2368</v>
      </c>
      <c r="T99" s="4" t="n">
        <v>2.043</v>
      </c>
      <c r="U99" s="4">
        <f>IF(T99="",IFERROR(VLOOKUP($C99,Assumptions!$A$4:$F$7,6,FALSE),0),T99)</f>
        <v/>
      </c>
      <c r="V99" s="4">
        <f>N(M99)*IFERROR(VLOOKUP($C99,Assumptions!$A$4:$F$7,2,FALSE),0)</f>
        <v/>
      </c>
      <c r="W99" s="4">
        <f>N(Q99)*IFERROR(VLOOKUP($C99,Assumptions!$A$4:$F$7,3,FALSE),0)*Assumptions!$B$11</f>
        <v/>
      </c>
      <c r="X99" s="4">
        <f>N(L99)*IFERROR(VLOOKUP($C99,Assumptions!$A$4:$F$7,4,FALSE),0)</f>
        <v/>
      </c>
      <c r="Y99" s="4">
        <f>N(R99)*IFERROR(VLOOKUP($C99,Assumptions!$A$4:$F$7,5,FALSE),0)</f>
        <v/>
      </c>
      <c r="Z99" s="4">
        <f>N(S99)</f>
        <v/>
      </c>
      <c r="AA99" s="4">
        <f>SUM(U99:Z99)</f>
        <v/>
      </c>
      <c r="AB99" s="4">
        <f>N(AA99)*N(K99)/90</f>
        <v/>
      </c>
      <c r="AC99" s="4">
        <f>IFERROR(AB99-VLOOKUP($C99,Assumptions!$A$29:$C$32,3,FALSE),"")</f>
        <v/>
      </c>
      <c r="AD99" s="4">
        <f>IFERROR(AC99/F99,"")</f>
        <v/>
      </c>
      <c r="AE99">
        <f>IF(AND($E99=TRUE,$C99="GKP"),AB99,"")</f>
        <v/>
      </c>
      <c r="AF99">
        <f>IF(AND($E99=TRUE,$C99="DEF"),AB99,"")</f>
        <v/>
      </c>
      <c r="AG99">
        <f>IF(AND($E99=TRUE,$C99="MID"),AB99,"")</f>
        <v/>
      </c>
      <c r="AH99">
        <f>IF(AND($E99=TRUE,$C99="FWD"),AB99,"")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b">
        <v>1</v>
      </c>
      <c r="F100" s="2" t="n">
        <v>5.5</v>
      </c>
      <c r="G100" t="inlineStr">
        <is>
          <t>a</t>
        </is>
      </c>
      <c r="I100" s="2" t="n">
        <v>2046</v>
      </c>
      <c r="J100" t="n">
        <v>113</v>
      </c>
      <c r="K100" s="3" t="n">
        <v>2046</v>
      </c>
      <c r="L100" s="3" t="n">
        <v>0.263</v>
      </c>
      <c r="M100" s="4" t="n">
        <v>0.1149</v>
      </c>
      <c r="N100" t="inlineStr">
        <is>
          <t>adjusted xGOT</t>
        </is>
      </c>
      <c r="O100" s="4" t="n">
        <v>1.001</v>
      </c>
      <c r="P100" s="4" t="n">
        <v>8.6</v>
      </c>
      <c r="Q100" s="4" t="n">
        <v>0.2617</v>
      </c>
      <c r="R100" s="4" t="n">
        <v>0.25</v>
      </c>
      <c r="S100" s="4" t="n">
        <v>0.3959</v>
      </c>
      <c r="T100" s="4" t="n">
        <v>2.419</v>
      </c>
      <c r="U100" s="4">
        <f>IF(T100="",IFERROR(VLOOKUP($C100,Assumptions!$A$4:$F$7,6,FALSE),0),T100)</f>
        <v/>
      </c>
      <c r="V100" s="4">
        <f>N(M100)*IFERROR(VLOOKUP($C100,Assumptions!$A$4:$F$7,2,FALSE),0)</f>
        <v/>
      </c>
      <c r="W100" s="4">
        <f>N(Q100)*IFERROR(VLOOKUP($C100,Assumptions!$A$4:$F$7,3,FALSE),0)*Assumptions!$B$11</f>
        <v/>
      </c>
      <c r="X100" s="4">
        <f>N(L100)*IFERROR(VLOOKUP($C100,Assumptions!$A$4:$F$7,4,FALSE),0)</f>
        <v/>
      </c>
      <c r="Y100" s="4">
        <f>N(R100)*IFERROR(VLOOKUP($C100,Assumptions!$A$4:$F$7,5,FALSE),0)</f>
        <v/>
      </c>
      <c r="Z100" s="4">
        <f>N(S100)</f>
        <v/>
      </c>
      <c r="AA100" s="4">
        <f>SUM(U100:Z100)</f>
        <v/>
      </c>
      <c r="AB100" s="4">
        <f>N(AA100)*N(K100)/90</f>
        <v/>
      </c>
      <c r="AC100" s="4">
        <f>IFERROR(AB100-VLOOKUP($C100,Assumptions!$A$29:$C$32,3,FALSE),"")</f>
        <v/>
      </c>
      <c r="AD100" s="4">
        <f>IFERROR(AC100/F100,"")</f>
        <v/>
      </c>
      <c r="AE100">
        <f>IF(AND($E100=TRUE,$C100="GKP"),AB100,"")</f>
        <v/>
      </c>
      <c r="AF100">
        <f>IF(AND($E100=TRUE,$C100="DEF"),AB100,"")</f>
        <v/>
      </c>
      <c r="AG100">
        <f>IF(AND($E100=TRUE,$C100="MID"),AB100,"")</f>
        <v/>
      </c>
      <c r="AH100">
        <f>IF(AND($E100=TRUE,$C100="FWD"),AB100,"")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b">
        <v>1</v>
      </c>
      <c r="F101" s="2" t="n">
        <v>6.5</v>
      </c>
      <c r="G101" t="inlineStr">
        <is>
          <t>a</t>
        </is>
      </c>
      <c r="I101" s="2" t="n">
        <v>1885</v>
      </c>
      <c r="J101" t="n">
        <v>113</v>
      </c>
      <c r="K101" s="3" t="n">
        <v>1885</v>
      </c>
      <c r="L101" s="3" t="n">
        <v>0.5</v>
      </c>
      <c r="M101" s="4" t="n">
        <v>0.2755</v>
      </c>
      <c r="N101" t="inlineStr">
        <is>
          <t>adjusted xGOT</t>
        </is>
      </c>
      <c r="O101" s="4" t="n">
        <v>1.114</v>
      </c>
      <c r="P101" s="4" t="n">
        <v>31.9</v>
      </c>
      <c r="Q101" s="4" t="n">
        <v>0.1264</v>
      </c>
      <c r="R101" s="4" t="n">
        <v>0</v>
      </c>
      <c r="S101" s="4" t="n">
        <v>0.382</v>
      </c>
      <c r="T101" s="4" t="n">
        <v>2.435</v>
      </c>
      <c r="U101" s="4">
        <f>IF(T101="",IFERROR(VLOOKUP($C101,Assumptions!$A$4:$F$7,6,FALSE),0),T101)</f>
        <v/>
      </c>
      <c r="V101" s="4">
        <f>N(M101)*IFERROR(VLOOKUP($C101,Assumptions!$A$4:$F$7,2,FALSE),0)</f>
        <v/>
      </c>
      <c r="W101" s="4">
        <f>N(Q101)*IFERROR(VLOOKUP($C101,Assumptions!$A$4:$F$7,3,FALSE),0)*Assumptions!$B$11</f>
        <v/>
      </c>
      <c r="X101" s="4">
        <f>N(L101)*IFERROR(VLOOKUP($C101,Assumptions!$A$4:$F$7,4,FALSE),0)</f>
        <v/>
      </c>
      <c r="Y101" s="4">
        <f>N(R101)*IFERROR(VLOOKUP($C101,Assumptions!$A$4:$F$7,5,FALSE),0)</f>
        <v/>
      </c>
      <c r="Z101" s="4">
        <f>N(S101)</f>
        <v/>
      </c>
      <c r="AA101" s="4">
        <f>SUM(U101:Z101)</f>
        <v/>
      </c>
      <c r="AB101" s="4">
        <f>N(AA101)*N(K101)/90</f>
        <v/>
      </c>
      <c r="AC101" s="4">
        <f>IFERROR(AB101-VLOOKUP($C101,Assumptions!$A$29:$C$32,3,FALSE),"")</f>
        <v/>
      </c>
      <c r="AD101" s="4">
        <f>IFERROR(AC101/F101,"")</f>
        <v/>
      </c>
      <c r="AE101">
        <f>IF(AND($E101=TRUE,$C101="GKP"),AB101,"")</f>
        <v/>
      </c>
      <c r="AF101">
        <f>IF(AND($E101=TRUE,$C101="DEF"),AB101,"")</f>
        <v/>
      </c>
      <c r="AG101">
        <f>IF(AND($E101=TRUE,$C101="MID"),AB101,"")</f>
        <v/>
      </c>
      <c r="AH101">
        <f>IF(AND($E101=TRUE,$C101="FWD"),AB101,"")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b">
        <v>1</v>
      </c>
      <c r="F102" s="2" t="n">
        <v>5.5</v>
      </c>
      <c r="G102" t="inlineStr">
        <is>
          <t>a</t>
        </is>
      </c>
      <c r="I102" s="2" t="n">
        <v>2552</v>
      </c>
      <c r="J102" t="n">
        <v>112</v>
      </c>
      <c r="K102" s="3" t="n">
        <v>2552</v>
      </c>
      <c r="L102" s="3" t="n">
        <v>0.316</v>
      </c>
      <c r="M102" s="4" t="n">
        <v>0.0475</v>
      </c>
      <c r="N102" t="inlineStr">
        <is>
          <t>adjusted xGOT</t>
        </is>
      </c>
      <c r="O102" s="4" t="n">
        <v>0.885</v>
      </c>
      <c r="P102" s="4" t="n">
        <v>2.3</v>
      </c>
      <c r="Q102" s="4" t="n">
        <v>0.2485</v>
      </c>
      <c r="R102" s="4" t="n">
        <v>0.31</v>
      </c>
      <c r="S102" s="4" t="n">
        <v>0.2821</v>
      </c>
      <c r="T102" s="4" t="n">
        <v>2.187</v>
      </c>
      <c r="U102" s="4">
        <f>IF(T102="",IFERROR(VLOOKUP($C102,Assumptions!$A$4:$F$7,6,FALSE),0),T102)</f>
        <v/>
      </c>
      <c r="V102" s="4">
        <f>N(M102)*IFERROR(VLOOKUP($C102,Assumptions!$A$4:$F$7,2,FALSE),0)</f>
        <v/>
      </c>
      <c r="W102" s="4">
        <f>N(Q102)*IFERROR(VLOOKUP($C102,Assumptions!$A$4:$F$7,3,FALSE),0)*Assumptions!$B$11</f>
        <v/>
      </c>
      <c r="X102" s="4">
        <f>N(L102)*IFERROR(VLOOKUP($C102,Assumptions!$A$4:$F$7,4,FALSE),0)</f>
        <v/>
      </c>
      <c r="Y102" s="4">
        <f>N(R102)*IFERROR(VLOOKUP($C102,Assumptions!$A$4:$F$7,5,FALSE),0)</f>
        <v/>
      </c>
      <c r="Z102" s="4">
        <f>N(S102)</f>
        <v/>
      </c>
      <c r="AA102" s="4">
        <f>SUM(U102:Z102)</f>
        <v/>
      </c>
      <c r="AB102" s="4">
        <f>N(AA102)*N(K102)/90</f>
        <v/>
      </c>
      <c r="AC102" s="4">
        <f>IFERROR(AB102-VLOOKUP($C102,Assumptions!$A$29:$C$32,3,FALSE),"")</f>
        <v/>
      </c>
      <c r="AD102" s="4">
        <f>IFERROR(AC102/F102,"")</f>
        <v/>
      </c>
      <c r="AE102">
        <f>IF(AND($E102=TRUE,$C102="GKP"),AB102,"")</f>
        <v/>
      </c>
      <c r="AF102">
        <f>IF(AND($E102=TRUE,$C102="DEF"),AB102,"")</f>
        <v/>
      </c>
      <c r="AG102">
        <f>IF(AND($E102=TRUE,$C102="MID"),AB102,"")</f>
        <v/>
      </c>
      <c r="AH102">
        <f>IF(AND($E102=TRUE,$C102="FWD"),AB102,"")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b">
        <v>1</v>
      </c>
      <c r="F103" s="2" t="n">
        <v>7</v>
      </c>
      <c r="G103" t="inlineStr">
        <is>
          <t>d</t>
        </is>
      </c>
      <c r="H103" t="inlineStr">
        <is>
          <t>Shin injury - 75% chance of playing</t>
        </is>
      </c>
      <c r="I103" s="2" t="n">
        <v>1630</v>
      </c>
      <c r="J103" t="n">
        <v>111</v>
      </c>
      <c r="K103" s="3" t="n">
        <v>1630</v>
      </c>
      <c r="L103" s="3" t="n">
        <v>0.21</v>
      </c>
      <c r="M103" s="4" t="n">
        <v>0.5673</v>
      </c>
      <c r="N103" t="inlineStr">
        <is>
          <t>adjusted xGOT</t>
        </is>
      </c>
      <c r="O103" s="4" t="n">
        <v>1.116</v>
      </c>
      <c r="P103" s="4" t="n">
        <v>9.199999999999999</v>
      </c>
      <c r="Q103" s="4" t="n">
        <v>0.0242</v>
      </c>
      <c r="R103" s="4" t="n">
        <v>0</v>
      </c>
      <c r="S103" s="4" t="n">
        <v>1.0491</v>
      </c>
      <c r="T103" s="4" t="n">
        <v>2.429</v>
      </c>
      <c r="U103" s="4">
        <f>IF(T103="",IFERROR(VLOOKUP($C103,Assumptions!$A$4:$F$7,6,FALSE),0),T103)</f>
        <v/>
      </c>
      <c r="V103" s="4">
        <f>N(M103)*IFERROR(VLOOKUP($C103,Assumptions!$A$4:$F$7,2,FALSE),0)</f>
        <v/>
      </c>
      <c r="W103" s="4">
        <f>N(Q103)*IFERROR(VLOOKUP($C103,Assumptions!$A$4:$F$7,3,FALSE),0)*Assumptions!$B$11</f>
        <v/>
      </c>
      <c r="X103" s="4">
        <f>N(L103)*IFERROR(VLOOKUP($C103,Assumptions!$A$4:$F$7,4,FALSE),0)</f>
        <v/>
      </c>
      <c r="Y103" s="4">
        <f>N(R103)*IFERROR(VLOOKUP($C103,Assumptions!$A$4:$F$7,5,FALSE),0)</f>
        <v/>
      </c>
      <c r="Z103" s="4">
        <f>N(S103)</f>
        <v/>
      </c>
      <c r="AA103" s="4">
        <f>SUM(U103:Z103)</f>
        <v/>
      </c>
      <c r="AB103" s="4">
        <f>N(AA103)*N(K103)/90</f>
        <v/>
      </c>
      <c r="AC103" s="4">
        <f>IFERROR(AB103-VLOOKUP($C103,Assumptions!$A$29:$C$32,3,FALSE),"")</f>
        <v/>
      </c>
      <c r="AD103" s="4">
        <f>IFERROR(AC103/F103,"")</f>
        <v/>
      </c>
      <c r="AE103">
        <f>IF(AND($E103=TRUE,$C103="GKP"),AB103,"")</f>
        <v/>
      </c>
      <c r="AF103">
        <f>IF(AND($E103=TRUE,$C103="DEF"),AB103,"")</f>
        <v/>
      </c>
      <c r="AG103">
        <f>IF(AND($E103=TRUE,$C103="MID"),AB103,"")</f>
        <v/>
      </c>
      <c r="AH103">
        <f>IF(AND($E103=TRUE,$C103="FWD"),AB103,"")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b">
        <v>1</v>
      </c>
      <c r="F104" s="2" t="n">
        <v>5</v>
      </c>
      <c r="G104" t="inlineStr">
        <is>
          <t>a</t>
        </is>
      </c>
      <c r="I104" s="2" t="n">
        <v>2609</v>
      </c>
      <c r="J104" t="n">
        <v>111</v>
      </c>
      <c r="K104" s="3" t="n">
        <v>2609</v>
      </c>
      <c r="L104" s="3" t="n">
        <v>0.21</v>
      </c>
      <c r="M104" s="4" t="n">
        <v>0.0527</v>
      </c>
      <c r="N104" t="inlineStr">
        <is>
          <t>adjusted xGOT</t>
        </is>
      </c>
      <c r="O104" s="4" t="n">
        <v>0.791</v>
      </c>
      <c r="P104" s="4" t="n">
        <v>8</v>
      </c>
      <c r="Q104" s="4" t="n">
        <v>0.1048</v>
      </c>
      <c r="R104" s="4" t="n">
        <v>0.103</v>
      </c>
      <c r="S104" s="4" t="n">
        <v>0.345</v>
      </c>
      <c r="T104" s="4" t="n">
        <v>2.139</v>
      </c>
      <c r="U104" s="4">
        <f>IF(T104="",IFERROR(VLOOKUP($C104,Assumptions!$A$4:$F$7,6,FALSE),0),T104)</f>
        <v/>
      </c>
      <c r="V104" s="4">
        <f>N(M104)*IFERROR(VLOOKUP($C104,Assumptions!$A$4:$F$7,2,FALSE),0)</f>
        <v/>
      </c>
      <c r="W104" s="4">
        <f>N(Q104)*IFERROR(VLOOKUP($C104,Assumptions!$A$4:$F$7,3,FALSE),0)*Assumptions!$B$11</f>
        <v/>
      </c>
      <c r="X104" s="4">
        <f>N(L104)*IFERROR(VLOOKUP($C104,Assumptions!$A$4:$F$7,4,FALSE),0)</f>
        <v/>
      </c>
      <c r="Y104" s="4">
        <f>N(R104)*IFERROR(VLOOKUP($C104,Assumptions!$A$4:$F$7,5,FALSE),0)</f>
        <v/>
      </c>
      <c r="Z104" s="4">
        <f>N(S104)</f>
        <v/>
      </c>
      <c r="AA104" s="4">
        <f>SUM(U104:Z104)</f>
        <v/>
      </c>
      <c r="AB104" s="4">
        <f>N(AA104)*N(K104)/90</f>
        <v/>
      </c>
      <c r="AC104" s="4">
        <f>IFERROR(AB104-VLOOKUP($C104,Assumptions!$A$29:$C$32,3,FALSE),"")</f>
        <v/>
      </c>
      <c r="AD104" s="4">
        <f>IFERROR(AC104/F104,"")</f>
        <v/>
      </c>
      <c r="AE104">
        <f>IF(AND($E104=TRUE,$C104="GKP"),AB104,"")</f>
        <v/>
      </c>
      <c r="AF104">
        <f>IF(AND($E104=TRUE,$C104="DEF"),AB104,"")</f>
        <v/>
      </c>
      <c r="AG104">
        <f>IF(AND($E104=TRUE,$C104="MID"),AB104,"")</f>
        <v/>
      </c>
      <c r="AH104">
        <f>IF(AND($E104=TRUE,$C104="FWD"),AB104,"")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b">
        <v>1</v>
      </c>
      <c r="F105" s="2" t="n">
        <v>4.5</v>
      </c>
      <c r="G105" t="inlineStr">
        <is>
          <t>a</t>
        </is>
      </c>
      <c r="I105" s="2" t="n">
        <v>3032</v>
      </c>
      <c r="J105" t="n">
        <v>110</v>
      </c>
      <c r="K105" s="3" t="n">
        <v>3032</v>
      </c>
      <c r="L105" s="3" t="n">
        <v>0.29</v>
      </c>
      <c r="M105" s="4" t="n">
        <v>0.0669</v>
      </c>
      <c r="N105" t="inlineStr">
        <is>
          <t>adjusted xGOT</t>
        </is>
      </c>
      <c r="O105" s="4" t="n">
        <v>0.993</v>
      </c>
      <c r="P105" s="4" t="n">
        <v>2.3</v>
      </c>
      <c r="Q105" s="4" t="n">
        <v>0.0614</v>
      </c>
      <c r="R105" s="4" t="n">
        <v>0.059</v>
      </c>
      <c r="S105" s="4" t="n">
        <v>0.1781</v>
      </c>
      <c r="T105" s="4" t="n">
        <v>2.078</v>
      </c>
      <c r="U105" s="4">
        <f>IF(T105="",IFERROR(VLOOKUP($C105,Assumptions!$A$4:$F$7,6,FALSE),0),T105)</f>
        <v/>
      </c>
      <c r="V105" s="4">
        <f>N(M105)*IFERROR(VLOOKUP($C105,Assumptions!$A$4:$F$7,2,FALSE),0)</f>
        <v/>
      </c>
      <c r="W105" s="4">
        <f>N(Q105)*IFERROR(VLOOKUP($C105,Assumptions!$A$4:$F$7,3,FALSE),0)*Assumptions!$B$11</f>
        <v/>
      </c>
      <c r="X105" s="4">
        <f>N(L105)*IFERROR(VLOOKUP($C105,Assumptions!$A$4:$F$7,4,FALSE),0)</f>
        <v/>
      </c>
      <c r="Y105" s="4">
        <f>N(R105)*IFERROR(VLOOKUP($C105,Assumptions!$A$4:$F$7,5,FALSE),0)</f>
        <v/>
      </c>
      <c r="Z105" s="4">
        <f>N(S105)</f>
        <v/>
      </c>
      <c r="AA105" s="4">
        <f>SUM(U105:Z105)</f>
        <v/>
      </c>
      <c r="AB105" s="4">
        <f>N(AA105)*N(K105)/90</f>
        <v/>
      </c>
      <c r="AC105" s="4">
        <f>IFERROR(AB105-VLOOKUP($C105,Assumptions!$A$29:$C$32,3,FALSE),"")</f>
        <v/>
      </c>
      <c r="AD105" s="4">
        <f>IFERROR(AC105/F105,"")</f>
        <v/>
      </c>
      <c r="AE105">
        <f>IF(AND($E105=TRUE,$C105="GKP"),AB105,"")</f>
        <v/>
      </c>
      <c r="AF105">
        <f>IF(AND($E105=TRUE,$C105="DEF"),AB105,"")</f>
        <v/>
      </c>
      <c r="AG105">
        <f>IF(AND($E105=TRUE,$C105="MID"),AB105,"")</f>
        <v/>
      </c>
      <c r="AH105">
        <f>IF(AND($E105=TRUE,$C105="FWD"),AB105,"")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b">
        <v>1</v>
      </c>
      <c r="F106" s="2" t="n">
        <v>5.5</v>
      </c>
      <c r="G106" t="inlineStr">
        <is>
          <t>a</t>
        </is>
      </c>
      <c r="I106" s="2" t="n">
        <v>2102</v>
      </c>
      <c r="J106" t="n">
        <v>110</v>
      </c>
      <c r="K106" s="3" t="n">
        <v>2102</v>
      </c>
      <c r="L106" s="3" t="n">
        <v>0.29</v>
      </c>
      <c r="M106" s="4" t="n">
        <v>0.0345</v>
      </c>
      <c r="N106" t="inlineStr">
        <is>
          <t>adjusted xGOT</t>
        </is>
      </c>
      <c r="O106" s="4" t="n">
        <v>0.904</v>
      </c>
      <c r="P106" s="4" t="n">
        <v>1.2</v>
      </c>
      <c r="Q106" s="4" t="n">
        <v>0.0554</v>
      </c>
      <c r="R106" s="4" t="n">
        <v>0.636</v>
      </c>
      <c r="S106" s="4" t="n">
        <v>0.1284</v>
      </c>
      <c r="T106" s="4" t="n">
        <v>2.226</v>
      </c>
      <c r="U106" s="4">
        <f>IF(T106="",IFERROR(VLOOKUP($C106,Assumptions!$A$4:$F$7,6,FALSE),0),T106)</f>
        <v/>
      </c>
      <c r="V106" s="4">
        <f>N(M106)*IFERROR(VLOOKUP($C106,Assumptions!$A$4:$F$7,2,FALSE),0)</f>
        <v/>
      </c>
      <c r="W106" s="4">
        <f>N(Q106)*IFERROR(VLOOKUP($C106,Assumptions!$A$4:$F$7,3,FALSE),0)*Assumptions!$B$11</f>
        <v/>
      </c>
      <c r="X106" s="4">
        <f>N(L106)*IFERROR(VLOOKUP($C106,Assumptions!$A$4:$F$7,4,FALSE),0)</f>
        <v/>
      </c>
      <c r="Y106" s="4">
        <f>N(R106)*IFERROR(VLOOKUP($C106,Assumptions!$A$4:$F$7,5,FALSE),0)</f>
        <v/>
      </c>
      <c r="Z106" s="4">
        <f>N(S106)</f>
        <v/>
      </c>
      <c r="AA106" s="4">
        <f>SUM(U106:Z106)</f>
        <v/>
      </c>
      <c r="AB106" s="4">
        <f>N(AA106)*N(K106)/90</f>
        <v/>
      </c>
      <c r="AC106" s="4">
        <f>IFERROR(AB106-VLOOKUP($C106,Assumptions!$A$29:$C$32,3,FALSE),"")</f>
        <v/>
      </c>
      <c r="AD106" s="4">
        <f>IFERROR(AC106/F106,"")</f>
        <v/>
      </c>
      <c r="AE106">
        <f>IF(AND($E106=TRUE,$C106="GKP"),AB106,"")</f>
        <v/>
      </c>
      <c r="AF106">
        <f>IF(AND($E106=TRUE,$C106="DEF"),AB106,"")</f>
        <v/>
      </c>
      <c r="AG106">
        <f>IF(AND($E106=TRUE,$C106="MID"),AB106,"")</f>
        <v/>
      </c>
      <c r="AH106">
        <f>IF(AND($E106=TRUE,$C106="FWD"),AB106,"")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b">
        <v>1</v>
      </c>
      <c r="F107" s="2" t="n">
        <v>5.5</v>
      </c>
      <c r="G107" t="inlineStr">
        <is>
          <t>a</t>
        </is>
      </c>
      <c r="I107" s="2" t="n">
        <v>2796</v>
      </c>
      <c r="J107" t="n">
        <v>110</v>
      </c>
      <c r="K107" s="3" t="n">
        <v>2796</v>
      </c>
      <c r="L107" s="3" t="n">
        <v>0.237</v>
      </c>
      <c r="M107" s="4" t="n">
        <v>0.0454</v>
      </c>
      <c r="N107" t="inlineStr">
        <is>
          <t>adjusted xGOT</t>
        </is>
      </c>
      <c r="O107" s="4" t="n">
        <v>0.972</v>
      </c>
      <c r="P107" s="4" t="n">
        <v>4.4</v>
      </c>
      <c r="Q107" s="4" t="n">
        <v>0.0806</v>
      </c>
      <c r="R107" s="4" t="n">
        <v>0.406</v>
      </c>
      <c r="S107" s="4" t="n">
        <v>0.3219</v>
      </c>
      <c r="T107" s="4" t="n">
        <v>2.06</v>
      </c>
      <c r="U107" s="4">
        <f>IF(T107="",IFERROR(VLOOKUP($C107,Assumptions!$A$4:$F$7,6,FALSE),0),T107)</f>
        <v/>
      </c>
      <c r="V107" s="4">
        <f>N(M107)*IFERROR(VLOOKUP($C107,Assumptions!$A$4:$F$7,2,FALSE),0)</f>
        <v/>
      </c>
      <c r="W107" s="4">
        <f>N(Q107)*IFERROR(VLOOKUP($C107,Assumptions!$A$4:$F$7,3,FALSE),0)*Assumptions!$B$11</f>
        <v/>
      </c>
      <c r="X107" s="4">
        <f>N(L107)*IFERROR(VLOOKUP($C107,Assumptions!$A$4:$F$7,4,FALSE),0)</f>
        <v/>
      </c>
      <c r="Y107" s="4">
        <f>N(R107)*IFERROR(VLOOKUP($C107,Assumptions!$A$4:$F$7,5,FALSE),0)</f>
        <v/>
      </c>
      <c r="Z107" s="4">
        <f>N(S107)</f>
        <v/>
      </c>
      <c r="AA107" s="4">
        <f>SUM(U107:Z107)</f>
        <v/>
      </c>
      <c r="AB107" s="4">
        <f>N(AA107)*N(K107)/90</f>
        <v/>
      </c>
      <c r="AC107" s="4">
        <f>IFERROR(AB107-VLOOKUP($C107,Assumptions!$A$29:$C$32,3,FALSE),"")</f>
        <v/>
      </c>
      <c r="AD107" s="4">
        <f>IFERROR(AC107/F107,"")</f>
        <v/>
      </c>
      <c r="AE107">
        <f>IF(AND($E107=TRUE,$C107="GKP"),AB107,"")</f>
        <v/>
      </c>
      <c r="AF107">
        <f>IF(AND($E107=TRUE,$C107="DEF"),AB107,"")</f>
        <v/>
      </c>
      <c r="AG107">
        <f>IF(AND($E107=TRUE,$C107="MID"),AB107,"")</f>
        <v/>
      </c>
      <c r="AH107">
        <f>IF(AND($E107=TRUE,$C107="FWD"),AB107,"")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b">
        <v>1</v>
      </c>
      <c r="F108" s="2" t="n">
        <v>5</v>
      </c>
      <c r="G108" t="inlineStr">
        <is>
          <t>a</t>
        </is>
      </c>
      <c r="I108" s="2" t="n">
        <v>2880</v>
      </c>
      <c r="J108" t="n">
        <v>109</v>
      </c>
      <c r="K108" s="3" t="n">
        <v>2880</v>
      </c>
      <c r="L108" s="3" t="n">
        <v>0.21</v>
      </c>
      <c r="M108" s="4" t="n">
        <v>0</v>
      </c>
      <c r="N108" t="inlineStr">
        <is>
          <t>blended xG</t>
        </is>
      </c>
      <c r="O108" s="4" t="n">
        <v>1</v>
      </c>
      <c r="P108" s="4" t="n">
        <v>0</v>
      </c>
      <c r="Q108" s="4" t="n">
        <v>0</v>
      </c>
      <c r="R108" s="4" t="n">
        <v>0</v>
      </c>
      <c r="S108" s="4" t="n">
        <v>0.3438</v>
      </c>
      <c r="T108" s="4" t="n">
        <v>2</v>
      </c>
      <c r="U108" s="4">
        <f>IF(T108="",IFERROR(VLOOKUP($C108,Assumptions!$A$4:$F$7,6,FALSE),0),T108)</f>
        <v/>
      </c>
      <c r="V108" s="4">
        <f>N(M108)*IFERROR(VLOOKUP($C108,Assumptions!$A$4:$F$7,2,FALSE),0)</f>
        <v/>
      </c>
      <c r="W108" s="4">
        <f>N(Q108)*IFERROR(VLOOKUP($C108,Assumptions!$A$4:$F$7,3,FALSE),0)*Assumptions!$B$11</f>
        <v/>
      </c>
      <c r="X108" s="4">
        <f>N(L108)*IFERROR(VLOOKUP($C108,Assumptions!$A$4:$F$7,4,FALSE),0)</f>
        <v/>
      </c>
      <c r="Y108" s="4">
        <f>N(R108)*IFERROR(VLOOKUP($C108,Assumptions!$A$4:$F$7,5,FALSE),0)</f>
        <v/>
      </c>
      <c r="Z108" s="4">
        <f>N(S108)</f>
        <v/>
      </c>
      <c r="AA108" s="4">
        <f>SUM(U108:Z108)</f>
        <v/>
      </c>
      <c r="AB108" s="4">
        <f>N(AA108)*N(K108)/90</f>
        <v/>
      </c>
      <c r="AC108" s="4">
        <f>IFERROR(AB108-VLOOKUP($C108,Assumptions!$A$29:$C$32,3,FALSE),"")</f>
        <v/>
      </c>
      <c r="AD108" s="4">
        <f>IFERROR(AC108/F108,"")</f>
        <v/>
      </c>
      <c r="AE108">
        <f>IF(AND($E108=TRUE,$C108="GKP"),AB108,"")</f>
        <v/>
      </c>
      <c r="AF108">
        <f>IF(AND($E108=TRUE,$C108="DEF"),AB108,"")</f>
        <v/>
      </c>
      <c r="AG108">
        <f>IF(AND($E108=TRUE,$C108="MID"),AB108,"")</f>
        <v/>
      </c>
      <c r="AH108">
        <f>IF(AND($E108=TRUE,$C108="FWD"),AB108,"")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b">
        <v>1</v>
      </c>
      <c r="F109" s="2" t="n">
        <v>4.5</v>
      </c>
      <c r="G109" t="inlineStr">
        <is>
          <t>a</t>
        </is>
      </c>
      <c r="I109" s="2" t="n">
        <v>2952</v>
      </c>
      <c r="J109" t="n">
        <v>109</v>
      </c>
      <c r="K109" s="3" t="n">
        <v>2952</v>
      </c>
      <c r="L109" s="3" t="n">
        <v>0.21</v>
      </c>
      <c r="M109" s="4" t="n">
        <v>0.0477</v>
      </c>
      <c r="N109" t="inlineStr">
        <is>
          <t>adjusted xGOT</t>
        </is>
      </c>
      <c r="O109" s="4" t="n">
        <v>1.117</v>
      </c>
      <c r="P109" s="4" t="n">
        <v>1.4</v>
      </c>
      <c r="Q109" s="4" t="n">
        <v>0.0156</v>
      </c>
      <c r="R109" s="4" t="n">
        <v>0.303</v>
      </c>
      <c r="S109" s="4" t="n">
        <v>0.122</v>
      </c>
      <c r="T109" s="4" t="n">
        <v>2.043</v>
      </c>
      <c r="U109" s="4">
        <f>IF(T109="",IFERROR(VLOOKUP($C109,Assumptions!$A$4:$F$7,6,FALSE),0),T109)</f>
        <v/>
      </c>
      <c r="V109" s="4">
        <f>N(M109)*IFERROR(VLOOKUP($C109,Assumptions!$A$4:$F$7,2,FALSE),0)</f>
        <v/>
      </c>
      <c r="W109" s="4">
        <f>N(Q109)*IFERROR(VLOOKUP($C109,Assumptions!$A$4:$F$7,3,FALSE),0)*Assumptions!$B$11</f>
        <v/>
      </c>
      <c r="X109" s="4">
        <f>N(L109)*IFERROR(VLOOKUP($C109,Assumptions!$A$4:$F$7,4,FALSE),0)</f>
        <v/>
      </c>
      <c r="Y109" s="4">
        <f>N(R109)*IFERROR(VLOOKUP($C109,Assumptions!$A$4:$F$7,5,FALSE),0)</f>
        <v/>
      </c>
      <c r="Z109" s="4">
        <f>N(S109)</f>
        <v/>
      </c>
      <c r="AA109" s="4">
        <f>SUM(U109:Z109)</f>
        <v/>
      </c>
      <c r="AB109" s="4">
        <f>N(AA109)*N(K109)/90</f>
        <v/>
      </c>
      <c r="AC109" s="4">
        <f>IFERROR(AB109-VLOOKUP($C109,Assumptions!$A$29:$C$32,3,FALSE),"")</f>
        <v/>
      </c>
      <c r="AD109" s="4">
        <f>IFERROR(AC109/F109,"")</f>
        <v/>
      </c>
      <c r="AE109">
        <f>IF(AND($E109=TRUE,$C109="GKP"),AB109,"")</f>
        <v/>
      </c>
      <c r="AF109">
        <f>IF(AND($E109=TRUE,$C109="DEF"),AB109,"")</f>
        <v/>
      </c>
      <c r="AG109">
        <f>IF(AND($E109=TRUE,$C109="MID"),AB109,"")</f>
        <v/>
      </c>
      <c r="AH109">
        <f>IF(AND($E109=TRUE,$C109="FWD"),AB109,"")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b">
        <v>1</v>
      </c>
      <c r="F110" s="2" t="n">
        <v>6</v>
      </c>
      <c r="G110" t="inlineStr">
        <is>
          <t>a</t>
        </is>
      </c>
      <c r="I110" s="2" t="n">
        <v>1553</v>
      </c>
      <c r="J110" t="n">
        <v>109</v>
      </c>
      <c r="K110" s="3" t="n">
        <v>1553</v>
      </c>
      <c r="L110" s="3" t="n">
        <v>0.21</v>
      </c>
      <c r="M110" s="4" t="n">
        <v>0.3444</v>
      </c>
      <c r="N110" t="inlineStr">
        <is>
          <t>adjusted xGOT</t>
        </is>
      </c>
      <c r="O110" s="4" t="n">
        <v>1.132</v>
      </c>
      <c r="P110" s="4" t="n">
        <v>5.2</v>
      </c>
      <c r="Q110" s="4" t="n">
        <v>0.1037</v>
      </c>
      <c r="R110" s="4" t="n">
        <v>0</v>
      </c>
      <c r="S110" s="4" t="n">
        <v>0.6954</v>
      </c>
      <c r="T110" s="4" t="n">
        <v>2.666</v>
      </c>
      <c r="U110" s="4">
        <f>IF(T110="",IFERROR(VLOOKUP($C110,Assumptions!$A$4:$F$7,6,FALSE),0),T110)</f>
        <v/>
      </c>
      <c r="V110" s="4">
        <f>N(M110)*IFERROR(VLOOKUP($C110,Assumptions!$A$4:$F$7,2,FALSE),0)</f>
        <v/>
      </c>
      <c r="W110" s="4">
        <f>N(Q110)*IFERROR(VLOOKUP($C110,Assumptions!$A$4:$F$7,3,FALSE),0)*Assumptions!$B$11</f>
        <v/>
      </c>
      <c r="X110" s="4">
        <f>N(L110)*IFERROR(VLOOKUP($C110,Assumptions!$A$4:$F$7,4,FALSE),0)</f>
        <v/>
      </c>
      <c r="Y110" s="4">
        <f>N(R110)*IFERROR(VLOOKUP($C110,Assumptions!$A$4:$F$7,5,FALSE),0)</f>
        <v/>
      </c>
      <c r="Z110" s="4">
        <f>N(S110)</f>
        <v/>
      </c>
      <c r="AA110" s="4">
        <f>SUM(U110:Z110)</f>
        <v/>
      </c>
      <c r="AB110" s="4">
        <f>N(AA110)*N(K110)/90</f>
        <v/>
      </c>
      <c r="AC110" s="4">
        <f>IFERROR(AB110-VLOOKUP($C110,Assumptions!$A$29:$C$32,3,FALSE),"")</f>
        <v/>
      </c>
      <c r="AD110" s="4">
        <f>IFERROR(AC110/F110,"")</f>
        <v/>
      </c>
      <c r="AE110">
        <f>IF(AND($E110=TRUE,$C110="GKP"),AB110,"")</f>
        <v/>
      </c>
      <c r="AF110">
        <f>IF(AND($E110=TRUE,$C110="DEF"),AB110,"")</f>
        <v/>
      </c>
      <c r="AG110">
        <f>IF(AND($E110=TRUE,$C110="MID"),AB110,"")</f>
        <v/>
      </c>
      <c r="AH110">
        <f>IF(AND($E110=TRUE,$C110="FWD"),AB110,"")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b">
        <v>1</v>
      </c>
      <c r="F111" s="2" t="n">
        <v>5.5</v>
      </c>
      <c r="G111" t="inlineStr">
        <is>
          <t>a</t>
        </is>
      </c>
      <c r="I111" s="2" t="n">
        <v>1697</v>
      </c>
      <c r="J111" t="n">
        <v>109</v>
      </c>
      <c r="K111" s="3" t="n">
        <v>1697</v>
      </c>
      <c r="L111" s="3" t="n">
        <v>0.5</v>
      </c>
      <c r="M111" s="4" t="n">
        <v>0.1779</v>
      </c>
      <c r="N111" t="inlineStr">
        <is>
          <t>adjusted xGOT</t>
        </is>
      </c>
      <c r="O111" s="4" t="n">
        <v>0.998</v>
      </c>
      <c r="P111" s="4" t="n">
        <v>4.2</v>
      </c>
      <c r="Q111" s="4" t="n">
        <v>0.0373</v>
      </c>
      <c r="R111" s="4" t="n">
        <v>0</v>
      </c>
      <c r="S111" s="4" t="n">
        <v>0.3182</v>
      </c>
      <c r="T111" s="4" t="n">
        <v>2.387</v>
      </c>
      <c r="U111" s="4">
        <f>IF(T111="",IFERROR(VLOOKUP($C111,Assumptions!$A$4:$F$7,6,FALSE),0),T111)</f>
        <v/>
      </c>
      <c r="V111" s="4">
        <f>N(M111)*IFERROR(VLOOKUP($C111,Assumptions!$A$4:$F$7,2,FALSE),0)</f>
        <v/>
      </c>
      <c r="W111" s="4">
        <f>N(Q111)*IFERROR(VLOOKUP($C111,Assumptions!$A$4:$F$7,3,FALSE),0)*Assumptions!$B$11</f>
        <v/>
      </c>
      <c r="X111" s="4">
        <f>N(L111)*IFERROR(VLOOKUP($C111,Assumptions!$A$4:$F$7,4,FALSE),0)</f>
        <v/>
      </c>
      <c r="Y111" s="4">
        <f>N(R111)*IFERROR(VLOOKUP($C111,Assumptions!$A$4:$F$7,5,FALSE),0)</f>
        <v/>
      </c>
      <c r="Z111" s="4">
        <f>N(S111)</f>
        <v/>
      </c>
      <c r="AA111" s="4">
        <f>SUM(U111:Z111)</f>
        <v/>
      </c>
      <c r="AB111" s="4">
        <f>N(AA111)*N(K111)/90</f>
        <v/>
      </c>
      <c r="AC111" s="4">
        <f>IFERROR(AB111-VLOOKUP($C111,Assumptions!$A$29:$C$32,3,FALSE),"")</f>
        <v/>
      </c>
      <c r="AD111" s="4">
        <f>IFERROR(AC111/F111,"")</f>
        <v/>
      </c>
      <c r="AE111">
        <f>IF(AND($E111=TRUE,$C111="GKP"),AB111,"")</f>
        <v/>
      </c>
      <c r="AF111">
        <f>IF(AND($E111=TRUE,$C111="DEF"),AB111,"")</f>
        <v/>
      </c>
      <c r="AG111">
        <f>IF(AND($E111=TRUE,$C111="MID"),AB111,"")</f>
        <v/>
      </c>
      <c r="AH111">
        <f>IF(AND($E111=TRUE,$C111="FWD"),AB111,"")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b">
        <v>1</v>
      </c>
      <c r="F112" s="2" t="n">
        <v>5</v>
      </c>
      <c r="G112" t="inlineStr">
        <is>
          <t>a</t>
        </is>
      </c>
      <c r="I112" s="2" t="n">
        <v>2935</v>
      </c>
      <c r="J112" t="n">
        <v>108</v>
      </c>
      <c r="K112" s="3" t="n">
        <v>2935</v>
      </c>
      <c r="L112" s="3" t="n">
        <v>0.263</v>
      </c>
      <c r="M112" s="4" t="n">
        <v>0.0877</v>
      </c>
      <c r="N112" t="inlineStr">
        <is>
          <t>adjusted xGOT</t>
        </is>
      </c>
      <c r="O112" s="4" t="n">
        <v>0.9350000000000001</v>
      </c>
      <c r="P112" s="4" t="n">
        <v>4.4</v>
      </c>
      <c r="Q112" s="4" t="n">
        <v>0.0284</v>
      </c>
      <c r="R112" s="4" t="n">
        <v>0.394</v>
      </c>
      <c r="S112" s="4" t="n">
        <v>0.1227</v>
      </c>
      <c r="T112" s="4" t="n">
        <v>2.024</v>
      </c>
      <c r="U112" s="4">
        <f>IF(T112="",IFERROR(VLOOKUP($C112,Assumptions!$A$4:$F$7,6,FALSE),0),T112)</f>
        <v/>
      </c>
      <c r="V112" s="4">
        <f>N(M112)*IFERROR(VLOOKUP($C112,Assumptions!$A$4:$F$7,2,FALSE),0)</f>
        <v/>
      </c>
      <c r="W112" s="4">
        <f>N(Q112)*IFERROR(VLOOKUP($C112,Assumptions!$A$4:$F$7,3,FALSE),0)*Assumptions!$B$11</f>
        <v/>
      </c>
      <c r="X112" s="4">
        <f>N(L112)*IFERROR(VLOOKUP($C112,Assumptions!$A$4:$F$7,4,FALSE),0)</f>
        <v/>
      </c>
      <c r="Y112" s="4">
        <f>N(R112)*IFERROR(VLOOKUP($C112,Assumptions!$A$4:$F$7,5,FALSE),0)</f>
        <v/>
      </c>
      <c r="Z112" s="4">
        <f>N(S112)</f>
        <v/>
      </c>
      <c r="AA112" s="4">
        <f>SUM(U112:Z112)</f>
        <v/>
      </c>
      <c r="AB112" s="4">
        <f>N(AA112)*N(K112)/90</f>
        <v/>
      </c>
      <c r="AC112" s="4">
        <f>IFERROR(AB112-VLOOKUP($C112,Assumptions!$A$29:$C$32,3,FALSE),"")</f>
        <v/>
      </c>
      <c r="AD112" s="4">
        <f>IFERROR(AC112/F112,"")</f>
        <v/>
      </c>
      <c r="AE112">
        <f>IF(AND($E112=TRUE,$C112="GKP"),AB112,"")</f>
        <v/>
      </c>
      <c r="AF112">
        <f>IF(AND($E112=TRUE,$C112="DEF"),AB112,"")</f>
        <v/>
      </c>
      <c r="AG112">
        <f>IF(AND($E112=TRUE,$C112="MID"),AB112,"")</f>
        <v/>
      </c>
      <c r="AH112">
        <f>IF(AND($E112=TRUE,$C112="FWD"),AB112,"")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b">
        <v>1</v>
      </c>
      <c r="F113" s="2" t="n">
        <v>5.5</v>
      </c>
      <c r="G113" t="inlineStr">
        <is>
          <t>a</t>
        </is>
      </c>
      <c r="I113" s="2" t="n">
        <v>2654</v>
      </c>
      <c r="J113" t="n">
        <v>108</v>
      </c>
      <c r="K113" s="3" t="n">
        <v>2654</v>
      </c>
      <c r="L113" s="3" t="n">
        <v>0.263</v>
      </c>
      <c r="M113" s="4" t="n">
        <v>0.1366</v>
      </c>
      <c r="N113" t="inlineStr">
        <is>
          <t>adjusted xGOT</t>
        </is>
      </c>
      <c r="O113" s="4" t="n">
        <v>1.036</v>
      </c>
      <c r="P113" s="4" t="n">
        <v>22.4</v>
      </c>
      <c r="Q113" s="4" t="n">
        <v>0.077</v>
      </c>
      <c r="R113" s="4" t="n">
        <v>0.129</v>
      </c>
      <c r="S113" s="4" t="n">
        <v>0.3052</v>
      </c>
      <c r="T113" s="4" t="n">
        <v>2.238</v>
      </c>
      <c r="U113" s="4">
        <f>IF(T113="",IFERROR(VLOOKUP($C113,Assumptions!$A$4:$F$7,6,FALSE),0),T113)</f>
        <v/>
      </c>
      <c r="V113" s="4">
        <f>N(M113)*IFERROR(VLOOKUP($C113,Assumptions!$A$4:$F$7,2,FALSE),0)</f>
        <v/>
      </c>
      <c r="W113" s="4">
        <f>N(Q113)*IFERROR(VLOOKUP($C113,Assumptions!$A$4:$F$7,3,FALSE),0)*Assumptions!$B$11</f>
        <v/>
      </c>
      <c r="X113" s="4">
        <f>N(L113)*IFERROR(VLOOKUP($C113,Assumptions!$A$4:$F$7,4,FALSE),0)</f>
        <v/>
      </c>
      <c r="Y113" s="4">
        <f>N(R113)*IFERROR(VLOOKUP($C113,Assumptions!$A$4:$F$7,5,FALSE),0)</f>
        <v/>
      </c>
      <c r="Z113" s="4">
        <f>N(S113)</f>
        <v/>
      </c>
      <c r="AA113" s="4">
        <f>SUM(U113:Z113)</f>
        <v/>
      </c>
      <c r="AB113" s="4">
        <f>N(AA113)*N(K113)/90</f>
        <v/>
      </c>
      <c r="AC113" s="4">
        <f>IFERROR(AB113-VLOOKUP($C113,Assumptions!$A$29:$C$32,3,FALSE),"")</f>
        <v/>
      </c>
      <c r="AD113" s="4">
        <f>IFERROR(AC113/F113,"")</f>
        <v/>
      </c>
      <c r="AE113">
        <f>IF(AND($E113=TRUE,$C113="GKP"),AB113,"")</f>
        <v/>
      </c>
      <c r="AF113">
        <f>IF(AND($E113=TRUE,$C113="DEF"),AB113,"")</f>
        <v/>
      </c>
      <c r="AG113">
        <f>IF(AND($E113=TRUE,$C113="MID"),AB113,"")</f>
        <v/>
      </c>
      <c r="AH113">
        <f>IF(AND($E113=TRUE,$C113="FWD"),AB113,"")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b">
        <v>1</v>
      </c>
      <c r="F114" s="2" t="n">
        <v>6</v>
      </c>
      <c r="G114" t="inlineStr">
        <is>
          <t>a</t>
        </is>
      </c>
      <c r="I114" s="2" t="n">
        <v>1896</v>
      </c>
      <c r="J114" t="n">
        <v>108</v>
      </c>
      <c r="K114" s="3" t="n">
        <v>1896</v>
      </c>
      <c r="L114" s="3" t="n">
        <v>0.21</v>
      </c>
      <c r="M114" s="4" t="n">
        <v>0.3409</v>
      </c>
      <c r="N114" t="inlineStr">
        <is>
          <t>adjusted xGOT</t>
        </is>
      </c>
      <c r="O114" s="4" t="n">
        <v>1.09</v>
      </c>
      <c r="P114" s="4" t="n">
        <v>6.6</v>
      </c>
      <c r="Q114" s="4" t="n">
        <v>0.1052</v>
      </c>
      <c r="R114" s="4" t="n">
        <v>0</v>
      </c>
      <c r="S114" s="4" t="n">
        <v>0.5696</v>
      </c>
      <c r="T114" s="4" t="n">
        <v>2.563</v>
      </c>
      <c r="U114" s="4">
        <f>IF(T114="",IFERROR(VLOOKUP($C114,Assumptions!$A$4:$F$7,6,FALSE),0),T114)</f>
        <v/>
      </c>
      <c r="V114" s="4">
        <f>N(M114)*IFERROR(VLOOKUP($C114,Assumptions!$A$4:$F$7,2,FALSE),0)</f>
        <v/>
      </c>
      <c r="W114" s="4">
        <f>N(Q114)*IFERROR(VLOOKUP($C114,Assumptions!$A$4:$F$7,3,FALSE),0)*Assumptions!$B$11</f>
        <v/>
      </c>
      <c r="X114" s="4">
        <f>N(L114)*IFERROR(VLOOKUP($C114,Assumptions!$A$4:$F$7,4,FALSE),0)</f>
        <v/>
      </c>
      <c r="Y114" s="4">
        <f>N(R114)*IFERROR(VLOOKUP($C114,Assumptions!$A$4:$F$7,5,FALSE),0)</f>
        <v/>
      </c>
      <c r="Z114" s="4">
        <f>N(S114)</f>
        <v/>
      </c>
      <c r="AA114" s="4">
        <f>SUM(U114:Z114)</f>
        <v/>
      </c>
      <c r="AB114" s="4">
        <f>N(AA114)*N(K114)/90</f>
        <v/>
      </c>
      <c r="AC114" s="4">
        <f>IFERROR(AB114-VLOOKUP($C114,Assumptions!$A$29:$C$32,3,FALSE),"")</f>
        <v/>
      </c>
      <c r="AD114" s="4">
        <f>IFERROR(AC114/F114,"")</f>
        <v/>
      </c>
      <c r="AE114">
        <f>IF(AND($E114=TRUE,$C114="GKP"),AB114,"")</f>
        <v/>
      </c>
      <c r="AF114">
        <f>IF(AND($E114=TRUE,$C114="DEF"),AB114,"")</f>
        <v/>
      </c>
      <c r="AG114">
        <f>IF(AND($E114=TRUE,$C114="MID"),AB114,"")</f>
        <v/>
      </c>
      <c r="AH114">
        <f>IF(AND($E114=TRUE,$C114="FWD"),AB114,"")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b">
        <v>1</v>
      </c>
      <c r="F115" s="2" t="n">
        <v>5.5</v>
      </c>
      <c r="G115" t="inlineStr">
        <is>
          <t>a</t>
        </is>
      </c>
      <c r="I115" s="2" t="n">
        <v>2829</v>
      </c>
      <c r="J115" t="n">
        <v>107</v>
      </c>
      <c r="K115" s="3" t="n">
        <v>2829</v>
      </c>
      <c r="L115" s="3" t="n">
        <v>0.237</v>
      </c>
      <c r="M115" s="4" t="n">
        <v>0.0395</v>
      </c>
      <c r="N115" t="inlineStr">
        <is>
          <t>adjusted xGOT</t>
        </is>
      </c>
      <c r="O115" s="4" t="n">
        <v>0.962</v>
      </c>
      <c r="P115" s="4" t="n">
        <v>6.4</v>
      </c>
      <c r="Q115" s="4" t="n">
        <v>0.0562</v>
      </c>
      <c r="R115" s="4" t="n">
        <v>0.469</v>
      </c>
      <c r="S115" s="4" t="n">
        <v>0.1909</v>
      </c>
      <c r="T115" s="4" t="n">
        <v>2.1</v>
      </c>
      <c r="U115" s="4">
        <f>IF(T115="",IFERROR(VLOOKUP($C115,Assumptions!$A$4:$F$7,6,FALSE),0),T115)</f>
        <v/>
      </c>
      <c r="V115" s="4">
        <f>N(M115)*IFERROR(VLOOKUP($C115,Assumptions!$A$4:$F$7,2,FALSE),0)</f>
        <v/>
      </c>
      <c r="W115" s="4">
        <f>N(Q115)*IFERROR(VLOOKUP($C115,Assumptions!$A$4:$F$7,3,FALSE),0)*Assumptions!$B$11</f>
        <v/>
      </c>
      <c r="X115" s="4">
        <f>N(L115)*IFERROR(VLOOKUP($C115,Assumptions!$A$4:$F$7,4,FALSE),0)</f>
        <v/>
      </c>
      <c r="Y115" s="4">
        <f>N(R115)*IFERROR(VLOOKUP($C115,Assumptions!$A$4:$F$7,5,FALSE),0)</f>
        <v/>
      </c>
      <c r="Z115" s="4">
        <f>N(S115)</f>
        <v/>
      </c>
      <c r="AA115" s="4">
        <f>SUM(U115:Z115)</f>
        <v/>
      </c>
      <c r="AB115" s="4">
        <f>N(AA115)*N(K115)/90</f>
        <v/>
      </c>
      <c r="AC115" s="4">
        <f>IFERROR(AB115-VLOOKUP($C115,Assumptions!$A$29:$C$32,3,FALSE),"")</f>
        <v/>
      </c>
      <c r="AD115" s="4">
        <f>IFERROR(AC115/F115,"")</f>
        <v/>
      </c>
      <c r="AE115">
        <f>IF(AND($E115=TRUE,$C115="GKP"),AB115,"")</f>
        <v/>
      </c>
      <c r="AF115">
        <f>IF(AND($E115=TRUE,$C115="DEF"),AB115,"")</f>
        <v/>
      </c>
      <c r="AG115">
        <f>IF(AND($E115=TRUE,$C115="MID"),AB115,"")</f>
        <v/>
      </c>
      <c r="AH115">
        <f>IF(AND($E115=TRUE,$C115="FWD"),AB115,"")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b">
        <v>1</v>
      </c>
      <c r="F116" s="2" t="n">
        <v>6</v>
      </c>
      <c r="G116" t="inlineStr">
        <is>
          <t>a</t>
        </is>
      </c>
      <c r="I116" s="2" t="n">
        <v>1951</v>
      </c>
      <c r="J116" t="n">
        <v>106</v>
      </c>
      <c r="K116" s="3" t="n">
        <v>1951</v>
      </c>
      <c r="L116" s="3" t="n">
        <v>0.21</v>
      </c>
      <c r="M116" s="4" t="n">
        <v>0.3586</v>
      </c>
      <c r="N116" t="inlineStr">
        <is>
          <t>adjusted xGOT</t>
        </is>
      </c>
      <c r="O116" s="4" t="n">
        <v>1.136</v>
      </c>
      <c r="P116" s="4" t="n">
        <v>26.1</v>
      </c>
      <c r="Q116" s="4" t="n">
        <v>0.1344</v>
      </c>
      <c r="R116" s="4" t="n">
        <v>0</v>
      </c>
      <c r="S116" s="4" t="n">
        <v>0.4613</v>
      </c>
      <c r="T116" s="4" t="n">
        <v>2.537</v>
      </c>
      <c r="U116" s="4">
        <f>IF(T116="",IFERROR(VLOOKUP($C116,Assumptions!$A$4:$F$7,6,FALSE),0),T116)</f>
        <v/>
      </c>
      <c r="V116" s="4">
        <f>N(M116)*IFERROR(VLOOKUP($C116,Assumptions!$A$4:$F$7,2,FALSE),0)</f>
        <v/>
      </c>
      <c r="W116" s="4">
        <f>N(Q116)*IFERROR(VLOOKUP($C116,Assumptions!$A$4:$F$7,3,FALSE),0)*Assumptions!$B$11</f>
        <v/>
      </c>
      <c r="X116" s="4">
        <f>N(L116)*IFERROR(VLOOKUP($C116,Assumptions!$A$4:$F$7,4,FALSE),0)</f>
        <v/>
      </c>
      <c r="Y116" s="4">
        <f>N(R116)*IFERROR(VLOOKUP($C116,Assumptions!$A$4:$F$7,5,FALSE),0)</f>
        <v/>
      </c>
      <c r="Z116" s="4">
        <f>N(S116)</f>
        <v/>
      </c>
      <c r="AA116" s="4">
        <f>SUM(U116:Z116)</f>
        <v/>
      </c>
      <c r="AB116" s="4">
        <f>N(AA116)*N(K116)/90</f>
        <v/>
      </c>
      <c r="AC116" s="4">
        <f>IFERROR(AB116-VLOOKUP($C116,Assumptions!$A$29:$C$32,3,FALSE),"")</f>
        <v/>
      </c>
      <c r="AD116" s="4">
        <f>IFERROR(AC116/F116,"")</f>
        <v/>
      </c>
      <c r="AE116">
        <f>IF(AND($E116=TRUE,$C116="GKP"),AB116,"")</f>
        <v/>
      </c>
      <c r="AF116">
        <f>IF(AND($E116=TRUE,$C116="DEF"),AB116,"")</f>
        <v/>
      </c>
      <c r="AG116">
        <f>IF(AND($E116=TRUE,$C116="MID"),AB116,"")</f>
        <v/>
      </c>
      <c r="AH116">
        <f>IF(AND($E116=TRUE,$C116="FWD"),AB116,"")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b">
        <v>1</v>
      </c>
      <c r="F117" s="2" t="n">
        <v>5</v>
      </c>
      <c r="G117" t="inlineStr">
        <is>
          <t>a</t>
        </is>
      </c>
      <c r="I117" s="2" t="n">
        <v>2667</v>
      </c>
      <c r="J117" t="n">
        <v>105</v>
      </c>
      <c r="K117" s="3" t="n">
        <v>2667</v>
      </c>
      <c r="L117" s="3" t="n">
        <v>0.237</v>
      </c>
      <c r="M117" s="4" t="n">
        <v>0</v>
      </c>
      <c r="N117" t="inlineStr">
        <is>
          <t>blended xG</t>
        </is>
      </c>
      <c r="O117" s="4" t="n">
        <v>1</v>
      </c>
      <c r="P117" s="4" t="n">
        <v>0</v>
      </c>
      <c r="Q117" s="4" t="n">
        <v>0.001</v>
      </c>
      <c r="R117" s="4" t="n">
        <v>0</v>
      </c>
      <c r="S117" s="4" t="n">
        <v>0.135</v>
      </c>
      <c r="T117" s="4" t="n">
        <v>2.025</v>
      </c>
      <c r="U117" s="4">
        <f>IF(T117="",IFERROR(VLOOKUP($C117,Assumptions!$A$4:$F$7,6,FALSE),0),T117)</f>
        <v/>
      </c>
      <c r="V117" s="4">
        <f>N(M117)*IFERROR(VLOOKUP($C117,Assumptions!$A$4:$F$7,2,FALSE),0)</f>
        <v/>
      </c>
      <c r="W117" s="4">
        <f>N(Q117)*IFERROR(VLOOKUP($C117,Assumptions!$A$4:$F$7,3,FALSE),0)*Assumptions!$B$11</f>
        <v/>
      </c>
      <c r="X117" s="4">
        <f>N(L117)*IFERROR(VLOOKUP($C117,Assumptions!$A$4:$F$7,4,FALSE),0)</f>
        <v/>
      </c>
      <c r="Y117" s="4">
        <f>N(R117)*IFERROR(VLOOKUP($C117,Assumptions!$A$4:$F$7,5,FALSE),0)</f>
        <v/>
      </c>
      <c r="Z117" s="4">
        <f>N(S117)</f>
        <v/>
      </c>
      <c r="AA117" s="4">
        <f>SUM(U117:Z117)</f>
        <v/>
      </c>
      <c r="AB117" s="4">
        <f>N(AA117)*N(K117)/90</f>
        <v/>
      </c>
      <c r="AC117" s="4">
        <f>IFERROR(AB117-VLOOKUP($C117,Assumptions!$A$29:$C$32,3,FALSE),"")</f>
        <v/>
      </c>
      <c r="AD117" s="4">
        <f>IFERROR(AC117/F117,"")</f>
        <v/>
      </c>
      <c r="AE117">
        <f>IF(AND($E117=TRUE,$C117="GKP"),AB117,"")</f>
        <v/>
      </c>
      <c r="AF117">
        <f>IF(AND($E117=TRUE,$C117="DEF"),AB117,"")</f>
        <v/>
      </c>
      <c r="AG117">
        <f>IF(AND($E117=TRUE,$C117="MID"),AB117,"")</f>
        <v/>
      </c>
      <c r="AH117">
        <f>IF(AND($E117=TRUE,$C117="FWD"),AB117,"")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b">
        <v>1</v>
      </c>
      <c r="F118" s="2" t="n">
        <v>5.5</v>
      </c>
      <c r="G118" t="inlineStr">
        <is>
          <t>a</t>
        </is>
      </c>
      <c r="I118" s="2" t="n">
        <v>1551</v>
      </c>
      <c r="J118" t="n">
        <v>104</v>
      </c>
      <c r="K118" s="3" t="n">
        <v>1551</v>
      </c>
      <c r="L118" s="3" t="n">
        <v>0.29</v>
      </c>
      <c r="M118" s="4" t="n">
        <v>0.5123</v>
      </c>
      <c r="N118" t="inlineStr">
        <is>
          <t>adjusted xGOT</t>
        </is>
      </c>
      <c r="O118" s="4" t="n">
        <v>0.992</v>
      </c>
      <c r="P118" s="4" t="n">
        <v>23.2</v>
      </c>
      <c r="Q118" s="4" t="n">
        <v>0.0358</v>
      </c>
      <c r="R118" s="4" t="n">
        <v>0</v>
      </c>
      <c r="S118" s="4" t="n">
        <v>0.9284</v>
      </c>
      <c r="T118" s="4" t="n">
        <v>3.075</v>
      </c>
      <c r="U118" s="4">
        <f>IF(T118="",IFERROR(VLOOKUP($C118,Assumptions!$A$4:$F$7,6,FALSE),0),T118)</f>
        <v/>
      </c>
      <c r="V118" s="4">
        <f>N(M118)*IFERROR(VLOOKUP($C118,Assumptions!$A$4:$F$7,2,FALSE),0)</f>
        <v/>
      </c>
      <c r="W118" s="4">
        <f>N(Q118)*IFERROR(VLOOKUP($C118,Assumptions!$A$4:$F$7,3,FALSE),0)*Assumptions!$B$11</f>
        <v/>
      </c>
      <c r="X118" s="4">
        <f>N(L118)*IFERROR(VLOOKUP($C118,Assumptions!$A$4:$F$7,4,FALSE),0)</f>
        <v/>
      </c>
      <c r="Y118" s="4">
        <f>N(R118)*IFERROR(VLOOKUP($C118,Assumptions!$A$4:$F$7,5,FALSE),0)</f>
        <v/>
      </c>
      <c r="Z118" s="4">
        <f>N(S118)</f>
        <v/>
      </c>
      <c r="AA118" s="4">
        <f>SUM(U118:Z118)</f>
        <v/>
      </c>
      <c r="AB118" s="4">
        <f>N(AA118)*N(K118)/90</f>
        <v/>
      </c>
      <c r="AC118" s="4">
        <f>IFERROR(AB118-VLOOKUP($C118,Assumptions!$A$29:$C$32,3,FALSE),"")</f>
        <v/>
      </c>
      <c r="AD118" s="4">
        <f>IFERROR(AC118/F118,"")</f>
        <v/>
      </c>
      <c r="AE118">
        <f>IF(AND($E118=TRUE,$C118="GKP"),AB118,"")</f>
        <v/>
      </c>
      <c r="AF118">
        <f>IF(AND($E118=TRUE,$C118="DEF"),AB118,"")</f>
        <v/>
      </c>
      <c r="AG118">
        <f>IF(AND($E118=TRUE,$C118="MID"),AB118,"")</f>
        <v/>
      </c>
      <c r="AH118">
        <f>IF(AND($E118=TRUE,$C118="FWD"),AB118,"")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b">
        <v>1</v>
      </c>
      <c r="F119" s="2" t="n">
        <v>5</v>
      </c>
      <c r="G119" t="inlineStr">
        <is>
          <t>a</t>
        </is>
      </c>
      <c r="I119" s="2" t="n">
        <v>2652</v>
      </c>
      <c r="J119" t="n">
        <v>104</v>
      </c>
      <c r="K119" s="3" t="n">
        <v>2652</v>
      </c>
      <c r="L119" s="3" t="n">
        <v>0.263</v>
      </c>
      <c r="M119" s="4" t="n">
        <v>0.0403</v>
      </c>
      <c r="N119" t="inlineStr">
        <is>
          <t>adjusted xGOT</t>
        </is>
      </c>
      <c r="O119" s="4" t="n">
        <v>0.974</v>
      </c>
      <c r="P119" s="4" t="n">
        <v>2.8</v>
      </c>
      <c r="Q119" s="4" t="n">
        <v>0.0449</v>
      </c>
      <c r="R119" s="4" t="n">
        <v>0.367</v>
      </c>
      <c r="S119" s="4" t="n">
        <v>0.0339</v>
      </c>
      <c r="T119" s="4" t="n">
        <v>2.24</v>
      </c>
      <c r="U119" s="4">
        <f>IF(T119="",IFERROR(VLOOKUP($C119,Assumptions!$A$4:$F$7,6,FALSE),0),T119)</f>
        <v/>
      </c>
      <c r="V119" s="4">
        <f>N(M119)*IFERROR(VLOOKUP($C119,Assumptions!$A$4:$F$7,2,FALSE),0)</f>
        <v/>
      </c>
      <c r="W119" s="4">
        <f>N(Q119)*IFERROR(VLOOKUP($C119,Assumptions!$A$4:$F$7,3,FALSE),0)*Assumptions!$B$11</f>
        <v/>
      </c>
      <c r="X119" s="4">
        <f>N(L119)*IFERROR(VLOOKUP($C119,Assumptions!$A$4:$F$7,4,FALSE),0)</f>
        <v/>
      </c>
      <c r="Y119" s="4">
        <f>N(R119)*IFERROR(VLOOKUP($C119,Assumptions!$A$4:$F$7,5,FALSE),0)</f>
        <v/>
      </c>
      <c r="Z119" s="4">
        <f>N(S119)</f>
        <v/>
      </c>
      <c r="AA119" s="4">
        <f>SUM(U119:Z119)</f>
        <v/>
      </c>
      <c r="AB119" s="4">
        <f>N(AA119)*N(K119)/90</f>
        <v/>
      </c>
      <c r="AC119" s="4">
        <f>IFERROR(AB119-VLOOKUP($C119,Assumptions!$A$29:$C$32,3,FALSE),"")</f>
        <v/>
      </c>
      <c r="AD119" s="4">
        <f>IFERROR(AC119/F119,"")</f>
        <v/>
      </c>
      <c r="AE119">
        <f>IF(AND($E119=TRUE,$C119="GKP"),AB119,"")</f>
        <v/>
      </c>
      <c r="AF119">
        <f>IF(AND($E119=TRUE,$C119="DEF"),AB119,"")</f>
        <v/>
      </c>
      <c r="AG119">
        <f>IF(AND($E119=TRUE,$C119="MID"),AB119,"")</f>
        <v/>
      </c>
      <c r="AH119">
        <f>IF(AND($E119=TRUE,$C119="FWD"),AB119,"")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b">
        <v>1</v>
      </c>
      <c r="F120" s="2" t="n">
        <v>5.5</v>
      </c>
      <c r="G120" t="inlineStr">
        <is>
          <t>a</t>
        </is>
      </c>
      <c r="I120" s="2" t="n">
        <v>2420</v>
      </c>
      <c r="J120" t="n">
        <v>103</v>
      </c>
      <c r="K120" s="3" t="n">
        <v>2420</v>
      </c>
      <c r="L120" s="3" t="n">
        <v>0.237</v>
      </c>
      <c r="M120" s="4" t="n">
        <v>0.0848</v>
      </c>
      <c r="N120" t="inlineStr">
        <is>
          <t>adjusted xGOT</t>
        </is>
      </c>
      <c r="O120" s="4" t="n">
        <v>1.194</v>
      </c>
      <c r="P120" s="4" t="n">
        <v>14</v>
      </c>
      <c r="Q120" s="4" t="n">
        <v>0.1549</v>
      </c>
      <c r="R120" s="4" t="n">
        <v>0.034</v>
      </c>
      <c r="S120" s="4" t="n">
        <v>0.5207000000000001</v>
      </c>
      <c r="T120" s="4" t="n">
        <v>2.12</v>
      </c>
      <c r="U120" s="4">
        <f>IF(T120="",IFERROR(VLOOKUP($C120,Assumptions!$A$4:$F$7,6,FALSE),0),T120)</f>
        <v/>
      </c>
      <c r="V120" s="4">
        <f>N(M120)*IFERROR(VLOOKUP($C120,Assumptions!$A$4:$F$7,2,FALSE),0)</f>
        <v/>
      </c>
      <c r="W120" s="4">
        <f>N(Q120)*IFERROR(VLOOKUP($C120,Assumptions!$A$4:$F$7,3,FALSE),0)*Assumptions!$B$11</f>
        <v/>
      </c>
      <c r="X120" s="4">
        <f>N(L120)*IFERROR(VLOOKUP($C120,Assumptions!$A$4:$F$7,4,FALSE),0)</f>
        <v/>
      </c>
      <c r="Y120" s="4">
        <f>N(R120)*IFERROR(VLOOKUP($C120,Assumptions!$A$4:$F$7,5,FALSE),0)</f>
        <v/>
      </c>
      <c r="Z120" s="4">
        <f>N(S120)</f>
        <v/>
      </c>
      <c r="AA120" s="4">
        <f>SUM(U120:Z120)</f>
        <v/>
      </c>
      <c r="AB120" s="4">
        <f>N(AA120)*N(K120)/90</f>
        <v/>
      </c>
      <c r="AC120" s="4">
        <f>IFERROR(AB120-VLOOKUP($C120,Assumptions!$A$29:$C$32,3,FALSE),"")</f>
        <v/>
      </c>
      <c r="AD120" s="4">
        <f>IFERROR(AC120/F120,"")</f>
        <v/>
      </c>
      <c r="AE120">
        <f>IF(AND($E120=TRUE,$C120="GKP"),AB120,"")</f>
        <v/>
      </c>
      <c r="AF120">
        <f>IF(AND($E120=TRUE,$C120="DEF"),AB120,"")</f>
        <v/>
      </c>
      <c r="AG120">
        <f>IF(AND($E120=TRUE,$C120="MID"),AB120,"")</f>
        <v/>
      </c>
      <c r="AH120">
        <f>IF(AND($E120=TRUE,$C120="FWD"),AB120,"")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b">
        <v>1</v>
      </c>
      <c r="F121" s="2" t="n">
        <v>4.5</v>
      </c>
      <c r="G121" t="inlineStr">
        <is>
          <t>a</t>
        </is>
      </c>
      <c r="I121" s="2" t="n">
        <v>2532</v>
      </c>
      <c r="J121" t="n">
        <v>103</v>
      </c>
      <c r="K121" s="3" t="n">
        <v>2532</v>
      </c>
      <c r="L121" s="3" t="n">
        <v>0.237</v>
      </c>
      <c r="M121" s="4" t="n">
        <v>0.0564</v>
      </c>
      <c r="N121" t="inlineStr">
        <is>
          <t>adjusted xGOT</t>
        </is>
      </c>
      <c r="O121" s="4" t="n">
        <v>0.928</v>
      </c>
      <c r="P121" s="4" t="n">
        <v>3.1</v>
      </c>
      <c r="Q121" s="4" t="n">
        <v>0.0139</v>
      </c>
      <c r="R121" s="4" t="n">
        <v>0.286</v>
      </c>
      <c r="S121" s="4" t="n">
        <v>0.3199</v>
      </c>
      <c r="T121" s="4" t="n">
        <v>2.062</v>
      </c>
      <c r="U121" s="4">
        <f>IF(T121="",IFERROR(VLOOKUP($C121,Assumptions!$A$4:$F$7,6,FALSE),0),T121)</f>
        <v/>
      </c>
      <c r="V121" s="4">
        <f>N(M121)*IFERROR(VLOOKUP($C121,Assumptions!$A$4:$F$7,2,FALSE),0)</f>
        <v/>
      </c>
      <c r="W121" s="4">
        <f>N(Q121)*IFERROR(VLOOKUP($C121,Assumptions!$A$4:$F$7,3,FALSE),0)*Assumptions!$B$11</f>
        <v/>
      </c>
      <c r="X121" s="4">
        <f>N(L121)*IFERROR(VLOOKUP($C121,Assumptions!$A$4:$F$7,4,FALSE),0)</f>
        <v/>
      </c>
      <c r="Y121" s="4">
        <f>N(R121)*IFERROR(VLOOKUP($C121,Assumptions!$A$4:$F$7,5,FALSE),0)</f>
        <v/>
      </c>
      <c r="Z121" s="4">
        <f>N(S121)</f>
        <v/>
      </c>
      <c r="AA121" s="4">
        <f>SUM(U121:Z121)</f>
        <v/>
      </c>
      <c r="AB121" s="4">
        <f>N(AA121)*N(K121)/90</f>
        <v/>
      </c>
      <c r="AC121" s="4">
        <f>IFERROR(AB121-VLOOKUP($C121,Assumptions!$A$29:$C$32,3,FALSE),"")</f>
        <v/>
      </c>
      <c r="AD121" s="4">
        <f>IFERROR(AC121/F121,"")</f>
        <v/>
      </c>
      <c r="AE121">
        <f>IF(AND($E121=TRUE,$C121="GKP"),AB121,"")</f>
        <v/>
      </c>
      <c r="AF121">
        <f>IF(AND($E121=TRUE,$C121="DEF"),AB121,"")</f>
        <v/>
      </c>
      <c r="AG121">
        <f>IF(AND($E121=TRUE,$C121="MID"),AB121,"")</f>
        <v/>
      </c>
      <c r="AH121">
        <f>IF(AND($E121=TRUE,$C121="FWD"),AB121,"")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b">
        <v>1</v>
      </c>
      <c r="F122" s="2" t="n">
        <v>5.5</v>
      </c>
      <c r="G122" t="inlineStr">
        <is>
          <t>a</t>
        </is>
      </c>
      <c r="I122" s="2" t="n">
        <v>2136</v>
      </c>
      <c r="J122" t="n">
        <v>103</v>
      </c>
      <c r="K122" s="3" t="n">
        <v>2136</v>
      </c>
      <c r="L122" s="3" t="n">
        <v>0.237</v>
      </c>
      <c r="M122" s="4" t="n">
        <v>0.1222</v>
      </c>
      <c r="N122" t="inlineStr">
        <is>
          <t>adjusted xGOT</t>
        </is>
      </c>
      <c r="O122" s="4" t="n">
        <v>0.967</v>
      </c>
      <c r="P122" s="4" t="n">
        <v>13.5</v>
      </c>
      <c r="Q122" s="4" t="n">
        <v>0.189</v>
      </c>
      <c r="R122" s="4" t="n">
        <v>0.036</v>
      </c>
      <c r="S122" s="4" t="n">
        <v>0.2949</v>
      </c>
      <c r="T122" s="4" t="n">
        <v>2.317</v>
      </c>
      <c r="U122" s="4">
        <f>IF(T122="",IFERROR(VLOOKUP($C122,Assumptions!$A$4:$F$7,6,FALSE),0),T122)</f>
        <v/>
      </c>
      <c r="V122" s="4">
        <f>N(M122)*IFERROR(VLOOKUP($C122,Assumptions!$A$4:$F$7,2,FALSE),0)</f>
        <v/>
      </c>
      <c r="W122" s="4">
        <f>N(Q122)*IFERROR(VLOOKUP($C122,Assumptions!$A$4:$F$7,3,FALSE),0)*Assumptions!$B$11</f>
        <v/>
      </c>
      <c r="X122" s="4">
        <f>N(L122)*IFERROR(VLOOKUP($C122,Assumptions!$A$4:$F$7,4,FALSE),0)</f>
        <v/>
      </c>
      <c r="Y122" s="4">
        <f>N(R122)*IFERROR(VLOOKUP($C122,Assumptions!$A$4:$F$7,5,FALSE),0)</f>
        <v/>
      </c>
      <c r="Z122" s="4">
        <f>N(S122)</f>
        <v/>
      </c>
      <c r="AA122" s="4">
        <f>SUM(U122:Z122)</f>
        <v/>
      </c>
      <c r="AB122" s="4">
        <f>N(AA122)*N(K122)/90</f>
        <v/>
      </c>
      <c r="AC122" s="4">
        <f>IFERROR(AB122-VLOOKUP($C122,Assumptions!$A$29:$C$32,3,FALSE),"")</f>
        <v/>
      </c>
      <c r="AD122" s="4">
        <f>IFERROR(AC122/F122,"")</f>
        <v/>
      </c>
      <c r="AE122">
        <f>IF(AND($E122=TRUE,$C122="GKP"),AB122,"")</f>
        <v/>
      </c>
      <c r="AF122">
        <f>IF(AND($E122=TRUE,$C122="DEF"),AB122,"")</f>
        <v/>
      </c>
      <c r="AG122">
        <f>IF(AND($E122=TRUE,$C122="MID"),AB122,"")</f>
        <v/>
      </c>
      <c r="AH122">
        <f>IF(AND($E122=TRUE,$C122="FWD"),AB122,"")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b">
        <v>1</v>
      </c>
      <c r="F123" s="2" t="n">
        <v>6</v>
      </c>
      <c r="G123" t="inlineStr">
        <is>
          <t>a</t>
        </is>
      </c>
      <c r="I123" s="2" t="n">
        <v>1753</v>
      </c>
      <c r="J123" t="n">
        <v>102</v>
      </c>
      <c r="K123" s="3" t="n">
        <v>1753</v>
      </c>
      <c r="L123" s="3" t="n">
        <v>0.237</v>
      </c>
      <c r="M123" s="4" t="n">
        <v>0.157</v>
      </c>
      <c r="N123" t="inlineStr">
        <is>
          <t>adjusted xGOT</t>
        </is>
      </c>
      <c r="O123" s="4" t="n">
        <v>0.905</v>
      </c>
      <c r="P123" s="4" t="n">
        <v>10.4</v>
      </c>
      <c r="Q123" s="4" t="n">
        <v>0.1503</v>
      </c>
      <c r="R123" s="4" t="n">
        <v>0.19</v>
      </c>
      <c r="S123" s="4" t="n">
        <v>0.5134</v>
      </c>
      <c r="T123" s="4" t="n">
        <v>2.618</v>
      </c>
      <c r="U123" s="4">
        <f>IF(T123="",IFERROR(VLOOKUP($C123,Assumptions!$A$4:$F$7,6,FALSE),0),T123)</f>
        <v/>
      </c>
      <c r="V123" s="4">
        <f>N(M123)*IFERROR(VLOOKUP($C123,Assumptions!$A$4:$F$7,2,FALSE),0)</f>
        <v/>
      </c>
      <c r="W123" s="4">
        <f>N(Q123)*IFERROR(VLOOKUP($C123,Assumptions!$A$4:$F$7,3,FALSE),0)*Assumptions!$B$11</f>
        <v/>
      </c>
      <c r="X123" s="4">
        <f>N(L123)*IFERROR(VLOOKUP($C123,Assumptions!$A$4:$F$7,4,FALSE),0)</f>
        <v/>
      </c>
      <c r="Y123" s="4">
        <f>N(R123)*IFERROR(VLOOKUP($C123,Assumptions!$A$4:$F$7,5,FALSE),0)</f>
        <v/>
      </c>
      <c r="Z123" s="4">
        <f>N(S123)</f>
        <v/>
      </c>
      <c r="AA123" s="4">
        <f>SUM(U123:Z123)</f>
        <v/>
      </c>
      <c r="AB123" s="4">
        <f>N(AA123)*N(K123)/90</f>
        <v/>
      </c>
      <c r="AC123" s="4">
        <f>IFERROR(AB123-VLOOKUP($C123,Assumptions!$A$29:$C$32,3,FALSE),"")</f>
        <v/>
      </c>
      <c r="AD123" s="4">
        <f>IFERROR(AC123/F123,"")</f>
        <v/>
      </c>
      <c r="AE123">
        <f>IF(AND($E123=TRUE,$C123="GKP"),AB123,"")</f>
        <v/>
      </c>
      <c r="AF123">
        <f>IF(AND($E123=TRUE,$C123="DEF"),AB123,"")</f>
        <v/>
      </c>
      <c r="AG123">
        <f>IF(AND($E123=TRUE,$C123="MID"),AB123,"")</f>
        <v/>
      </c>
      <c r="AH123">
        <f>IF(AND($E123=TRUE,$C123="FWD"),AB123,"")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b">
        <v>1</v>
      </c>
      <c r="F124" s="2" t="n">
        <v>4.5</v>
      </c>
      <c r="G124" t="inlineStr">
        <is>
          <t>a</t>
        </is>
      </c>
      <c r="I124" s="2" t="n">
        <v>3035</v>
      </c>
      <c r="J124" t="n">
        <v>100</v>
      </c>
      <c r="K124" s="3" t="n">
        <v>3035</v>
      </c>
      <c r="L124" s="3" t="n">
        <v>0.237</v>
      </c>
      <c r="M124" s="4" t="n">
        <v>0.0313</v>
      </c>
      <c r="N124" t="inlineStr">
        <is>
          <t>adjusted xGOT</t>
        </is>
      </c>
      <c r="O124" s="4" t="n">
        <v>0.831</v>
      </c>
      <c r="P124" s="4" t="n">
        <v>6.2</v>
      </c>
      <c r="Q124" s="4" t="n">
        <v>0.0177</v>
      </c>
      <c r="R124" s="4" t="n">
        <v>0.08799999999999999</v>
      </c>
      <c r="S124" s="4" t="n">
        <v>0.1186</v>
      </c>
      <c r="T124" s="4" t="n">
        <v>2.016</v>
      </c>
      <c r="U124" s="4">
        <f>IF(T124="",IFERROR(VLOOKUP($C124,Assumptions!$A$4:$F$7,6,FALSE),0),T124)</f>
        <v/>
      </c>
      <c r="V124" s="4">
        <f>N(M124)*IFERROR(VLOOKUP($C124,Assumptions!$A$4:$F$7,2,FALSE),0)</f>
        <v/>
      </c>
      <c r="W124" s="4">
        <f>N(Q124)*IFERROR(VLOOKUP($C124,Assumptions!$A$4:$F$7,3,FALSE),0)*Assumptions!$B$11</f>
        <v/>
      </c>
      <c r="X124" s="4">
        <f>N(L124)*IFERROR(VLOOKUP($C124,Assumptions!$A$4:$F$7,4,FALSE),0)</f>
        <v/>
      </c>
      <c r="Y124" s="4">
        <f>N(R124)*IFERROR(VLOOKUP($C124,Assumptions!$A$4:$F$7,5,FALSE),0)</f>
        <v/>
      </c>
      <c r="Z124" s="4">
        <f>N(S124)</f>
        <v/>
      </c>
      <c r="AA124" s="4">
        <f>SUM(U124:Z124)</f>
        <v/>
      </c>
      <c r="AB124" s="4">
        <f>N(AA124)*N(K124)/90</f>
        <v/>
      </c>
      <c r="AC124" s="4">
        <f>IFERROR(AB124-VLOOKUP($C124,Assumptions!$A$29:$C$32,3,FALSE),"")</f>
        <v/>
      </c>
      <c r="AD124" s="4">
        <f>IFERROR(AC124/F124,"")</f>
        <v/>
      </c>
      <c r="AE124">
        <f>IF(AND($E124=TRUE,$C124="GKP"),AB124,"")</f>
        <v/>
      </c>
      <c r="AF124">
        <f>IF(AND($E124=TRUE,$C124="DEF"),AB124,"")</f>
        <v/>
      </c>
      <c r="AG124">
        <f>IF(AND($E124=TRUE,$C124="MID"),AB124,"")</f>
        <v/>
      </c>
      <c r="AH124">
        <f>IF(AND($E124=TRUE,$C124="FWD"),AB124,"")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b">
        <v>1</v>
      </c>
      <c r="F125" s="2" t="n">
        <v>4.5</v>
      </c>
      <c r="G125" t="inlineStr">
        <is>
          <t>a</t>
        </is>
      </c>
      <c r="I125" s="2" t="n">
        <v>2837</v>
      </c>
      <c r="J125" t="n">
        <v>100</v>
      </c>
      <c r="K125" s="3" t="n">
        <v>2837</v>
      </c>
      <c r="L125" s="3" t="n">
        <v>0.263</v>
      </c>
      <c r="M125" s="4" t="n">
        <v>0.0518</v>
      </c>
      <c r="N125" t="inlineStr">
        <is>
          <t>adjusted xGOT</t>
        </is>
      </c>
      <c r="O125" s="4" t="n">
        <v>0.893</v>
      </c>
      <c r="P125" s="4" t="n">
        <v>7.5</v>
      </c>
      <c r="Q125" s="4" t="n">
        <v>0.0175</v>
      </c>
      <c r="R125" s="4" t="n">
        <v>0.258</v>
      </c>
      <c r="S125" s="4" t="n">
        <v>0.1586</v>
      </c>
      <c r="T125" s="4" t="n">
        <v>2.03</v>
      </c>
      <c r="U125" s="4">
        <f>IF(T125="",IFERROR(VLOOKUP($C125,Assumptions!$A$4:$F$7,6,FALSE),0),T125)</f>
        <v/>
      </c>
      <c r="V125" s="4">
        <f>N(M125)*IFERROR(VLOOKUP($C125,Assumptions!$A$4:$F$7,2,FALSE),0)</f>
        <v/>
      </c>
      <c r="W125" s="4">
        <f>N(Q125)*IFERROR(VLOOKUP($C125,Assumptions!$A$4:$F$7,3,FALSE),0)*Assumptions!$B$11</f>
        <v/>
      </c>
      <c r="X125" s="4">
        <f>N(L125)*IFERROR(VLOOKUP($C125,Assumptions!$A$4:$F$7,4,FALSE),0)</f>
        <v/>
      </c>
      <c r="Y125" s="4">
        <f>N(R125)*IFERROR(VLOOKUP($C125,Assumptions!$A$4:$F$7,5,FALSE),0)</f>
        <v/>
      </c>
      <c r="Z125" s="4">
        <f>N(S125)</f>
        <v/>
      </c>
      <c r="AA125" s="4">
        <f>SUM(U125:Z125)</f>
        <v/>
      </c>
      <c r="AB125" s="4">
        <f>N(AA125)*N(K125)/90</f>
        <v/>
      </c>
      <c r="AC125" s="4">
        <f>IFERROR(AB125-VLOOKUP($C125,Assumptions!$A$29:$C$32,3,FALSE),"")</f>
        <v/>
      </c>
      <c r="AD125" s="4">
        <f>IFERROR(AC125/F125,"")</f>
        <v/>
      </c>
      <c r="AE125">
        <f>IF(AND($E125=TRUE,$C125="GKP"),AB125,"")</f>
        <v/>
      </c>
      <c r="AF125">
        <f>IF(AND($E125=TRUE,$C125="DEF"),AB125,"")</f>
        <v/>
      </c>
      <c r="AG125">
        <f>IF(AND($E125=TRUE,$C125="MID"),AB125,"")</f>
        <v/>
      </c>
      <c r="AH125">
        <f>IF(AND($E125=TRUE,$C125="FWD"),AB125,"")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b">
        <v>1</v>
      </c>
      <c r="F126" s="2" t="n">
        <v>5</v>
      </c>
      <c r="G126" t="inlineStr">
        <is>
          <t>a</t>
        </is>
      </c>
      <c r="I126" s="2" t="n">
        <v>1888</v>
      </c>
      <c r="J126" t="n">
        <v>99</v>
      </c>
      <c r="K126" s="3" t="n">
        <v>1888</v>
      </c>
      <c r="L126" s="3" t="n">
        <v>0.21</v>
      </c>
      <c r="M126" s="4" t="n">
        <v>0.0424</v>
      </c>
      <c r="N126" t="inlineStr">
        <is>
          <t>adjusted xGOT</t>
        </is>
      </c>
      <c r="O126" s="4" t="n">
        <v>0.989</v>
      </c>
      <c r="P126" s="4" t="n">
        <v>0.9</v>
      </c>
      <c r="Q126" s="4" t="n">
        <v>0.0512</v>
      </c>
      <c r="R126" s="4" t="n">
        <v>0.524</v>
      </c>
      <c r="S126" s="4" t="n">
        <v>0.143</v>
      </c>
      <c r="T126" s="4" t="n">
        <v>2.193</v>
      </c>
      <c r="U126" s="4">
        <f>IF(T126="",IFERROR(VLOOKUP($C126,Assumptions!$A$4:$F$7,6,FALSE),0),T126)</f>
        <v/>
      </c>
      <c r="V126" s="4">
        <f>N(M126)*IFERROR(VLOOKUP($C126,Assumptions!$A$4:$F$7,2,FALSE),0)</f>
        <v/>
      </c>
      <c r="W126" s="4">
        <f>N(Q126)*IFERROR(VLOOKUP($C126,Assumptions!$A$4:$F$7,3,FALSE),0)*Assumptions!$B$11</f>
        <v/>
      </c>
      <c r="X126" s="4">
        <f>N(L126)*IFERROR(VLOOKUP($C126,Assumptions!$A$4:$F$7,4,FALSE),0)</f>
        <v/>
      </c>
      <c r="Y126" s="4">
        <f>N(R126)*IFERROR(VLOOKUP($C126,Assumptions!$A$4:$F$7,5,FALSE),0)</f>
        <v/>
      </c>
      <c r="Z126" s="4">
        <f>N(S126)</f>
        <v/>
      </c>
      <c r="AA126" s="4">
        <f>SUM(U126:Z126)</f>
        <v/>
      </c>
      <c r="AB126" s="4">
        <f>N(AA126)*N(K126)/90</f>
        <v/>
      </c>
      <c r="AC126" s="4">
        <f>IFERROR(AB126-VLOOKUP($C126,Assumptions!$A$29:$C$32,3,FALSE),"")</f>
        <v/>
      </c>
      <c r="AD126" s="4">
        <f>IFERROR(AC126/F126,"")</f>
        <v/>
      </c>
      <c r="AE126">
        <f>IF(AND($E126=TRUE,$C126="GKP"),AB126,"")</f>
        <v/>
      </c>
      <c r="AF126">
        <f>IF(AND($E126=TRUE,$C126="DEF"),AB126,"")</f>
        <v/>
      </c>
      <c r="AG126">
        <f>IF(AND($E126=TRUE,$C126="MID"),AB126,"")</f>
        <v/>
      </c>
      <c r="AH126">
        <f>IF(AND($E126=TRUE,$C126="FWD"),AB126,"")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b">
        <v>1</v>
      </c>
      <c r="F127" s="2" t="n">
        <v>5.5</v>
      </c>
      <c r="G127" t="inlineStr">
        <is>
          <t>a</t>
        </is>
      </c>
      <c r="I127" s="2" t="n">
        <v>1921</v>
      </c>
      <c r="J127" t="n">
        <v>98</v>
      </c>
      <c r="K127" s="3" t="n">
        <v>1921</v>
      </c>
      <c r="L127" s="3" t="n">
        <v>0.263</v>
      </c>
      <c r="M127" s="4" t="n">
        <v>0.1272</v>
      </c>
      <c r="N127" t="inlineStr">
        <is>
          <t>adjusted xGOT</t>
        </is>
      </c>
      <c r="O127" s="4" t="n">
        <v>1.005</v>
      </c>
      <c r="P127" s="4" t="n">
        <v>5.2</v>
      </c>
      <c r="Q127" s="4" t="n">
        <v>0.0598</v>
      </c>
      <c r="R127" s="4" t="n">
        <v>0.25</v>
      </c>
      <c r="S127" s="4" t="n">
        <v>0.328</v>
      </c>
      <c r="T127" s="4" t="n">
        <v>2.296</v>
      </c>
      <c r="U127" s="4">
        <f>IF(T127="",IFERROR(VLOOKUP($C127,Assumptions!$A$4:$F$7,6,FALSE),0),T127)</f>
        <v/>
      </c>
      <c r="V127" s="4">
        <f>N(M127)*IFERROR(VLOOKUP($C127,Assumptions!$A$4:$F$7,2,FALSE),0)</f>
        <v/>
      </c>
      <c r="W127" s="4">
        <f>N(Q127)*IFERROR(VLOOKUP($C127,Assumptions!$A$4:$F$7,3,FALSE),0)*Assumptions!$B$11</f>
        <v/>
      </c>
      <c r="X127" s="4">
        <f>N(L127)*IFERROR(VLOOKUP($C127,Assumptions!$A$4:$F$7,4,FALSE),0)</f>
        <v/>
      </c>
      <c r="Y127" s="4">
        <f>N(R127)*IFERROR(VLOOKUP($C127,Assumptions!$A$4:$F$7,5,FALSE),0)</f>
        <v/>
      </c>
      <c r="Z127" s="4">
        <f>N(S127)</f>
        <v/>
      </c>
      <c r="AA127" s="4">
        <f>SUM(U127:Z127)</f>
        <v/>
      </c>
      <c r="AB127" s="4">
        <f>N(AA127)*N(K127)/90</f>
        <v/>
      </c>
      <c r="AC127" s="4">
        <f>IFERROR(AB127-VLOOKUP($C127,Assumptions!$A$29:$C$32,3,FALSE),"")</f>
        <v/>
      </c>
      <c r="AD127" s="4">
        <f>IFERROR(AC127/F127,"")</f>
        <v/>
      </c>
      <c r="AE127">
        <f>IF(AND($E127=TRUE,$C127="GKP"),AB127,"")</f>
        <v/>
      </c>
      <c r="AF127">
        <f>IF(AND($E127=TRUE,$C127="DEF"),AB127,"")</f>
        <v/>
      </c>
      <c r="AG127">
        <f>IF(AND($E127=TRUE,$C127="MID"),AB127,"")</f>
        <v/>
      </c>
      <c r="AH127">
        <f>IF(AND($E127=TRUE,$C127="FWD"),AB127,"")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b">
        <v>1</v>
      </c>
      <c r="F128" s="2" t="n">
        <v>5.5</v>
      </c>
      <c r="G128" t="inlineStr">
        <is>
          <t>a</t>
        </is>
      </c>
      <c r="I128" s="2" t="n">
        <v>2239</v>
      </c>
      <c r="J128" t="n">
        <v>98</v>
      </c>
      <c r="K128" s="3" t="n">
        <v>2239</v>
      </c>
      <c r="L128" s="3" t="n">
        <v>0.263</v>
      </c>
      <c r="M128" s="4" t="n">
        <v>0.0882</v>
      </c>
      <c r="N128" t="inlineStr">
        <is>
          <t>adjusted xGOT</t>
        </is>
      </c>
      <c r="O128" s="4" t="n">
        <v>0.993</v>
      </c>
      <c r="P128" s="4" t="n">
        <v>5.5</v>
      </c>
      <c r="Q128" s="4" t="n">
        <v>0.229</v>
      </c>
      <c r="R128" s="4" t="n">
        <v>0.154</v>
      </c>
      <c r="S128" s="4" t="n">
        <v>0.0402</v>
      </c>
      <c r="T128" s="4" t="n">
        <v>2.492</v>
      </c>
      <c r="U128" s="4">
        <f>IF(T128="",IFERROR(VLOOKUP($C128,Assumptions!$A$4:$F$7,6,FALSE),0),T128)</f>
        <v/>
      </c>
      <c r="V128" s="4">
        <f>N(M128)*IFERROR(VLOOKUP($C128,Assumptions!$A$4:$F$7,2,FALSE),0)</f>
        <v/>
      </c>
      <c r="W128" s="4">
        <f>N(Q128)*IFERROR(VLOOKUP($C128,Assumptions!$A$4:$F$7,3,FALSE),0)*Assumptions!$B$11</f>
        <v/>
      </c>
      <c r="X128" s="4">
        <f>N(L128)*IFERROR(VLOOKUP($C128,Assumptions!$A$4:$F$7,4,FALSE),0)</f>
        <v/>
      </c>
      <c r="Y128" s="4">
        <f>N(R128)*IFERROR(VLOOKUP($C128,Assumptions!$A$4:$F$7,5,FALSE),0)</f>
        <v/>
      </c>
      <c r="Z128" s="4">
        <f>N(S128)</f>
        <v/>
      </c>
      <c r="AA128" s="4">
        <f>SUM(U128:Z128)</f>
        <v/>
      </c>
      <c r="AB128" s="4">
        <f>N(AA128)*N(K128)/90</f>
        <v/>
      </c>
      <c r="AC128" s="4">
        <f>IFERROR(AB128-VLOOKUP($C128,Assumptions!$A$29:$C$32,3,FALSE),"")</f>
        <v/>
      </c>
      <c r="AD128" s="4">
        <f>IFERROR(AC128/F128,"")</f>
        <v/>
      </c>
      <c r="AE128">
        <f>IF(AND($E128=TRUE,$C128="GKP"),AB128,"")</f>
        <v/>
      </c>
      <c r="AF128">
        <f>IF(AND($E128=TRUE,$C128="DEF"),AB128,"")</f>
        <v/>
      </c>
      <c r="AG128">
        <f>IF(AND($E128=TRUE,$C128="MID"),AB128,"")</f>
        <v/>
      </c>
      <c r="AH128">
        <f>IF(AND($E128=TRUE,$C128="FWD"),AB128,"")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b">
        <v>1</v>
      </c>
      <c r="F129" s="2" t="n">
        <v>5</v>
      </c>
      <c r="G129" t="inlineStr">
        <is>
          <t>a</t>
        </is>
      </c>
      <c r="I129" s="2" t="n">
        <v>2117</v>
      </c>
      <c r="J129" t="n">
        <v>97</v>
      </c>
      <c r="K129" s="3" t="n">
        <v>2117</v>
      </c>
      <c r="L129" s="3" t="n">
        <v>0.263</v>
      </c>
      <c r="M129" s="4" t="n">
        <v>0.2396</v>
      </c>
      <c r="N129" t="inlineStr">
        <is>
          <t>adjusted xGOT</t>
        </is>
      </c>
      <c r="O129" s="4" t="n">
        <v>0.903</v>
      </c>
      <c r="P129" s="4" t="n">
        <v>7.1</v>
      </c>
      <c r="Q129" s="4" t="n">
        <v>0.081</v>
      </c>
      <c r="R129" s="4" t="n">
        <v>0.115</v>
      </c>
      <c r="S129" s="4" t="n">
        <v>0.3826</v>
      </c>
      <c r="T129" s="4" t="n">
        <v>2.338</v>
      </c>
      <c r="U129" s="4">
        <f>IF(T129="",IFERROR(VLOOKUP($C129,Assumptions!$A$4:$F$7,6,FALSE),0),T129)</f>
        <v/>
      </c>
      <c r="V129" s="4">
        <f>N(M129)*IFERROR(VLOOKUP($C129,Assumptions!$A$4:$F$7,2,FALSE),0)</f>
        <v/>
      </c>
      <c r="W129" s="4">
        <f>N(Q129)*IFERROR(VLOOKUP($C129,Assumptions!$A$4:$F$7,3,FALSE),0)*Assumptions!$B$11</f>
        <v/>
      </c>
      <c r="X129" s="4">
        <f>N(L129)*IFERROR(VLOOKUP($C129,Assumptions!$A$4:$F$7,4,FALSE),0)</f>
        <v/>
      </c>
      <c r="Y129" s="4">
        <f>N(R129)*IFERROR(VLOOKUP($C129,Assumptions!$A$4:$F$7,5,FALSE),0)</f>
        <v/>
      </c>
      <c r="Z129" s="4">
        <f>N(S129)</f>
        <v/>
      </c>
      <c r="AA129" s="4">
        <f>SUM(U129:Z129)</f>
        <v/>
      </c>
      <c r="AB129" s="4">
        <f>N(AA129)*N(K129)/90</f>
        <v/>
      </c>
      <c r="AC129" s="4">
        <f>IFERROR(AB129-VLOOKUP($C129,Assumptions!$A$29:$C$32,3,FALSE),"")</f>
        <v/>
      </c>
      <c r="AD129" s="4">
        <f>IFERROR(AC129/F129,"")</f>
        <v/>
      </c>
      <c r="AE129">
        <f>IF(AND($E129=TRUE,$C129="GKP"),AB129,"")</f>
        <v/>
      </c>
      <c r="AF129">
        <f>IF(AND($E129=TRUE,$C129="DEF"),AB129,"")</f>
        <v/>
      </c>
      <c r="AG129">
        <f>IF(AND($E129=TRUE,$C129="MID"),AB129,"")</f>
        <v/>
      </c>
      <c r="AH129">
        <f>IF(AND($E129=TRUE,$C129="FWD"),AB129,"")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b">
        <v>1</v>
      </c>
      <c r="F130" s="2" t="n">
        <v>4.5</v>
      </c>
      <c r="G130" t="inlineStr">
        <is>
          <t>u</t>
        </is>
      </c>
      <c r="H130" t="inlineStr">
        <is>
          <t>Has joined Paris Saint-Germain permanently</t>
        </is>
      </c>
      <c r="I130" s="2" t="n">
        <v>1842</v>
      </c>
      <c r="J130" t="n">
        <v>97</v>
      </c>
      <c r="K130" s="3" t="n">
        <v>1842</v>
      </c>
      <c r="L130" s="3" t="n">
        <v>0.237</v>
      </c>
      <c r="M130" s="4" t="n">
        <v>0.0331</v>
      </c>
      <c r="N130" t="inlineStr">
        <is>
          <t>adjusted xGOT</t>
        </is>
      </c>
      <c r="O130" s="4" t="n">
        <v>1.01</v>
      </c>
      <c r="P130" s="4" t="n">
        <v>2.9</v>
      </c>
      <c r="Q130" s="4" t="n">
        <v>0.1547</v>
      </c>
      <c r="R130" s="4" t="n">
        <v>0.048</v>
      </c>
      <c r="S130" s="4" t="n">
        <v>0.1954</v>
      </c>
      <c r="T130" s="4" t="n">
        <v>2.443</v>
      </c>
      <c r="U130" s="4">
        <f>IF(T130="",IFERROR(VLOOKUP($C130,Assumptions!$A$4:$F$7,6,FALSE),0),T130)</f>
        <v/>
      </c>
      <c r="V130" s="4">
        <f>N(M130)*IFERROR(VLOOKUP($C130,Assumptions!$A$4:$F$7,2,FALSE),0)</f>
        <v/>
      </c>
      <c r="W130" s="4">
        <f>N(Q130)*IFERROR(VLOOKUP($C130,Assumptions!$A$4:$F$7,3,FALSE),0)*Assumptions!$B$11</f>
        <v/>
      </c>
      <c r="X130" s="4">
        <f>N(L130)*IFERROR(VLOOKUP($C130,Assumptions!$A$4:$F$7,4,FALSE),0)</f>
        <v/>
      </c>
      <c r="Y130" s="4">
        <f>N(R130)*IFERROR(VLOOKUP($C130,Assumptions!$A$4:$F$7,5,FALSE),0)</f>
        <v/>
      </c>
      <c r="Z130" s="4">
        <f>N(S130)</f>
        <v/>
      </c>
      <c r="AA130" s="4">
        <f>SUM(U130:Z130)</f>
        <v/>
      </c>
      <c r="AB130" s="4">
        <f>N(AA130)*N(K130)/90</f>
        <v/>
      </c>
      <c r="AC130" s="4">
        <f>IFERROR(AB130-VLOOKUP($C130,Assumptions!$A$29:$C$32,3,FALSE),"")</f>
        <v/>
      </c>
      <c r="AD130" s="4">
        <f>IFERROR(AC130/F130,"")</f>
        <v/>
      </c>
      <c r="AE130">
        <f>IF(AND($E130=TRUE,$C130="GKP"),AB130,"")</f>
        <v/>
      </c>
      <c r="AF130">
        <f>IF(AND($E130=TRUE,$C130="DEF"),AB130,"")</f>
        <v/>
      </c>
      <c r="AG130">
        <f>IF(AND($E130=TRUE,$C130="MID"),AB130,"")</f>
        <v/>
      </c>
      <c r="AH130">
        <f>IF(AND($E130=TRUE,$C130="FWD"),AB130,"")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b">
        <v>1</v>
      </c>
      <c r="F131" s="2" t="n">
        <v>4</v>
      </c>
      <c r="G131" t="inlineStr">
        <is>
          <t>a</t>
        </is>
      </c>
      <c r="I131" s="2" t="n">
        <v>3150</v>
      </c>
      <c r="J131" t="n">
        <v>96</v>
      </c>
      <c r="K131" s="3" t="n">
        <v>3150</v>
      </c>
      <c r="L131" s="3" t="n">
        <v>0.237</v>
      </c>
      <c r="M131" s="4" t="n">
        <v>0</v>
      </c>
      <c r="N131" t="inlineStr">
        <is>
          <t>blended xG</t>
        </is>
      </c>
      <c r="O131" s="4" t="n">
        <v>1</v>
      </c>
      <c r="P131" s="4" t="n">
        <v>0</v>
      </c>
      <c r="Q131" s="4" t="n">
        <v>0.0005999999999999999</v>
      </c>
      <c r="R131" s="4" t="n">
        <v>0</v>
      </c>
      <c r="S131" s="4" t="n">
        <v>0.2</v>
      </c>
      <c r="T131" s="4" t="n">
        <v>2</v>
      </c>
      <c r="U131" s="4">
        <f>IF(T131="",IFERROR(VLOOKUP($C131,Assumptions!$A$4:$F$7,6,FALSE),0),T131)</f>
        <v/>
      </c>
      <c r="V131" s="4">
        <f>N(M131)*IFERROR(VLOOKUP($C131,Assumptions!$A$4:$F$7,2,FALSE),0)</f>
        <v/>
      </c>
      <c r="W131" s="4">
        <f>N(Q131)*IFERROR(VLOOKUP($C131,Assumptions!$A$4:$F$7,3,FALSE),0)*Assumptions!$B$11</f>
        <v/>
      </c>
      <c r="X131" s="4">
        <f>N(L131)*IFERROR(VLOOKUP($C131,Assumptions!$A$4:$F$7,4,FALSE),0)</f>
        <v/>
      </c>
      <c r="Y131" s="4">
        <f>N(R131)*IFERROR(VLOOKUP($C131,Assumptions!$A$4:$F$7,5,FALSE),0)</f>
        <v/>
      </c>
      <c r="Z131" s="4">
        <f>N(S131)</f>
        <v/>
      </c>
      <c r="AA131" s="4">
        <f>SUM(U131:Z131)</f>
        <v/>
      </c>
      <c r="AB131" s="4">
        <f>N(AA131)*N(K131)/90</f>
        <v/>
      </c>
      <c r="AC131" s="4">
        <f>IFERROR(AB131-VLOOKUP($C131,Assumptions!$A$29:$C$32,3,FALSE),"")</f>
        <v/>
      </c>
      <c r="AD131" s="4">
        <f>IFERROR(AC131/F131,"")</f>
        <v/>
      </c>
      <c r="AE131">
        <f>IF(AND($E131=TRUE,$C131="GKP"),AB131,"")</f>
        <v/>
      </c>
      <c r="AF131">
        <f>IF(AND($E131=TRUE,$C131="DEF"),AB131,"")</f>
        <v/>
      </c>
      <c r="AG131">
        <f>IF(AND($E131=TRUE,$C131="MID"),AB131,"")</f>
        <v/>
      </c>
      <c r="AH131">
        <f>IF(AND($E131=TRUE,$C131="FWD"),AB131,"")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b">
        <v>1</v>
      </c>
      <c r="F132" s="2" t="n">
        <v>5</v>
      </c>
      <c r="G132" t="inlineStr">
        <is>
          <t>a</t>
        </is>
      </c>
      <c r="I132" s="2" t="n">
        <v>2255</v>
      </c>
      <c r="J132" t="n">
        <v>96</v>
      </c>
      <c r="K132" s="3" t="n">
        <v>2255</v>
      </c>
      <c r="L132" s="3" t="n">
        <v>0.237</v>
      </c>
      <c r="M132" s="4" t="n">
        <v>0.0555</v>
      </c>
      <c r="N132" t="inlineStr">
        <is>
          <t>adjusted xGOT</t>
        </is>
      </c>
      <c r="O132" s="4" t="n">
        <v>0.891</v>
      </c>
      <c r="P132" s="4" t="n">
        <v>4</v>
      </c>
      <c r="Q132" s="4" t="n">
        <v>0.1352</v>
      </c>
      <c r="R132" s="4" t="n">
        <v>0</v>
      </c>
      <c r="S132" s="4" t="n">
        <v>0.3193</v>
      </c>
      <c r="T132" s="4" t="n">
        <v>2.275</v>
      </c>
      <c r="U132" s="4">
        <f>IF(T132="",IFERROR(VLOOKUP($C132,Assumptions!$A$4:$F$7,6,FALSE),0),T132)</f>
        <v/>
      </c>
      <c r="V132" s="4">
        <f>N(M132)*IFERROR(VLOOKUP($C132,Assumptions!$A$4:$F$7,2,FALSE),0)</f>
        <v/>
      </c>
      <c r="W132" s="4">
        <f>N(Q132)*IFERROR(VLOOKUP($C132,Assumptions!$A$4:$F$7,3,FALSE),0)*Assumptions!$B$11</f>
        <v/>
      </c>
      <c r="X132" s="4">
        <f>N(L132)*IFERROR(VLOOKUP($C132,Assumptions!$A$4:$F$7,4,FALSE),0)</f>
        <v/>
      </c>
      <c r="Y132" s="4">
        <f>N(R132)*IFERROR(VLOOKUP($C132,Assumptions!$A$4:$F$7,5,FALSE),0)</f>
        <v/>
      </c>
      <c r="Z132" s="4">
        <f>N(S132)</f>
        <v/>
      </c>
      <c r="AA132" s="4">
        <f>SUM(U132:Z132)</f>
        <v/>
      </c>
      <c r="AB132" s="4">
        <f>N(AA132)*N(K132)/90</f>
        <v/>
      </c>
      <c r="AC132" s="4">
        <f>IFERROR(AB132-VLOOKUP($C132,Assumptions!$A$29:$C$32,3,FALSE),"")</f>
        <v/>
      </c>
      <c r="AD132" s="4">
        <f>IFERROR(AC132/F132,"")</f>
        <v/>
      </c>
      <c r="AE132">
        <f>IF(AND($E132=TRUE,$C132="GKP"),AB132,"")</f>
        <v/>
      </c>
      <c r="AF132">
        <f>IF(AND($E132=TRUE,$C132="DEF"),AB132,"")</f>
        <v/>
      </c>
      <c r="AG132">
        <f>IF(AND($E132=TRUE,$C132="MID"),AB132,"")</f>
        <v/>
      </c>
      <c r="AH132">
        <f>IF(AND($E132=TRUE,$C132="FWD"),AB132,"")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b">
        <v>1</v>
      </c>
      <c r="F133" s="2" t="n">
        <v>4.5</v>
      </c>
      <c r="G133" t="inlineStr">
        <is>
          <t>a</t>
        </is>
      </c>
      <c r="I133" s="2" t="n">
        <v>2795</v>
      </c>
      <c r="J133" t="n">
        <v>96</v>
      </c>
      <c r="K133" s="3" t="n">
        <v>2795</v>
      </c>
      <c r="L133" s="3" t="n">
        <v>0.21</v>
      </c>
      <c r="M133" s="4" t="n">
        <v>0.0625</v>
      </c>
      <c r="N133" t="inlineStr">
        <is>
          <t>adjusted xGOT</t>
        </is>
      </c>
      <c r="O133" s="4" t="n">
        <v>0.9320000000000001</v>
      </c>
      <c r="P133" s="4" t="n">
        <v>4.4</v>
      </c>
      <c r="Q133" s="4" t="n">
        <v>0.1068</v>
      </c>
      <c r="R133" s="4" t="n">
        <v>0.062</v>
      </c>
      <c r="S133" s="4" t="n">
        <v>0.0322</v>
      </c>
      <c r="T133" s="4" t="n">
        <v>2.093</v>
      </c>
      <c r="U133" s="4">
        <f>IF(T133="",IFERROR(VLOOKUP($C133,Assumptions!$A$4:$F$7,6,FALSE),0),T133)</f>
        <v/>
      </c>
      <c r="V133" s="4">
        <f>N(M133)*IFERROR(VLOOKUP($C133,Assumptions!$A$4:$F$7,2,FALSE),0)</f>
        <v/>
      </c>
      <c r="W133" s="4">
        <f>N(Q133)*IFERROR(VLOOKUP($C133,Assumptions!$A$4:$F$7,3,FALSE),0)*Assumptions!$B$11</f>
        <v/>
      </c>
      <c r="X133" s="4">
        <f>N(L133)*IFERROR(VLOOKUP($C133,Assumptions!$A$4:$F$7,4,FALSE),0)</f>
        <v/>
      </c>
      <c r="Y133" s="4">
        <f>N(R133)*IFERROR(VLOOKUP($C133,Assumptions!$A$4:$F$7,5,FALSE),0)</f>
        <v/>
      </c>
      <c r="Z133" s="4">
        <f>N(S133)</f>
        <v/>
      </c>
      <c r="AA133" s="4">
        <f>SUM(U133:Z133)</f>
        <v/>
      </c>
      <c r="AB133" s="4">
        <f>N(AA133)*N(K133)/90</f>
        <v/>
      </c>
      <c r="AC133" s="4">
        <f>IFERROR(AB133-VLOOKUP($C133,Assumptions!$A$29:$C$32,3,FALSE),"")</f>
        <v/>
      </c>
      <c r="AD133" s="4">
        <f>IFERROR(AC133/F133,"")</f>
        <v/>
      </c>
      <c r="AE133">
        <f>IF(AND($E133=TRUE,$C133="GKP"),AB133,"")</f>
        <v/>
      </c>
      <c r="AF133">
        <f>IF(AND($E133=TRUE,$C133="DEF"),AB133,"")</f>
        <v/>
      </c>
      <c r="AG133">
        <f>IF(AND($E133=TRUE,$C133="MID"),AB133,"")</f>
        <v/>
      </c>
      <c r="AH133">
        <f>IF(AND($E133=TRUE,$C133="FWD"),AB133,"")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b">
        <v>1</v>
      </c>
      <c r="F134" s="2" t="n">
        <v>5</v>
      </c>
      <c r="G134" t="inlineStr">
        <is>
          <t>a</t>
        </is>
      </c>
      <c r="I134" s="2" t="n">
        <v>2416</v>
      </c>
      <c r="J134" t="n">
        <v>96</v>
      </c>
      <c r="K134" s="3" t="n">
        <v>2416</v>
      </c>
      <c r="L134" s="3" t="n">
        <v>0.21</v>
      </c>
      <c r="M134" s="4" t="n">
        <v>0.006</v>
      </c>
      <c r="N134" t="inlineStr">
        <is>
          <t>adjusted xGOT</t>
        </is>
      </c>
      <c r="O134" s="4" t="n">
        <v>1.015</v>
      </c>
      <c r="P134" s="4" t="n">
        <v>0.2</v>
      </c>
      <c r="Q134" s="4" t="n">
        <v>0</v>
      </c>
      <c r="R134" s="4" t="n">
        <v>0</v>
      </c>
      <c r="S134" s="4" t="n">
        <v>0.1863</v>
      </c>
      <c r="T134" s="4" t="n">
        <v>2.012</v>
      </c>
      <c r="U134" s="4">
        <f>IF(T134="",IFERROR(VLOOKUP($C134,Assumptions!$A$4:$F$7,6,FALSE),0),T134)</f>
        <v/>
      </c>
      <c r="V134" s="4">
        <f>N(M134)*IFERROR(VLOOKUP($C134,Assumptions!$A$4:$F$7,2,FALSE),0)</f>
        <v/>
      </c>
      <c r="W134" s="4">
        <f>N(Q134)*IFERROR(VLOOKUP($C134,Assumptions!$A$4:$F$7,3,FALSE),0)*Assumptions!$B$11</f>
        <v/>
      </c>
      <c r="X134" s="4">
        <f>N(L134)*IFERROR(VLOOKUP($C134,Assumptions!$A$4:$F$7,4,FALSE),0)</f>
        <v/>
      </c>
      <c r="Y134" s="4">
        <f>N(R134)*IFERROR(VLOOKUP($C134,Assumptions!$A$4:$F$7,5,FALSE),0)</f>
        <v/>
      </c>
      <c r="Z134" s="4">
        <f>N(S134)</f>
        <v/>
      </c>
      <c r="AA134" s="4">
        <f>SUM(U134:Z134)</f>
        <v/>
      </c>
      <c r="AB134" s="4">
        <f>N(AA134)*N(K134)/90</f>
        <v/>
      </c>
      <c r="AC134" s="4">
        <f>IFERROR(AB134-VLOOKUP($C134,Assumptions!$A$29:$C$32,3,FALSE),"")</f>
        <v/>
      </c>
      <c r="AD134" s="4">
        <f>IFERROR(AC134/F134,"")</f>
        <v/>
      </c>
      <c r="AE134">
        <f>IF(AND($E134=TRUE,$C134="GKP"),AB134,"")</f>
        <v/>
      </c>
      <c r="AF134">
        <f>IF(AND($E134=TRUE,$C134="DEF"),AB134,"")</f>
        <v/>
      </c>
      <c r="AG134">
        <f>IF(AND($E134=TRUE,$C134="MID"),AB134,"")</f>
        <v/>
      </c>
      <c r="AH134">
        <f>IF(AND($E134=TRUE,$C134="FWD"),AB134,"")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b">
        <v>1</v>
      </c>
      <c r="F135" s="2" t="n">
        <v>4.5</v>
      </c>
      <c r="G135" t="inlineStr">
        <is>
          <t>a</t>
        </is>
      </c>
      <c r="I135" s="2" t="n">
        <v>2959</v>
      </c>
      <c r="J135" t="n">
        <v>95</v>
      </c>
      <c r="K135" s="3" t="n">
        <v>2959</v>
      </c>
      <c r="L135" s="3" t="n">
        <v>0.29</v>
      </c>
      <c r="M135" s="4" t="n">
        <v>0.0081</v>
      </c>
      <c r="N135" t="inlineStr">
        <is>
          <t>adjusted xGOT</t>
        </is>
      </c>
      <c r="O135" s="4" t="n">
        <v>0.945</v>
      </c>
      <c r="P135" s="4" t="n">
        <v>2.8</v>
      </c>
      <c r="Q135" s="4" t="n">
        <v>0.0548</v>
      </c>
      <c r="R135" s="4" t="n">
        <v>0.212</v>
      </c>
      <c r="S135" s="4" t="n">
        <v>0.1217</v>
      </c>
      <c r="T135" s="4" t="n">
        <v>2.007</v>
      </c>
      <c r="U135" s="4">
        <f>IF(T135="",IFERROR(VLOOKUP($C135,Assumptions!$A$4:$F$7,6,FALSE),0),T135)</f>
        <v/>
      </c>
      <c r="V135" s="4">
        <f>N(M135)*IFERROR(VLOOKUP($C135,Assumptions!$A$4:$F$7,2,FALSE),0)</f>
        <v/>
      </c>
      <c r="W135" s="4">
        <f>N(Q135)*IFERROR(VLOOKUP($C135,Assumptions!$A$4:$F$7,3,FALSE),0)*Assumptions!$B$11</f>
        <v/>
      </c>
      <c r="X135" s="4">
        <f>N(L135)*IFERROR(VLOOKUP($C135,Assumptions!$A$4:$F$7,4,FALSE),0)</f>
        <v/>
      </c>
      <c r="Y135" s="4">
        <f>N(R135)*IFERROR(VLOOKUP($C135,Assumptions!$A$4:$F$7,5,FALSE),0)</f>
        <v/>
      </c>
      <c r="Z135" s="4">
        <f>N(S135)</f>
        <v/>
      </c>
      <c r="AA135" s="4">
        <f>SUM(U135:Z135)</f>
        <v/>
      </c>
      <c r="AB135" s="4">
        <f>N(AA135)*N(K135)/90</f>
        <v/>
      </c>
      <c r="AC135" s="4">
        <f>IFERROR(AB135-VLOOKUP($C135,Assumptions!$A$29:$C$32,3,FALSE),"")</f>
        <v/>
      </c>
      <c r="AD135" s="4">
        <f>IFERROR(AC135/F135,"")</f>
        <v/>
      </c>
      <c r="AE135">
        <f>IF(AND($E135=TRUE,$C135="GKP"),AB135,"")</f>
        <v/>
      </c>
      <c r="AF135">
        <f>IF(AND($E135=TRUE,$C135="DEF"),AB135,"")</f>
        <v/>
      </c>
      <c r="AG135">
        <f>IF(AND($E135=TRUE,$C135="MID"),AB135,"")</f>
        <v/>
      </c>
      <c r="AH135">
        <f>IF(AND($E135=TRUE,$C135="FWD"),AB135,"")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b">
        <v>1</v>
      </c>
      <c r="F136" s="2" t="n">
        <v>6</v>
      </c>
      <c r="G136" t="inlineStr">
        <is>
          <t>a</t>
        </is>
      </c>
      <c r="I136" s="2" t="n">
        <v>1440</v>
      </c>
      <c r="J136" t="n">
        <v>95</v>
      </c>
      <c r="K136" s="3" t="n">
        <v>1440</v>
      </c>
      <c r="L136" s="3" t="n">
        <v>0.21</v>
      </c>
      <c r="M136" s="4" t="n">
        <v>0.1477</v>
      </c>
      <c r="N136" t="inlineStr">
        <is>
          <t>adjusted xGOT</t>
        </is>
      </c>
      <c r="O136" s="4" t="n">
        <v>0.989</v>
      </c>
      <c r="P136" s="4" t="n">
        <v>2.8</v>
      </c>
      <c r="Q136" s="4" t="n">
        <v>0.1547</v>
      </c>
      <c r="R136" s="4" t="n">
        <v>0</v>
      </c>
      <c r="S136" s="4" t="n">
        <v>0.6875</v>
      </c>
      <c r="T136" s="4" t="n">
        <v>2.5</v>
      </c>
      <c r="U136" s="4">
        <f>IF(T136="",IFERROR(VLOOKUP($C136,Assumptions!$A$4:$F$7,6,FALSE),0),T136)</f>
        <v/>
      </c>
      <c r="V136" s="4">
        <f>N(M136)*IFERROR(VLOOKUP($C136,Assumptions!$A$4:$F$7,2,FALSE),0)</f>
        <v/>
      </c>
      <c r="W136" s="4">
        <f>N(Q136)*IFERROR(VLOOKUP($C136,Assumptions!$A$4:$F$7,3,FALSE),0)*Assumptions!$B$11</f>
        <v/>
      </c>
      <c r="X136" s="4">
        <f>N(L136)*IFERROR(VLOOKUP($C136,Assumptions!$A$4:$F$7,4,FALSE),0)</f>
        <v/>
      </c>
      <c r="Y136" s="4">
        <f>N(R136)*IFERROR(VLOOKUP($C136,Assumptions!$A$4:$F$7,5,FALSE),0)</f>
        <v/>
      </c>
      <c r="Z136" s="4">
        <f>N(S136)</f>
        <v/>
      </c>
      <c r="AA136" s="4">
        <f>SUM(U136:Z136)</f>
        <v/>
      </c>
      <c r="AB136" s="4">
        <f>N(AA136)*N(K136)/90</f>
        <v/>
      </c>
      <c r="AC136" s="4">
        <f>IFERROR(AB136-VLOOKUP($C136,Assumptions!$A$29:$C$32,3,FALSE),"")</f>
        <v/>
      </c>
      <c r="AD136" s="4">
        <f>IFERROR(AC136/F136,"")</f>
        <v/>
      </c>
      <c r="AE136">
        <f>IF(AND($E136=TRUE,$C136="GKP"),AB136,"")</f>
        <v/>
      </c>
      <c r="AF136">
        <f>IF(AND($E136=TRUE,$C136="DEF"),AB136,"")</f>
        <v/>
      </c>
      <c r="AG136">
        <f>IF(AND($E136=TRUE,$C136="MID"),AB136,"")</f>
        <v/>
      </c>
      <c r="AH136">
        <f>IF(AND($E136=TRUE,$C136="FWD"),AB136,"")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b">
        <v>1</v>
      </c>
      <c r="F137" s="2" t="n">
        <v>4.5</v>
      </c>
      <c r="G137" t="inlineStr">
        <is>
          <t>a</t>
        </is>
      </c>
      <c r="I137" s="2" t="n">
        <v>1816</v>
      </c>
      <c r="J137" t="n">
        <v>95</v>
      </c>
      <c r="K137" s="3" t="n">
        <v>1816</v>
      </c>
      <c r="L137" s="3" t="n">
        <v>0.237</v>
      </c>
      <c r="M137" s="4" t="n">
        <v>0.0893</v>
      </c>
      <c r="N137" t="inlineStr">
        <is>
          <t>adjusted xGOT</t>
        </is>
      </c>
      <c r="O137" s="4" t="n">
        <v>1.126</v>
      </c>
      <c r="P137" s="4" t="n">
        <v>4.9</v>
      </c>
      <c r="Q137" s="4" t="n">
        <v>0.0998</v>
      </c>
      <c r="R137" s="4" t="n">
        <v>0.6</v>
      </c>
      <c r="S137" s="4" t="n">
        <v>0.3965</v>
      </c>
      <c r="T137" s="4" t="n">
        <v>2.329</v>
      </c>
      <c r="U137" s="4">
        <f>IF(T137="",IFERROR(VLOOKUP($C137,Assumptions!$A$4:$F$7,6,FALSE),0),T137)</f>
        <v/>
      </c>
      <c r="V137" s="4">
        <f>N(M137)*IFERROR(VLOOKUP($C137,Assumptions!$A$4:$F$7,2,FALSE),0)</f>
        <v/>
      </c>
      <c r="W137" s="4">
        <f>N(Q137)*IFERROR(VLOOKUP($C137,Assumptions!$A$4:$F$7,3,FALSE),0)*Assumptions!$B$11</f>
        <v/>
      </c>
      <c r="X137" s="4">
        <f>N(L137)*IFERROR(VLOOKUP($C137,Assumptions!$A$4:$F$7,4,FALSE),0)</f>
        <v/>
      </c>
      <c r="Y137" s="4">
        <f>N(R137)*IFERROR(VLOOKUP($C137,Assumptions!$A$4:$F$7,5,FALSE),0)</f>
        <v/>
      </c>
      <c r="Z137" s="4">
        <f>N(S137)</f>
        <v/>
      </c>
      <c r="AA137" s="4">
        <f>SUM(U137:Z137)</f>
        <v/>
      </c>
      <c r="AB137" s="4">
        <f>N(AA137)*N(K137)/90</f>
        <v/>
      </c>
      <c r="AC137" s="4">
        <f>IFERROR(AB137-VLOOKUP($C137,Assumptions!$A$29:$C$32,3,FALSE),"")</f>
        <v/>
      </c>
      <c r="AD137" s="4">
        <f>IFERROR(AC137/F137,"")</f>
        <v/>
      </c>
      <c r="AE137">
        <f>IF(AND($E137=TRUE,$C137="GKP"),AB137,"")</f>
        <v/>
      </c>
      <c r="AF137">
        <f>IF(AND($E137=TRUE,$C137="DEF"),AB137,"")</f>
        <v/>
      </c>
      <c r="AG137">
        <f>IF(AND($E137=TRUE,$C137="MID"),AB137,"")</f>
        <v/>
      </c>
      <c r="AH137">
        <f>IF(AND($E137=TRUE,$C137="FWD"),AB137,"")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b">
        <v>1</v>
      </c>
      <c r="F138" s="2" t="n">
        <v>5.5</v>
      </c>
      <c r="G138" t="inlineStr">
        <is>
          <t>a</t>
        </is>
      </c>
      <c r="I138" s="2" t="n">
        <v>1898</v>
      </c>
      <c r="J138" t="n">
        <v>95</v>
      </c>
      <c r="K138" s="3" t="n">
        <v>1898</v>
      </c>
      <c r="L138" s="3" t="n">
        <v>0.29</v>
      </c>
      <c r="M138" s="4" t="n">
        <v>0.333</v>
      </c>
      <c r="N138" t="inlineStr">
        <is>
          <t>adjusted xGOT</t>
        </is>
      </c>
      <c r="O138" s="4" t="n">
        <v>0.86</v>
      </c>
      <c r="P138" s="4" t="n">
        <v>8.199999999999999</v>
      </c>
      <c r="Q138" s="4" t="n">
        <v>0.0342</v>
      </c>
      <c r="R138" s="4" t="n">
        <v>0</v>
      </c>
      <c r="S138" s="4" t="n">
        <v>0.4268</v>
      </c>
      <c r="T138" s="4" t="n">
        <v>2.703</v>
      </c>
      <c r="U138" s="4">
        <f>IF(T138="",IFERROR(VLOOKUP($C138,Assumptions!$A$4:$F$7,6,FALSE),0),T138)</f>
        <v/>
      </c>
      <c r="V138" s="4">
        <f>N(M138)*IFERROR(VLOOKUP($C138,Assumptions!$A$4:$F$7,2,FALSE),0)</f>
        <v/>
      </c>
      <c r="W138" s="4">
        <f>N(Q138)*IFERROR(VLOOKUP($C138,Assumptions!$A$4:$F$7,3,FALSE),0)*Assumptions!$B$11</f>
        <v/>
      </c>
      <c r="X138" s="4">
        <f>N(L138)*IFERROR(VLOOKUP($C138,Assumptions!$A$4:$F$7,4,FALSE),0)</f>
        <v/>
      </c>
      <c r="Y138" s="4">
        <f>N(R138)*IFERROR(VLOOKUP($C138,Assumptions!$A$4:$F$7,5,FALSE),0)</f>
        <v/>
      </c>
      <c r="Z138" s="4">
        <f>N(S138)</f>
        <v/>
      </c>
      <c r="AA138" s="4">
        <f>SUM(U138:Z138)</f>
        <v/>
      </c>
      <c r="AB138" s="4">
        <f>N(AA138)*N(K138)/90</f>
        <v/>
      </c>
      <c r="AC138" s="4">
        <f>IFERROR(AB138-VLOOKUP($C138,Assumptions!$A$29:$C$32,3,FALSE),"")</f>
        <v/>
      </c>
      <c r="AD138" s="4">
        <f>IFERROR(AC138/F138,"")</f>
        <v/>
      </c>
      <c r="AE138">
        <f>IF(AND($E138=TRUE,$C138="GKP"),AB138,"")</f>
        <v/>
      </c>
      <c r="AF138">
        <f>IF(AND($E138=TRUE,$C138="DEF"),AB138,"")</f>
        <v/>
      </c>
      <c r="AG138">
        <f>IF(AND($E138=TRUE,$C138="MID"),AB138,"")</f>
        <v/>
      </c>
      <c r="AH138">
        <f>IF(AND($E138=TRUE,$C138="FWD"),AB138,"")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b">
        <v>1</v>
      </c>
      <c r="F139" s="2" t="n">
        <v>5</v>
      </c>
      <c r="G139" t="inlineStr">
        <is>
          <t>a</t>
        </is>
      </c>
      <c r="I139" s="2" t="n">
        <v>1901</v>
      </c>
      <c r="J139" t="n">
        <v>94</v>
      </c>
      <c r="K139" s="3" t="n">
        <v>1901</v>
      </c>
      <c r="L139" s="3" t="n">
        <v>0.263</v>
      </c>
      <c r="M139" s="4" t="n">
        <v>0.0984</v>
      </c>
      <c r="N139" t="inlineStr">
        <is>
          <t>adjusted xGOT</t>
        </is>
      </c>
      <c r="O139" s="4" t="n">
        <v>1.082</v>
      </c>
      <c r="P139" s="4" t="n">
        <v>2.7</v>
      </c>
      <c r="Q139" s="4" t="n">
        <v>0.1119</v>
      </c>
      <c r="R139" s="4" t="n">
        <v>0.609</v>
      </c>
      <c r="S139" s="4" t="n">
        <v>0.2367</v>
      </c>
      <c r="T139" s="4" t="n">
        <v>2.178</v>
      </c>
      <c r="U139" s="4">
        <f>IF(T139="",IFERROR(VLOOKUP($C139,Assumptions!$A$4:$F$7,6,FALSE),0),T139)</f>
        <v/>
      </c>
      <c r="V139" s="4">
        <f>N(M139)*IFERROR(VLOOKUP($C139,Assumptions!$A$4:$F$7,2,FALSE),0)</f>
        <v/>
      </c>
      <c r="W139" s="4">
        <f>N(Q139)*IFERROR(VLOOKUP($C139,Assumptions!$A$4:$F$7,3,FALSE),0)*Assumptions!$B$11</f>
        <v/>
      </c>
      <c r="X139" s="4">
        <f>N(L139)*IFERROR(VLOOKUP($C139,Assumptions!$A$4:$F$7,4,FALSE),0)</f>
        <v/>
      </c>
      <c r="Y139" s="4">
        <f>N(R139)*IFERROR(VLOOKUP($C139,Assumptions!$A$4:$F$7,5,FALSE),0)</f>
        <v/>
      </c>
      <c r="Z139" s="4">
        <f>N(S139)</f>
        <v/>
      </c>
      <c r="AA139" s="4">
        <f>SUM(U139:Z139)</f>
        <v/>
      </c>
      <c r="AB139" s="4">
        <f>N(AA139)*N(K139)/90</f>
        <v/>
      </c>
      <c r="AC139" s="4">
        <f>IFERROR(AB139-VLOOKUP($C139,Assumptions!$A$29:$C$32,3,FALSE),"")</f>
        <v/>
      </c>
      <c r="AD139" s="4">
        <f>IFERROR(AC139/F139,"")</f>
        <v/>
      </c>
      <c r="AE139">
        <f>IF(AND($E139=TRUE,$C139="GKP"),AB139,"")</f>
        <v/>
      </c>
      <c r="AF139">
        <f>IF(AND($E139=TRUE,$C139="DEF"),AB139,"")</f>
        <v/>
      </c>
      <c r="AG139">
        <f>IF(AND($E139=TRUE,$C139="MID"),AB139,"")</f>
        <v/>
      </c>
      <c r="AH139">
        <f>IF(AND($E139=TRUE,$C139="FWD"),AB139,"")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b">
        <v>1</v>
      </c>
      <c r="F140" s="2" t="n">
        <v>4.5</v>
      </c>
      <c r="G140" t="inlineStr">
        <is>
          <t>a</t>
        </is>
      </c>
      <c r="I140" s="2" t="n">
        <v>1893</v>
      </c>
      <c r="J140" t="n">
        <v>94</v>
      </c>
      <c r="K140" s="3" t="n">
        <v>1893</v>
      </c>
      <c r="L140" s="3" t="n">
        <v>0.21</v>
      </c>
      <c r="M140" s="4" t="n">
        <v>0.0727</v>
      </c>
      <c r="N140" t="inlineStr">
        <is>
          <t>adjusted xGOT</t>
        </is>
      </c>
      <c r="O140" s="4" t="n">
        <v>0.836</v>
      </c>
      <c r="P140" s="4" t="n">
        <v>3.6</v>
      </c>
      <c r="Q140" s="4" t="n">
        <v>0.0887</v>
      </c>
      <c r="R140" s="4" t="n">
        <v>0.19</v>
      </c>
      <c r="S140" s="4" t="n">
        <v>0.3803</v>
      </c>
      <c r="T140" s="4" t="n">
        <v>2.33</v>
      </c>
      <c r="U140" s="4">
        <f>IF(T140="",IFERROR(VLOOKUP($C140,Assumptions!$A$4:$F$7,6,FALSE),0),T140)</f>
        <v/>
      </c>
      <c r="V140" s="4">
        <f>N(M140)*IFERROR(VLOOKUP($C140,Assumptions!$A$4:$F$7,2,FALSE),0)</f>
        <v/>
      </c>
      <c r="W140" s="4">
        <f>N(Q140)*IFERROR(VLOOKUP($C140,Assumptions!$A$4:$F$7,3,FALSE),0)*Assumptions!$B$11</f>
        <v/>
      </c>
      <c r="X140" s="4">
        <f>N(L140)*IFERROR(VLOOKUP($C140,Assumptions!$A$4:$F$7,4,FALSE),0)</f>
        <v/>
      </c>
      <c r="Y140" s="4">
        <f>N(R140)*IFERROR(VLOOKUP($C140,Assumptions!$A$4:$F$7,5,FALSE),0)</f>
        <v/>
      </c>
      <c r="Z140" s="4">
        <f>N(S140)</f>
        <v/>
      </c>
      <c r="AA140" s="4">
        <f>SUM(U140:Z140)</f>
        <v/>
      </c>
      <c r="AB140" s="4">
        <f>N(AA140)*N(K140)/90</f>
        <v/>
      </c>
      <c r="AC140" s="4">
        <f>IFERROR(AB140-VLOOKUP($C140,Assumptions!$A$29:$C$32,3,FALSE),"")</f>
        <v/>
      </c>
      <c r="AD140" s="4">
        <f>IFERROR(AC140/F140,"")</f>
        <v/>
      </c>
      <c r="AE140">
        <f>IF(AND($E140=TRUE,$C140="GKP"),AB140,"")</f>
        <v/>
      </c>
      <c r="AF140">
        <f>IF(AND($E140=TRUE,$C140="DEF"),AB140,"")</f>
        <v/>
      </c>
      <c r="AG140">
        <f>IF(AND($E140=TRUE,$C140="MID"),AB140,"")</f>
        <v/>
      </c>
      <c r="AH140">
        <f>IF(AND($E140=TRUE,$C140="FWD"),AB140,"")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b">
        <v>1</v>
      </c>
      <c r="F141" s="2" t="n">
        <v>5</v>
      </c>
      <c r="G141" t="inlineStr">
        <is>
          <t>a</t>
        </is>
      </c>
      <c r="I141" s="2" t="n">
        <v>2195</v>
      </c>
      <c r="J141" t="n">
        <v>93</v>
      </c>
      <c r="K141" s="3" t="n">
        <v>2195</v>
      </c>
      <c r="L141" s="3" t="n">
        <v>0.21</v>
      </c>
      <c r="M141" s="4" t="n">
        <v>0.0397</v>
      </c>
      <c r="N141" t="inlineStr">
        <is>
          <t>adjusted xGOT</t>
        </is>
      </c>
      <c r="O141" s="4" t="n">
        <v>0.896</v>
      </c>
      <c r="P141" s="4" t="n">
        <v>8.5</v>
      </c>
      <c r="Q141" s="4" t="n">
        <v>0.0158</v>
      </c>
      <c r="R141" s="4" t="n">
        <v>0.4</v>
      </c>
      <c r="S141" s="4" t="n">
        <v>0.123</v>
      </c>
      <c r="T141" s="4" t="n">
        <v>2.173</v>
      </c>
      <c r="U141" s="4">
        <f>IF(T141="",IFERROR(VLOOKUP($C141,Assumptions!$A$4:$F$7,6,FALSE),0),T141)</f>
        <v/>
      </c>
      <c r="V141" s="4">
        <f>N(M141)*IFERROR(VLOOKUP($C141,Assumptions!$A$4:$F$7,2,FALSE),0)</f>
        <v/>
      </c>
      <c r="W141" s="4">
        <f>N(Q141)*IFERROR(VLOOKUP($C141,Assumptions!$A$4:$F$7,3,FALSE),0)*Assumptions!$B$11</f>
        <v/>
      </c>
      <c r="X141" s="4">
        <f>N(L141)*IFERROR(VLOOKUP($C141,Assumptions!$A$4:$F$7,4,FALSE),0)</f>
        <v/>
      </c>
      <c r="Y141" s="4">
        <f>N(R141)*IFERROR(VLOOKUP($C141,Assumptions!$A$4:$F$7,5,FALSE),0)</f>
        <v/>
      </c>
      <c r="Z141" s="4">
        <f>N(S141)</f>
        <v/>
      </c>
      <c r="AA141" s="4">
        <f>SUM(U141:Z141)</f>
        <v/>
      </c>
      <c r="AB141" s="4">
        <f>N(AA141)*N(K141)/90</f>
        <v/>
      </c>
      <c r="AC141" s="4">
        <f>IFERROR(AB141-VLOOKUP($C141,Assumptions!$A$29:$C$32,3,FALSE),"")</f>
        <v/>
      </c>
      <c r="AD141" s="4">
        <f>IFERROR(AC141/F141,"")</f>
        <v/>
      </c>
      <c r="AE141">
        <f>IF(AND($E141=TRUE,$C141="GKP"),AB141,"")</f>
        <v/>
      </c>
      <c r="AF141">
        <f>IF(AND($E141=TRUE,$C141="DEF"),AB141,"")</f>
        <v/>
      </c>
      <c r="AG141">
        <f>IF(AND($E141=TRUE,$C141="MID"),AB141,"")</f>
        <v/>
      </c>
      <c r="AH141">
        <f>IF(AND($E141=TRUE,$C141="FWD"),AB141,"")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b">
        <v>1</v>
      </c>
      <c r="F142" s="2" t="n">
        <v>6</v>
      </c>
      <c r="G142" t="inlineStr">
        <is>
          <t>a</t>
        </is>
      </c>
      <c r="I142" s="2" t="n">
        <v>1623</v>
      </c>
      <c r="J142" t="n">
        <v>92</v>
      </c>
      <c r="K142" s="3" t="n">
        <v>1623</v>
      </c>
      <c r="L142" s="3" t="n">
        <v>0.421</v>
      </c>
      <c r="M142" s="4" t="n">
        <v>0.2473</v>
      </c>
      <c r="N142" t="inlineStr">
        <is>
          <t>adjusted xGOT</t>
        </is>
      </c>
      <c r="O142" s="4" t="n">
        <v>0.968</v>
      </c>
      <c r="P142" s="4" t="n">
        <v>4.6</v>
      </c>
      <c r="Q142" s="4" t="n">
        <v>0.1504</v>
      </c>
      <c r="R142" s="4" t="n">
        <v>0.053</v>
      </c>
      <c r="S142" s="4" t="n">
        <v>0.3327</v>
      </c>
      <c r="T142" s="4" t="n">
        <v>2.495</v>
      </c>
      <c r="U142" s="4">
        <f>IF(T142="",IFERROR(VLOOKUP($C142,Assumptions!$A$4:$F$7,6,FALSE),0),T142)</f>
        <v/>
      </c>
      <c r="V142" s="4">
        <f>N(M142)*IFERROR(VLOOKUP($C142,Assumptions!$A$4:$F$7,2,FALSE),0)</f>
        <v/>
      </c>
      <c r="W142" s="4">
        <f>N(Q142)*IFERROR(VLOOKUP($C142,Assumptions!$A$4:$F$7,3,FALSE),0)*Assumptions!$B$11</f>
        <v/>
      </c>
      <c r="X142" s="4">
        <f>N(L142)*IFERROR(VLOOKUP($C142,Assumptions!$A$4:$F$7,4,FALSE),0)</f>
        <v/>
      </c>
      <c r="Y142" s="4">
        <f>N(R142)*IFERROR(VLOOKUP($C142,Assumptions!$A$4:$F$7,5,FALSE),0)</f>
        <v/>
      </c>
      <c r="Z142" s="4">
        <f>N(S142)</f>
        <v/>
      </c>
      <c r="AA142" s="4">
        <f>SUM(U142:Z142)</f>
        <v/>
      </c>
      <c r="AB142" s="4">
        <f>N(AA142)*N(K142)/90</f>
        <v/>
      </c>
      <c r="AC142" s="4">
        <f>IFERROR(AB142-VLOOKUP($C142,Assumptions!$A$29:$C$32,3,FALSE),"")</f>
        <v/>
      </c>
      <c r="AD142" s="4">
        <f>IFERROR(AC142/F142,"")</f>
        <v/>
      </c>
      <c r="AE142">
        <f>IF(AND($E142=TRUE,$C142="GKP"),AB142,"")</f>
        <v/>
      </c>
      <c r="AF142">
        <f>IF(AND($E142=TRUE,$C142="DEF"),AB142,"")</f>
        <v/>
      </c>
      <c r="AG142">
        <f>IF(AND($E142=TRUE,$C142="MID"),AB142,"")</f>
        <v/>
      </c>
      <c r="AH142">
        <f>IF(AND($E142=TRUE,$C142="FWD"),AB142,"")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b">
        <v>1</v>
      </c>
      <c r="F143" s="2" t="n">
        <v>6</v>
      </c>
      <c r="G143" t="inlineStr">
        <is>
          <t>a</t>
        </is>
      </c>
      <c r="I143" s="2" t="n">
        <v>1920</v>
      </c>
      <c r="J143" t="n">
        <v>92</v>
      </c>
      <c r="K143" s="3" t="n">
        <v>1920</v>
      </c>
      <c r="L143" s="3" t="n">
        <v>0.29</v>
      </c>
      <c r="M143" s="4" t="n">
        <v>0.3039</v>
      </c>
      <c r="N143" t="inlineStr">
        <is>
          <t>adjusted xGOT</t>
        </is>
      </c>
      <c r="O143" s="4" t="n">
        <v>1.077</v>
      </c>
      <c r="P143" s="4" t="n">
        <v>6</v>
      </c>
      <c r="Q143" s="4" t="n">
        <v>0.0511</v>
      </c>
      <c r="R143" s="4" t="n">
        <v>0</v>
      </c>
      <c r="S143" s="4" t="n">
        <v>0.6094000000000001</v>
      </c>
      <c r="T143" s="4" t="n">
        <v>2.438</v>
      </c>
      <c r="U143" s="4">
        <f>IF(T143="",IFERROR(VLOOKUP($C143,Assumptions!$A$4:$F$7,6,FALSE),0),T143)</f>
        <v/>
      </c>
      <c r="V143" s="4">
        <f>N(M143)*IFERROR(VLOOKUP($C143,Assumptions!$A$4:$F$7,2,FALSE),0)</f>
        <v/>
      </c>
      <c r="W143" s="4">
        <f>N(Q143)*IFERROR(VLOOKUP($C143,Assumptions!$A$4:$F$7,3,FALSE),0)*Assumptions!$B$11</f>
        <v/>
      </c>
      <c r="X143" s="4">
        <f>N(L143)*IFERROR(VLOOKUP($C143,Assumptions!$A$4:$F$7,4,FALSE),0)</f>
        <v/>
      </c>
      <c r="Y143" s="4">
        <f>N(R143)*IFERROR(VLOOKUP($C143,Assumptions!$A$4:$F$7,5,FALSE),0)</f>
        <v/>
      </c>
      <c r="Z143" s="4">
        <f>N(S143)</f>
        <v/>
      </c>
      <c r="AA143" s="4">
        <f>SUM(U143:Z143)</f>
        <v/>
      </c>
      <c r="AB143" s="4">
        <f>N(AA143)*N(K143)/90</f>
        <v/>
      </c>
      <c r="AC143" s="4">
        <f>IFERROR(AB143-VLOOKUP($C143,Assumptions!$A$29:$C$32,3,FALSE),"")</f>
        <v/>
      </c>
      <c r="AD143" s="4">
        <f>IFERROR(AC143/F143,"")</f>
        <v/>
      </c>
      <c r="AE143">
        <f>IF(AND($E143=TRUE,$C143="GKP"),AB143,"")</f>
        <v/>
      </c>
      <c r="AF143">
        <f>IF(AND($E143=TRUE,$C143="DEF"),AB143,"")</f>
        <v/>
      </c>
      <c r="AG143">
        <f>IF(AND($E143=TRUE,$C143="MID"),AB143,"")</f>
        <v/>
      </c>
      <c r="AH143">
        <f>IF(AND($E143=TRUE,$C143="FWD"),AB143,"")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b">
        <v>1</v>
      </c>
      <c r="F144" s="2" t="n">
        <v>6</v>
      </c>
      <c r="G144" t="inlineStr">
        <is>
          <t>a</t>
        </is>
      </c>
      <c r="I144" s="2" t="n">
        <v>1736</v>
      </c>
      <c r="J144" t="n">
        <v>91</v>
      </c>
      <c r="K144" s="3" t="n">
        <v>1736</v>
      </c>
      <c r="L144" s="3" t="n">
        <v>0.263</v>
      </c>
      <c r="M144" s="4" t="n">
        <v>0.2866</v>
      </c>
      <c r="N144" t="inlineStr">
        <is>
          <t>adjusted xGOT</t>
        </is>
      </c>
      <c r="O144" s="4" t="n">
        <v>1.119</v>
      </c>
      <c r="P144" s="4" t="n">
        <v>9.800000000000001</v>
      </c>
      <c r="Q144" s="4" t="n">
        <v>0.1218</v>
      </c>
      <c r="R144" s="4" t="n">
        <v>0.05</v>
      </c>
      <c r="S144" s="4" t="n">
        <v>0.1037</v>
      </c>
      <c r="T144" s="4" t="n">
        <v>2.437</v>
      </c>
      <c r="U144" s="4">
        <f>IF(T144="",IFERROR(VLOOKUP($C144,Assumptions!$A$4:$F$7,6,FALSE),0),T144)</f>
        <v/>
      </c>
      <c r="V144" s="4">
        <f>N(M144)*IFERROR(VLOOKUP($C144,Assumptions!$A$4:$F$7,2,FALSE),0)</f>
        <v/>
      </c>
      <c r="W144" s="4">
        <f>N(Q144)*IFERROR(VLOOKUP($C144,Assumptions!$A$4:$F$7,3,FALSE),0)*Assumptions!$B$11</f>
        <v/>
      </c>
      <c r="X144" s="4">
        <f>N(L144)*IFERROR(VLOOKUP($C144,Assumptions!$A$4:$F$7,4,FALSE),0)</f>
        <v/>
      </c>
      <c r="Y144" s="4">
        <f>N(R144)*IFERROR(VLOOKUP($C144,Assumptions!$A$4:$F$7,5,FALSE),0)</f>
        <v/>
      </c>
      <c r="Z144" s="4">
        <f>N(S144)</f>
        <v/>
      </c>
      <c r="AA144" s="4">
        <f>SUM(U144:Z144)</f>
        <v/>
      </c>
      <c r="AB144" s="4">
        <f>N(AA144)*N(K144)/90</f>
        <v/>
      </c>
      <c r="AC144" s="4">
        <f>IFERROR(AB144-VLOOKUP($C144,Assumptions!$A$29:$C$32,3,FALSE),"")</f>
        <v/>
      </c>
      <c r="AD144" s="4">
        <f>IFERROR(AC144/F144,"")</f>
        <v/>
      </c>
      <c r="AE144">
        <f>IF(AND($E144=TRUE,$C144="GKP"),AB144,"")</f>
        <v/>
      </c>
      <c r="AF144">
        <f>IF(AND($E144=TRUE,$C144="DEF"),AB144,"")</f>
        <v/>
      </c>
      <c r="AG144">
        <f>IF(AND($E144=TRUE,$C144="MID"),AB144,"")</f>
        <v/>
      </c>
      <c r="AH144">
        <f>IF(AND($E144=TRUE,$C144="FWD"),AB144,"")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b">
        <v>1</v>
      </c>
      <c r="F145" s="2" t="n">
        <v>5</v>
      </c>
      <c r="G145" t="inlineStr">
        <is>
          <t>a</t>
        </is>
      </c>
      <c r="I145" s="2" t="n">
        <v>1869</v>
      </c>
      <c r="J145" t="n">
        <v>91</v>
      </c>
      <c r="K145" s="3" t="n">
        <v>1869</v>
      </c>
      <c r="L145" s="3" t="n">
        <v>0.237</v>
      </c>
      <c r="M145" s="4" t="n">
        <v>0.0701</v>
      </c>
      <c r="N145" t="inlineStr">
        <is>
          <t>adjusted xGOT</t>
        </is>
      </c>
      <c r="O145" s="4" t="n">
        <v>1.047</v>
      </c>
      <c r="P145" s="4" t="n">
        <v>7.7</v>
      </c>
      <c r="Q145" s="4" t="n">
        <v>0.0738</v>
      </c>
      <c r="R145" s="4" t="n">
        <v>0.409</v>
      </c>
      <c r="S145" s="4" t="n">
        <v>0.4815</v>
      </c>
      <c r="T145" s="4" t="n">
        <v>2.071</v>
      </c>
      <c r="U145" s="4">
        <f>IF(T145="",IFERROR(VLOOKUP($C145,Assumptions!$A$4:$F$7,6,FALSE),0),T145)</f>
        <v/>
      </c>
      <c r="V145" s="4">
        <f>N(M145)*IFERROR(VLOOKUP($C145,Assumptions!$A$4:$F$7,2,FALSE),0)</f>
        <v/>
      </c>
      <c r="W145" s="4">
        <f>N(Q145)*IFERROR(VLOOKUP($C145,Assumptions!$A$4:$F$7,3,FALSE),0)*Assumptions!$B$11</f>
        <v/>
      </c>
      <c r="X145" s="4">
        <f>N(L145)*IFERROR(VLOOKUP($C145,Assumptions!$A$4:$F$7,4,FALSE),0)</f>
        <v/>
      </c>
      <c r="Y145" s="4">
        <f>N(R145)*IFERROR(VLOOKUP($C145,Assumptions!$A$4:$F$7,5,FALSE),0)</f>
        <v/>
      </c>
      <c r="Z145" s="4">
        <f>N(S145)</f>
        <v/>
      </c>
      <c r="AA145" s="4">
        <f>SUM(U145:Z145)</f>
        <v/>
      </c>
      <c r="AB145" s="4">
        <f>N(AA145)*N(K145)/90</f>
        <v/>
      </c>
      <c r="AC145" s="4">
        <f>IFERROR(AB145-VLOOKUP($C145,Assumptions!$A$29:$C$32,3,FALSE),"")</f>
        <v/>
      </c>
      <c r="AD145" s="4">
        <f>IFERROR(AC145/F145,"")</f>
        <v/>
      </c>
      <c r="AE145">
        <f>IF(AND($E145=TRUE,$C145="GKP"),AB145,"")</f>
        <v/>
      </c>
      <c r="AF145">
        <f>IF(AND($E145=TRUE,$C145="DEF"),AB145,"")</f>
        <v/>
      </c>
      <c r="AG145">
        <f>IF(AND($E145=TRUE,$C145="MID"),AB145,"")</f>
        <v/>
      </c>
      <c r="AH145">
        <f>IF(AND($E145=TRUE,$C145="FWD"),AB145,"")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b">
        <v>1</v>
      </c>
      <c r="F146" s="2" t="n">
        <v>5</v>
      </c>
      <c r="G146" t="inlineStr">
        <is>
          <t>a</t>
        </is>
      </c>
      <c r="I146" s="2" t="n">
        <v>2904</v>
      </c>
      <c r="J146" t="n">
        <v>91</v>
      </c>
      <c r="K146" s="3" t="n">
        <v>2904</v>
      </c>
      <c r="L146" s="3" t="n">
        <v>0.237</v>
      </c>
      <c r="M146" s="4" t="n">
        <v>0.0373</v>
      </c>
      <c r="N146" t="inlineStr">
        <is>
          <t>adjusted xGOT</t>
        </is>
      </c>
      <c r="O146" s="4" t="n">
        <v>0.781</v>
      </c>
      <c r="P146" s="4" t="n">
        <v>4</v>
      </c>
      <c r="Q146" s="4" t="n">
        <v>0.054</v>
      </c>
      <c r="R146" s="4" t="n">
        <v>0.147</v>
      </c>
      <c r="S146" s="4" t="n">
        <v>0.093</v>
      </c>
      <c r="T146" s="4" t="n">
        <v>2.107</v>
      </c>
      <c r="U146" s="4">
        <f>IF(T146="",IFERROR(VLOOKUP($C146,Assumptions!$A$4:$F$7,6,FALSE),0),T146)</f>
        <v/>
      </c>
      <c r="V146" s="4">
        <f>N(M146)*IFERROR(VLOOKUP($C146,Assumptions!$A$4:$F$7,2,FALSE),0)</f>
        <v/>
      </c>
      <c r="W146" s="4">
        <f>N(Q146)*IFERROR(VLOOKUP($C146,Assumptions!$A$4:$F$7,3,FALSE),0)*Assumptions!$B$11</f>
        <v/>
      </c>
      <c r="X146" s="4">
        <f>N(L146)*IFERROR(VLOOKUP($C146,Assumptions!$A$4:$F$7,4,FALSE),0)</f>
        <v/>
      </c>
      <c r="Y146" s="4">
        <f>N(R146)*IFERROR(VLOOKUP($C146,Assumptions!$A$4:$F$7,5,FALSE),0)</f>
        <v/>
      </c>
      <c r="Z146" s="4">
        <f>N(S146)</f>
        <v/>
      </c>
      <c r="AA146" s="4">
        <f>SUM(U146:Z146)</f>
        <v/>
      </c>
      <c r="AB146" s="4">
        <f>N(AA146)*N(K146)/90</f>
        <v/>
      </c>
      <c r="AC146" s="4">
        <f>IFERROR(AB146-VLOOKUP($C146,Assumptions!$A$29:$C$32,3,FALSE),"")</f>
        <v/>
      </c>
      <c r="AD146" s="4">
        <f>IFERROR(AC146/F146,"")</f>
        <v/>
      </c>
      <c r="AE146">
        <f>IF(AND($E146=TRUE,$C146="GKP"),AB146,"")</f>
        <v/>
      </c>
      <c r="AF146">
        <f>IF(AND($E146=TRUE,$C146="DEF"),AB146,"")</f>
        <v/>
      </c>
      <c r="AG146">
        <f>IF(AND($E146=TRUE,$C146="MID"),AB146,"")</f>
        <v/>
      </c>
      <c r="AH146">
        <f>IF(AND($E146=TRUE,$C146="FWD"),AB146,"")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b">
        <v>1</v>
      </c>
      <c r="F147" s="2" t="n">
        <v>6</v>
      </c>
      <c r="G147" t="inlineStr">
        <is>
          <t>a</t>
        </is>
      </c>
      <c r="I147" s="2" t="n">
        <v>2339</v>
      </c>
      <c r="J147" t="n">
        <v>91</v>
      </c>
      <c r="K147" s="3" t="n">
        <v>2339</v>
      </c>
      <c r="L147" s="3" t="n">
        <v>0.21</v>
      </c>
      <c r="M147" s="4" t="n">
        <v>0.2011</v>
      </c>
      <c r="N147" t="inlineStr">
        <is>
          <t>adjusted xGOT</t>
        </is>
      </c>
      <c r="O147" s="4" t="n">
        <v>0.957</v>
      </c>
      <c r="P147" s="4" t="n">
        <v>10.7</v>
      </c>
      <c r="Q147" s="4" t="n">
        <v>0.1998</v>
      </c>
      <c r="R147" s="4" t="n">
        <v>0</v>
      </c>
      <c r="S147" s="4" t="n">
        <v>0.2309</v>
      </c>
      <c r="T147" s="4" t="n">
        <v>2.116</v>
      </c>
      <c r="U147" s="4">
        <f>IF(T147="",IFERROR(VLOOKUP($C147,Assumptions!$A$4:$F$7,6,FALSE),0),T147)</f>
        <v/>
      </c>
      <c r="V147" s="4">
        <f>N(M147)*IFERROR(VLOOKUP($C147,Assumptions!$A$4:$F$7,2,FALSE),0)</f>
        <v/>
      </c>
      <c r="W147" s="4">
        <f>N(Q147)*IFERROR(VLOOKUP($C147,Assumptions!$A$4:$F$7,3,FALSE),0)*Assumptions!$B$11</f>
        <v/>
      </c>
      <c r="X147" s="4">
        <f>N(L147)*IFERROR(VLOOKUP($C147,Assumptions!$A$4:$F$7,4,FALSE),0)</f>
        <v/>
      </c>
      <c r="Y147" s="4">
        <f>N(R147)*IFERROR(VLOOKUP($C147,Assumptions!$A$4:$F$7,5,FALSE),0)</f>
        <v/>
      </c>
      <c r="Z147" s="4">
        <f>N(S147)</f>
        <v/>
      </c>
      <c r="AA147" s="4">
        <f>SUM(U147:Z147)</f>
        <v/>
      </c>
      <c r="AB147" s="4">
        <f>N(AA147)*N(K147)/90</f>
        <v/>
      </c>
      <c r="AC147" s="4">
        <f>IFERROR(AB147-VLOOKUP($C147,Assumptions!$A$29:$C$32,3,FALSE),"")</f>
        <v/>
      </c>
      <c r="AD147" s="4">
        <f>IFERROR(AC147/F147,"")</f>
        <v/>
      </c>
      <c r="AE147">
        <f>IF(AND($E147=TRUE,$C147="GKP"),AB147,"")</f>
        <v/>
      </c>
      <c r="AF147">
        <f>IF(AND($E147=TRUE,$C147="DEF"),AB147,"")</f>
        <v/>
      </c>
      <c r="AG147">
        <f>IF(AND($E147=TRUE,$C147="MID"),AB147,"")</f>
        <v/>
      </c>
      <c r="AH147">
        <f>IF(AND($E147=TRUE,$C147="FWD"),AB147,"")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b">
        <v>1</v>
      </c>
      <c r="F148" s="2" t="n">
        <v>5.5</v>
      </c>
      <c r="G148" t="inlineStr">
        <is>
          <t>a</t>
        </is>
      </c>
      <c r="I148" s="2" t="n">
        <v>2340</v>
      </c>
      <c r="J148" t="n">
        <v>91</v>
      </c>
      <c r="K148" s="3" t="n">
        <v>2340</v>
      </c>
      <c r="L148" s="3" t="n">
        <v>0.263</v>
      </c>
      <c r="M148" s="4" t="n">
        <v>0</v>
      </c>
      <c r="N148" t="inlineStr">
        <is>
          <t>blended xG</t>
        </is>
      </c>
      <c r="O148" s="4" t="n">
        <v>1</v>
      </c>
      <c r="P148" s="4" t="n">
        <v>0</v>
      </c>
      <c r="Q148" s="4" t="n">
        <v>0.0005999999999999999</v>
      </c>
      <c r="R148" s="4" t="n">
        <v>0</v>
      </c>
      <c r="S148" s="4" t="n">
        <v>0.3077</v>
      </c>
      <c r="T148" s="4" t="n">
        <v>2</v>
      </c>
      <c r="U148" s="4">
        <f>IF(T148="",IFERROR(VLOOKUP($C148,Assumptions!$A$4:$F$7,6,FALSE),0),T148)</f>
        <v/>
      </c>
      <c r="V148" s="4">
        <f>N(M148)*IFERROR(VLOOKUP($C148,Assumptions!$A$4:$F$7,2,FALSE),0)</f>
        <v/>
      </c>
      <c r="W148" s="4">
        <f>N(Q148)*IFERROR(VLOOKUP($C148,Assumptions!$A$4:$F$7,3,FALSE),0)*Assumptions!$B$11</f>
        <v/>
      </c>
      <c r="X148" s="4">
        <f>N(L148)*IFERROR(VLOOKUP($C148,Assumptions!$A$4:$F$7,4,FALSE),0)</f>
        <v/>
      </c>
      <c r="Y148" s="4">
        <f>N(R148)*IFERROR(VLOOKUP($C148,Assumptions!$A$4:$F$7,5,FALSE),0)</f>
        <v/>
      </c>
      <c r="Z148" s="4">
        <f>N(S148)</f>
        <v/>
      </c>
      <c r="AA148" s="4">
        <f>SUM(U148:Z148)</f>
        <v/>
      </c>
      <c r="AB148" s="4">
        <f>N(AA148)*N(K148)/90</f>
        <v/>
      </c>
      <c r="AC148" s="4">
        <f>IFERROR(AB148-VLOOKUP($C148,Assumptions!$A$29:$C$32,3,FALSE),"")</f>
        <v/>
      </c>
      <c r="AD148" s="4">
        <f>IFERROR(AC148/F148,"")</f>
        <v/>
      </c>
      <c r="AE148">
        <f>IF(AND($E148=TRUE,$C148="GKP"),AB148,"")</f>
        <v/>
      </c>
      <c r="AF148">
        <f>IF(AND($E148=TRUE,$C148="DEF"),AB148,"")</f>
        <v/>
      </c>
      <c r="AG148">
        <f>IF(AND($E148=TRUE,$C148="MID"),AB148,"")</f>
        <v/>
      </c>
      <c r="AH148">
        <f>IF(AND($E148=TRUE,$C148="FWD"),AB148,"")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b">
        <v>1</v>
      </c>
      <c r="F149" s="2" t="n">
        <v>4.5</v>
      </c>
      <c r="G149" t="inlineStr">
        <is>
          <t>a</t>
        </is>
      </c>
      <c r="I149" s="2" t="n">
        <v>2790</v>
      </c>
      <c r="J149" t="n">
        <v>90</v>
      </c>
      <c r="K149" s="3" t="n">
        <v>2790</v>
      </c>
      <c r="L149" s="3" t="n">
        <v>0.237</v>
      </c>
      <c r="M149" s="4" t="n">
        <v>0</v>
      </c>
      <c r="N149" t="inlineStr">
        <is>
          <t>blended xG</t>
        </is>
      </c>
      <c r="O149" s="4" t="n">
        <v>1</v>
      </c>
      <c r="P149" s="4" t="n">
        <v>0</v>
      </c>
      <c r="Q149" s="4" t="n">
        <v>0.0018</v>
      </c>
      <c r="R149" s="4" t="n">
        <v>0</v>
      </c>
      <c r="S149" s="4" t="n">
        <v>0.2258</v>
      </c>
      <c r="T149" s="4" t="n">
        <v>2</v>
      </c>
      <c r="U149" s="4">
        <f>IF(T149="",IFERROR(VLOOKUP($C149,Assumptions!$A$4:$F$7,6,FALSE),0),T149)</f>
        <v/>
      </c>
      <c r="V149" s="4">
        <f>N(M149)*IFERROR(VLOOKUP($C149,Assumptions!$A$4:$F$7,2,FALSE),0)</f>
        <v/>
      </c>
      <c r="W149" s="4">
        <f>N(Q149)*IFERROR(VLOOKUP($C149,Assumptions!$A$4:$F$7,3,FALSE),0)*Assumptions!$B$11</f>
        <v/>
      </c>
      <c r="X149" s="4">
        <f>N(L149)*IFERROR(VLOOKUP($C149,Assumptions!$A$4:$F$7,4,FALSE),0)</f>
        <v/>
      </c>
      <c r="Y149" s="4">
        <f>N(R149)*IFERROR(VLOOKUP($C149,Assumptions!$A$4:$F$7,5,FALSE),0)</f>
        <v/>
      </c>
      <c r="Z149" s="4">
        <f>N(S149)</f>
        <v/>
      </c>
      <c r="AA149" s="4">
        <f>SUM(U149:Z149)</f>
        <v/>
      </c>
      <c r="AB149" s="4">
        <f>N(AA149)*N(K149)/90</f>
        <v/>
      </c>
      <c r="AC149" s="4">
        <f>IFERROR(AB149-VLOOKUP($C149,Assumptions!$A$29:$C$32,3,FALSE),"")</f>
        <v/>
      </c>
      <c r="AD149" s="4">
        <f>IFERROR(AC149/F149,"")</f>
        <v/>
      </c>
      <c r="AE149">
        <f>IF(AND($E149=TRUE,$C149="GKP"),AB149,"")</f>
        <v/>
      </c>
      <c r="AF149">
        <f>IF(AND($E149=TRUE,$C149="DEF"),AB149,"")</f>
        <v/>
      </c>
      <c r="AG149">
        <f>IF(AND($E149=TRUE,$C149="MID"),AB149,"")</f>
        <v/>
      </c>
      <c r="AH149">
        <f>IF(AND($E149=TRUE,$C149="FWD"),AB149,"")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b">
        <v>1</v>
      </c>
      <c r="F150" s="2" t="n">
        <v>5</v>
      </c>
      <c r="G150" t="inlineStr">
        <is>
          <t>a</t>
        </is>
      </c>
      <c r="I150" s="2" t="n">
        <v>1649</v>
      </c>
      <c r="J150" t="n">
        <v>90</v>
      </c>
      <c r="K150" s="3" t="n">
        <v>1649</v>
      </c>
      <c r="L150" s="3" t="n">
        <v>0.21</v>
      </c>
      <c r="M150" s="4" t="n">
        <v>0.0541</v>
      </c>
      <c r="N150" t="inlineStr">
        <is>
          <t>adjusted xGOT</t>
        </is>
      </c>
      <c r="O150" s="4" t="n">
        <v>0.885</v>
      </c>
      <c r="P150" s="4" t="n">
        <v>5.2</v>
      </c>
      <c r="Q150" s="4" t="n">
        <v>0.0334</v>
      </c>
      <c r="R150" s="4" t="n">
        <v>0.421</v>
      </c>
      <c r="S150" s="4" t="n">
        <v>0.2183</v>
      </c>
      <c r="T150" s="4" t="n">
        <v>2.292</v>
      </c>
      <c r="U150" s="4">
        <f>IF(T150="",IFERROR(VLOOKUP($C150,Assumptions!$A$4:$F$7,6,FALSE),0),T150)</f>
        <v/>
      </c>
      <c r="V150" s="4">
        <f>N(M150)*IFERROR(VLOOKUP($C150,Assumptions!$A$4:$F$7,2,FALSE),0)</f>
        <v/>
      </c>
      <c r="W150" s="4">
        <f>N(Q150)*IFERROR(VLOOKUP($C150,Assumptions!$A$4:$F$7,3,FALSE),0)*Assumptions!$B$11</f>
        <v/>
      </c>
      <c r="X150" s="4">
        <f>N(L150)*IFERROR(VLOOKUP($C150,Assumptions!$A$4:$F$7,4,FALSE),0)</f>
        <v/>
      </c>
      <c r="Y150" s="4">
        <f>N(R150)*IFERROR(VLOOKUP($C150,Assumptions!$A$4:$F$7,5,FALSE),0)</f>
        <v/>
      </c>
      <c r="Z150" s="4">
        <f>N(S150)</f>
        <v/>
      </c>
      <c r="AA150" s="4">
        <f>SUM(U150:Z150)</f>
        <v/>
      </c>
      <c r="AB150" s="4">
        <f>N(AA150)*N(K150)/90</f>
        <v/>
      </c>
      <c r="AC150" s="4">
        <f>IFERROR(AB150-VLOOKUP($C150,Assumptions!$A$29:$C$32,3,FALSE),"")</f>
        <v/>
      </c>
      <c r="AD150" s="4">
        <f>IFERROR(AC150/F150,"")</f>
        <v/>
      </c>
      <c r="AE150">
        <f>IF(AND($E150=TRUE,$C150="GKP"),AB150,"")</f>
        <v/>
      </c>
      <c r="AF150">
        <f>IF(AND($E150=TRUE,$C150="DEF"),AB150,"")</f>
        <v/>
      </c>
      <c r="AG150">
        <f>IF(AND($E150=TRUE,$C150="MID"),AB150,"")</f>
        <v/>
      </c>
      <c r="AH150">
        <f>IF(AND($E150=TRUE,$C150="FWD"),AB150,"")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b">
        <v>1</v>
      </c>
      <c r="F151" s="2" t="n">
        <v>5</v>
      </c>
      <c r="G151" t="inlineStr">
        <is>
          <t>a</t>
        </is>
      </c>
      <c r="I151" s="2" t="n">
        <v>1834</v>
      </c>
      <c r="J151" t="n">
        <v>89</v>
      </c>
      <c r="K151" s="3" t="n">
        <v>1834</v>
      </c>
      <c r="L151" s="3" t="n">
        <v>0.21</v>
      </c>
      <c r="M151" s="4" t="n">
        <v>0.0794</v>
      </c>
      <c r="N151" t="inlineStr">
        <is>
          <t>adjusted xGOT</t>
        </is>
      </c>
      <c r="O151" s="4" t="n">
        <v>0.9350000000000001</v>
      </c>
      <c r="P151" s="4" t="n">
        <v>5.7</v>
      </c>
      <c r="Q151" s="4" t="n">
        <v>0.0575</v>
      </c>
      <c r="R151" s="4" t="n">
        <v>0.524</v>
      </c>
      <c r="S151" s="4" t="n">
        <v>0.2944</v>
      </c>
      <c r="T151" s="4" t="n">
        <v>2.208</v>
      </c>
      <c r="U151" s="4">
        <f>IF(T151="",IFERROR(VLOOKUP($C151,Assumptions!$A$4:$F$7,6,FALSE),0),T151)</f>
        <v/>
      </c>
      <c r="V151" s="4">
        <f>N(M151)*IFERROR(VLOOKUP($C151,Assumptions!$A$4:$F$7,2,FALSE),0)</f>
        <v/>
      </c>
      <c r="W151" s="4">
        <f>N(Q151)*IFERROR(VLOOKUP($C151,Assumptions!$A$4:$F$7,3,FALSE),0)*Assumptions!$B$11</f>
        <v/>
      </c>
      <c r="X151" s="4">
        <f>N(L151)*IFERROR(VLOOKUP($C151,Assumptions!$A$4:$F$7,4,FALSE),0)</f>
        <v/>
      </c>
      <c r="Y151" s="4">
        <f>N(R151)*IFERROR(VLOOKUP($C151,Assumptions!$A$4:$F$7,5,FALSE),0)</f>
        <v/>
      </c>
      <c r="Z151" s="4">
        <f>N(S151)</f>
        <v/>
      </c>
      <c r="AA151" s="4">
        <f>SUM(U151:Z151)</f>
        <v/>
      </c>
      <c r="AB151" s="4">
        <f>N(AA151)*N(K151)/90</f>
        <v/>
      </c>
      <c r="AC151" s="4">
        <f>IFERROR(AB151-VLOOKUP($C151,Assumptions!$A$29:$C$32,3,FALSE),"")</f>
        <v/>
      </c>
      <c r="AD151" s="4">
        <f>IFERROR(AC151/F151,"")</f>
        <v/>
      </c>
      <c r="AE151">
        <f>IF(AND($E151=TRUE,$C151="GKP"),AB151,"")</f>
        <v/>
      </c>
      <c r="AF151">
        <f>IF(AND($E151=TRUE,$C151="DEF"),AB151,"")</f>
        <v/>
      </c>
      <c r="AG151">
        <f>IF(AND($E151=TRUE,$C151="MID"),AB151,"")</f>
        <v/>
      </c>
      <c r="AH151">
        <f>IF(AND($E151=TRUE,$C151="FWD"),AB151,"")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b">
        <v>1</v>
      </c>
      <c r="F152" s="2" t="n">
        <v>5</v>
      </c>
      <c r="G152" t="inlineStr">
        <is>
          <t>a</t>
        </is>
      </c>
      <c r="I152" s="2" t="n">
        <v>2073</v>
      </c>
      <c r="J152" t="n">
        <v>89</v>
      </c>
      <c r="K152" s="3" t="n">
        <v>2073</v>
      </c>
      <c r="L152" s="3" t="n">
        <v>0.237</v>
      </c>
      <c r="M152" s="4" t="n">
        <v>0.0511</v>
      </c>
      <c r="N152" t="inlineStr">
        <is>
          <t>adjusted xGOT</t>
        </is>
      </c>
      <c r="O152" s="4" t="n">
        <v>1.015</v>
      </c>
      <c r="P152" s="4" t="n">
        <v>1.8</v>
      </c>
      <c r="Q152" s="4" t="n">
        <v>0.07049999999999999</v>
      </c>
      <c r="R152" s="4" t="n">
        <v>0.36</v>
      </c>
      <c r="S152" s="4" t="n">
        <v>0.0868</v>
      </c>
      <c r="T152" s="4" t="n">
        <v>2.171</v>
      </c>
      <c r="U152" s="4">
        <f>IF(T152="",IFERROR(VLOOKUP($C152,Assumptions!$A$4:$F$7,6,FALSE),0),T152)</f>
        <v/>
      </c>
      <c r="V152" s="4">
        <f>N(M152)*IFERROR(VLOOKUP($C152,Assumptions!$A$4:$F$7,2,FALSE),0)</f>
        <v/>
      </c>
      <c r="W152" s="4">
        <f>N(Q152)*IFERROR(VLOOKUP($C152,Assumptions!$A$4:$F$7,3,FALSE),0)*Assumptions!$B$11</f>
        <v/>
      </c>
      <c r="X152" s="4">
        <f>N(L152)*IFERROR(VLOOKUP($C152,Assumptions!$A$4:$F$7,4,FALSE),0)</f>
        <v/>
      </c>
      <c r="Y152" s="4">
        <f>N(R152)*IFERROR(VLOOKUP($C152,Assumptions!$A$4:$F$7,5,FALSE),0)</f>
        <v/>
      </c>
      <c r="Z152" s="4">
        <f>N(S152)</f>
        <v/>
      </c>
      <c r="AA152" s="4">
        <f>SUM(U152:Z152)</f>
        <v/>
      </c>
      <c r="AB152" s="4">
        <f>N(AA152)*N(K152)/90</f>
        <v/>
      </c>
      <c r="AC152" s="4">
        <f>IFERROR(AB152-VLOOKUP($C152,Assumptions!$A$29:$C$32,3,FALSE),"")</f>
        <v/>
      </c>
      <c r="AD152" s="4">
        <f>IFERROR(AC152/F152,"")</f>
        <v/>
      </c>
      <c r="AE152">
        <f>IF(AND($E152=TRUE,$C152="GKP"),AB152,"")</f>
        <v/>
      </c>
      <c r="AF152">
        <f>IF(AND($E152=TRUE,$C152="DEF"),AB152,"")</f>
        <v/>
      </c>
      <c r="AG152">
        <f>IF(AND($E152=TRUE,$C152="MID"),AB152,"")</f>
        <v/>
      </c>
      <c r="AH152">
        <f>IF(AND($E152=TRUE,$C152="FWD"),AB152,"")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b">
        <v>1</v>
      </c>
      <c r="F153" s="2" t="n">
        <v>6</v>
      </c>
      <c r="G153" t="inlineStr">
        <is>
          <t>a</t>
        </is>
      </c>
      <c r="I153" s="2" t="n">
        <v>1838</v>
      </c>
      <c r="J153" t="n">
        <v>88</v>
      </c>
      <c r="K153" s="3" t="n">
        <v>1838</v>
      </c>
      <c r="L153" s="3" t="n">
        <v>0.237</v>
      </c>
      <c r="M153" s="4" t="n">
        <v>0.1583</v>
      </c>
      <c r="N153" t="inlineStr">
        <is>
          <t>adjusted xGOT</t>
        </is>
      </c>
      <c r="O153" s="4" t="n">
        <v>1.167</v>
      </c>
      <c r="P153" s="4" t="n">
        <v>7.9</v>
      </c>
      <c r="Q153" s="4" t="n">
        <v>0.1703</v>
      </c>
      <c r="R153" s="4" t="n">
        <v>0</v>
      </c>
      <c r="S153" s="4" t="n">
        <v>0.3917</v>
      </c>
      <c r="T153" s="4" t="n">
        <v>2.301</v>
      </c>
      <c r="U153" s="4">
        <f>IF(T153="",IFERROR(VLOOKUP($C153,Assumptions!$A$4:$F$7,6,FALSE),0),T153)</f>
        <v/>
      </c>
      <c r="V153" s="4">
        <f>N(M153)*IFERROR(VLOOKUP($C153,Assumptions!$A$4:$F$7,2,FALSE),0)</f>
        <v/>
      </c>
      <c r="W153" s="4">
        <f>N(Q153)*IFERROR(VLOOKUP($C153,Assumptions!$A$4:$F$7,3,FALSE),0)*Assumptions!$B$11</f>
        <v/>
      </c>
      <c r="X153" s="4">
        <f>N(L153)*IFERROR(VLOOKUP($C153,Assumptions!$A$4:$F$7,4,FALSE),0)</f>
        <v/>
      </c>
      <c r="Y153" s="4">
        <f>N(R153)*IFERROR(VLOOKUP($C153,Assumptions!$A$4:$F$7,5,FALSE),0)</f>
        <v/>
      </c>
      <c r="Z153" s="4">
        <f>N(S153)</f>
        <v/>
      </c>
      <c r="AA153" s="4">
        <f>SUM(U153:Z153)</f>
        <v/>
      </c>
      <c r="AB153" s="4">
        <f>N(AA153)*N(K153)/90</f>
        <v/>
      </c>
      <c r="AC153" s="4">
        <f>IFERROR(AB153-VLOOKUP($C153,Assumptions!$A$29:$C$32,3,FALSE),"")</f>
        <v/>
      </c>
      <c r="AD153" s="4">
        <f>IFERROR(AC153/F153,"")</f>
        <v/>
      </c>
      <c r="AE153">
        <f>IF(AND($E153=TRUE,$C153="GKP"),AB153,"")</f>
        <v/>
      </c>
      <c r="AF153">
        <f>IF(AND($E153=TRUE,$C153="DEF"),AB153,"")</f>
        <v/>
      </c>
      <c r="AG153">
        <f>IF(AND($E153=TRUE,$C153="MID"),AB153,"")</f>
        <v/>
      </c>
      <c r="AH153">
        <f>IF(AND($E153=TRUE,$C153="FWD"),AB153,"")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b">
        <v>1</v>
      </c>
      <c r="F154" s="2" t="n">
        <v>5.5</v>
      </c>
      <c r="G154" t="inlineStr">
        <is>
          <t>a</t>
        </is>
      </c>
      <c r="I154" s="2" t="n">
        <v>1776</v>
      </c>
      <c r="J154" t="n">
        <v>87</v>
      </c>
      <c r="K154" s="3" t="n">
        <v>1776</v>
      </c>
      <c r="L154" s="3" t="n">
        <v>0.263</v>
      </c>
      <c r="M154" s="4" t="n">
        <v>0.1425</v>
      </c>
      <c r="N154" t="inlineStr">
        <is>
          <t>adjusted xGOT</t>
        </is>
      </c>
      <c r="O154" s="4" t="n">
        <v>0.97</v>
      </c>
      <c r="P154" s="4" t="n">
        <v>7.9</v>
      </c>
      <c r="Q154" s="4" t="n">
        <v>0.19</v>
      </c>
      <c r="R154" s="4" t="n">
        <v>0.05</v>
      </c>
      <c r="S154" s="4" t="n">
        <v>0.1014</v>
      </c>
      <c r="T154" s="4" t="n">
        <v>2.534</v>
      </c>
      <c r="U154" s="4">
        <f>IF(T154="",IFERROR(VLOOKUP($C154,Assumptions!$A$4:$F$7,6,FALSE),0),T154)</f>
        <v/>
      </c>
      <c r="V154" s="4">
        <f>N(M154)*IFERROR(VLOOKUP($C154,Assumptions!$A$4:$F$7,2,FALSE),0)</f>
        <v/>
      </c>
      <c r="W154" s="4">
        <f>N(Q154)*IFERROR(VLOOKUP($C154,Assumptions!$A$4:$F$7,3,FALSE),0)*Assumptions!$B$11</f>
        <v/>
      </c>
      <c r="X154" s="4">
        <f>N(L154)*IFERROR(VLOOKUP($C154,Assumptions!$A$4:$F$7,4,FALSE),0)</f>
        <v/>
      </c>
      <c r="Y154" s="4">
        <f>N(R154)*IFERROR(VLOOKUP($C154,Assumptions!$A$4:$F$7,5,FALSE),0)</f>
        <v/>
      </c>
      <c r="Z154" s="4">
        <f>N(S154)</f>
        <v/>
      </c>
      <c r="AA154" s="4">
        <f>SUM(U154:Z154)</f>
        <v/>
      </c>
      <c r="AB154" s="4">
        <f>N(AA154)*N(K154)/90</f>
        <v/>
      </c>
      <c r="AC154" s="4">
        <f>IFERROR(AB154-VLOOKUP($C154,Assumptions!$A$29:$C$32,3,FALSE),"")</f>
        <v/>
      </c>
      <c r="AD154" s="4">
        <f>IFERROR(AC154/F154,"")</f>
        <v/>
      </c>
      <c r="AE154">
        <f>IF(AND($E154=TRUE,$C154="GKP"),AB154,"")</f>
        <v/>
      </c>
      <c r="AF154">
        <f>IF(AND($E154=TRUE,$C154="DEF"),AB154,"")</f>
        <v/>
      </c>
      <c r="AG154">
        <f>IF(AND($E154=TRUE,$C154="MID"),AB154,"")</f>
        <v/>
      </c>
      <c r="AH154">
        <f>IF(AND($E154=TRUE,$C154="FWD"),AB154,"")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b">
        <v>1</v>
      </c>
      <c r="F155" s="2" t="n">
        <v>5.5</v>
      </c>
      <c r="G155" t="inlineStr">
        <is>
          <t>a</t>
        </is>
      </c>
      <c r="I155" s="2" t="n">
        <v>1787</v>
      </c>
      <c r="J155" t="n">
        <v>87</v>
      </c>
      <c r="K155" s="3" t="n">
        <v>1787</v>
      </c>
      <c r="L155" s="3" t="n">
        <v>0.5</v>
      </c>
      <c r="M155" s="4" t="n">
        <v>0.018</v>
      </c>
      <c r="N155" t="inlineStr">
        <is>
          <t>adjusted xGOT</t>
        </is>
      </c>
      <c r="O155" s="4" t="n">
        <v>0.993</v>
      </c>
      <c r="P155" s="4" t="n">
        <v>0.4</v>
      </c>
      <c r="Q155" s="4" t="n">
        <v>0.0956</v>
      </c>
      <c r="R155" s="4" t="n">
        <v>0.35</v>
      </c>
      <c r="S155" s="4" t="n">
        <v>0.2518</v>
      </c>
      <c r="T155" s="4" t="n">
        <v>2.166</v>
      </c>
      <c r="U155" s="4">
        <f>IF(T155="",IFERROR(VLOOKUP($C155,Assumptions!$A$4:$F$7,6,FALSE),0),T155)</f>
        <v/>
      </c>
      <c r="V155" s="4">
        <f>N(M155)*IFERROR(VLOOKUP($C155,Assumptions!$A$4:$F$7,2,FALSE),0)</f>
        <v/>
      </c>
      <c r="W155" s="4">
        <f>N(Q155)*IFERROR(VLOOKUP($C155,Assumptions!$A$4:$F$7,3,FALSE),0)*Assumptions!$B$11</f>
        <v/>
      </c>
      <c r="X155" s="4">
        <f>N(L155)*IFERROR(VLOOKUP($C155,Assumptions!$A$4:$F$7,4,FALSE),0)</f>
        <v/>
      </c>
      <c r="Y155" s="4">
        <f>N(R155)*IFERROR(VLOOKUP($C155,Assumptions!$A$4:$F$7,5,FALSE),0)</f>
        <v/>
      </c>
      <c r="Z155" s="4">
        <f>N(S155)</f>
        <v/>
      </c>
      <c r="AA155" s="4">
        <f>SUM(U155:Z155)</f>
        <v/>
      </c>
      <c r="AB155" s="4">
        <f>N(AA155)*N(K155)/90</f>
        <v/>
      </c>
      <c r="AC155" s="4">
        <f>IFERROR(AB155-VLOOKUP($C155,Assumptions!$A$29:$C$32,3,FALSE),"")</f>
        <v/>
      </c>
      <c r="AD155" s="4">
        <f>IFERROR(AC155/F155,"")</f>
        <v/>
      </c>
      <c r="AE155">
        <f>IF(AND($E155=TRUE,$C155="GKP"),AB155,"")</f>
        <v/>
      </c>
      <c r="AF155">
        <f>IF(AND($E155=TRUE,$C155="DEF"),AB155,"")</f>
        <v/>
      </c>
      <c r="AG155">
        <f>IF(AND($E155=TRUE,$C155="MID"),AB155,"")</f>
        <v/>
      </c>
      <c r="AH155">
        <f>IF(AND($E155=TRUE,$C155="FWD"),AB155,"")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b">
        <v>1</v>
      </c>
      <c r="F156" s="2" t="n">
        <v>5.5</v>
      </c>
      <c r="G156" t="inlineStr">
        <is>
          <t>a</t>
        </is>
      </c>
      <c r="I156" s="2" t="n">
        <v>1880</v>
      </c>
      <c r="J156" t="n">
        <v>86</v>
      </c>
      <c r="K156" s="3" t="n">
        <v>1880</v>
      </c>
      <c r="L156" s="3" t="n">
        <v>0.237</v>
      </c>
      <c r="M156" s="4" t="n">
        <v>0.0346</v>
      </c>
      <c r="N156" t="inlineStr">
        <is>
          <t>adjusted xGOT</t>
        </is>
      </c>
      <c r="O156" s="4" t="n">
        <v>1.004</v>
      </c>
      <c r="P156" s="4" t="n">
        <v>6.4</v>
      </c>
      <c r="Q156" s="4" t="n">
        <v>0.0411</v>
      </c>
      <c r="R156" s="4" t="n">
        <v>0.5649999999999999</v>
      </c>
      <c r="S156" s="4" t="n">
        <v>0.1915</v>
      </c>
      <c r="T156" s="4" t="n">
        <v>2.25</v>
      </c>
      <c r="U156" s="4">
        <f>IF(T156="",IFERROR(VLOOKUP($C156,Assumptions!$A$4:$F$7,6,FALSE),0),T156)</f>
        <v/>
      </c>
      <c r="V156" s="4">
        <f>N(M156)*IFERROR(VLOOKUP($C156,Assumptions!$A$4:$F$7,2,FALSE),0)</f>
        <v/>
      </c>
      <c r="W156" s="4">
        <f>N(Q156)*IFERROR(VLOOKUP($C156,Assumptions!$A$4:$F$7,3,FALSE),0)*Assumptions!$B$11</f>
        <v/>
      </c>
      <c r="X156" s="4">
        <f>N(L156)*IFERROR(VLOOKUP($C156,Assumptions!$A$4:$F$7,4,FALSE),0)</f>
        <v/>
      </c>
      <c r="Y156" s="4">
        <f>N(R156)*IFERROR(VLOOKUP($C156,Assumptions!$A$4:$F$7,5,FALSE),0)</f>
        <v/>
      </c>
      <c r="Z156" s="4">
        <f>N(S156)</f>
        <v/>
      </c>
      <c r="AA156" s="4">
        <f>SUM(U156:Z156)</f>
        <v/>
      </c>
      <c r="AB156" s="4">
        <f>N(AA156)*N(K156)/90</f>
        <v/>
      </c>
      <c r="AC156" s="4">
        <f>IFERROR(AB156-VLOOKUP($C156,Assumptions!$A$29:$C$32,3,FALSE),"")</f>
        <v/>
      </c>
      <c r="AD156" s="4">
        <f>IFERROR(AC156/F156,"")</f>
        <v/>
      </c>
      <c r="AE156">
        <f>IF(AND($E156=TRUE,$C156="GKP"),AB156,"")</f>
        <v/>
      </c>
      <c r="AF156">
        <f>IF(AND($E156=TRUE,$C156="DEF"),AB156,"")</f>
        <v/>
      </c>
      <c r="AG156">
        <f>IF(AND($E156=TRUE,$C156="MID"),AB156,"")</f>
        <v/>
      </c>
      <c r="AH156">
        <f>IF(AND($E156=TRUE,$C156="FWD"),AB156,"")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b">
        <v>1</v>
      </c>
      <c r="F157" s="2" t="n">
        <v>5.5</v>
      </c>
      <c r="G157" t="inlineStr">
        <is>
          <t>a</t>
        </is>
      </c>
      <c r="I157" s="2" t="n">
        <v>2251</v>
      </c>
      <c r="J157" t="n">
        <v>85</v>
      </c>
      <c r="K157" s="3" t="n">
        <v>2251</v>
      </c>
      <c r="L157" s="3" t="n">
        <v>0.263</v>
      </c>
      <c r="M157" s="4" t="n">
        <v>0.0573</v>
      </c>
      <c r="N157" t="inlineStr">
        <is>
          <t>adjusted xGOT</t>
        </is>
      </c>
      <c r="O157" s="4" t="n">
        <v>0.954</v>
      </c>
      <c r="P157" s="4" t="n">
        <v>3.4</v>
      </c>
      <c r="Q157" s="4" t="n">
        <v>0.051</v>
      </c>
      <c r="R157" s="4" t="n">
        <v>0.037</v>
      </c>
      <c r="S157" s="4" t="n">
        <v>0.1199</v>
      </c>
      <c r="T157" s="4" t="n">
        <v>2.279</v>
      </c>
      <c r="U157" s="4">
        <f>IF(T157="",IFERROR(VLOOKUP($C157,Assumptions!$A$4:$F$7,6,FALSE),0),T157)</f>
        <v/>
      </c>
      <c r="V157" s="4">
        <f>N(M157)*IFERROR(VLOOKUP($C157,Assumptions!$A$4:$F$7,2,FALSE),0)</f>
        <v/>
      </c>
      <c r="W157" s="4">
        <f>N(Q157)*IFERROR(VLOOKUP($C157,Assumptions!$A$4:$F$7,3,FALSE),0)*Assumptions!$B$11</f>
        <v/>
      </c>
      <c r="X157" s="4">
        <f>N(L157)*IFERROR(VLOOKUP($C157,Assumptions!$A$4:$F$7,4,FALSE),0)</f>
        <v/>
      </c>
      <c r="Y157" s="4">
        <f>N(R157)*IFERROR(VLOOKUP($C157,Assumptions!$A$4:$F$7,5,FALSE),0)</f>
        <v/>
      </c>
      <c r="Z157" s="4">
        <f>N(S157)</f>
        <v/>
      </c>
      <c r="AA157" s="4">
        <f>SUM(U157:Z157)</f>
        <v/>
      </c>
      <c r="AB157" s="4">
        <f>N(AA157)*N(K157)/90</f>
        <v/>
      </c>
      <c r="AC157" s="4">
        <f>IFERROR(AB157-VLOOKUP($C157,Assumptions!$A$29:$C$32,3,FALSE),"")</f>
        <v/>
      </c>
      <c r="AD157" s="4">
        <f>IFERROR(AC157/F157,"")</f>
        <v/>
      </c>
      <c r="AE157">
        <f>IF(AND($E157=TRUE,$C157="GKP"),AB157,"")</f>
        <v/>
      </c>
      <c r="AF157">
        <f>IF(AND($E157=TRUE,$C157="DEF"),AB157,"")</f>
        <v/>
      </c>
      <c r="AG157">
        <f>IF(AND($E157=TRUE,$C157="MID"),AB157,"")</f>
        <v/>
      </c>
      <c r="AH157">
        <f>IF(AND($E157=TRUE,$C157="FWD"),AB157,"")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b">
        <v>1</v>
      </c>
      <c r="F158" s="2" t="n">
        <v>4.5</v>
      </c>
      <c r="G158" t="inlineStr">
        <is>
          <t>a</t>
        </is>
      </c>
      <c r="I158" s="2" t="n">
        <v>1404</v>
      </c>
      <c r="J158" t="n">
        <v>84</v>
      </c>
      <c r="K158" s="3" t="n">
        <v>1404</v>
      </c>
      <c r="L158" s="3" t="n">
        <v>0.263</v>
      </c>
      <c r="M158" s="4" t="n">
        <v>0.109</v>
      </c>
      <c r="N158" t="inlineStr">
        <is>
          <t>adjusted xGOT</t>
        </is>
      </c>
      <c r="O158" s="4" t="n">
        <v>1.025</v>
      </c>
      <c r="P158" s="4" t="n">
        <v>1.7</v>
      </c>
      <c r="Q158" s="4" t="n">
        <v>0.2809</v>
      </c>
      <c r="R158" s="4" t="n">
        <v>0</v>
      </c>
      <c r="S158" s="4" t="n">
        <v>0.5769</v>
      </c>
      <c r="T158" s="4" t="n">
        <v>2.692</v>
      </c>
      <c r="U158" s="4">
        <f>IF(T158="",IFERROR(VLOOKUP($C158,Assumptions!$A$4:$F$7,6,FALSE),0),T158)</f>
        <v/>
      </c>
      <c r="V158" s="4">
        <f>N(M158)*IFERROR(VLOOKUP($C158,Assumptions!$A$4:$F$7,2,FALSE),0)</f>
        <v/>
      </c>
      <c r="W158" s="4">
        <f>N(Q158)*IFERROR(VLOOKUP($C158,Assumptions!$A$4:$F$7,3,FALSE),0)*Assumptions!$B$11</f>
        <v/>
      </c>
      <c r="X158" s="4">
        <f>N(L158)*IFERROR(VLOOKUP($C158,Assumptions!$A$4:$F$7,4,FALSE),0)</f>
        <v/>
      </c>
      <c r="Y158" s="4">
        <f>N(R158)*IFERROR(VLOOKUP($C158,Assumptions!$A$4:$F$7,5,FALSE),0)</f>
        <v/>
      </c>
      <c r="Z158" s="4">
        <f>N(S158)</f>
        <v/>
      </c>
      <c r="AA158" s="4">
        <f>SUM(U158:Z158)</f>
        <v/>
      </c>
      <c r="AB158" s="4">
        <f>N(AA158)*N(K158)/90</f>
        <v/>
      </c>
      <c r="AC158" s="4">
        <f>IFERROR(AB158-VLOOKUP($C158,Assumptions!$A$29:$C$32,3,FALSE),"")</f>
        <v/>
      </c>
      <c r="AD158" s="4">
        <f>IFERROR(AC158/F158,"")</f>
        <v/>
      </c>
      <c r="AE158">
        <f>IF(AND($E158=TRUE,$C158="GKP"),AB158,"")</f>
        <v/>
      </c>
      <c r="AF158">
        <f>IF(AND($E158=TRUE,$C158="DEF"),AB158,"")</f>
        <v/>
      </c>
      <c r="AG158">
        <f>IF(AND($E158=TRUE,$C158="MID"),AB158,"")</f>
        <v/>
      </c>
      <c r="AH158">
        <f>IF(AND($E158=TRUE,$C158="FWD"),AB158,"")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b">
        <v>1</v>
      </c>
      <c r="F159" s="2" t="n">
        <v>5</v>
      </c>
      <c r="G159" t="inlineStr">
        <is>
          <t>a</t>
        </is>
      </c>
      <c r="I159" s="2" t="n">
        <v>2100</v>
      </c>
      <c r="J159" t="n">
        <v>84</v>
      </c>
      <c r="K159" s="3" t="n">
        <v>2100</v>
      </c>
      <c r="L159" s="3" t="n"/>
      <c r="M159" s="4" t="n">
        <v>0.0257</v>
      </c>
      <c r="N159" t="inlineStr">
        <is>
          <t>adjusted xGOT</t>
        </is>
      </c>
      <c r="O159" s="4" t="n">
        <v>0.9379999999999999</v>
      </c>
      <c r="P159" s="4" t="n">
        <v>0.6</v>
      </c>
      <c r="Q159" s="4" t="n">
        <v>0.0227</v>
      </c>
      <c r="R159" s="4" t="n">
        <v>0.5600000000000001</v>
      </c>
      <c r="S159" s="4" t="n">
        <v>0</v>
      </c>
      <c r="T159" s="4" t="n">
        <v>2.314</v>
      </c>
      <c r="U159" s="4">
        <f>IF(T159="",IFERROR(VLOOKUP($C159,Assumptions!$A$4:$F$7,6,FALSE),0),T159)</f>
        <v/>
      </c>
      <c r="V159" s="4">
        <f>N(M159)*IFERROR(VLOOKUP($C159,Assumptions!$A$4:$F$7,2,FALSE),0)</f>
        <v/>
      </c>
      <c r="W159" s="4">
        <f>N(Q159)*IFERROR(VLOOKUP($C159,Assumptions!$A$4:$F$7,3,FALSE),0)*Assumptions!$B$11</f>
        <v/>
      </c>
      <c r="X159" s="4">
        <f>N(L159)*IFERROR(VLOOKUP($C159,Assumptions!$A$4:$F$7,4,FALSE),0)</f>
        <v/>
      </c>
      <c r="Y159" s="4">
        <f>N(R159)*IFERROR(VLOOKUP($C159,Assumptions!$A$4:$F$7,5,FALSE),0)</f>
        <v/>
      </c>
      <c r="Z159" s="4">
        <f>N(S159)</f>
        <v/>
      </c>
      <c r="AA159" s="4">
        <f>SUM(U159:Z159)</f>
        <v/>
      </c>
      <c r="AB159" s="4">
        <f>N(AA159)*N(K159)/90</f>
        <v/>
      </c>
      <c r="AC159" s="4">
        <f>IFERROR(AB159-VLOOKUP($C159,Assumptions!$A$29:$C$32,3,FALSE),"")</f>
        <v/>
      </c>
      <c r="AD159" s="4">
        <f>IFERROR(AC159/F159,"")</f>
        <v/>
      </c>
      <c r="AE159">
        <f>IF(AND($E159=TRUE,$C159="GKP"),AB159,"")</f>
        <v/>
      </c>
      <c r="AF159">
        <f>IF(AND($E159=TRUE,$C159="DEF"),AB159,"")</f>
        <v/>
      </c>
      <c r="AG159">
        <f>IF(AND($E159=TRUE,$C159="MID"),AB159,"")</f>
        <v/>
      </c>
      <c r="AH159">
        <f>IF(AND($E159=TRUE,$C159="FWD"),AB159,"")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b">
        <v>1</v>
      </c>
      <c r="F160" s="2" t="n">
        <v>5.5</v>
      </c>
      <c r="G160" t="inlineStr">
        <is>
          <t>a</t>
        </is>
      </c>
      <c r="I160" s="2" t="n">
        <v>2130</v>
      </c>
      <c r="J160" t="n">
        <v>83</v>
      </c>
      <c r="K160" s="3" t="n">
        <v>2130</v>
      </c>
      <c r="L160" s="3" t="n">
        <v>0.237</v>
      </c>
      <c r="M160" s="4" t="n">
        <v>0.0299</v>
      </c>
      <c r="N160" t="inlineStr">
        <is>
          <t>adjusted xGOT</t>
        </is>
      </c>
      <c r="O160" s="4" t="n">
        <v>0.968</v>
      </c>
      <c r="P160" s="4" t="n">
        <v>4</v>
      </c>
      <c r="Q160" s="4" t="n">
        <v>0.0163</v>
      </c>
      <c r="R160" s="4" t="n">
        <v>0.4</v>
      </c>
      <c r="S160" s="4" t="n">
        <v>0.1268</v>
      </c>
      <c r="T160" s="4" t="n">
        <v>2.028</v>
      </c>
      <c r="U160" s="4">
        <f>IF(T160="",IFERROR(VLOOKUP($C160,Assumptions!$A$4:$F$7,6,FALSE),0),T160)</f>
        <v/>
      </c>
      <c r="V160" s="4">
        <f>N(M160)*IFERROR(VLOOKUP($C160,Assumptions!$A$4:$F$7,2,FALSE),0)</f>
        <v/>
      </c>
      <c r="W160" s="4">
        <f>N(Q160)*IFERROR(VLOOKUP($C160,Assumptions!$A$4:$F$7,3,FALSE),0)*Assumptions!$B$11</f>
        <v/>
      </c>
      <c r="X160" s="4">
        <f>N(L160)*IFERROR(VLOOKUP($C160,Assumptions!$A$4:$F$7,4,FALSE),0)</f>
        <v/>
      </c>
      <c r="Y160" s="4">
        <f>N(R160)*IFERROR(VLOOKUP($C160,Assumptions!$A$4:$F$7,5,FALSE),0)</f>
        <v/>
      </c>
      <c r="Z160" s="4">
        <f>N(S160)</f>
        <v/>
      </c>
      <c r="AA160" s="4">
        <f>SUM(U160:Z160)</f>
        <v/>
      </c>
      <c r="AB160" s="4">
        <f>N(AA160)*N(K160)/90</f>
        <v/>
      </c>
      <c r="AC160" s="4">
        <f>IFERROR(AB160-VLOOKUP($C160,Assumptions!$A$29:$C$32,3,FALSE),"")</f>
        <v/>
      </c>
      <c r="AD160" s="4">
        <f>IFERROR(AC160/F160,"")</f>
        <v/>
      </c>
      <c r="AE160">
        <f>IF(AND($E160=TRUE,$C160="GKP"),AB160,"")</f>
        <v/>
      </c>
      <c r="AF160">
        <f>IF(AND($E160=TRUE,$C160="DEF"),AB160,"")</f>
        <v/>
      </c>
      <c r="AG160">
        <f>IF(AND($E160=TRUE,$C160="MID"),AB160,"")</f>
        <v/>
      </c>
      <c r="AH160">
        <f>IF(AND($E160=TRUE,$C160="FWD"),AB160,"")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b">
        <v>1</v>
      </c>
      <c r="F161" s="2" t="n">
        <v>5.5</v>
      </c>
      <c r="G161" t="inlineStr">
        <is>
          <t>a</t>
        </is>
      </c>
      <c r="I161" s="2" t="n">
        <v>1553</v>
      </c>
      <c r="J161" t="n">
        <v>83</v>
      </c>
      <c r="K161" s="3" t="n">
        <v>1553</v>
      </c>
      <c r="L161" s="3" t="n">
        <v>0.29</v>
      </c>
      <c r="M161" s="4" t="n">
        <v>0.1438</v>
      </c>
      <c r="N161" t="inlineStr">
        <is>
          <t>adjusted xGOT</t>
        </is>
      </c>
      <c r="O161" s="4" t="n">
        <v>1.165</v>
      </c>
      <c r="P161" s="4" t="n">
        <v>2.1</v>
      </c>
      <c r="Q161" s="4" t="n">
        <v>0.0516</v>
      </c>
      <c r="R161" s="4" t="n">
        <v>0</v>
      </c>
      <c r="S161" s="4" t="n">
        <v>0.4057</v>
      </c>
      <c r="T161" s="4" t="n">
        <v>2.55</v>
      </c>
      <c r="U161" s="4">
        <f>IF(T161="",IFERROR(VLOOKUP($C161,Assumptions!$A$4:$F$7,6,FALSE),0),T161)</f>
        <v/>
      </c>
      <c r="V161" s="4">
        <f>N(M161)*IFERROR(VLOOKUP($C161,Assumptions!$A$4:$F$7,2,FALSE),0)</f>
        <v/>
      </c>
      <c r="W161" s="4">
        <f>N(Q161)*IFERROR(VLOOKUP($C161,Assumptions!$A$4:$F$7,3,FALSE),0)*Assumptions!$B$11</f>
        <v/>
      </c>
      <c r="X161" s="4">
        <f>N(L161)*IFERROR(VLOOKUP($C161,Assumptions!$A$4:$F$7,4,FALSE),0)</f>
        <v/>
      </c>
      <c r="Y161" s="4">
        <f>N(R161)*IFERROR(VLOOKUP($C161,Assumptions!$A$4:$F$7,5,FALSE),0)</f>
        <v/>
      </c>
      <c r="Z161" s="4">
        <f>N(S161)</f>
        <v/>
      </c>
      <c r="AA161" s="4">
        <f>SUM(U161:Z161)</f>
        <v/>
      </c>
      <c r="AB161" s="4">
        <f>N(AA161)*N(K161)/90</f>
        <v/>
      </c>
      <c r="AC161" s="4">
        <f>IFERROR(AB161-VLOOKUP($C161,Assumptions!$A$29:$C$32,3,FALSE),"")</f>
        <v/>
      </c>
      <c r="AD161" s="4">
        <f>IFERROR(AC161/F161,"")</f>
        <v/>
      </c>
      <c r="AE161">
        <f>IF(AND($E161=TRUE,$C161="GKP"),AB161,"")</f>
        <v/>
      </c>
      <c r="AF161">
        <f>IF(AND($E161=TRUE,$C161="DEF"),AB161,"")</f>
        <v/>
      </c>
      <c r="AG161">
        <f>IF(AND($E161=TRUE,$C161="MID"),AB161,"")</f>
        <v/>
      </c>
      <c r="AH161">
        <f>IF(AND($E161=TRUE,$C161="FWD"),AB161,"")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b">
        <v>1</v>
      </c>
      <c r="F162" s="2" t="n">
        <v>5.5</v>
      </c>
      <c r="G162" t="inlineStr">
        <is>
          <t>a</t>
        </is>
      </c>
      <c r="I162" s="2" t="n">
        <v>1676</v>
      </c>
      <c r="J162" t="n">
        <v>82</v>
      </c>
      <c r="K162" s="3" t="n">
        <v>1676</v>
      </c>
      <c r="L162" s="3" t="n">
        <v>0.237</v>
      </c>
      <c r="M162" s="4" t="n">
        <v>0.1126</v>
      </c>
      <c r="N162" t="inlineStr">
        <is>
          <t>adjusted xGOT</t>
        </is>
      </c>
      <c r="O162" s="4" t="n">
        <v>1.043</v>
      </c>
      <c r="P162" s="4" t="n">
        <v>4.9</v>
      </c>
      <c r="Q162" s="4" t="n">
        <v>0.2363</v>
      </c>
      <c r="R162" s="4" t="n">
        <v>0.059</v>
      </c>
      <c r="S162" s="4" t="n">
        <v>0.1611</v>
      </c>
      <c r="T162" s="4" t="n">
        <v>2.47</v>
      </c>
      <c r="U162" s="4">
        <f>IF(T162="",IFERROR(VLOOKUP($C162,Assumptions!$A$4:$F$7,6,FALSE),0),T162)</f>
        <v/>
      </c>
      <c r="V162" s="4">
        <f>N(M162)*IFERROR(VLOOKUP($C162,Assumptions!$A$4:$F$7,2,FALSE),0)</f>
        <v/>
      </c>
      <c r="W162" s="4">
        <f>N(Q162)*IFERROR(VLOOKUP($C162,Assumptions!$A$4:$F$7,3,FALSE),0)*Assumptions!$B$11</f>
        <v/>
      </c>
      <c r="X162" s="4">
        <f>N(L162)*IFERROR(VLOOKUP($C162,Assumptions!$A$4:$F$7,4,FALSE),0)</f>
        <v/>
      </c>
      <c r="Y162" s="4">
        <f>N(R162)*IFERROR(VLOOKUP($C162,Assumptions!$A$4:$F$7,5,FALSE),0)</f>
        <v/>
      </c>
      <c r="Z162" s="4">
        <f>N(S162)</f>
        <v/>
      </c>
      <c r="AA162" s="4">
        <f>SUM(U162:Z162)</f>
        <v/>
      </c>
      <c r="AB162" s="4">
        <f>N(AA162)*N(K162)/90</f>
        <v/>
      </c>
      <c r="AC162" s="4">
        <f>IFERROR(AB162-VLOOKUP($C162,Assumptions!$A$29:$C$32,3,FALSE),"")</f>
        <v/>
      </c>
      <c r="AD162" s="4">
        <f>IFERROR(AC162/F162,"")</f>
        <v/>
      </c>
      <c r="AE162">
        <f>IF(AND($E162=TRUE,$C162="GKP"),AB162,"")</f>
        <v/>
      </c>
      <c r="AF162">
        <f>IF(AND($E162=TRUE,$C162="DEF"),AB162,"")</f>
        <v/>
      </c>
      <c r="AG162">
        <f>IF(AND($E162=TRUE,$C162="MID"),AB162,"")</f>
        <v/>
      </c>
      <c r="AH162">
        <f>IF(AND($E162=TRUE,$C162="FWD"),AB162,"")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b">
        <v>1</v>
      </c>
      <c r="F163" s="2" t="n">
        <v>6</v>
      </c>
      <c r="G163" t="inlineStr">
        <is>
          <t>a</t>
        </is>
      </c>
      <c r="I163" s="2" t="n">
        <v>1606</v>
      </c>
      <c r="J163" t="n">
        <v>82</v>
      </c>
      <c r="K163" s="3" t="n">
        <v>1606</v>
      </c>
      <c r="L163" s="3" t="n">
        <v>0.21</v>
      </c>
      <c r="M163" s="4" t="n">
        <v>0.1588</v>
      </c>
      <c r="N163" t="inlineStr">
        <is>
          <t>adjusted xGOT</t>
        </is>
      </c>
      <c r="O163" s="4" t="n">
        <v>0.923</v>
      </c>
      <c r="P163" s="4" t="n">
        <v>14.6</v>
      </c>
      <c r="Q163" s="4" t="n">
        <v>0.2086</v>
      </c>
      <c r="R163" s="4" t="n">
        <v>0</v>
      </c>
      <c r="S163" s="4" t="n">
        <v>0.2802</v>
      </c>
      <c r="T163" s="4" t="n">
        <v>2.802</v>
      </c>
      <c r="U163" s="4">
        <f>IF(T163="",IFERROR(VLOOKUP($C163,Assumptions!$A$4:$F$7,6,FALSE),0),T163)</f>
        <v/>
      </c>
      <c r="V163" s="4">
        <f>N(M163)*IFERROR(VLOOKUP($C163,Assumptions!$A$4:$F$7,2,FALSE),0)</f>
        <v/>
      </c>
      <c r="W163" s="4">
        <f>N(Q163)*IFERROR(VLOOKUP($C163,Assumptions!$A$4:$F$7,3,FALSE),0)*Assumptions!$B$11</f>
        <v/>
      </c>
      <c r="X163" s="4">
        <f>N(L163)*IFERROR(VLOOKUP($C163,Assumptions!$A$4:$F$7,4,FALSE),0)</f>
        <v/>
      </c>
      <c r="Y163" s="4">
        <f>N(R163)*IFERROR(VLOOKUP($C163,Assumptions!$A$4:$F$7,5,FALSE),0)</f>
        <v/>
      </c>
      <c r="Z163" s="4">
        <f>N(S163)</f>
        <v/>
      </c>
      <c r="AA163" s="4">
        <f>SUM(U163:Z163)</f>
        <v/>
      </c>
      <c r="AB163" s="4">
        <f>N(AA163)*N(K163)/90</f>
        <v/>
      </c>
      <c r="AC163" s="4">
        <f>IFERROR(AB163-VLOOKUP($C163,Assumptions!$A$29:$C$32,3,FALSE),"")</f>
        <v/>
      </c>
      <c r="AD163" s="4">
        <f>IFERROR(AC163/F163,"")</f>
        <v/>
      </c>
      <c r="AE163">
        <f>IF(AND($E163=TRUE,$C163="GKP"),AB163,"")</f>
        <v/>
      </c>
      <c r="AF163">
        <f>IF(AND($E163=TRUE,$C163="DEF"),AB163,"")</f>
        <v/>
      </c>
      <c r="AG163">
        <f>IF(AND($E163=TRUE,$C163="MID"),AB163,"")</f>
        <v/>
      </c>
      <c r="AH163">
        <f>IF(AND($E163=TRUE,$C163="FWD"),AB163,"")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b">
        <v>1</v>
      </c>
      <c r="F164" s="2" t="n">
        <v>4.5</v>
      </c>
      <c r="G164" t="inlineStr">
        <is>
          <t>a</t>
        </is>
      </c>
      <c r="I164" s="2" t="n">
        <v>1791</v>
      </c>
      <c r="J164" t="n">
        <v>81</v>
      </c>
      <c r="K164" s="3" t="n">
        <v>1791</v>
      </c>
      <c r="L164" s="3" t="n">
        <v>0.237</v>
      </c>
      <c r="M164" s="4" t="n">
        <v>0.0396</v>
      </c>
      <c r="N164" t="inlineStr">
        <is>
          <t>adjusted xGOT</t>
        </is>
      </c>
      <c r="O164" s="4" t="n">
        <v>0.858</v>
      </c>
      <c r="P164" s="4" t="n">
        <v>3.9</v>
      </c>
      <c r="Q164" s="4" t="n">
        <v>0.0605</v>
      </c>
      <c r="R164" s="4" t="n">
        <v>0.333</v>
      </c>
      <c r="S164" s="4" t="n">
        <v>0.2513</v>
      </c>
      <c r="T164" s="4" t="n">
        <v>2.06</v>
      </c>
      <c r="U164" s="4">
        <f>IF(T164="",IFERROR(VLOOKUP($C164,Assumptions!$A$4:$F$7,6,FALSE),0),T164)</f>
        <v/>
      </c>
      <c r="V164" s="4">
        <f>N(M164)*IFERROR(VLOOKUP($C164,Assumptions!$A$4:$F$7,2,FALSE),0)</f>
        <v/>
      </c>
      <c r="W164" s="4">
        <f>N(Q164)*IFERROR(VLOOKUP($C164,Assumptions!$A$4:$F$7,3,FALSE),0)*Assumptions!$B$11</f>
        <v/>
      </c>
      <c r="X164" s="4">
        <f>N(L164)*IFERROR(VLOOKUP($C164,Assumptions!$A$4:$F$7,4,FALSE),0)</f>
        <v/>
      </c>
      <c r="Y164" s="4">
        <f>N(R164)*IFERROR(VLOOKUP($C164,Assumptions!$A$4:$F$7,5,FALSE),0)</f>
        <v/>
      </c>
      <c r="Z164" s="4">
        <f>N(S164)</f>
        <v/>
      </c>
      <c r="AA164" s="4">
        <f>SUM(U164:Z164)</f>
        <v/>
      </c>
      <c r="AB164" s="4">
        <f>N(AA164)*N(K164)/90</f>
        <v/>
      </c>
      <c r="AC164" s="4">
        <f>IFERROR(AB164-VLOOKUP($C164,Assumptions!$A$29:$C$32,3,FALSE),"")</f>
        <v/>
      </c>
      <c r="AD164" s="4">
        <f>IFERROR(AC164/F164,"")</f>
        <v/>
      </c>
      <c r="AE164">
        <f>IF(AND($E164=TRUE,$C164="GKP"),AB164,"")</f>
        <v/>
      </c>
      <c r="AF164">
        <f>IF(AND($E164=TRUE,$C164="DEF"),AB164,"")</f>
        <v/>
      </c>
      <c r="AG164">
        <f>IF(AND($E164=TRUE,$C164="MID"),AB164,"")</f>
        <v/>
      </c>
      <c r="AH164">
        <f>IF(AND($E164=TRUE,$C164="FWD"),AB164,"")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b">
        <v>1</v>
      </c>
      <c r="F165" s="2" t="n">
        <v>5.5</v>
      </c>
      <c r="G165" t="inlineStr">
        <is>
          <t>a</t>
        </is>
      </c>
      <c r="I165" s="2" t="n">
        <v>2534</v>
      </c>
      <c r="J165" t="n">
        <v>81</v>
      </c>
      <c r="K165" s="3" t="n">
        <v>2534</v>
      </c>
      <c r="L165" s="3" t="n">
        <v>0.237</v>
      </c>
      <c r="M165" s="4" t="n">
        <v>0.0645</v>
      </c>
      <c r="N165" t="inlineStr">
        <is>
          <t>adjusted xGOT</t>
        </is>
      </c>
      <c r="O165" s="4" t="n">
        <v>1.038</v>
      </c>
      <c r="P165" s="4" t="n">
        <v>6.8</v>
      </c>
      <c r="Q165" s="4" t="n">
        <v>0.1177</v>
      </c>
      <c r="R165" s="4" t="n">
        <v>0.129</v>
      </c>
      <c r="S165" s="4" t="n">
        <v>0.0355</v>
      </c>
      <c r="T165" s="4" t="n">
        <v>2.202</v>
      </c>
      <c r="U165" s="4">
        <f>IF(T165="",IFERROR(VLOOKUP($C165,Assumptions!$A$4:$F$7,6,FALSE),0),T165)</f>
        <v/>
      </c>
      <c r="V165" s="4">
        <f>N(M165)*IFERROR(VLOOKUP($C165,Assumptions!$A$4:$F$7,2,FALSE),0)</f>
        <v/>
      </c>
      <c r="W165" s="4">
        <f>N(Q165)*IFERROR(VLOOKUP($C165,Assumptions!$A$4:$F$7,3,FALSE),0)*Assumptions!$B$11</f>
        <v/>
      </c>
      <c r="X165" s="4">
        <f>N(L165)*IFERROR(VLOOKUP($C165,Assumptions!$A$4:$F$7,4,FALSE),0)</f>
        <v/>
      </c>
      <c r="Y165" s="4">
        <f>N(R165)*IFERROR(VLOOKUP($C165,Assumptions!$A$4:$F$7,5,FALSE),0)</f>
        <v/>
      </c>
      <c r="Z165" s="4">
        <f>N(S165)</f>
        <v/>
      </c>
      <c r="AA165" s="4">
        <f>SUM(U165:Z165)</f>
        <v/>
      </c>
      <c r="AB165" s="4">
        <f>N(AA165)*N(K165)/90</f>
        <v/>
      </c>
      <c r="AC165" s="4">
        <f>IFERROR(AB165-VLOOKUP($C165,Assumptions!$A$29:$C$32,3,FALSE),"")</f>
        <v/>
      </c>
      <c r="AD165" s="4">
        <f>IFERROR(AC165/F165,"")</f>
        <v/>
      </c>
      <c r="AE165">
        <f>IF(AND($E165=TRUE,$C165="GKP"),AB165,"")</f>
        <v/>
      </c>
      <c r="AF165">
        <f>IF(AND($E165=TRUE,$C165="DEF"),AB165,"")</f>
        <v/>
      </c>
      <c r="AG165">
        <f>IF(AND($E165=TRUE,$C165="MID"),AB165,"")</f>
        <v/>
      </c>
      <c r="AH165">
        <f>IF(AND($E165=TRUE,$C165="FWD"),AB165,"")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b">
        <v>1</v>
      </c>
      <c r="F166" s="2" t="n">
        <v>5.5</v>
      </c>
      <c r="G166" t="inlineStr">
        <is>
          <t>a</t>
        </is>
      </c>
      <c r="I166" s="2" t="n">
        <v>1923</v>
      </c>
      <c r="J166" t="n">
        <v>81</v>
      </c>
      <c r="K166" s="3" t="n">
        <v>1923</v>
      </c>
      <c r="L166" s="3" t="n">
        <v>0.263</v>
      </c>
      <c r="M166" s="4" t="n">
        <v>0.1026</v>
      </c>
      <c r="N166" t="inlineStr">
        <is>
          <t>adjusted xGOT</t>
        </is>
      </c>
      <c r="O166" s="4" t="n">
        <v>0.992</v>
      </c>
      <c r="P166" s="4" t="n">
        <v>10.4</v>
      </c>
      <c r="Q166" s="4" t="n">
        <v>0.1311</v>
      </c>
      <c r="R166" s="4" t="n">
        <v>0.222</v>
      </c>
      <c r="S166" s="4" t="n">
        <v>0.2808</v>
      </c>
      <c r="T166" s="4" t="n">
        <v>2.434</v>
      </c>
      <c r="U166" s="4">
        <f>IF(T166="",IFERROR(VLOOKUP($C166,Assumptions!$A$4:$F$7,6,FALSE),0),T166)</f>
        <v/>
      </c>
      <c r="V166" s="4">
        <f>N(M166)*IFERROR(VLOOKUP($C166,Assumptions!$A$4:$F$7,2,FALSE),0)</f>
        <v/>
      </c>
      <c r="W166" s="4">
        <f>N(Q166)*IFERROR(VLOOKUP($C166,Assumptions!$A$4:$F$7,3,FALSE),0)*Assumptions!$B$11</f>
        <v/>
      </c>
      <c r="X166" s="4">
        <f>N(L166)*IFERROR(VLOOKUP($C166,Assumptions!$A$4:$F$7,4,FALSE),0)</f>
        <v/>
      </c>
      <c r="Y166" s="4">
        <f>N(R166)*IFERROR(VLOOKUP($C166,Assumptions!$A$4:$F$7,5,FALSE),0)</f>
        <v/>
      </c>
      <c r="Z166" s="4">
        <f>N(S166)</f>
        <v/>
      </c>
      <c r="AA166" s="4">
        <f>SUM(U166:Z166)</f>
        <v/>
      </c>
      <c r="AB166" s="4">
        <f>N(AA166)*N(K166)/90</f>
        <v/>
      </c>
      <c r="AC166" s="4">
        <f>IFERROR(AB166-VLOOKUP($C166,Assumptions!$A$29:$C$32,3,FALSE),"")</f>
        <v/>
      </c>
      <c r="AD166" s="4">
        <f>IFERROR(AC166/F166,"")</f>
        <v/>
      </c>
      <c r="AE166">
        <f>IF(AND($E166=TRUE,$C166="GKP"),AB166,"")</f>
        <v/>
      </c>
      <c r="AF166">
        <f>IF(AND($E166=TRUE,$C166="DEF"),AB166,"")</f>
        <v/>
      </c>
      <c r="AG166">
        <f>IF(AND($E166=TRUE,$C166="MID"),AB166,"")</f>
        <v/>
      </c>
      <c r="AH166">
        <f>IF(AND($E166=TRUE,$C166="FWD"),AB166,"")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b">
        <v>1</v>
      </c>
      <c r="F167" s="2" t="n">
        <v>5</v>
      </c>
      <c r="G167" t="inlineStr">
        <is>
          <t>a</t>
        </is>
      </c>
      <c r="I167" s="2" t="n">
        <v>2891</v>
      </c>
      <c r="J167" t="n">
        <v>80</v>
      </c>
      <c r="K167" s="3" t="n">
        <v>2891</v>
      </c>
      <c r="L167" s="3" t="n">
        <v>0.29</v>
      </c>
      <c r="M167" s="4" t="n">
        <v>0.0411</v>
      </c>
      <c r="N167" t="inlineStr">
        <is>
          <t>adjusted xGOT</t>
        </is>
      </c>
      <c r="O167" s="4" t="n">
        <v>0.923</v>
      </c>
      <c r="P167" s="4" t="n">
        <v>1.4</v>
      </c>
      <c r="Q167" s="4" t="n">
        <v>0.0372</v>
      </c>
      <c r="R167" s="4" t="n">
        <v>0.121</v>
      </c>
      <c r="S167" s="4" t="n">
        <v>0</v>
      </c>
      <c r="T167" s="4" t="n">
        <v>2.055</v>
      </c>
      <c r="U167" s="4">
        <f>IF(T167="",IFERROR(VLOOKUP($C167,Assumptions!$A$4:$F$7,6,FALSE),0),T167)</f>
        <v/>
      </c>
      <c r="V167" s="4">
        <f>N(M167)*IFERROR(VLOOKUP($C167,Assumptions!$A$4:$F$7,2,FALSE),0)</f>
        <v/>
      </c>
      <c r="W167" s="4">
        <f>N(Q167)*IFERROR(VLOOKUP($C167,Assumptions!$A$4:$F$7,3,FALSE),0)*Assumptions!$B$11</f>
        <v/>
      </c>
      <c r="X167" s="4">
        <f>N(L167)*IFERROR(VLOOKUP($C167,Assumptions!$A$4:$F$7,4,FALSE),0)</f>
        <v/>
      </c>
      <c r="Y167" s="4">
        <f>N(R167)*IFERROR(VLOOKUP($C167,Assumptions!$A$4:$F$7,5,FALSE),0)</f>
        <v/>
      </c>
      <c r="Z167" s="4">
        <f>N(S167)</f>
        <v/>
      </c>
      <c r="AA167" s="4">
        <f>SUM(U167:Z167)</f>
        <v/>
      </c>
      <c r="AB167" s="4">
        <f>N(AA167)*N(K167)/90</f>
        <v/>
      </c>
      <c r="AC167" s="4">
        <f>IFERROR(AB167-VLOOKUP($C167,Assumptions!$A$29:$C$32,3,FALSE),"")</f>
        <v/>
      </c>
      <c r="AD167" s="4">
        <f>IFERROR(AC167/F167,"")</f>
        <v/>
      </c>
      <c r="AE167">
        <f>IF(AND($E167=TRUE,$C167="GKP"),AB167,"")</f>
        <v/>
      </c>
      <c r="AF167">
        <f>IF(AND($E167=TRUE,$C167="DEF"),AB167,"")</f>
        <v/>
      </c>
      <c r="AG167">
        <f>IF(AND($E167=TRUE,$C167="MID"),AB167,"")</f>
        <v/>
      </c>
      <c r="AH167">
        <f>IF(AND($E167=TRUE,$C167="FWD"),AB167,"")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b">
        <v>1</v>
      </c>
      <c r="F168" s="2" t="n">
        <v>6</v>
      </c>
      <c r="G168" t="inlineStr">
        <is>
          <t>i</t>
        </is>
      </c>
      <c r="H168" t="inlineStr">
        <is>
          <t>Knee injury - Unknown return date</t>
        </is>
      </c>
      <c r="I168" s="2" t="n">
        <v>1747</v>
      </c>
      <c r="J168" t="n">
        <v>80</v>
      </c>
      <c r="K168" s="3" t="n">
        <v>1747</v>
      </c>
      <c r="L168" s="3" t="n">
        <v>0.237</v>
      </c>
      <c r="M168" s="4" t="n">
        <v>0.1625</v>
      </c>
      <c r="N168" t="inlineStr">
        <is>
          <t>adjusted xGOT</t>
        </is>
      </c>
      <c r="O168" s="4" t="n">
        <v>1.031</v>
      </c>
      <c r="P168" s="4" t="n">
        <v>3.1</v>
      </c>
      <c r="Q168" s="4" t="n">
        <v>0.219</v>
      </c>
      <c r="R168" s="4" t="n">
        <v>0.158</v>
      </c>
      <c r="S168" s="4" t="n">
        <v>0.3606</v>
      </c>
      <c r="T168" s="4" t="n">
        <v>2.37</v>
      </c>
      <c r="U168" s="4">
        <f>IF(T168="",IFERROR(VLOOKUP($C168,Assumptions!$A$4:$F$7,6,FALSE),0),T168)</f>
        <v/>
      </c>
      <c r="V168" s="4">
        <f>N(M168)*IFERROR(VLOOKUP($C168,Assumptions!$A$4:$F$7,2,FALSE),0)</f>
        <v/>
      </c>
      <c r="W168" s="4">
        <f>N(Q168)*IFERROR(VLOOKUP($C168,Assumptions!$A$4:$F$7,3,FALSE),0)*Assumptions!$B$11</f>
        <v/>
      </c>
      <c r="X168" s="4">
        <f>N(L168)*IFERROR(VLOOKUP($C168,Assumptions!$A$4:$F$7,4,FALSE),0)</f>
        <v/>
      </c>
      <c r="Y168" s="4">
        <f>N(R168)*IFERROR(VLOOKUP($C168,Assumptions!$A$4:$F$7,5,FALSE),0)</f>
        <v/>
      </c>
      <c r="Z168" s="4">
        <f>N(S168)</f>
        <v/>
      </c>
      <c r="AA168" s="4">
        <f>SUM(U168:Z168)</f>
        <v/>
      </c>
      <c r="AB168" s="4">
        <f>N(AA168)*N(K168)/90</f>
        <v/>
      </c>
      <c r="AC168" s="4">
        <f>IFERROR(AB168-VLOOKUP($C168,Assumptions!$A$29:$C$32,3,FALSE),"")</f>
        <v/>
      </c>
      <c r="AD168" s="4">
        <f>IFERROR(AC168/F168,"")</f>
        <v/>
      </c>
      <c r="AE168">
        <f>IF(AND($E168=TRUE,$C168="GKP"),AB168,"")</f>
        <v/>
      </c>
      <c r="AF168">
        <f>IF(AND($E168=TRUE,$C168="DEF"),AB168,"")</f>
        <v/>
      </c>
      <c r="AG168">
        <f>IF(AND($E168=TRUE,$C168="MID"),AB168,"")</f>
        <v/>
      </c>
      <c r="AH168">
        <f>IF(AND($E168=TRUE,$C168="FWD"),AB168,"")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b">
        <v>1</v>
      </c>
      <c r="F169" s="2" t="n">
        <v>5.5</v>
      </c>
      <c r="G169" t="inlineStr">
        <is>
          <t>a</t>
        </is>
      </c>
      <c r="I169" s="2" t="n">
        <v>1909</v>
      </c>
      <c r="J169" t="n">
        <v>80</v>
      </c>
      <c r="K169" s="3" t="n">
        <v>1909</v>
      </c>
      <c r="L169" s="3" t="n">
        <v>0.237</v>
      </c>
      <c r="M169" s="4" t="n">
        <v>0.2074</v>
      </c>
      <c r="N169" t="inlineStr">
        <is>
          <t>adjusted xGOT</t>
        </is>
      </c>
      <c r="O169" s="4" t="n">
        <v>0.9340000000000001</v>
      </c>
      <c r="P169" s="4" t="n">
        <v>11.3</v>
      </c>
      <c r="Q169" s="4" t="n">
        <v>0.0598</v>
      </c>
      <c r="R169" s="4" t="n">
        <v>0</v>
      </c>
      <c r="S169" s="4" t="n">
        <v>0.09429999999999999</v>
      </c>
      <c r="T169" s="4" t="n">
        <v>2.64</v>
      </c>
      <c r="U169" s="4">
        <f>IF(T169="",IFERROR(VLOOKUP($C169,Assumptions!$A$4:$F$7,6,FALSE),0),T169)</f>
        <v/>
      </c>
      <c r="V169" s="4">
        <f>N(M169)*IFERROR(VLOOKUP($C169,Assumptions!$A$4:$F$7,2,FALSE),0)</f>
        <v/>
      </c>
      <c r="W169" s="4">
        <f>N(Q169)*IFERROR(VLOOKUP($C169,Assumptions!$A$4:$F$7,3,FALSE),0)*Assumptions!$B$11</f>
        <v/>
      </c>
      <c r="X169" s="4">
        <f>N(L169)*IFERROR(VLOOKUP($C169,Assumptions!$A$4:$F$7,4,FALSE),0)</f>
        <v/>
      </c>
      <c r="Y169" s="4">
        <f>N(R169)*IFERROR(VLOOKUP($C169,Assumptions!$A$4:$F$7,5,FALSE),0)</f>
        <v/>
      </c>
      <c r="Z169" s="4">
        <f>N(S169)</f>
        <v/>
      </c>
      <c r="AA169" s="4">
        <f>SUM(U169:Z169)</f>
        <v/>
      </c>
      <c r="AB169" s="4">
        <f>N(AA169)*N(K169)/90</f>
        <v/>
      </c>
      <c r="AC169" s="4">
        <f>IFERROR(AB169-VLOOKUP($C169,Assumptions!$A$29:$C$32,3,FALSE),"")</f>
        <v/>
      </c>
      <c r="AD169" s="4">
        <f>IFERROR(AC169/F169,"")</f>
        <v/>
      </c>
      <c r="AE169">
        <f>IF(AND($E169=TRUE,$C169="GKP"),AB169,"")</f>
        <v/>
      </c>
      <c r="AF169">
        <f>IF(AND($E169=TRUE,$C169="DEF"),AB169,"")</f>
        <v/>
      </c>
      <c r="AG169">
        <f>IF(AND($E169=TRUE,$C169="MID"),AB169,"")</f>
        <v/>
      </c>
      <c r="AH169">
        <f>IF(AND($E169=TRUE,$C169="FWD"),AB169,"")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b">
        <v>1</v>
      </c>
      <c r="F170" s="2" t="n">
        <v>5.5</v>
      </c>
      <c r="G170" t="inlineStr">
        <is>
          <t>a</t>
        </is>
      </c>
      <c r="I170" s="2" t="n">
        <v>1234</v>
      </c>
      <c r="J170" t="n">
        <v>80</v>
      </c>
      <c r="K170" s="3" t="n">
        <v>1234</v>
      </c>
      <c r="L170" s="3" t="n">
        <v>0.263</v>
      </c>
      <c r="M170" s="4" t="n">
        <v>0.5348000000000001</v>
      </c>
      <c r="N170" t="inlineStr">
        <is>
          <t>adjusted xGOT</t>
        </is>
      </c>
      <c r="O170" s="4" t="n">
        <v>0.965</v>
      </c>
      <c r="P170" s="4" t="n">
        <v>33.4</v>
      </c>
      <c r="Q170" s="4" t="n">
        <v>0.0571</v>
      </c>
      <c r="R170" s="4" t="n">
        <v>0</v>
      </c>
      <c r="S170" s="4" t="n">
        <v>0.6564</v>
      </c>
      <c r="T170" s="4" t="n">
        <v>2.917</v>
      </c>
      <c r="U170" s="4">
        <f>IF(T170="",IFERROR(VLOOKUP($C170,Assumptions!$A$4:$F$7,6,FALSE),0),T170)</f>
        <v/>
      </c>
      <c r="V170" s="4">
        <f>N(M170)*IFERROR(VLOOKUP($C170,Assumptions!$A$4:$F$7,2,FALSE),0)</f>
        <v/>
      </c>
      <c r="W170" s="4">
        <f>N(Q170)*IFERROR(VLOOKUP($C170,Assumptions!$A$4:$F$7,3,FALSE),0)*Assumptions!$B$11</f>
        <v/>
      </c>
      <c r="X170" s="4">
        <f>N(L170)*IFERROR(VLOOKUP($C170,Assumptions!$A$4:$F$7,4,FALSE),0)</f>
        <v/>
      </c>
      <c r="Y170" s="4">
        <f>N(R170)*IFERROR(VLOOKUP($C170,Assumptions!$A$4:$F$7,5,FALSE),0)</f>
        <v/>
      </c>
      <c r="Z170" s="4">
        <f>N(S170)</f>
        <v/>
      </c>
      <c r="AA170" s="4">
        <f>SUM(U170:Z170)</f>
        <v/>
      </c>
      <c r="AB170" s="4">
        <f>N(AA170)*N(K170)/90</f>
        <v/>
      </c>
      <c r="AC170" s="4">
        <f>IFERROR(AB170-VLOOKUP($C170,Assumptions!$A$29:$C$32,3,FALSE),"")</f>
        <v/>
      </c>
      <c r="AD170" s="4">
        <f>IFERROR(AC170/F170,"")</f>
        <v/>
      </c>
      <c r="AE170">
        <f>IF(AND($E170=TRUE,$C170="GKP"),AB170,"")</f>
        <v/>
      </c>
      <c r="AF170">
        <f>IF(AND($E170=TRUE,$C170="DEF"),AB170,"")</f>
        <v/>
      </c>
      <c r="AG170">
        <f>IF(AND($E170=TRUE,$C170="MID"),AB170,"")</f>
        <v/>
      </c>
      <c r="AH170">
        <f>IF(AND($E170=TRUE,$C170="FWD"),AB170,"")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b">
        <v>1</v>
      </c>
      <c r="F171" s="2" t="n">
        <v>5</v>
      </c>
      <c r="G171" t="inlineStr">
        <is>
          <t>a</t>
        </is>
      </c>
      <c r="I171" s="2" t="n">
        <v>2176</v>
      </c>
      <c r="J171" t="n">
        <v>79</v>
      </c>
      <c r="K171" s="3" t="n">
        <v>2176</v>
      </c>
      <c r="L171" s="3" t="n">
        <v>0.21</v>
      </c>
      <c r="M171" s="4" t="n">
        <v>0.0413</v>
      </c>
      <c r="N171" t="inlineStr">
        <is>
          <t>adjusted xGOT</t>
        </is>
      </c>
      <c r="O171" s="4" t="n">
        <v>0.989</v>
      </c>
      <c r="P171" s="4" t="n">
        <v>2.6</v>
      </c>
      <c r="Q171" s="4" t="n">
        <v>0.1099</v>
      </c>
      <c r="R171" s="4" t="n">
        <v>0.208</v>
      </c>
      <c r="S171" s="4" t="n">
        <v>0.2068</v>
      </c>
      <c r="T171" s="4" t="n">
        <v>2.192</v>
      </c>
      <c r="U171" s="4">
        <f>IF(T171="",IFERROR(VLOOKUP($C171,Assumptions!$A$4:$F$7,6,FALSE),0),T171)</f>
        <v/>
      </c>
      <c r="V171" s="4">
        <f>N(M171)*IFERROR(VLOOKUP($C171,Assumptions!$A$4:$F$7,2,FALSE),0)</f>
        <v/>
      </c>
      <c r="W171" s="4">
        <f>N(Q171)*IFERROR(VLOOKUP($C171,Assumptions!$A$4:$F$7,3,FALSE),0)*Assumptions!$B$11</f>
        <v/>
      </c>
      <c r="X171" s="4">
        <f>N(L171)*IFERROR(VLOOKUP($C171,Assumptions!$A$4:$F$7,4,FALSE),0)</f>
        <v/>
      </c>
      <c r="Y171" s="4">
        <f>N(R171)*IFERROR(VLOOKUP($C171,Assumptions!$A$4:$F$7,5,FALSE),0)</f>
        <v/>
      </c>
      <c r="Z171" s="4">
        <f>N(S171)</f>
        <v/>
      </c>
      <c r="AA171" s="4">
        <f>SUM(U171:Z171)</f>
        <v/>
      </c>
      <c r="AB171" s="4">
        <f>N(AA171)*N(K171)/90</f>
        <v/>
      </c>
      <c r="AC171" s="4">
        <f>IFERROR(AB171-VLOOKUP($C171,Assumptions!$A$29:$C$32,3,FALSE),"")</f>
        <v/>
      </c>
      <c r="AD171" s="4">
        <f>IFERROR(AC171/F171,"")</f>
        <v/>
      </c>
      <c r="AE171">
        <f>IF(AND($E171=TRUE,$C171="GKP"),AB171,"")</f>
        <v/>
      </c>
      <c r="AF171">
        <f>IF(AND($E171=TRUE,$C171="DEF"),AB171,"")</f>
        <v/>
      </c>
      <c r="AG171">
        <f>IF(AND($E171=TRUE,$C171="MID"),AB171,"")</f>
        <v/>
      </c>
      <c r="AH171">
        <f>IF(AND($E171=TRUE,$C171="FWD"),AB171,"")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b">
        <v>1</v>
      </c>
      <c r="F172" s="2" t="n">
        <v>6.5</v>
      </c>
      <c r="G172" t="inlineStr">
        <is>
          <t>d</t>
        </is>
      </c>
      <c r="H172" t="inlineStr">
        <is>
          <t>Foot injury - 75% chance of playing</t>
        </is>
      </c>
      <c r="I172" s="2" t="n">
        <v>1627</v>
      </c>
      <c r="J172" t="n">
        <v>79</v>
      </c>
      <c r="K172" s="3" t="n">
        <v>1627</v>
      </c>
      <c r="L172" s="3" t="n">
        <v>0.421</v>
      </c>
      <c r="M172" s="4" t="n">
        <v>0.1214</v>
      </c>
      <c r="N172" t="inlineStr">
        <is>
          <t>adjusted xGOT</t>
        </is>
      </c>
      <c r="O172" s="4" t="n">
        <v>1.07</v>
      </c>
      <c r="P172" s="4" t="n">
        <v>9.800000000000001</v>
      </c>
      <c r="Q172" s="4" t="n">
        <v>0.2193</v>
      </c>
      <c r="R172" s="4" t="n">
        <v>0</v>
      </c>
      <c r="S172" s="4" t="n">
        <v>0.6637999999999999</v>
      </c>
      <c r="T172" s="4" t="n">
        <v>2.102</v>
      </c>
      <c r="U172" s="4">
        <f>IF(T172="",IFERROR(VLOOKUP($C172,Assumptions!$A$4:$F$7,6,FALSE),0),T172)</f>
        <v/>
      </c>
      <c r="V172" s="4">
        <f>N(M172)*IFERROR(VLOOKUP($C172,Assumptions!$A$4:$F$7,2,FALSE),0)</f>
        <v/>
      </c>
      <c r="W172" s="4">
        <f>N(Q172)*IFERROR(VLOOKUP($C172,Assumptions!$A$4:$F$7,3,FALSE),0)*Assumptions!$B$11</f>
        <v/>
      </c>
      <c r="X172" s="4">
        <f>N(L172)*IFERROR(VLOOKUP($C172,Assumptions!$A$4:$F$7,4,FALSE),0)</f>
        <v/>
      </c>
      <c r="Y172" s="4">
        <f>N(R172)*IFERROR(VLOOKUP($C172,Assumptions!$A$4:$F$7,5,FALSE),0)</f>
        <v/>
      </c>
      <c r="Z172" s="4">
        <f>N(S172)</f>
        <v/>
      </c>
      <c r="AA172" s="4">
        <f>SUM(U172:Z172)</f>
        <v/>
      </c>
      <c r="AB172" s="4">
        <f>N(AA172)*N(K172)/90</f>
        <v/>
      </c>
      <c r="AC172" s="4">
        <f>IFERROR(AB172-VLOOKUP($C172,Assumptions!$A$29:$C$32,3,FALSE),"")</f>
        <v/>
      </c>
      <c r="AD172" s="4">
        <f>IFERROR(AC172/F172,"")</f>
        <v/>
      </c>
      <c r="AE172">
        <f>IF(AND($E172=TRUE,$C172="GKP"),AB172,"")</f>
        <v/>
      </c>
      <c r="AF172">
        <f>IF(AND($E172=TRUE,$C172="DEF"),AB172,"")</f>
        <v/>
      </c>
      <c r="AG172">
        <f>IF(AND($E172=TRUE,$C172="MID"),AB172,"")</f>
        <v/>
      </c>
      <c r="AH172">
        <f>IF(AND($E172=TRUE,$C172="FWD"),AB172,"")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b">
        <v>1</v>
      </c>
      <c r="F173" s="2" t="n">
        <v>5.5</v>
      </c>
      <c r="G173" t="inlineStr">
        <is>
          <t>a</t>
        </is>
      </c>
      <c r="I173" s="2" t="n">
        <v>1370</v>
      </c>
      <c r="J173" t="n">
        <v>79</v>
      </c>
      <c r="K173" s="3" t="n">
        <v>1370</v>
      </c>
      <c r="L173" s="3" t="n">
        <v>0.421</v>
      </c>
      <c r="M173" s="4" t="n">
        <v>0.1364</v>
      </c>
      <c r="N173" t="inlineStr">
        <is>
          <t>adjusted xGOT</t>
        </is>
      </c>
      <c r="O173" s="4" t="n">
        <v>0.923</v>
      </c>
      <c r="P173" s="4" t="n">
        <v>10</v>
      </c>
      <c r="Q173" s="4" t="n">
        <v>0.0374</v>
      </c>
      <c r="R173" s="4" t="n">
        <v>0.188</v>
      </c>
      <c r="S173" s="4" t="n">
        <v>0.1971</v>
      </c>
      <c r="T173" s="4" t="n">
        <v>2.102</v>
      </c>
      <c r="U173" s="4">
        <f>IF(T173="",IFERROR(VLOOKUP($C173,Assumptions!$A$4:$F$7,6,FALSE),0),T173)</f>
        <v/>
      </c>
      <c r="V173" s="4">
        <f>N(M173)*IFERROR(VLOOKUP($C173,Assumptions!$A$4:$F$7,2,FALSE),0)</f>
        <v/>
      </c>
      <c r="W173" s="4">
        <f>N(Q173)*IFERROR(VLOOKUP($C173,Assumptions!$A$4:$F$7,3,FALSE),0)*Assumptions!$B$11</f>
        <v/>
      </c>
      <c r="X173" s="4">
        <f>N(L173)*IFERROR(VLOOKUP($C173,Assumptions!$A$4:$F$7,4,FALSE),0)</f>
        <v/>
      </c>
      <c r="Y173" s="4">
        <f>N(R173)*IFERROR(VLOOKUP($C173,Assumptions!$A$4:$F$7,5,FALSE),0)</f>
        <v/>
      </c>
      <c r="Z173" s="4">
        <f>N(S173)</f>
        <v/>
      </c>
      <c r="AA173" s="4">
        <f>SUM(U173:Z173)</f>
        <v/>
      </c>
      <c r="AB173" s="4">
        <f>N(AA173)*N(K173)/90</f>
        <v/>
      </c>
      <c r="AC173" s="4">
        <f>IFERROR(AB173-VLOOKUP($C173,Assumptions!$A$29:$C$32,3,FALSE),"")</f>
        <v/>
      </c>
      <c r="AD173" s="4">
        <f>IFERROR(AC173/F173,"")</f>
        <v/>
      </c>
      <c r="AE173">
        <f>IF(AND($E173=TRUE,$C173="GKP"),AB173,"")</f>
        <v/>
      </c>
      <c r="AF173">
        <f>IF(AND($E173=TRUE,$C173="DEF"),AB173,"")</f>
        <v/>
      </c>
      <c r="AG173">
        <f>IF(AND($E173=TRUE,$C173="MID"),AB173,"")</f>
        <v/>
      </c>
      <c r="AH173">
        <f>IF(AND($E173=TRUE,$C173="FWD"),AB173,"")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b">
        <v>1</v>
      </c>
      <c r="F174" s="2" t="n">
        <v>5.5</v>
      </c>
      <c r="G174" t="inlineStr">
        <is>
          <t>a</t>
        </is>
      </c>
      <c r="I174" s="2" t="n">
        <v>1636</v>
      </c>
      <c r="J174" t="n">
        <v>78</v>
      </c>
      <c r="K174" s="3" t="n">
        <v>1636</v>
      </c>
      <c r="L174" s="3" t="n">
        <v>0.263</v>
      </c>
      <c r="M174" s="4" t="n">
        <v>0.0791</v>
      </c>
      <c r="N174" t="inlineStr">
        <is>
          <t>adjusted xGOT</t>
        </is>
      </c>
      <c r="O174" s="4" t="n">
        <v>1.034</v>
      </c>
      <c r="P174" s="4" t="n">
        <v>13</v>
      </c>
      <c r="Q174" s="4" t="n">
        <v>0.1993</v>
      </c>
      <c r="R174" s="4" t="n">
        <v>0.111</v>
      </c>
      <c r="S174" s="4" t="n">
        <v>0.5501</v>
      </c>
      <c r="T174" s="4" t="n">
        <v>2.035</v>
      </c>
      <c r="U174" s="4">
        <f>IF(T174="",IFERROR(VLOOKUP($C174,Assumptions!$A$4:$F$7,6,FALSE),0),T174)</f>
        <v/>
      </c>
      <c r="V174" s="4">
        <f>N(M174)*IFERROR(VLOOKUP($C174,Assumptions!$A$4:$F$7,2,FALSE),0)</f>
        <v/>
      </c>
      <c r="W174" s="4">
        <f>N(Q174)*IFERROR(VLOOKUP($C174,Assumptions!$A$4:$F$7,3,FALSE),0)*Assumptions!$B$11</f>
        <v/>
      </c>
      <c r="X174" s="4">
        <f>N(L174)*IFERROR(VLOOKUP($C174,Assumptions!$A$4:$F$7,4,FALSE),0)</f>
        <v/>
      </c>
      <c r="Y174" s="4">
        <f>N(R174)*IFERROR(VLOOKUP($C174,Assumptions!$A$4:$F$7,5,FALSE),0)</f>
        <v/>
      </c>
      <c r="Z174" s="4">
        <f>N(S174)</f>
        <v/>
      </c>
      <c r="AA174" s="4">
        <f>SUM(U174:Z174)</f>
        <v/>
      </c>
      <c r="AB174" s="4">
        <f>N(AA174)*N(K174)/90</f>
        <v/>
      </c>
      <c r="AC174" s="4">
        <f>IFERROR(AB174-VLOOKUP($C174,Assumptions!$A$29:$C$32,3,FALSE),"")</f>
        <v/>
      </c>
      <c r="AD174" s="4">
        <f>IFERROR(AC174/F174,"")</f>
        <v/>
      </c>
      <c r="AE174">
        <f>IF(AND($E174=TRUE,$C174="GKP"),AB174,"")</f>
        <v/>
      </c>
      <c r="AF174">
        <f>IF(AND($E174=TRUE,$C174="DEF"),AB174,"")</f>
        <v/>
      </c>
      <c r="AG174">
        <f>IF(AND($E174=TRUE,$C174="MID"),AB174,"")</f>
        <v/>
      </c>
      <c r="AH174">
        <f>IF(AND($E174=TRUE,$C174="FWD"),AB174,"")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b">
        <v>1</v>
      </c>
      <c r="F175" s="2" t="n">
        <v>6</v>
      </c>
      <c r="G175" t="inlineStr">
        <is>
          <t>a</t>
        </is>
      </c>
      <c r="I175" s="2" t="n">
        <v>1334</v>
      </c>
      <c r="J175" t="n">
        <v>78</v>
      </c>
      <c r="K175" s="3" t="n">
        <v>1334</v>
      </c>
      <c r="L175" s="3" t="n">
        <v>0.237</v>
      </c>
      <c r="M175" s="4" t="n">
        <v>0.1737</v>
      </c>
      <c r="N175" t="inlineStr">
        <is>
          <t>adjusted xGOT</t>
        </is>
      </c>
      <c r="O175" s="4" t="n">
        <v>1.042</v>
      </c>
      <c r="P175" s="4" t="n">
        <v>5.4</v>
      </c>
      <c r="Q175" s="4" t="n">
        <v>0.1971</v>
      </c>
      <c r="R175" s="4" t="n">
        <v>0</v>
      </c>
      <c r="S175" s="4" t="n">
        <v>0.4048</v>
      </c>
      <c r="T175" s="4" t="n">
        <v>2.901</v>
      </c>
      <c r="U175" s="4">
        <f>IF(T175="",IFERROR(VLOOKUP($C175,Assumptions!$A$4:$F$7,6,FALSE),0),T175)</f>
        <v/>
      </c>
      <c r="V175" s="4">
        <f>N(M175)*IFERROR(VLOOKUP($C175,Assumptions!$A$4:$F$7,2,FALSE),0)</f>
        <v/>
      </c>
      <c r="W175" s="4">
        <f>N(Q175)*IFERROR(VLOOKUP($C175,Assumptions!$A$4:$F$7,3,FALSE),0)*Assumptions!$B$11</f>
        <v/>
      </c>
      <c r="X175" s="4">
        <f>N(L175)*IFERROR(VLOOKUP($C175,Assumptions!$A$4:$F$7,4,FALSE),0)</f>
        <v/>
      </c>
      <c r="Y175" s="4">
        <f>N(R175)*IFERROR(VLOOKUP($C175,Assumptions!$A$4:$F$7,5,FALSE),0)</f>
        <v/>
      </c>
      <c r="Z175" s="4">
        <f>N(S175)</f>
        <v/>
      </c>
      <c r="AA175" s="4">
        <f>SUM(U175:Z175)</f>
        <v/>
      </c>
      <c r="AB175" s="4">
        <f>N(AA175)*N(K175)/90</f>
        <v/>
      </c>
      <c r="AC175" s="4">
        <f>IFERROR(AB175-VLOOKUP($C175,Assumptions!$A$29:$C$32,3,FALSE),"")</f>
        <v/>
      </c>
      <c r="AD175" s="4">
        <f>IFERROR(AC175/F175,"")</f>
        <v/>
      </c>
      <c r="AE175">
        <f>IF(AND($E175=TRUE,$C175="GKP"),AB175,"")</f>
        <v/>
      </c>
      <c r="AF175">
        <f>IF(AND($E175=TRUE,$C175="DEF"),AB175,"")</f>
        <v/>
      </c>
      <c r="AG175">
        <f>IF(AND($E175=TRUE,$C175="MID"),AB175,"")</f>
        <v/>
      </c>
      <c r="AH175">
        <f>IF(AND($E175=TRUE,$C175="FWD"),AB175,"")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b">
        <v>1</v>
      </c>
      <c r="F176" s="2" t="n">
        <v>4.5</v>
      </c>
      <c r="G176" t="inlineStr">
        <is>
          <t>a</t>
        </is>
      </c>
      <c r="I176" s="2" t="n">
        <v>2049</v>
      </c>
      <c r="J176" t="n">
        <v>78</v>
      </c>
      <c r="K176" s="3" t="n">
        <v>2049</v>
      </c>
      <c r="L176" s="3" t="n">
        <v>0.237</v>
      </c>
      <c r="M176" s="4" t="n">
        <v>0.041</v>
      </c>
      <c r="N176" t="inlineStr">
        <is>
          <t>adjusted xGOT</t>
        </is>
      </c>
      <c r="O176" s="4" t="n">
        <v>1.038</v>
      </c>
      <c r="P176" s="4" t="n">
        <v>1.5</v>
      </c>
      <c r="Q176" s="4" t="n">
        <v>0.07969999999999999</v>
      </c>
      <c r="R176" s="4" t="n">
        <v>0.043</v>
      </c>
      <c r="S176" s="4" t="n">
        <v>0.1318</v>
      </c>
      <c r="T176" s="4" t="n">
        <v>2.284</v>
      </c>
      <c r="U176" s="4">
        <f>IF(T176="",IFERROR(VLOOKUP($C176,Assumptions!$A$4:$F$7,6,FALSE),0),T176)</f>
        <v/>
      </c>
      <c r="V176" s="4">
        <f>N(M176)*IFERROR(VLOOKUP($C176,Assumptions!$A$4:$F$7,2,FALSE),0)</f>
        <v/>
      </c>
      <c r="W176" s="4">
        <f>N(Q176)*IFERROR(VLOOKUP($C176,Assumptions!$A$4:$F$7,3,FALSE),0)*Assumptions!$B$11</f>
        <v/>
      </c>
      <c r="X176" s="4">
        <f>N(L176)*IFERROR(VLOOKUP($C176,Assumptions!$A$4:$F$7,4,FALSE),0)</f>
        <v/>
      </c>
      <c r="Y176" s="4">
        <f>N(R176)*IFERROR(VLOOKUP($C176,Assumptions!$A$4:$F$7,5,FALSE),0)</f>
        <v/>
      </c>
      <c r="Z176" s="4">
        <f>N(S176)</f>
        <v/>
      </c>
      <c r="AA176" s="4">
        <f>SUM(U176:Z176)</f>
        <v/>
      </c>
      <c r="AB176" s="4">
        <f>N(AA176)*N(K176)/90</f>
        <v/>
      </c>
      <c r="AC176" s="4">
        <f>IFERROR(AB176-VLOOKUP($C176,Assumptions!$A$29:$C$32,3,FALSE),"")</f>
        <v/>
      </c>
      <c r="AD176" s="4">
        <f>IFERROR(AC176/F176,"")</f>
        <v/>
      </c>
      <c r="AE176">
        <f>IF(AND($E176=TRUE,$C176="GKP"),AB176,"")</f>
        <v/>
      </c>
      <c r="AF176">
        <f>IF(AND($E176=TRUE,$C176="DEF"),AB176,"")</f>
        <v/>
      </c>
      <c r="AG176">
        <f>IF(AND($E176=TRUE,$C176="MID"),AB176,"")</f>
        <v/>
      </c>
      <c r="AH176">
        <f>IF(AND($E176=TRUE,$C176="FWD"),AB176,"")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b">
        <v>1</v>
      </c>
      <c r="F177" s="2" t="n">
        <v>5</v>
      </c>
      <c r="G177" t="inlineStr">
        <is>
          <t>a</t>
        </is>
      </c>
      <c r="I177" s="2" t="n">
        <v>1769</v>
      </c>
      <c r="J177" t="n">
        <v>77</v>
      </c>
      <c r="K177" s="3" t="n">
        <v>1769</v>
      </c>
      <c r="L177" s="3" t="n">
        <v>0.29</v>
      </c>
      <c r="M177" s="4" t="n">
        <v>0.034</v>
      </c>
      <c r="N177" t="inlineStr">
        <is>
          <t>adjusted xGOT</t>
        </is>
      </c>
      <c r="O177" s="4" t="n">
        <v>1.063</v>
      </c>
      <c r="P177" s="4" t="n">
        <v>2.1</v>
      </c>
      <c r="Q177" s="4" t="n">
        <v>0.0473</v>
      </c>
      <c r="R177" s="4" t="n">
        <v>0.333</v>
      </c>
      <c r="S177" s="4" t="n">
        <v>0.1526</v>
      </c>
      <c r="T177" s="4" t="n">
        <v>2.289</v>
      </c>
      <c r="U177" s="4">
        <f>IF(T177="",IFERROR(VLOOKUP($C177,Assumptions!$A$4:$F$7,6,FALSE),0),T177)</f>
        <v/>
      </c>
      <c r="V177" s="4">
        <f>N(M177)*IFERROR(VLOOKUP($C177,Assumptions!$A$4:$F$7,2,FALSE),0)</f>
        <v/>
      </c>
      <c r="W177" s="4">
        <f>N(Q177)*IFERROR(VLOOKUP($C177,Assumptions!$A$4:$F$7,3,FALSE),0)*Assumptions!$B$11</f>
        <v/>
      </c>
      <c r="X177" s="4">
        <f>N(L177)*IFERROR(VLOOKUP($C177,Assumptions!$A$4:$F$7,4,FALSE),0)</f>
        <v/>
      </c>
      <c r="Y177" s="4">
        <f>N(R177)*IFERROR(VLOOKUP($C177,Assumptions!$A$4:$F$7,5,FALSE),0)</f>
        <v/>
      </c>
      <c r="Z177" s="4">
        <f>N(S177)</f>
        <v/>
      </c>
      <c r="AA177" s="4">
        <f>SUM(U177:Z177)</f>
        <v/>
      </c>
      <c r="AB177" s="4">
        <f>N(AA177)*N(K177)/90</f>
        <v/>
      </c>
      <c r="AC177" s="4">
        <f>IFERROR(AB177-VLOOKUP($C177,Assumptions!$A$29:$C$32,3,FALSE),"")</f>
        <v/>
      </c>
      <c r="AD177" s="4">
        <f>IFERROR(AC177/F177,"")</f>
        <v/>
      </c>
      <c r="AE177">
        <f>IF(AND($E177=TRUE,$C177="GKP"),AB177,"")</f>
        <v/>
      </c>
      <c r="AF177">
        <f>IF(AND($E177=TRUE,$C177="DEF"),AB177,"")</f>
        <v/>
      </c>
      <c r="AG177">
        <f>IF(AND($E177=TRUE,$C177="MID"),AB177,"")</f>
        <v/>
      </c>
      <c r="AH177">
        <f>IF(AND($E177=TRUE,$C177="FWD"),AB177,"")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b">
        <v>1</v>
      </c>
      <c r="F178" s="2" t="n">
        <v>5.5</v>
      </c>
      <c r="G178" t="inlineStr">
        <is>
          <t>a</t>
        </is>
      </c>
      <c r="I178" s="2" t="n">
        <v>2074</v>
      </c>
      <c r="J178" t="n">
        <v>77</v>
      </c>
      <c r="K178" s="3" t="n">
        <v>2074</v>
      </c>
      <c r="L178" s="3" t="n">
        <v>0.316</v>
      </c>
      <c r="M178" s="4" t="n">
        <v>0.1914</v>
      </c>
      <c r="N178" t="inlineStr">
        <is>
          <t>adjusted xGOT</t>
        </is>
      </c>
      <c r="O178" s="4" t="n">
        <v>0.974</v>
      </c>
      <c r="P178" s="4" t="n">
        <v>4.5</v>
      </c>
      <c r="Q178" s="4" t="n">
        <v>0.3173</v>
      </c>
      <c r="R178" s="4" t="n">
        <v>0.038</v>
      </c>
      <c r="S178" s="4" t="n">
        <v>0.1302</v>
      </c>
      <c r="T178" s="4" t="n">
        <v>2.3</v>
      </c>
      <c r="U178" s="4">
        <f>IF(T178="",IFERROR(VLOOKUP($C178,Assumptions!$A$4:$F$7,6,FALSE),0),T178)</f>
        <v/>
      </c>
      <c r="V178" s="4">
        <f>N(M178)*IFERROR(VLOOKUP($C178,Assumptions!$A$4:$F$7,2,FALSE),0)</f>
        <v/>
      </c>
      <c r="W178" s="4">
        <f>N(Q178)*IFERROR(VLOOKUP($C178,Assumptions!$A$4:$F$7,3,FALSE),0)*Assumptions!$B$11</f>
        <v/>
      </c>
      <c r="X178" s="4">
        <f>N(L178)*IFERROR(VLOOKUP($C178,Assumptions!$A$4:$F$7,4,FALSE),0)</f>
        <v/>
      </c>
      <c r="Y178" s="4">
        <f>N(R178)*IFERROR(VLOOKUP($C178,Assumptions!$A$4:$F$7,5,FALSE),0)</f>
        <v/>
      </c>
      <c r="Z178" s="4">
        <f>N(S178)</f>
        <v/>
      </c>
      <c r="AA178" s="4">
        <f>SUM(U178:Z178)</f>
        <v/>
      </c>
      <c r="AB178" s="4">
        <f>N(AA178)*N(K178)/90</f>
        <v/>
      </c>
      <c r="AC178" s="4">
        <f>IFERROR(AB178-VLOOKUP($C178,Assumptions!$A$29:$C$32,3,FALSE),"")</f>
        <v/>
      </c>
      <c r="AD178" s="4">
        <f>IFERROR(AC178/F178,"")</f>
        <v/>
      </c>
      <c r="AE178">
        <f>IF(AND($E178=TRUE,$C178="GKP"),AB178,"")</f>
        <v/>
      </c>
      <c r="AF178">
        <f>IF(AND($E178=TRUE,$C178="DEF"),AB178,"")</f>
        <v/>
      </c>
      <c r="AG178">
        <f>IF(AND($E178=TRUE,$C178="MID"),AB178,"")</f>
        <v/>
      </c>
      <c r="AH178">
        <f>IF(AND($E178=TRUE,$C178="FWD"),AB178,"")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b">
        <v>1</v>
      </c>
      <c r="F179" s="2" t="n">
        <v>5</v>
      </c>
      <c r="G179" t="inlineStr">
        <is>
          <t>d</t>
        </is>
      </c>
      <c r="H179" t="inlineStr">
        <is>
          <t>Wrist injury - 75% chance of playing</t>
        </is>
      </c>
      <c r="I179" s="2" t="n">
        <v>1911</v>
      </c>
      <c r="J179" t="n">
        <v>76</v>
      </c>
      <c r="K179" s="3" t="n">
        <v>1911</v>
      </c>
      <c r="L179" s="3" t="n">
        <v>0.237</v>
      </c>
      <c r="M179" s="4" t="n">
        <v>0.0143</v>
      </c>
      <c r="N179" t="inlineStr">
        <is>
          <t>adjusted xGOT</t>
        </is>
      </c>
      <c r="O179" s="4" t="n">
        <v>0.919</v>
      </c>
      <c r="P179" s="4" t="n">
        <v>1.7</v>
      </c>
      <c r="Q179" s="4" t="n">
        <v>0.1326</v>
      </c>
      <c r="R179" s="4" t="n">
        <v>0.136</v>
      </c>
      <c r="S179" s="4" t="n">
        <v>0.2355</v>
      </c>
      <c r="T179" s="4" t="n">
        <v>2.402</v>
      </c>
      <c r="U179" s="4">
        <f>IF(T179="",IFERROR(VLOOKUP($C179,Assumptions!$A$4:$F$7,6,FALSE),0),T179)</f>
        <v/>
      </c>
      <c r="V179" s="4">
        <f>N(M179)*IFERROR(VLOOKUP($C179,Assumptions!$A$4:$F$7,2,FALSE),0)</f>
        <v/>
      </c>
      <c r="W179" s="4">
        <f>N(Q179)*IFERROR(VLOOKUP($C179,Assumptions!$A$4:$F$7,3,FALSE),0)*Assumptions!$B$11</f>
        <v/>
      </c>
      <c r="X179" s="4">
        <f>N(L179)*IFERROR(VLOOKUP($C179,Assumptions!$A$4:$F$7,4,FALSE),0)</f>
        <v/>
      </c>
      <c r="Y179" s="4">
        <f>N(R179)*IFERROR(VLOOKUP($C179,Assumptions!$A$4:$F$7,5,FALSE),0)</f>
        <v/>
      </c>
      <c r="Z179" s="4">
        <f>N(S179)</f>
        <v/>
      </c>
      <c r="AA179" s="4">
        <f>SUM(U179:Z179)</f>
        <v/>
      </c>
      <c r="AB179" s="4">
        <f>N(AA179)*N(K179)/90</f>
        <v/>
      </c>
      <c r="AC179" s="4">
        <f>IFERROR(AB179-VLOOKUP($C179,Assumptions!$A$29:$C$32,3,FALSE),"")</f>
        <v/>
      </c>
      <c r="AD179" s="4">
        <f>IFERROR(AC179/F179,"")</f>
        <v/>
      </c>
      <c r="AE179">
        <f>IF(AND($E179=TRUE,$C179="GKP"),AB179,"")</f>
        <v/>
      </c>
      <c r="AF179">
        <f>IF(AND($E179=TRUE,$C179="DEF"),AB179,"")</f>
        <v/>
      </c>
      <c r="AG179">
        <f>IF(AND($E179=TRUE,$C179="MID"),AB179,"")</f>
        <v/>
      </c>
      <c r="AH179">
        <f>IF(AND($E179=TRUE,$C179="FWD"),AB179,"")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b">
        <v>1</v>
      </c>
      <c r="F180" s="2" t="n">
        <v>5</v>
      </c>
      <c r="G180" t="inlineStr">
        <is>
          <t>i</t>
        </is>
      </c>
      <c r="H180" t="inlineStr">
        <is>
          <t>Knee injury - Unknown return date</t>
        </is>
      </c>
      <c r="I180" s="2" t="n">
        <v>1755</v>
      </c>
      <c r="J180" t="n">
        <v>76</v>
      </c>
      <c r="K180" s="3" t="n">
        <v>1755</v>
      </c>
      <c r="L180" s="3" t="n">
        <v>0.237</v>
      </c>
      <c r="M180" s="4" t="n">
        <v>0.0853</v>
      </c>
      <c r="N180" t="inlineStr">
        <is>
          <t>adjusted xGOT</t>
        </is>
      </c>
      <c r="O180" s="4" t="n">
        <v>0.99</v>
      </c>
      <c r="P180" s="4" t="n">
        <v>9</v>
      </c>
      <c r="Q180" s="4" t="n">
        <v>0.0306</v>
      </c>
      <c r="R180" s="4" t="n">
        <v>0.333</v>
      </c>
      <c r="S180" s="4" t="n">
        <v>0.2051</v>
      </c>
      <c r="T180" s="4" t="n">
        <v>2.308</v>
      </c>
      <c r="U180" s="4">
        <f>IF(T180="",IFERROR(VLOOKUP($C180,Assumptions!$A$4:$F$7,6,FALSE),0),T180)</f>
        <v/>
      </c>
      <c r="V180" s="4">
        <f>N(M180)*IFERROR(VLOOKUP($C180,Assumptions!$A$4:$F$7,2,FALSE),0)</f>
        <v/>
      </c>
      <c r="W180" s="4">
        <f>N(Q180)*IFERROR(VLOOKUP($C180,Assumptions!$A$4:$F$7,3,FALSE),0)*Assumptions!$B$11</f>
        <v/>
      </c>
      <c r="X180" s="4">
        <f>N(L180)*IFERROR(VLOOKUP($C180,Assumptions!$A$4:$F$7,4,FALSE),0)</f>
        <v/>
      </c>
      <c r="Y180" s="4">
        <f>N(R180)*IFERROR(VLOOKUP($C180,Assumptions!$A$4:$F$7,5,FALSE),0)</f>
        <v/>
      </c>
      <c r="Z180" s="4">
        <f>N(S180)</f>
        <v/>
      </c>
      <c r="AA180" s="4">
        <f>SUM(U180:Z180)</f>
        <v/>
      </c>
      <c r="AB180" s="4">
        <f>N(AA180)*N(K180)/90</f>
        <v/>
      </c>
      <c r="AC180" s="4">
        <f>IFERROR(AB180-VLOOKUP($C180,Assumptions!$A$29:$C$32,3,FALSE),"")</f>
        <v/>
      </c>
      <c r="AD180" s="4">
        <f>IFERROR(AC180/F180,"")</f>
        <v/>
      </c>
      <c r="AE180">
        <f>IF(AND($E180=TRUE,$C180="GKP"),AB180,"")</f>
        <v/>
      </c>
      <c r="AF180">
        <f>IF(AND($E180=TRUE,$C180="DEF"),AB180,"")</f>
        <v/>
      </c>
      <c r="AG180">
        <f>IF(AND($E180=TRUE,$C180="MID"),AB180,"")</f>
        <v/>
      </c>
      <c r="AH180">
        <f>IF(AND($E180=TRUE,$C180="FWD"),AB180,"")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b">
        <v>1</v>
      </c>
      <c r="F181" s="2" t="n">
        <v>6</v>
      </c>
      <c r="G181" t="inlineStr">
        <is>
          <t>a</t>
        </is>
      </c>
      <c r="I181" s="2" t="n">
        <v>805</v>
      </c>
      <c r="J181" t="n">
        <v>76</v>
      </c>
      <c r="K181" s="3" t="n">
        <v>805</v>
      </c>
      <c r="L181" s="3" t="n">
        <v>0.21</v>
      </c>
      <c r="M181" s="4" t="n">
        <v>0.5302</v>
      </c>
      <c r="N181" t="inlineStr">
        <is>
          <t>adjusted xGOT</t>
        </is>
      </c>
      <c r="O181" s="4" t="n">
        <v>1.108</v>
      </c>
      <c r="P181" s="4" t="n">
        <v>6.1</v>
      </c>
      <c r="Q181" s="4" t="n">
        <v>0.0596</v>
      </c>
      <c r="R181" s="4" t="n">
        <v>0</v>
      </c>
      <c r="S181" s="4" t="n">
        <v>1.4534</v>
      </c>
      <c r="T181" s="4" t="n">
        <v>3.578</v>
      </c>
      <c r="U181" s="4">
        <f>IF(T181="",IFERROR(VLOOKUP($C181,Assumptions!$A$4:$F$7,6,FALSE),0),T181)</f>
        <v/>
      </c>
      <c r="V181" s="4">
        <f>N(M181)*IFERROR(VLOOKUP($C181,Assumptions!$A$4:$F$7,2,FALSE),0)</f>
        <v/>
      </c>
      <c r="W181" s="4">
        <f>N(Q181)*IFERROR(VLOOKUP($C181,Assumptions!$A$4:$F$7,3,FALSE),0)*Assumptions!$B$11</f>
        <v/>
      </c>
      <c r="X181" s="4">
        <f>N(L181)*IFERROR(VLOOKUP($C181,Assumptions!$A$4:$F$7,4,FALSE),0)</f>
        <v/>
      </c>
      <c r="Y181" s="4">
        <f>N(R181)*IFERROR(VLOOKUP($C181,Assumptions!$A$4:$F$7,5,FALSE),0)</f>
        <v/>
      </c>
      <c r="Z181" s="4">
        <f>N(S181)</f>
        <v/>
      </c>
      <c r="AA181" s="4">
        <f>SUM(U181:Z181)</f>
        <v/>
      </c>
      <c r="AB181" s="4">
        <f>N(AA181)*N(K181)/90</f>
        <v/>
      </c>
      <c r="AC181" s="4">
        <f>IFERROR(AB181-VLOOKUP($C181,Assumptions!$A$29:$C$32,3,FALSE),"")</f>
        <v/>
      </c>
      <c r="AD181" s="4">
        <f>IFERROR(AC181/F181,"")</f>
        <v/>
      </c>
      <c r="AE181">
        <f>IF(AND($E181=TRUE,$C181="GKP"),AB181,"")</f>
        <v/>
      </c>
      <c r="AF181">
        <f>IF(AND($E181=TRUE,$C181="DEF"),AB181,"")</f>
        <v/>
      </c>
      <c r="AG181">
        <f>IF(AND($E181=TRUE,$C181="MID"),AB181,"")</f>
        <v/>
      </c>
      <c r="AH181">
        <f>IF(AND($E181=TRUE,$C181="FWD"),AB181,"")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b">
        <v>1</v>
      </c>
      <c r="F182" s="2" t="n">
        <v>4.5</v>
      </c>
      <c r="G182" t="inlineStr">
        <is>
          <t>a</t>
        </is>
      </c>
      <c r="I182" s="2" t="n">
        <v>1805</v>
      </c>
      <c r="J182" t="n">
        <v>76</v>
      </c>
      <c r="K182" s="3" t="n">
        <v>1805</v>
      </c>
      <c r="L182" s="3" t="n">
        <v>0.263</v>
      </c>
      <c r="M182" s="4" t="n">
        <v>0.0362</v>
      </c>
      <c r="N182" t="inlineStr">
        <is>
          <t>adjusted xGOT</t>
        </is>
      </c>
      <c r="O182" s="4" t="n">
        <v>1.053</v>
      </c>
      <c r="P182" s="4" t="n">
        <v>2.9</v>
      </c>
      <c r="Q182" s="4" t="n">
        <v>0.0407</v>
      </c>
      <c r="R182" s="4" t="n">
        <v>0.45</v>
      </c>
      <c r="S182" s="4" t="n">
        <v>0.0499</v>
      </c>
      <c r="T182" s="4" t="n">
        <v>2.294</v>
      </c>
      <c r="U182" s="4">
        <f>IF(T182="",IFERROR(VLOOKUP($C182,Assumptions!$A$4:$F$7,6,FALSE),0),T182)</f>
        <v/>
      </c>
      <c r="V182" s="4">
        <f>N(M182)*IFERROR(VLOOKUP($C182,Assumptions!$A$4:$F$7,2,FALSE),0)</f>
        <v/>
      </c>
      <c r="W182" s="4">
        <f>N(Q182)*IFERROR(VLOOKUP($C182,Assumptions!$A$4:$F$7,3,FALSE),0)*Assumptions!$B$11</f>
        <v/>
      </c>
      <c r="X182" s="4">
        <f>N(L182)*IFERROR(VLOOKUP($C182,Assumptions!$A$4:$F$7,4,FALSE),0)</f>
        <v/>
      </c>
      <c r="Y182" s="4">
        <f>N(R182)*IFERROR(VLOOKUP($C182,Assumptions!$A$4:$F$7,5,FALSE),0)</f>
        <v/>
      </c>
      <c r="Z182" s="4">
        <f>N(S182)</f>
        <v/>
      </c>
      <c r="AA182" s="4">
        <f>SUM(U182:Z182)</f>
        <v/>
      </c>
      <c r="AB182" s="4">
        <f>N(AA182)*N(K182)/90</f>
        <v/>
      </c>
      <c r="AC182" s="4">
        <f>IFERROR(AB182-VLOOKUP($C182,Assumptions!$A$29:$C$32,3,FALSE),"")</f>
        <v/>
      </c>
      <c r="AD182" s="4">
        <f>IFERROR(AC182/F182,"")</f>
        <v/>
      </c>
      <c r="AE182">
        <f>IF(AND($E182=TRUE,$C182="GKP"),AB182,"")</f>
        <v/>
      </c>
      <c r="AF182">
        <f>IF(AND($E182=TRUE,$C182="DEF"),AB182,"")</f>
        <v/>
      </c>
      <c r="AG182">
        <f>IF(AND($E182=TRUE,$C182="MID"),AB182,"")</f>
        <v/>
      </c>
      <c r="AH182">
        <f>IF(AND($E182=TRUE,$C182="FWD"),AB182,"")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b">
        <v>1</v>
      </c>
      <c r="F183" s="2" t="n">
        <v>6</v>
      </c>
      <c r="G183" t="inlineStr">
        <is>
          <t>a</t>
        </is>
      </c>
      <c r="I183" s="2" t="n">
        <v>2301</v>
      </c>
      <c r="J183" t="n">
        <v>75</v>
      </c>
      <c r="K183" s="3" t="n">
        <v>2301</v>
      </c>
      <c r="L183" s="3" t="n">
        <v>0.316</v>
      </c>
      <c r="M183" s="4" t="n">
        <v>0.2317</v>
      </c>
      <c r="N183" t="inlineStr">
        <is>
          <t>adjusted xGOT</t>
        </is>
      </c>
      <c r="O183" s="4" t="n">
        <v>1.118</v>
      </c>
      <c r="P183" s="4" t="n">
        <v>15.4</v>
      </c>
      <c r="Q183" s="4" t="n">
        <v>0.0353</v>
      </c>
      <c r="R183" s="4" t="n">
        <v>0</v>
      </c>
      <c r="S183" s="4" t="n">
        <v>0.1173</v>
      </c>
      <c r="T183" s="4" t="n">
        <v>2.308</v>
      </c>
      <c r="U183" s="4">
        <f>IF(T183="",IFERROR(VLOOKUP($C183,Assumptions!$A$4:$F$7,6,FALSE),0),T183)</f>
        <v/>
      </c>
      <c r="V183" s="4">
        <f>N(M183)*IFERROR(VLOOKUP($C183,Assumptions!$A$4:$F$7,2,FALSE),0)</f>
        <v/>
      </c>
      <c r="W183" s="4">
        <f>N(Q183)*IFERROR(VLOOKUP($C183,Assumptions!$A$4:$F$7,3,FALSE),0)*Assumptions!$B$11</f>
        <v/>
      </c>
      <c r="X183" s="4">
        <f>N(L183)*IFERROR(VLOOKUP($C183,Assumptions!$A$4:$F$7,4,FALSE),0)</f>
        <v/>
      </c>
      <c r="Y183" s="4">
        <f>N(R183)*IFERROR(VLOOKUP($C183,Assumptions!$A$4:$F$7,5,FALSE),0)</f>
        <v/>
      </c>
      <c r="Z183" s="4">
        <f>N(S183)</f>
        <v/>
      </c>
      <c r="AA183" s="4">
        <f>SUM(U183:Z183)</f>
        <v/>
      </c>
      <c r="AB183" s="4">
        <f>N(AA183)*N(K183)/90</f>
        <v/>
      </c>
      <c r="AC183" s="4">
        <f>IFERROR(AB183-VLOOKUP($C183,Assumptions!$A$29:$C$32,3,FALSE),"")</f>
        <v/>
      </c>
      <c r="AD183" s="4">
        <f>IFERROR(AC183/F183,"")</f>
        <v/>
      </c>
      <c r="AE183">
        <f>IF(AND($E183=TRUE,$C183="GKP"),AB183,"")</f>
        <v/>
      </c>
      <c r="AF183">
        <f>IF(AND($E183=TRUE,$C183="DEF"),AB183,"")</f>
        <v/>
      </c>
      <c r="AG183">
        <f>IF(AND($E183=TRUE,$C183="MID"),AB183,"")</f>
        <v/>
      </c>
      <c r="AH183">
        <f>IF(AND($E183=TRUE,$C183="FWD"),AB183,"")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b">
        <v>1</v>
      </c>
      <c r="F184" s="2" t="n">
        <v>6.5</v>
      </c>
      <c r="G184" t="inlineStr">
        <is>
          <t>d</t>
        </is>
      </c>
      <c r="H184" t="inlineStr">
        <is>
          <t>Thigh injury - 75% chance of playing</t>
        </is>
      </c>
      <c r="I184" s="2" t="n">
        <v>1535</v>
      </c>
      <c r="J184" t="n">
        <v>75</v>
      </c>
      <c r="K184" s="3" t="n">
        <v>1535</v>
      </c>
      <c r="L184" s="3" t="n">
        <v>0.237</v>
      </c>
      <c r="M184" s="4" t="n">
        <v>0.1118</v>
      </c>
      <c r="N184" t="inlineStr">
        <is>
          <t>adjusted xGOT</t>
        </is>
      </c>
      <c r="O184" s="4" t="n">
        <v>0.993</v>
      </c>
      <c r="P184" s="4" t="n">
        <v>14</v>
      </c>
      <c r="Q184" s="4" t="n">
        <v>0.1461</v>
      </c>
      <c r="R184" s="4" t="n">
        <v>0</v>
      </c>
      <c r="S184" s="4" t="n">
        <v>0.4691</v>
      </c>
      <c r="T184" s="4" t="n">
        <v>2.111</v>
      </c>
      <c r="U184" s="4">
        <f>IF(T184="",IFERROR(VLOOKUP($C184,Assumptions!$A$4:$F$7,6,FALSE),0),T184)</f>
        <v/>
      </c>
      <c r="V184" s="4">
        <f>N(M184)*IFERROR(VLOOKUP($C184,Assumptions!$A$4:$F$7,2,FALSE),0)</f>
        <v/>
      </c>
      <c r="W184" s="4">
        <f>N(Q184)*IFERROR(VLOOKUP($C184,Assumptions!$A$4:$F$7,3,FALSE),0)*Assumptions!$B$11</f>
        <v/>
      </c>
      <c r="X184" s="4">
        <f>N(L184)*IFERROR(VLOOKUP($C184,Assumptions!$A$4:$F$7,4,FALSE),0)</f>
        <v/>
      </c>
      <c r="Y184" s="4">
        <f>N(R184)*IFERROR(VLOOKUP($C184,Assumptions!$A$4:$F$7,5,FALSE),0)</f>
        <v/>
      </c>
      <c r="Z184" s="4">
        <f>N(S184)</f>
        <v/>
      </c>
      <c r="AA184" s="4">
        <f>SUM(U184:Z184)</f>
        <v/>
      </c>
      <c r="AB184" s="4">
        <f>N(AA184)*N(K184)/90</f>
        <v/>
      </c>
      <c r="AC184" s="4">
        <f>IFERROR(AB184-VLOOKUP($C184,Assumptions!$A$29:$C$32,3,FALSE),"")</f>
        <v/>
      </c>
      <c r="AD184" s="4">
        <f>IFERROR(AC184/F184,"")</f>
        <v/>
      </c>
      <c r="AE184">
        <f>IF(AND($E184=TRUE,$C184="GKP"),AB184,"")</f>
        <v/>
      </c>
      <c r="AF184">
        <f>IF(AND($E184=TRUE,$C184="DEF"),AB184,"")</f>
        <v/>
      </c>
      <c r="AG184">
        <f>IF(AND($E184=TRUE,$C184="MID"),AB184,"")</f>
        <v/>
      </c>
      <c r="AH184">
        <f>IF(AND($E184=TRUE,$C184="FWD"),AB184,"")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b">
        <v>1</v>
      </c>
      <c r="F185" s="2" t="n">
        <v>6.5</v>
      </c>
      <c r="G185" t="inlineStr">
        <is>
          <t>a</t>
        </is>
      </c>
      <c r="I185" s="2" t="n">
        <v>1363</v>
      </c>
      <c r="J185" t="n">
        <v>74</v>
      </c>
      <c r="K185" s="3" t="n">
        <v>1363</v>
      </c>
      <c r="L185" s="3" t="n">
        <v>0.5</v>
      </c>
      <c r="M185" s="4" t="n">
        <v>0.0789</v>
      </c>
      <c r="N185" t="inlineStr">
        <is>
          <t>adjusted xGOT</t>
        </is>
      </c>
      <c r="O185" s="4" t="n">
        <v>0.956</v>
      </c>
      <c r="P185" s="4" t="n">
        <v>23.4</v>
      </c>
      <c r="Q185" s="4" t="n">
        <v>0.2849</v>
      </c>
      <c r="R185" s="4" t="n">
        <v>0.062</v>
      </c>
      <c r="S185" s="4" t="n">
        <v>0.3302</v>
      </c>
      <c r="T185" s="4" t="n">
        <v>2.311</v>
      </c>
      <c r="U185" s="4">
        <f>IF(T185="",IFERROR(VLOOKUP($C185,Assumptions!$A$4:$F$7,6,FALSE),0),T185)</f>
        <v/>
      </c>
      <c r="V185" s="4">
        <f>N(M185)*IFERROR(VLOOKUP($C185,Assumptions!$A$4:$F$7,2,FALSE),0)</f>
        <v/>
      </c>
      <c r="W185" s="4">
        <f>N(Q185)*IFERROR(VLOOKUP($C185,Assumptions!$A$4:$F$7,3,FALSE),0)*Assumptions!$B$11</f>
        <v/>
      </c>
      <c r="X185" s="4">
        <f>N(L185)*IFERROR(VLOOKUP($C185,Assumptions!$A$4:$F$7,4,FALSE),0)</f>
        <v/>
      </c>
      <c r="Y185" s="4">
        <f>N(R185)*IFERROR(VLOOKUP($C185,Assumptions!$A$4:$F$7,5,FALSE),0)</f>
        <v/>
      </c>
      <c r="Z185" s="4">
        <f>N(S185)</f>
        <v/>
      </c>
      <c r="AA185" s="4">
        <f>SUM(U185:Z185)</f>
        <v/>
      </c>
      <c r="AB185" s="4">
        <f>N(AA185)*N(K185)/90</f>
        <v/>
      </c>
      <c r="AC185" s="4">
        <f>IFERROR(AB185-VLOOKUP($C185,Assumptions!$A$29:$C$32,3,FALSE),"")</f>
        <v/>
      </c>
      <c r="AD185" s="4">
        <f>IFERROR(AC185/F185,"")</f>
        <v/>
      </c>
      <c r="AE185">
        <f>IF(AND($E185=TRUE,$C185="GKP"),AB185,"")</f>
        <v/>
      </c>
      <c r="AF185">
        <f>IF(AND($E185=TRUE,$C185="DEF"),AB185,"")</f>
        <v/>
      </c>
      <c r="AG185">
        <f>IF(AND($E185=TRUE,$C185="MID"),AB185,"")</f>
        <v/>
      </c>
      <c r="AH185">
        <f>IF(AND($E185=TRUE,$C185="FWD"),AB185,"")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b">
        <v>1</v>
      </c>
      <c r="F186" s="2" t="n">
        <v>5.5</v>
      </c>
      <c r="G186" t="inlineStr">
        <is>
          <t>a</t>
        </is>
      </c>
      <c r="I186" s="2" t="n">
        <v>1148</v>
      </c>
      <c r="J186" t="n">
        <v>74</v>
      </c>
      <c r="K186" s="3" t="n">
        <v>1148</v>
      </c>
      <c r="L186" s="3" t="n">
        <v>0.29</v>
      </c>
      <c r="M186" s="4" t="n">
        <v>0.383</v>
      </c>
      <c r="N186" t="inlineStr">
        <is>
          <t>adjusted xGOT</t>
        </is>
      </c>
      <c r="O186" s="4" t="n">
        <v>1.039</v>
      </c>
      <c r="P186" s="4" t="n">
        <v>4.7</v>
      </c>
      <c r="Q186" s="4" t="n">
        <v>0.0149</v>
      </c>
      <c r="R186" s="4" t="n">
        <v>0</v>
      </c>
      <c r="S186" s="4" t="n">
        <v>0.6272</v>
      </c>
      <c r="T186" s="4" t="n">
        <v>3.214</v>
      </c>
      <c r="U186" s="4">
        <f>IF(T186="",IFERROR(VLOOKUP($C186,Assumptions!$A$4:$F$7,6,FALSE),0),T186)</f>
        <v/>
      </c>
      <c r="V186" s="4">
        <f>N(M186)*IFERROR(VLOOKUP($C186,Assumptions!$A$4:$F$7,2,FALSE),0)</f>
        <v/>
      </c>
      <c r="W186" s="4">
        <f>N(Q186)*IFERROR(VLOOKUP($C186,Assumptions!$A$4:$F$7,3,FALSE),0)*Assumptions!$B$11</f>
        <v/>
      </c>
      <c r="X186" s="4">
        <f>N(L186)*IFERROR(VLOOKUP($C186,Assumptions!$A$4:$F$7,4,FALSE),0)</f>
        <v/>
      </c>
      <c r="Y186" s="4">
        <f>N(R186)*IFERROR(VLOOKUP($C186,Assumptions!$A$4:$F$7,5,FALSE),0)</f>
        <v/>
      </c>
      <c r="Z186" s="4">
        <f>N(S186)</f>
        <v/>
      </c>
      <c r="AA186" s="4">
        <f>SUM(U186:Z186)</f>
        <v/>
      </c>
      <c r="AB186" s="4">
        <f>N(AA186)*N(K186)/90</f>
        <v/>
      </c>
      <c r="AC186" s="4">
        <f>IFERROR(AB186-VLOOKUP($C186,Assumptions!$A$29:$C$32,3,FALSE),"")</f>
        <v/>
      </c>
      <c r="AD186" s="4">
        <f>IFERROR(AC186/F186,"")</f>
        <v/>
      </c>
      <c r="AE186">
        <f>IF(AND($E186=TRUE,$C186="GKP"),AB186,"")</f>
        <v/>
      </c>
      <c r="AF186">
        <f>IF(AND($E186=TRUE,$C186="DEF"),AB186,"")</f>
        <v/>
      </c>
      <c r="AG186">
        <f>IF(AND($E186=TRUE,$C186="MID"),AB186,"")</f>
        <v/>
      </c>
      <c r="AH186">
        <f>IF(AND($E186=TRUE,$C186="FWD"),AB186,"")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b">
        <v>1</v>
      </c>
      <c r="F187" s="2" t="n">
        <v>4.5</v>
      </c>
      <c r="G187" t="inlineStr">
        <is>
          <t>a</t>
        </is>
      </c>
      <c r="I187" s="2" t="n">
        <v>1966</v>
      </c>
      <c r="J187" t="n">
        <v>74</v>
      </c>
      <c r="K187" s="3" t="n">
        <v>1966</v>
      </c>
      <c r="L187" s="3" t="n">
        <v>0.29</v>
      </c>
      <c r="M187" s="4" t="n">
        <v>0.0059</v>
      </c>
      <c r="N187" t="inlineStr">
        <is>
          <t>adjusted xGOT</t>
        </is>
      </c>
      <c r="O187" s="4" t="n">
        <v>0.984</v>
      </c>
      <c r="P187" s="4" t="n">
        <v>0.1</v>
      </c>
      <c r="Q187" s="4" t="n">
        <v>0.021</v>
      </c>
      <c r="R187" s="4" t="n">
        <v>0.174</v>
      </c>
      <c r="S187" s="4" t="n">
        <v>0.2289</v>
      </c>
      <c r="T187" s="4" t="n">
        <v>2.106</v>
      </c>
      <c r="U187" s="4">
        <f>IF(T187="",IFERROR(VLOOKUP($C187,Assumptions!$A$4:$F$7,6,FALSE),0),T187)</f>
        <v/>
      </c>
      <c r="V187" s="4">
        <f>N(M187)*IFERROR(VLOOKUP($C187,Assumptions!$A$4:$F$7,2,FALSE),0)</f>
        <v/>
      </c>
      <c r="W187" s="4">
        <f>N(Q187)*IFERROR(VLOOKUP($C187,Assumptions!$A$4:$F$7,3,FALSE),0)*Assumptions!$B$11</f>
        <v/>
      </c>
      <c r="X187" s="4">
        <f>N(L187)*IFERROR(VLOOKUP($C187,Assumptions!$A$4:$F$7,4,FALSE),0)</f>
        <v/>
      </c>
      <c r="Y187" s="4">
        <f>N(R187)*IFERROR(VLOOKUP($C187,Assumptions!$A$4:$F$7,5,FALSE),0)</f>
        <v/>
      </c>
      <c r="Z187" s="4">
        <f>N(S187)</f>
        <v/>
      </c>
      <c r="AA187" s="4">
        <f>SUM(U187:Z187)</f>
        <v/>
      </c>
      <c r="AB187" s="4">
        <f>N(AA187)*N(K187)/90</f>
        <v/>
      </c>
      <c r="AC187" s="4">
        <f>IFERROR(AB187-VLOOKUP($C187,Assumptions!$A$29:$C$32,3,FALSE),"")</f>
        <v/>
      </c>
      <c r="AD187" s="4">
        <f>IFERROR(AC187/F187,"")</f>
        <v/>
      </c>
      <c r="AE187">
        <f>IF(AND($E187=TRUE,$C187="GKP"),AB187,"")</f>
        <v/>
      </c>
      <c r="AF187">
        <f>IF(AND($E187=TRUE,$C187="DEF"),AB187,"")</f>
        <v/>
      </c>
      <c r="AG187">
        <f>IF(AND($E187=TRUE,$C187="MID"),AB187,"")</f>
        <v/>
      </c>
      <c r="AH187">
        <f>IF(AND($E187=TRUE,$C187="FWD"),AB187,"")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b">
        <v>1</v>
      </c>
      <c r="F188" s="2" t="n">
        <v>5</v>
      </c>
      <c r="G188" t="inlineStr">
        <is>
          <t>a</t>
        </is>
      </c>
      <c r="I188" s="2" t="n">
        <v>1434</v>
      </c>
      <c r="J188" t="n">
        <v>74</v>
      </c>
      <c r="K188" s="3" t="n">
        <v>1434</v>
      </c>
      <c r="L188" s="3" t="n">
        <v>0.263</v>
      </c>
      <c r="M188" s="4" t="n">
        <v>0.0522</v>
      </c>
      <c r="N188" t="inlineStr">
        <is>
          <t>adjusted xGOT</t>
        </is>
      </c>
      <c r="O188" s="4" t="n">
        <v>1.014</v>
      </c>
      <c r="P188" s="4" t="n">
        <v>5.8</v>
      </c>
      <c r="Q188" s="4" t="n">
        <v>0.1908</v>
      </c>
      <c r="R188" s="4" t="n">
        <v>0.467</v>
      </c>
      <c r="S188" s="4" t="n">
        <v>0.3766</v>
      </c>
      <c r="T188" s="4" t="n">
        <v>2.51</v>
      </c>
      <c r="U188" s="4">
        <f>IF(T188="",IFERROR(VLOOKUP($C188,Assumptions!$A$4:$F$7,6,FALSE),0),T188)</f>
        <v/>
      </c>
      <c r="V188" s="4">
        <f>N(M188)*IFERROR(VLOOKUP($C188,Assumptions!$A$4:$F$7,2,FALSE),0)</f>
        <v/>
      </c>
      <c r="W188" s="4">
        <f>N(Q188)*IFERROR(VLOOKUP($C188,Assumptions!$A$4:$F$7,3,FALSE),0)*Assumptions!$B$11</f>
        <v/>
      </c>
      <c r="X188" s="4">
        <f>N(L188)*IFERROR(VLOOKUP($C188,Assumptions!$A$4:$F$7,4,FALSE),0)</f>
        <v/>
      </c>
      <c r="Y188" s="4">
        <f>N(R188)*IFERROR(VLOOKUP($C188,Assumptions!$A$4:$F$7,5,FALSE),0)</f>
        <v/>
      </c>
      <c r="Z188" s="4">
        <f>N(S188)</f>
        <v/>
      </c>
      <c r="AA188" s="4">
        <f>SUM(U188:Z188)</f>
        <v/>
      </c>
      <c r="AB188" s="4">
        <f>N(AA188)*N(K188)/90</f>
        <v/>
      </c>
      <c r="AC188" s="4">
        <f>IFERROR(AB188-VLOOKUP($C188,Assumptions!$A$29:$C$32,3,FALSE),"")</f>
        <v/>
      </c>
      <c r="AD188" s="4">
        <f>IFERROR(AC188/F188,"")</f>
        <v/>
      </c>
      <c r="AE188">
        <f>IF(AND($E188=TRUE,$C188="GKP"),AB188,"")</f>
        <v/>
      </c>
      <c r="AF188">
        <f>IF(AND($E188=TRUE,$C188="DEF"),AB188,"")</f>
        <v/>
      </c>
      <c r="AG188">
        <f>IF(AND($E188=TRUE,$C188="MID"),AB188,"")</f>
        <v/>
      </c>
      <c r="AH188">
        <f>IF(AND($E188=TRUE,$C188="FWD"),AB188,"")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b">
        <v>1</v>
      </c>
      <c r="F189" s="2" t="n">
        <v>5.5</v>
      </c>
      <c r="G189" t="inlineStr">
        <is>
          <t>a</t>
        </is>
      </c>
      <c r="I189" s="2" t="n">
        <v>1950</v>
      </c>
      <c r="J189" t="n">
        <v>73</v>
      </c>
      <c r="K189" s="3" t="n">
        <v>1950</v>
      </c>
      <c r="L189" s="3" t="n">
        <v>0.21</v>
      </c>
      <c r="M189" s="4" t="n">
        <v>0.1074</v>
      </c>
      <c r="N189" t="inlineStr">
        <is>
          <t>adjusted xGOT</t>
        </is>
      </c>
      <c r="O189" s="4" t="n">
        <v>0.986</v>
      </c>
      <c r="P189" s="4" t="n">
        <v>16</v>
      </c>
      <c r="Q189" s="4" t="n">
        <v>0.0741</v>
      </c>
      <c r="R189" s="4" t="n">
        <v>0.348</v>
      </c>
      <c r="S189" s="4" t="n">
        <v>0.09229999999999999</v>
      </c>
      <c r="T189" s="4" t="n">
        <v>2.169</v>
      </c>
      <c r="U189" s="4">
        <f>IF(T189="",IFERROR(VLOOKUP($C189,Assumptions!$A$4:$F$7,6,FALSE),0),T189)</f>
        <v/>
      </c>
      <c r="V189" s="4">
        <f>N(M189)*IFERROR(VLOOKUP($C189,Assumptions!$A$4:$F$7,2,FALSE),0)</f>
        <v/>
      </c>
      <c r="W189" s="4">
        <f>N(Q189)*IFERROR(VLOOKUP($C189,Assumptions!$A$4:$F$7,3,FALSE),0)*Assumptions!$B$11</f>
        <v/>
      </c>
      <c r="X189" s="4">
        <f>N(L189)*IFERROR(VLOOKUP($C189,Assumptions!$A$4:$F$7,4,FALSE),0)</f>
        <v/>
      </c>
      <c r="Y189" s="4">
        <f>N(R189)*IFERROR(VLOOKUP($C189,Assumptions!$A$4:$F$7,5,FALSE),0)</f>
        <v/>
      </c>
      <c r="Z189" s="4">
        <f>N(S189)</f>
        <v/>
      </c>
      <c r="AA189" s="4">
        <f>SUM(U189:Z189)</f>
        <v/>
      </c>
      <c r="AB189" s="4">
        <f>N(AA189)*N(K189)/90</f>
        <v/>
      </c>
      <c r="AC189" s="4">
        <f>IFERROR(AB189-VLOOKUP($C189,Assumptions!$A$29:$C$32,3,FALSE),"")</f>
        <v/>
      </c>
      <c r="AD189" s="4">
        <f>IFERROR(AC189/F189,"")</f>
        <v/>
      </c>
      <c r="AE189">
        <f>IF(AND($E189=TRUE,$C189="GKP"),AB189,"")</f>
        <v/>
      </c>
      <c r="AF189">
        <f>IF(AND($E189=TRUE,$C189="DEF"),AB189,"")</f>
        <v/>
      </c>
      <c r="AG189">
        <f>IF(AND($E189=TRUE,$C189="MID"),AB189,"")</f>
        <v/>
      </c>
      <c r="AH189">
        <f>IF(AND($E189=TRUE,$C189="FWD"),AB189,"")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b">
        <v>1</v>
      </c>
      <c r="F190" s="2" t="n">
        <v>5.5</v>
      </c>
      <c r="G190" t="inlineStr">
        <is>
          <t>a</t>
        </is>
      </c>
      <c r="I190" s="2" t="n">
        <v>1653</v>
      </c>
      <c r="J190" t="n">
        <v>73</v>
      </c>
      <c r="K190" s="3" t="n">
        <v>1653</v>
      </c>
      <c r="L190" s="3" t="n">
        <v>0.21</v>
      </c>
      <c r="M190" s="4" t="n">
        <v>0.0256</v>
      </c>
      <c r="N190" t="inlineStr">
        <is>
          <t>adjusted xGOT</t>
        </is>
      </c>
      <c r="O190" s="4" t="n">
        <v>0.981</v>
      </c>
      <c r="P190" s="4" t="n">
        <v>2.2</v>
      </c>
      <c r="Q190" s="4" t="n">
        <v>0.067</v>
      </c>
      <c r="R190" s="4" t="n">
        <v>0.375</v>
      </c>
      <c r="S190" s="4" t="n">
        <v>0.1089</v>
      </c>
      <c r="T190" s="4" t="n">
        <v>2.396</v>
      </c>
      <c r="U190" s="4">
        <f>IF(T190="",IFERROR(VLOOKUP($C190,Assumptions!$A$4:$F$7,6,FALSE),0),T190)</f>
        <v/>
      </c>
      <c r="V190" s="4">
        <f>N(M190)*IFERROR(VLOOKUP($C190,Assumptions!$A$4:$F$7,2,FALSE),0)</f>
        <v/>
      </c>
      <c r="W190" s="4">
        <f>N(Q190)*IFERROR(VLOOKUP($C190,Assumptions!$A$4:$F$7,3,FALSE),0)*Assumptions!$B$11</f>
        <v/>
      </c>
      <c r="X190" s="4">
        <f>N(L190)*IFERROR(VLOOKUP($C190,Assumptions!$A$4:$F$7,4,FALSE),0)</f>
        <v/>
      </c>
      <c r="Y190" s="4">
        <f>N(R190)*IFERROR(VLOOKUP($C190,Assumptions!$A$4:$F$7,5,FALSE),0)</f>
        <v/>
      </c>
      <c r="Z190" s="4">
        <f>N(S190)</f>
        <v/>
      </c>
      <c r="AA190" s="4">
        <f>SUM(U190:Z190)</f>
        <v/>
      </c>
      <c r="AB190" s="4">
        <f>N(AA190)*N(K190)/90</f>
        <v/>
      </c>
      <c r="AC190" s="4">
        <f>IFERROR(AB190-VLOOKUP($C190,Assumptions!$A$29:$C$32,3,FALSE),"")</f>
        <v/>
      </c>
      <c r="AD190" s="4">
        <f>IFERROR(AC190/F190,"")</f>
        <v/>
      </c>
      <c r="AE190">
        <f>IF(AND($E190=TRUE,$C190="GKP"),AB190,"")</f>
        <v/>
      </c>
      <c r="AF190">
        <f>IF(AND($E190=TRUE,$C190="DEF"),AB190,"")</f>
        <v/>
      </c>
      <c r="AG190">
        <f>IF(AND($E190=TRUE,$C190="MID"),AB190,"")</f>
        <v/>
      </c>
      <c r="AH190">
        <f>IF(AND($E190=TRUE,$C190="FWD"),AB190,"")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b">
        <v>1</v>
      </c>
      <c r="F191" s="2" t="n">
        <v>5.5</v>
      </c>
      <c r="G191" t="inlineStr">
        <is>
          <t>a</t>
        </is>
      </c>
      <c r="I191" s="2" t="n">
        <v>1065</v>
      </c>
      <c r="J191" t="n">
        <v>73</v>
      </c>
      <c r="K191" s="3" t="n">
        <v>1065</v>
      </c>
      <c r="L191" s="3" t="n">
        <v>0.21</v>
      </c>
      <c r="M191" s="4" t="n">
        <v>0.6428</v>
      </c>
      <c r="N191" t="inlineStr">
        <is>
          <t>adjusted xGOT</t>
        </is>
      </c>
      <c r="O191" s="4" t="n">
        <v>1.049</v>
      </c>
      <c r="P191" s="4" t="n">
        <v>7.2</v>
      </c>
      <c r="Q191" s="4" t="n">
        <v>0.1379</v>
      </c>
      <c r="R191" s="4" t="n">
        <v>0</v>
      </c>
      <c r="S191" s="4" t="n">
        <v>0.6761</v>
      </c>
      <c r="T191" s="4" t="n">
        <v>3.38</v>
      </c>
      <c r="U191" s="4">
        <f>IF(T191="",IFERROR(VLOOKUP($C191,Assumptions!$A$4:$F$7,6,FALSE),0),T191)</f>
        <v/>
      </c>
      <c r="V191" s="4">
        <f>N(M191)*IFERROR(VLOOKUP($C191,Assumptions!$A$4:$F$7,2,FALSE),0)</f>
        <v/>
      </c>
      <c r="W191" s="4">
        <f>N(Q191)*IFERROR(VLOOKUP($C191,Assumptions!$A$4:$F$7,3,FALSE),0)*Assumptions!$B$11</f>
        <v/>
      </c>
      <c r="X191" s="4">
        <f>N(L191)*IFERROR(VLOOKUP($C191,Assumptions!$A$4:$F$7,4,FALSE),0)</f>
        <v/>
      </c>
      <c r="Y191" s="4">
        <f>N(R191)*IFERROR(VLOOKUP($C191,Assumptions!$A$4:$F$7,5,FALSE),0)</f>
        <v/>
      </c>
      <c r="Z191" s="4">
        <f>N(S191)</f>
        <v/>
      </c>
      <c r="AA191" s="4">
        <f>SUM(U191:Z191)</f>
        <v/>
      </c>
      <c r="AB191" s="4">
        <f>N(AA191)*N(K191)/90</f>
        <v/>
      </c>
      <c r="AC191" s="4">
        <f>IFERROR(AB191-VLOOKUP($C191,Assumptions!$A$29:$C$32,3,FALSE),"")</f>
        <v/>
      </c>
      <c r="AD191" s="4">
        <f>IFERROR(AC191/F191,"")</f>
        <v/>
      </c>
      <c r="AE191">
        <f>IF(AND($E191=TRUE,$C191="GKP"),AB191,"")</f>
        <v/>
      </c>
      <c r="AF191">
        <f>IF(AND($E191=TRUE,$C191="DEF"),AB191,"")</f>
        <v/>
      </c>
      <c r="AG191">
        <f>IF(AND($E191=TRUE,$C191="MID"),AB191,"")</f>
        <v/>
      </c>
      <c r="AH191">
        <f>IF(AND($E191=TRUE,$C191="FWD"),AB191,"")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b">
        <v>1</v>
      </c>
      <c r="F192" s="2" t="n">
        <v>6.5</v>
      </c>
      <c r="G192" t="inlineStr">
        <is>
          <t>a</t>
        </is>
      </c>
      <c r="I192" s="2" t="n">
        <v>1205</v>
      </c>
      <c r="J192" t="n">
        <v>72</v>
      </c>
      <c r="K192" s="3" t="n">
        <v>1205</v>
      </c>
      <c r="L192" s="3" t="n">
        <v>0.5</v>
      </c>
      <c r="M192" s="4" t="n">
        <v>0.0982</v>
      </c>
      <c r="N192" t="inlineStr">
        <is>
          <t>adjusted xGOT</t>
        </is>
      </c>
      <c r="O192" s="4" t="n">
        <v>1.069</v>
      </c>
      <c r="P192" s="4" t="n">
        <v>14.3</v>
      </c>
      <c r="Q192" s="4" t="n">
        <v>0.2566</v>
      </c>
      <c r="R192" s="4" t="n">
        <v>0</v>
      </c>
      <c r="S192" s="4" t="n">
        <v>0.6722</v>
      </c>
      <c r="T192" s="4" t="n">
        <v>2.763</v>
      </c>
      <c r="U192" s="4">
        <f>IF(T192="",IFERROR(VLOOKUP($C192,Assumptions!$A$4:$F$7,6,FALSE),0),T192)</f>
        <v/>
      </c>
      <c r="V192" s="4">
        <f>N(M192)*IFERROR(VLOOKUP($C192,Assumptions!$A$4:$F$7,2,FALSE),0)</f>
        <v/>
      </c>
      <c r="W192" s="4">
        <f>N(Q192)*IFERROR(VLOOKUP($C192,Assumptions!$A$4:$F$7,3,FALSE),0)*Assumptions!$B$11</f>
        <v/>
      </c>
      <c r="X192" s="4">
        <f>N(L192)*IFERROR(VLOOKUP($C192,Assumptions!$A$4:$F$7,4,FALSE),0)</f>
        <v/>
      </c>
      <c r="Y192" s="4">
        <f>N(R192)*IFERROR(VLOOKUP($C192,Assumptions!$A$4:$F$7,5,FALSE),0)</f>
        <v/>
      </c>
      <c r="Z192" s="4">
        <f>N(S192)</f>
        <v/>
      </c>
      <c r="AA192" s="4">
        <f>SUM(U192:Z192)</f>
        <v/>
      </c>
      <c r="AB192" s="4">
        <f>N(AA192)*N(K192)/90</f>
        <v/>
      </c>
      <c r="AC192" s="4">
        <f>IFERROR(AB192-VLOOKUP($C192,Assumptions!$A$29:$C$32,3,FALSE),"")</f>
        <v/>
      </c>
      <c r="AD192" s="4">
        <f>IFERROR(AC192/F192,"")</f>
        <v/>
      </c>
      <c r="AE192">
        <f>IF(AND($E192=TRUE,$C192="GKP"),AB192,"")</f>
        <v/>
      </c>
      <c r="AF192">
        <f>IF(AND($E192=TRUE,$C192="DEF"),AB192,"")</f>
        <v/>
      </c>
      <c r="AG192">
        <f>IF(AND($E192=TRUE,$C192="MID"),AB192,"")</f>
        <v/>
      </c>
      <c r="AH192">
        <f>IF(AND($E192=TRUE,$C192="FWD"),AB192,"")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b">
        <v>1</v>
      </c>
      <c r="F193" s="2" t="n">
        <v>5</v>
      </c>
      <c r="G193" t="inlineStr">
        <is>
          <t>a</t>
        </is>
      </c>
      <c r="I193" s="2" t="n">
        <v>1331</v>
      </c>
      <c r="J193" t="n">
        <v>72</v>
      </c>
      <c r="K193" s="3" t="n">
        <v>1331</v>
      </c>
      <c r="L193" s="3" t="n">
        <v>0.316</v>
      </c>
      <c r="M193" s="4" t="n">
        <v>0.0876</v>
      </c>
      <c r="N193" t="inlineStr">
        <is>
          <t>adjusted xGOT</t>
        </is>
      </c>
      <c r="O193" s="4" t="n">
        <v>0.876</v>
      </c>
      <c r="P193" s="4" t="n">
        <v>1.5</v>
      </c>
      <c r="Q193" s="4" t="n">
        <v>0.0139</v>
      </c>
      <c r="R193" s="4" t="n">
        <v>0.714</v>
      </c>
      <c r="S193" s="4" t="n">
        <v>0.4733</v>
      </c>
      <c r="T193" s="4" t="n">
        <v>2.299</v>
      </c>
      <c r="U193" s="4">
        <f>IF(T193="",IFERROR(VLOOKUP($C193,Assumptions!$A$4:$F$7,6,FALSE),0),T193)</f>
        <v/>
      </c>
      <c r="V193" s="4">
        <f>N(M193)*IFERROR(VLOOKUP($C193,Assumptions!$A$4:$F$7,2,FALSE),0)</f>
        <v/>
      </c>
      <c r="W193" s="4">
        <f>N(Q193)*IFERROR(VLOOKUP($C193,Assumptions!$A$4:$F$7,3,FALSE),0)*Assumptions!$B$11</f>
        <v/>
      </c>
      <c r="X193" s="4">
        <f>N(L193)*IFERROR(VLOOKUP($C193,Assumptions!$A$4:$F$7,4,FALSE),0)</f>
        <v/>
      </c>
      <c r="Y193" s="4">
        <f>N(R193)*IFERROR(VLOOKUP($C193,Assumptions!$A$4:$F$7,5,FALSE),0)</f>
        <v/>
      </c>
      <c r="Z193" s="4">
        <f>N(S193)</f>
        <v/>
      </c>
      <c r="AA193" s="4">
        <f>SUM(U193:Z193)</f>
        <v/>
      </c>
      <c r="AB193" s="4">
        <f>N(AA193)*N(K193)/90</f>
        <v/>
      </c>
      <c r="AC193" s="4">
        <f>IFERROR(AB193-VLOOKUP($C193,Assumptions!$A$29:$C$32,3,FALSE),"")</f>
        <v/>
      </c>
      <c r="AD193" s="4">
        <f>IFERROR(AC193/F193,"")</f>
        <v/>
      </c>
      <c r="AE193">
        <f>IF(AND($E193=TRUE,$C193="GKP"),AB193,"")</f>
        <v/>
      </c>
      <c r="AF193">
        <f>IF(AND($E193=TRUE,$C193="DEF"),AB193,"")</f>
        <v/>
      </c>
      <c r="AG193">
        <f>IF(AND($E193=TRUE,$C193="MID"),AB193,"")</f>
        <v/>
      </c>
      <c r="AH193">
        <f>IF(AND($E193=TRUE,$C193="FWD"),AB193,"")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b">
        <v>1</v>
      </c>
      <c r="F194" s="2" t="n">
        <v>5.5</v>
      </c>
      <c r="G194" t="inlineStr">
        <is>
          <t>i</t>
        </is>
      </c>
      <c r="H194" t="inlineStr">
        <is>
          <t>Leg injury - Expected back 30 Aug</t>
        </is>
      </c>
      <c r="I194" s="2" t="n">
        <v>1493</v>
      </c>
      <c r="J194" t="n">
        <v>72</v>
      </c>
      <c r="K194" s="3" t="n">
        <v>1493</v>
      </c>
      <c r="L194" s="3" t="n">
        <v>0.21</v>
      </c>
      <c r="M194" s="4" t="n">
        <v>0.0788</v>
      </c>
      <c r="N194" t="inlineStr">
        <is>
          <t>adjusted xGOT</t>
        </is>
      </c>
      <c r="O194" s="4" t="n">
        <v>0.962</v>
      </c>
      <c r="P194" s="4" t="n">
        <v>3.2</v>
      </c>
      <c r="Q194" s="4" t="n">
        <v>0.1333</v>
      </c>
      <c r="R194" s="4" t="n">
        <v>0.333</v>
      </c>
      <c r="S194" s="4" t="n">
        <v>0.3014</v>
      </c>
      <c r="T194" s="4" t="n">
        <v>2.291</v>
      </c>
      <c r="U194" s="4">
        <f>IF(T194="",IFERROR(VLOOKUP($C194,Assumptions!$A$4:$F$7,6,FALSE),0),T194)</f>
        <v/>
      </c>
      <c r="V194" s="4">
        <f>N(M194)*IFERROR(VLOOKUP($C194,Assumptions!$A$4:$F$7,2,FALSE),0)</f>
        <v/>
      </c>
      <c r="W194" s="4">
        <f>N(Q194)*IFERROR(VLOOKUP($C194,Assumptions!$A$4:$F$7,3,FALSE),0)*Assumptions!$B$11</f>
        <v/>
      </c>
      <c r="X194" s="4">
        <f>N(L194)*IFERROR(VLOOKUP($C194,Assumptions!$A$4:$F$7,4,FALSE),0)</f>
        <v/>
      </c>
      <c r="Y194" s="4">
        <f>N(R194)*IFERROR(VLOOKUP($C194,Assumptions!$A$4:$F$7,5,FALSE),0)</f>
        <v/>
      </c>
      <c r="Z194" s="4">
        <f>N(S194)</f>
        <v/>
      </c>
      <c r="AA194" s="4">
        <f>SUM(U194:Z194)</f>
        <v/>
      </c>
      <c r="AB194" s="4">
        <f>N(AA194)*N(K194)/90</f>
        <v/>
      </c>
      <c r="AC194" s="4">
        <f>IFERROR(AB194-VLOOKUP($C194,Assumptions!$A$29:$C$32,3,FALSE),"")</f>
        <v/>
      </c>
      <c r="AD194" s="4">
        <f>IFERROR(AC194/F194,"")</f>
        <v/>
      </c>
      <c r="AE194">
        <f>IF(AND($E194=TRUE,$C194="GKP"),AB194,"")</f>
        <v/>
      </c>
      <c r="AF194">
        <f>IF(AND($E194=TRUE,$C194="DEF"),AB194,"")</f>
        <v/>
      </c>
      <c r="AG194">
        <f>IF(AND($E194=TRUE,$C194="MID"),AB194,"")</f>
        <v/>
      </c>
      <c r="AH194">
        <f>IF(AND($E194=TRUE,$C194="FWD"),AB194,"")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b">
        <v>1</v>
      </c>
      <c r="F195" s="2" t="n">
        <v>4.5</v>
      </c>
      <c r="G195" t="inlineStr">
        <is>
          <t>d</t>
        </is>
      </c>
      <c r="H195" t="inlineStr">
        <is>
          <t>Unspecified injury - 75% chance of playing</t>
        </is>
      </c>
      <c r="I195" s="2" t="n">
        <v>1980</v>
      </c>
      <c r="J195" t="n">
        <v>71</v>
      </c>
      <c r="K195" s="3" t="n">
        <v>1980</v>
      </c>
      <c r="L195" s="3" t="n">
        <v>0.21</v>
      </c>
      <c r="M195" s="4" t="n">
        <v>0</v>
      </c>
      <c r="N195" t="inlineStr">
        <is>
          <t>blended xG</t>
        </is>
      </c>
      <c r="O195" s="4" t="n">
        <v>1</v>
      </c>
      <c r="P195" s="4" t="n">
        <v>0</v>
      </c>
      <c r="Q195" s="4" t="n">
        <v>0.0011</v>
      </c>
      <c r="R195" s="4" t="n">
        <v>0</v>
      </c>
      <c r="S195" s="4" t="n">
        <v>0.2273</v>
      </c>
      <c r="T195" s="4" t="n">
        <v>2</v>
      </c>
      <c r="U195" s="4">
        <f>IF(T195="",IFERROR(VLOOKUP($C195,Assumptions!$A$4:$F$7,6,FALSE),0),T195)</f>
        <v/>
      </c>
      <c r="V195" s="4">
        <f>N(M195)*IFERROR(VLOOKUP($C195,Assumptions!$A$4:$F$7,2,FALSE),0)</f>
        <v/>
      </c>
      <c r="W195" s="4">
        <f>N(Q195)*IFERROR(VLOOKUP($C195,Assumptions!$A$4:$F$7,3,FALSE),0)*Assumptions!$B$11</f>
        <v/>
      </c>
      <c r="X195" s="4">
        <f>N(L195)*IFERROR(VLOOKUP($C195,Assumptions!$A$4:$F$7,4,FALSE),0)</f>
        <v/>
      </c>
      <c r="Y195" s="4">
        <f>N(R195)*IFERROR(VLOOKUP($C195,Assumptions!$A$4:$F$7,5,FALSE),0)</f>
        <v/>
      </c>
      <c r="Z195" s="4">
        <f>N(S195)</f>
        <v/>
      </c>
      <c r="AA195" s="4">
        <f>SUM(U195:Z195)</f>
        <v/>
      </c>
      <c r="AB195" s="4">
        <f>N(AA195)*N(K195)/90</f>
        <v/>
      </c>
      <c r="AC195" s="4">
        <f>IFERROR(AB195-VLOOKUP($C195,Assumptions!$A$29:$C$32,3,FALSE),"")</f>
        <v/>
      </c>
      <c r="AD195" s="4">
        <f>IFERROR(AC195/F195,"")</f>
        <v/>
      </c>
      <c r="AE195">
        <f>IF(AND($E195=TRUE,$C195="GKP"),AB195,"")</f>
        <v/>
      </c>
      <c r="AF195">
        <f>IF(AND($E195=TRUE,$C195="DEF"),AB195,"")</f>
        <v/>
      </c>
      <c r="AG195">
        <f>IF(AND($E195=TRUE,$C195="MID"),AB195,"")</f>
        <v/>
      </c>
      <c r="AH195">
        <f>IF(AND($E195=TRUE,$C195="FWD"),AB195,"")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b">
        <v>1</v>
      </c>
      <c r="F196" s="2" t="n">
        <v>5</v>
      </c>
      <c r="G196" t="inlineStr">
        <is>
          <t>a</t>
        </is>
      </c>
      <c r="I196" s="2" t="n">
        <v>1388</v>
      </c>
      <c r="J196" t="n">
        <v>71</v>
      </c>
      <c r="K196" s="3" t="n">
        <v>1388</v>
      </c>
      <c r="L196" s="3" t="n">
        <v>0.237</v>
      </c>
      <c r="M196" s="4" t="n">
        <v>0.1013</v>
      </c>
      <c r="N196" t="inlineStr">
        <is>
          <t>adjusted xGOT</t>
        </is>
      </c>
      <c r="O196" s="4" t="n">
        <v>0.959</v>
      </c>
      <c r="P196" s="4" t="n">
        <v>8.6</v>
      </c>
      <c r="Q196" s="4" t="n">
        <v>0.1149</v>
      </c>
      <c r="R196" s="4" t="n">
        <v>0.308</v>
      </c>
      <c r="S196" s="4" t="n">
        <v>0.1297</v>
      </c>
      <c r="T196" s="4" t="n">
        <v>2.529</v>
      </c>
      <c r="U196" s="4">
        <f>IF(T196="",IFERROR(VLOOKUP($C196,Assumptions!$A$4:$F$7,6,FALSE),0),T196)</f>
        <v/>
      </c>
      <c r="V196" s="4">
        <f>N(M196)*IFERROR(VLOOKUP($C196,Assumptions!$A$4:$F$7,2,FALSE),0)</f>
        <v/>
      </c>
      <c r="W196" s="4">
        <f>N(Q196)*IFERROR(VLOOKUP($C196,Assumptions!$A$4:$F$7,3,FALSE),0)*Assumptions!$B$11</f>
        <v/>
      </c>
      <c r="X196" s="4">
        <f>N(L196)*IFERROR(VLOOKUP($C196,Assumptions!$A$4:$F$7,4,FALSE),0)</f>
        <v/>
      </c>
      <c r="Y196" s="4">
        <f>N(R196)*IFERROR(VLOOKUP($C196,Assumptions!$A$4:$F$7,5,FALSE),0)</f>
        <v/>
      </c>
      <c r="Z196" s="4">
        <f>N(S196)</f>
        <v/>
      </c>
      <c r="AA196" s="4">
        <f>SUM(U196:Z196)</f>
        <v/>
      </c>
      <c r="AB196" s="4">
        <f>N(AA196)*N(K196)/90</f>
        <v/>
      </c>
      <c r="AC196" s="4">
        <f>IFERROR(AB196-VLOOKUP($C196,Assumptions!$A$29:$C$32,3,FALSE),"")</f>
        <v/>
      </c>
      <c r="AD196" s="4">
        <f>IFERROR(AC196/F196,"")</f>
        <v/>
      </c>
      <c r="AE196">
        <f>IF(AND($E196=TRUE,$C196="GKP"),AB196,"")</f>
        <v/>
      </c>
      <c r="AF196">
        <f>IF(AND($E196=TRUE,$C196="DEF"),AB196,"")</f>
        <v/>
      </c>
      <c r="AG196">
        <f>IF(AND($E196=TRUE,$C196="MID"),AB196,"")</f>
        <v/>
      </c>
      <c r="AH196">
        <f>IF(AND($E196=TRUE,$C196="FWD"),AB196,"")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b">
        <v>1</v>
      </c>
      <c r="F197" s="2" t="n">
        <v>5</v>
      </c>
      <c r="G197" t="inlineStr">
        <is>
          <t>a</t>
        </is>
      </c>
      <c r="I197" s="2" t="n">
        <v>1722</v>
      </c>
      <c r="J197" t="n">
        <v>69</v>
      </c>
      <c r="K197" s="3" t="n">
        <v>1722</v>
      </c>
      <c r="L197" s="3" t="n">
        <v>0.316</v>
      </c>
      <c r="M197" s="4" t="n">
        <v>0.083</v>
      </c>
      <c r="N197" t="inlineStr">
        <is>
          <t>adjusted xGOT</t>
        </is>
      </c>
      <c r="O197" s="4" t="n">
        <v>0.863</v>
      </c>
      <c r="P197" s="4" t="n">
        <v>8.1</v>
      </c>
      <c r="Q197" s="4" t="n">
        <v>0.0853</v>
      </c>
      <c r="R197" s="4" t="n">
        <v>0.222</v>
      </c>
      <c r="S197" s="4" t="n">
        <v>0.1568</v>
      </c>
      <c r="T197" s="4" t="n">
        <v>2.456</v>
      </c>
      <c r="U197" s="4">
        <f>IF(T197="",IFERROR(VLOOKUP($C197,Assumptions!$A$4:$F$7,6,FALSE),0),T197)</f>
        <v/>
      </c>
      <c r="V197" s="4">
        <f>N(M197)*IFERROR(VLOOKUP($C197,Assumptions!$A$4:$F$7,2,FALSE),0)</f>
        <v/>
      </c>
      <c r="W197" s="4">
        <f>N(Q197)*IFERROR(VLOOKUP($C197,Assumptions!$A$4:$F$7,3,FALSE),0)*Assumptions!$B$11</f>
        <v/>
      </c>
      <c r="X197" s="4">
        <f>N(L197)*IFERROR(VLOOKUP($C197,Assumptions!$A$4:$F$7,4,FALSE),0)</f>
        <v/>
      </c>
      <c r="Y197" s="4">
        <f>N(R197)*IFERROR(VLOOKUP($C197,Assumptions!$A$4:$F$7,5,FALSE),0)</f>
        <v/>
      </c>
      <c r="Z197" s="4">
        <f>N(S197)</f>
        <v/>
      </c>
      <c r="AA197" s="4">
        <f>SUM(U197:Z197)</f>
        <v/>
      </c>
      <c r="AB197" s="4">
        <f>N(AA197)*N(K197)/90</f>
        <v/>
      </c>
      <c r="AC197" s="4">
        <f>IFERROR(AB197-VLOOKUP($C197,Assumptions!$A$29:$C$32,3,FALSE),"")</f>
        <v/>
      </c>
      <c r="AD197" s="4">
        <f>IFERROR(AC197/F197,"")</f>
        <v/>
      </c>
      <c r="AE197">
        <f>IF(AND($E197=TRUE,$C197="GKP"),AB197,"")</f>
        <v/>
      </c>
      <c r="AF197">
        <f>IF(AND($E197=TRUE,$C197="DEF"),AB197,"")</f>
        <v/>
      </c>
      <c r="AG197">
        <f>IF(AND($E197=TRUE,$C197="MID"),AB197,"")</f>
        <v/>
      </c>
      <c r="AH197">
        <f>IF(AND($E197=TRUE,$C197="FWD"),AB197,"")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b">
        <v>1</v>
      </c>
      <c r="F198" s="2" t="n">
        <v>6.5</v>
      </c>
      <c r="G198" t="inlineStr">
        <is>
          <t>i</t>
        </is>
      </c>
      <c r="H198" t="inlineStr">
        <is>
          <t>Back injury - Unknown return date</t>
        </is>
      </c>
      <c r="I198" s="2" t="n">
        <v>1510</v>
      </c>
      <c r="J198" t="n">
        <v>69</v>
      </c>
      <c r="K198" s="3" t="n">
        <v>1510</v>
      </c>
      <c r="L198" s="3" t="n">
        <v>0.421</v>
      </c>
      <c r="M198" s="4" t="n">
        <v>0.0659</v>
      </c>
      <c r="N198" t="inlineStr">
        <is>
          <t>adjusted xGOT</t>
        </is>
      </c>
      <c r="O198" s="4" t="n">
        <v>0.962</v>
      </c>
      <c r="P198" s="4" t="n">
        <v>9.699999999999999</v>
      </c>
      <c r="Q198" s="4" t="n">
        <v>0.1408</v>
      </c>
      <c r="R198" s="4" t="n">
        <v>0.471</v>
      </c>
      <c r="S198" s="4" t="n">
        <v>0.3576</v>
      </c>
      <c r="T198" s="4" t="n">
        <v>2.205</v>
      </c>
      <c r="U198" s="4">
        <f>IF(T198="",IFERROR(VLOOKUP($C198,Assumptions!$A$4:$F$7,6,FALSE),0),T198)</f>
        <v/>
      </c>
      <c r="V198" s="4">
        <f>N(M198)*IFERROR(VLOOKUP($C198,Assumptions!$A$4:$F$7,2,FALSE),0)</f>
        <v/>
      </c>
      <c r="W198" s="4">
        <f>N(Q198)*IFERROR(VLOOKUP($C198,Assumptions!$A$4:$F$7,3,FALSE),0)*Assumptions!$B$11</f>
        <v/>
      </c>
      <c r="X198" s="4">
        <f>N(L198)*IFERROR(VLOOKUP($C198,Assumptions!$A$4:$F$7,4,FALSE),0)</f>
        <v/>
      </c>
      <c r="Y198" s="4">
        <f>N(R198)*IFERROR(VLOOKUP($C198,Assumptions!$A$4:$F$7,5,FALSE),0)</f>
        <v/>
      </c>
      <c r="Z198" s="4">
        <f>N(S198)</f>
        <v/>
      </c>
      <c r="AA198" s="4">
        <f>SUM(U198:Z198)</f>
        <v/>
      </c>
      <c r="AB198" s="4">
        <f>N(AA198)*N(K198)/90</f>
        <v/>
      </c>
      <c r="AC198" s="4">
        <f>IFERROR(AB198-VLOOKUP($C198,Assumptions!$A$29:$C$32,3,FALSE),"")</f>
        <v/>
      </c>
      <c r="AD198" s="4">
        <f>IFERROR(AC198/F198,"")</f>
        <v/>
      </c>
      <c r="AE198">
        <f>IF(AND($E198=TRUE,$C198="GKP"),AB198,"")</f>
        <v/>
      </c>
      <c r="AF198">
        <f>IF(AND($E198=TRUE,$C198="DEF"),AB198,"")</f>
        <v/>
      </c>
      <c r="AG198">
        <f>IF(AND($E198=TRUE,$C198="MID"),AB198,"")</f>
        <v/>
      </c>
      <c r="AH198">
        <f>IF(AND($E198=TRUE,$C198="FWD"),AB198,"")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b">
        <v>1</v>
      </c>
      <c r="F199" s="2" t="n">
        <v>4.5</v>
      </c>
      <c r="G199" t="inlineStr">
        <is>
          <t>i</t>
        </is>
      </c>
      <c r="H199" t="inlineStr">
        <is>
          <t>Hamstring injury - Expected back 30 Aug</t>
        </is>
      </c>
      <c r="I199" s="2" t="n">
        <v>2637</v>
      </c>
      <c r="J199" t="n">
        <v>68</v>
      </c>
      <c r="K199" s="3" t="n">
        <v>2637</v>
      </c>
      <c r="L199" s="3" t="n">
        <v>0.21</v>
      </c>
      <c r="M199" s="4" t="n">
        <v>0.0334</v>
      </c>
      <c r="N199" t="inlineStr">
        <is>
          <t>adjusted xGOT</t>
        </is>
      </c>
      <c r="O199" s="4" t="n">
        <v>0.89</v>
      </c>
      <c r="P199" s="4" t="n">
        <v>1.1</v>
      </c>
      <c r="Q199" s="4" t="n">
        <v>0.1022</v>
      </c>
      <c r="R199" s="4" t="n">
        <v>0.065</v>
      </c>
      <c r="S199" s="4" t="n">
        <v>0.273</v>
      </c>
      <c r="T199" s="4" t="n">
        <v>2.048</v>
      </c>
      <c r="U199" s="4">
        <f>IF(T199="",IFERROR(VLOOKUP($C199,Assumptions!$A$4:$F$7,6,FALSE),0),T199)</f>
        <v/>
      </c>
      <c r="V199" s="4">
        <f>N(M199)*IFERROR(VLOOKUP($C199,Assumptions!$A$4:$F$7,2,FALSE),0)</f>
        <v/>
      </c>
      <c r="W199" s="4">
        <f>N(Q199)*IFERROR(VLOOKUP($C199,Assumptions!$A$4:$F$7,3,FALSE),0)*Assumptions!$B$11</f>
        <v/>
      </c>
      <c r="X199" s="4">
        <f>N(L199)*IFERROR(VLOOKUP($C199,Assumptions!$A$4:$F$7,4,FALSE),0)</f>
        <v/>
      </c>
      <c r="Y199" s="4">
        <f>N(R199)*IFERROR(VLOOKUP($C199,Assumptions!$A$4:$F$7,5,FALSE),0)</f>
        <v/>
      </c>
      <c r="Z199" s="4">
        <f>N(S199)</f>
        <v/>
      </c>
      <c r="AA199" s="4">
        <f>SUM(U199:Z199)</f>
        <v/>
      </c>
      <c r="AB199" s="4">
        <f>N(AA199)*N(K199)/90</f>
        <v/>
      </c>
      <c r="AC199" s="4">
        <f>IFERROR(AB199-VLOOKUP($C199,Assumptions!$A$29:$C$32,3,FALSE),"")</f>
        <v/>
      </c>
      <c r="AD199" s="4">
        <f>IFERROR(AC199/F199,"")</f>
        <v/>
      </c>
      <c r="AE199">
        <f>IF(AND($E199=TRUE,$C199="GKP"),AB199,"")</f>
        <v/>
      </c>
      <c r="AF199">
        <f>IF(AND($E199=TRUE,$C199="DEF"),AB199,"")</f>
        <v/>
      </c>
      <c r="AG199">
        <f>IF(AND($E199=TRUE,$C199="MID"),AB199,"")</f>
        <v/>
      </c>
      <c r="AH199">
        <f>IF(AND($E199=TRUE,$C199="FWD"),AB199,"")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b">
        <v>1</v>
      </c>
      <c r="F200" s="2" t="n">
        <v>5</v>
      </c>
      <c r="G200" t="inlineStr">
        <is>
          <t>a</t>
        </is>
      </c>
      <c r="I200" s="2" t="n">
        <v>1477</v>
      </c>
      <c r="J200" t="n">
        <v>68</v>
      </c>
      <c r="K200" s="3" t="n">
        <v>1477</v>
      </c>
      <c r="L200" s="3" t="n">
        <v>0.29</v>
      </c>
      <c r="M200" s="4" t="n">
        <v>0.0304</v>
      </c>
      <c r="N200" t="inlineStr">
        <is>
          <t>adjusted xGOT</t>
        </is>
      </c>
      <c r="O200" s="4" t="n">
        <v>0.924</v>
      </c>
      <c r="P200" s="4" t="n">
        <v>0.8</v>
      </c>
      <c r="Q200" s="4" t="n">
        <v>0.0779</v>
      </c>
      <c r="R200" s="4" t="n">
        <v>0.412</v>
      </c>
      <c r="S200" s="4" t="n">
        <v>0.0609</v>
      </c>
      <c r="T200" s="4" t="n">
        <v>2.742</v>
      </c>
      <c r="U200" s="4">
        <f>IF(T200="",IFERROR(VLOOKUP($C200,Assumptions!$A$4:$F$7,6,FALSE),0),T200)</f>
        <v/>
      </c>
      <c r="V200" s="4">
        <f>N(M200)*IFERROR(VLOOKUP($C200,Assumptions!$A$4:$F$7,2,FALSE),0)</f>
        <v/>
      </c>
      <c r="W200" s="4">
        <f>N(Q200)*IFERROR(VLOOKUP($C200,Assumptions!$A$4:$F$7,3,FALSE),0)*Assumptions!$B$11</f>
        <v/>
      </c>
      <c r="X200" s="4">
        <f>N(L200)*IFERROR(VLOOKUP($C200,Assumptions!$A$4:$F$7,4,FALSE),0)</f>
        <v/>
      </c>
      <c r="Y200" s="4">
        <f>N(R200)*IFERROR(VLOOKUP($C200,Assumptions!$A$4:$F$7,5,FALSE),0)</f>
        <v/>
      </c>
      <c r="Z200" s="4">
        <f>N(S200)</f>
        <v/>
      </c>
      <c r="AA200" s="4">
        <f>SUM(U200:Z200)</f>
        <v/>
      </c>
      <c r="AB200" s="4">
        <f>N(AA200)*N(K200)/90</f>
        <v/>
      </c>
      <c r="AC200" s="4">
        <f>IFERROR(AB200-VLOOKUP($C200,Assumptions!$A$29:$C$32,3,FALSE),"")</f>
        <v/>
      </c>
      <c r="AD200" s="4">
        <f>IFERROR(AC200/F200,"")</f>
        <v/>
      </c>
      <c r="AE200">
        <f>IF(AND($E200=TRUE,$C200="GKP"),AB200,"")</f>
        <v/>
      </c>
      <c r="AF200">
        <f>IF(AND($E200=TRUE,$C200="DEF"),AB200,"")</f>
        <v/>
      </c>
      <c r="AG200">
        <f>IF(AND($E200=TRUE,$C200="MID"),AB200,"")</f>
        <v/>
      </c>
      <c r="AH200">
        <f>IF(AND($E200=TRUE,$C200="FWD"),AB200,"")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b">
        <v>1</v>
      </c>
      <c r="F201" s="2" t="n">
        <v>6</v>
      </c>
      <c r="G201" t="inlineStr">
        <is>
          <t>a</t>
        </is>
      </c>
      <c r="I201" s="2" t="n">
        <v>1857</v>
      </c>
      <c r="J201" t="n">
        <v>68</v>
      </c>
      <c r="K201" s="3" t="n">
        <v>1857</v>
      </c>
      <c r="L201" s="3" t="n">
        <v>0.21</v>
      </c>
      <c r="M201" s="4" t="n">
        <v>0.0594</v>
      </c>
      <c r="N201" t="inlineStr">
        <is>
          <t>adjusted xGOT</t>
        </is>
      </c>
      <c r="O201" s="4" t="n">
        <v>1.075</v>
      </c>
      <c r="P201" s="4" t="n">
        <v>8.199999999999999</v>
      </c>
      <c r="Q201" s="4" t="n">
        <v>0.1513</v>
      </c>
      <c r="R201" s="4" t="n">
        <v>0.095</v>
      </c>
      <c r="S201" s="4" t="n">
        <v>0.1454</v>
      </c>
      <c r="T201" s="4" t="n">
        <v>2.181</v>
      </c>
      <c r="U201" s="4">
        <f>IF(T201="",IFERROR(VLOOKUP($C201,Assumptions!$A$4:$F$7,6,FALSE),0),T201)</f>
        <v/>
      </c>
      <c r="V201" s="4">
        <f>N(M201)*IFERROR(VLOOKUP($C201,Assumptions!$A$4:$F$7,2,FALSE),0)</f>
        <v/>
      </c>
      <c r="W201" s="4">
        <f>N(Q201)*IFERROR(VLOOKUP($C201,Assumptions!$A$4:$F$7,3,FALSE),0)*Assumptions!$B$11</f>
        <v/>
      </c>
      <c r="X201" s="4">
        <f>N(L201)*IFERROR(VLOOKUP($C201,Assumptions!$A$4:$F$7,4,FALSE),0)</f>
        <v/>
      </c>
      <c r="Y201" s="4">
        <f>N(R201)*IFERROR(VLOOKUP($C201,Assumptions!$A$4:$F$7,5,FALSE),0)</f>
        <v/>
      </c>
      <c r="Z201" s="4">
        <f>N(S201)</f>
        <v/>
      </c>
      <c r="AA201" s="4">
        <f>SUM(U201:Z201)</f>
        <v/>
      </c>
      <c r="AB201" s="4">
        <f>N(AA201)*N(K201)/90</f>
        <v/>
      </c>
      <c r="AC201" s="4">
        <f>IFERROR(AB201-VLOOKUP($C201,Assumptions!$A$29:$C$32,3,FALSE),"")</f>
        <v/>
      </c>
      <c r="AD201" s="4">
        <f>IFERROR(AC201/F201,"")</f>
        <v/>
      </c>
      <c r="AE201">
        <f>IF(AND($E201=TRUE,$C201="GKP"),AB201,"")</f>
        <v/>
      </c>
      <c r="AF201">
        <f>IF(AND($E201=TRUE,$C201="DEF"),AB201,"")</f>
        <v/>
      </c>
      <c r="AG201">
        <f>IF(AND($E201=TRUE,$C201="MID"),AB201,"")</f>
        <v/>
      </c>
      <c r="AH201">
        <f>IF(AND($E201=TRUE,$C201="FWD"),AB201,"")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b">
        <v>1</v>
      </c>
      <c r="F202" s="2" t="n">
        <v>5</v>
      </c>
      <c r="G202" t="inlineStr">
        <is>
          <t>a</t>
        </is>
      </c>
      <c r="I202" s="2" t="n">
        <v>1074</v>
      </c>
      <c r="J202" t="n">
        <v>67</v>
      </c>
      <c r="K202" s="3" t="n">
        <v>1074</v>
      </c>
      <c r="L202" s="3" t="n">
        <v>0.29</v>
      </c>
      <c r="M202" s="4" t="n">
        <v>0.2302</v>
      </c>
      <c r="N202" t="inlineStr">
        <is>
          <t>adjusted xGOT</t>
        </is>
      </c>
      <c r="O202" s="4" t="n">
        <v>1.057</v>
      </c>
      <c r="P202" s="4" t="n">
        <v>2.6</v>
      </c>
      <c r="Q202" s="4" t="n">
        <v>0.1214</v>
      </c>
      <c r="R202" s="4" t="n">
        <v>0.1</v>
      </c>
      <c r="S202" s="4" t="n">
        <v>0.3352</v>
      </c>
      <c r="T202" s="4" t="n">
        <v>3.268</v>
      </c>
      <c r="U202" s="4">
        <f>IF(T202="",IFERROR(VLOOKUP($C202,Assumptions!$A$4:$F$7,6,FALSE),0),T202)</f>
        <v/>
      </c>
      <c r="V202" s="4">
        <f>N(M202)*IFERROR(VLOOKUP($C202,Assumptions!$A$4:$F$7,2,FALSE),0)</f>
        <v/>
      </c>
      <c r="W202" s="4">
        <f>N(Q202)*IFERROR(VLOOKUP($C202,Assumptions!$A$4:$F$7,3,FALSE),0)*Assumptions!$B$11</f>
        <v/>
      </c>
      <c r="X202" s="4">
        <f>N(L202)*IFERROR(VLOOKUP($C202,Assumptions!$A$4:$F$7,4,FALSE),0)</f>
        <v/>
      </c>
      <c r="Y202" s="4">
        <f>N(R202)*IFERROR(VLOOKUP($C202,Assumptions!$A$4:$F$7,5,FALSE),0)</f>
        <v/>
      </c>
      <c r="Z202" s="4">
        <f>N(S202)</f>
        <v/>
      </c>
      <c r="AA202" s="4">
        <f>SUM(U202:Z202)</f>
        <v/>
      </c>
      <c r="AB202" s="4">
        <f>N(AA202)*N(K202)/90</f>
        <v/>
      </c>
      <c r="AC202" s="4">
        <f>IFERROR(AB202-VLOOKUP($C202,Assumptions!$A$29:$C$32,3,FALSE),"")</f>
        <v/>
      </c>
      <c r="AD202" s="4">
        <f>IFERROR(AC202/F202,"")</f>
        <v/>
      </c>
      <c r="AE202">
        <f>IF(AND($E202=TRUE,$C202="GKP"),AB202,"")</f>
        <v/>
      </c>
      <c r="AF202">
        <f>IF(AND($E202=TRUE,$C202="DEF"),AB202,"")</f>
        <v/>
      </c>
      <c r="AG202">
        <f>IF(AND($E202=TRUE,$C202="MID"),AB202,"")</f>
        <v/>
      </c>
      <c r="AH202">
        <f>IF(AND($E202=TRUE,$C202="FWD"),AB202,"")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b">
        <v>1</v>
      </c>
      <c r="F203" s="2" t="n">
        <v>5.5</v>
      </c>
      <c r="G203" t="inlineStr">
        <is>
          <t>a</t>
        </is>
      </c>
      <c r="I203" s="2" t="n">
        <v>1427</v>
      </c>
      <c r="J203" t="n">
        <v>67</v>
      </c>
      <c r="K203" s="3" t="n">
        <v>1427</v>
      </c>
      <c r="L203" s="3" t="n">
        <v>0.421</v>
      </c>
      <c r="M203" s="4" t="n">
        <v>0.0378</v>
      </c>
      <c r="N203" t="inlineStr">
        <is>
          <t>adjusted xGOT</t>
        </is>
      </c>
      <c r="O203" s="4" t="n">
        <v>0.923</v>
      </c>
      <c r="P203" s="4" t="n">
        <v>0.7</v>
      </c>
      <c r="Q203" s="4" t="n">
        <v>0.0562</v>
      </c>
      <c r="R203" s="4" t="n">
        <v>0.333</v>
      </c>
      <c r="S203" s="4" t="n">
        <v>0.1892</v>
      </c>
      <c r="T203" s="4" t="n">
        <v>2.207</v>
      </c>
      <c r="U203" s="4">
        <f>IF(T203="",IFERROR(VLOOKUP($C203,Assumptions!$A$4:$F$7,6,FALSE),0),T203)</f>
        <v/>
      </c>
      <c r="V203" s="4">
        <f>N(M203)*IFERROR(VLOOKUP($C203,Assumptions!$A$4:$F$7,2,FALSE),0)</f>
        <v/>
      </c>
      <c r="W203" s="4">
        <f>N(Q203)*IFERROR(VLOOKUP($C203,Assumptions!$A$4:$F$7,3,FALSE),0)*Assumptions!$B$11</f>
        <v/>
      </c>
      <c r="X203" s="4">
        <f>N(L203)*IFERROR(VLOOKUP($C203,Assumptions!$A$4:$F$7,4,FALSE),0)</f>
        <v/>
      </c>
      <c r="Y203" s="4">
        <f>N(R203)*IFERROR(VLOOKUP($C203,Assumptions!$A$4:$F$7,5,FALSE),0)</f>
        <v/>
      </c>
      <c r="Z203" s="4">
        <f>N(S203)</f>
        <v/>
      </c>
      <c r="AA203" s="4">
        <f>SUM(U203:Z203)</f>
        <v/>
      </c>
      <c r="AB203" s="4">
        <f>N(AA203)*N(K203)/90</f>
        <v/>
      </c>
      <c r="AC203" s="4">
        <f>IFERROR(AB203-VLOOKUP($C203,Assumptions!$A$29:$C$32,3,FALSE),"")</f>
        <v/>
      </c>
      <c r="AD203" s="4">
        <f>IFERROR(AC203/F203,"")</f>
        <v/>
      </c>
      <c r="AE203">
        <f>IF(AND($E203=TRUE,$C203="GKP"),AB203,"")</f>
        <v/>
      </c>
      <c r="AF203">
        <f>IF(AND($E203=TRUE,$C203="DEF"),AB203,"")</f>
        <v/>
      </c>
      <c r="AG203">
        <f>IF(AND($E203=TRUE,$C203="MID"),AB203,"")</f>
        <v/>
      </c>
      <c r="AH203">
        <f>IF(AND($E203=TRUE,$C203="FWD"),AB203,"")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b">
        <v>1</v>
      </c>
      <c r="F204" s="2" t="n">
        <v>5</v>
      </c>
      <c r="G204" t="inlineStr">
        <is>
          <t>a</t>
        </is>
      </c>
      <c r="I204" s="2" t="n">
        <v>1307</v>
      </c>
      <c r="J204" t="n">
        <v>67</v>
      </c>
      <c r="K204" s="3" t="n">
        <v>1307</v>
      </c>
      <c r="L204" s="3" t="n">
        <v>0.21</v>
      </c>
      <c r="M204" s="4" t="n">
        <v>0.0977</v>
      </c>
      <c r="N204" t="inlineStr">
        <is>
          <t>adjusted xGOT</t>
        </is>
      </c>
      <c r="O204" s="4" t="n">
        <v>0.985</v>
      </c>
      <c r="P204" s="4" t="n">
        <v>1.4</v>
      </c>
      <c r="Q204" s="4" t="n">
        <v>0.0946</v>
      </c>
      <c r="R204" s="4" t="n">
        <v>0.286</v>
      </c>
      <c r="S204" s="4" t="n">
        <v>0.2066</v>
      </c>
      <c r="T204" s="4" t="n">
        <v>2.754</v>
      </c>
      <c r="U204" s="4">
        <f>IF(T204="",IFERROR(VLOOKUP($C204,Assumptions!$A$4:$F$7,6,FALSE),0),T204)</f>
        <v/>
      </c>
      <c r="V204" s="4">
        <f>N(M204)*IFERROR(VLOOKUP($C204,Assumptions!$A$4:$F$7,2,FALSE),0)</f>
        <v/>
      </c>
      <c r="W204" s="4">
        <f>N(Q204)*IFERROR(VLOOKUP($C204,Assumptions!$A$4:$F$7,3,FALSE),0)*Assumptions!$B$11</f>
        <v/>
      </c>
      <c r="X204" s="4">
        <f>N(L204)*IFERROR(VLOOKUP($C204,Assumptions!$A$4:$F$7,4,FALSE),0)</f>
        <v/>
      </c>
      <c r="Y204" s="4">
        <f>N(R204)*IFERROR(VLOOKUP($C204,Assumptions!$A$4:$F$7,5,FALSE),0)</f>
        <v/>
      </c>
      <c r="Z204" s="4">
        <f>N(S204)</f>
        <v/>
      </c>
      <c r="AA204" s="4">
        <f>SUM(U204:Z204)</f>
        <v/>
      </c>
      <c r="AB204" s="4">
        <f>N(AA204)*N(K204)/90</f>
        <v/>
      </c>
      <c r="AC204" s="4">
        <f>IFERROR(AB204-VLOOKUP($C204,Assumptions!$A$29:$C$32,3,FALSE),"")</f>
        <v/>
      </c>
      <c r="AD204" s="4">
        <f>IFERROR(AC204/F204,"")</f>
        <v/>
      </c>
      <c r="AE204">
        <f>IF(AND($E204=TRUE,$C204="GKP"),AB204,"")</f>
        <v/>
      </c>
      <c r="AF204">
        <f>IF(AND($E204=TRUE,$C204="DEF"),AB204,"")</f>
        <v/>
      </c>
      <c r="AG204">
        <f>IF(AND($E204=TRUE,$C204="MID"),AB204,"")</f>
        <v/>
      </c>
      <c r="AH204">
        <f>IF(AND($E204=TRUE,$C204="FWD"),AB204,"")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b">
        <v>1</v>
      </c>
      <c r="F205" s="2" t="n">
        <v>6.5</v>
      </c>
      <c r="G205" t="inlineStr">
        <is>
          <t>a</t>
        </is>
      </c>
      <c r="I205" s="2" t="n">
        <v>1110</v>
      </c>
      <c r="J205" t="n">
        <v>67</v>
      </c>
      <c r="K205" s="3" t="n">
        <v>1110</v>
      </c>
      <c r="L205" s="3" t="n">
        <v>0.29</v>
      </c>
      <c r="M205" s="4" t="n">
        <v>0.2313</v>
      </c>
      <c r="N205" t="inlineStr">
        <is>
          <t>adjusted xGOT</t>
        </is>
      </c>
      <c r="O205" s="4" t="n">
        <v>1.068</v>
      </c>
      <c r="P205" s="4" t="n">
        <v>2.7</v>
      </c>
      <c r="Q205" s="4" t="n">
        <v>0.1873</v>
      </c>
      <c r="R205" s="4" t="n">
        <v>0</v>
      </c>
      <c r="S205" s="4" t="n">
        <v>0.2432</v>
      </c>
      <c r="T205" s="4" t="n">
        <v>2.27</v>
      </c>
      <c r="U205" s="4">
        <f>IF(T205="",IFERROR(VLOOKUP($C205,Assumptions!$A$4:$F$7,6,FALSE),0),T205)</f>
        <v/>
      </c>
      <c r="V205" s="4">
        <f>N(M205)*IFERROR(VLOOKUP($C205,Assumptions!$A$4:$F$7,2,FALSE),0)</f>
        <v/>
      </c>
      <c r="W205" s="4">
        <f>N(Q205)*IFERROR(VLOOKUP($C205,Assumptions!$A$4:$F$7,3,FALSE),0)*Assumptions!$B$11</f>
        <v/>
      </c>
      <c r="X205" s="4">
        <f>N(L205)*IFERROR(VLOOKUP($C205,Assumptions!$A$4:$F$7,4,FALSE),0)</f>
        <v/>
      </c>
      <c r="Y205" s="4">
        <f>N(R205)*IFERROR(VLOOKUP($C205,Assumptions!$A$4:$F$7,5,FALSE),0)</f>
        <v/>
      </c>
      <c r="Z205" s="4">
        <f>N(S205)</f>
        <v/>
      </c>
      <c r="AA205" s="4">
        <f>SUM(U205:Z205)</f>
        <v/>
      </c>
      <c r="AB205" s="4">
        <f>N(AA205)*N(K205)/90</f>
        <v/>
      </c>
      <c r="AC205" s="4">
        <f>IFERROR(AB205-VLOOKUP($C205,Assumptions!$A$29:$C$32,3,FALSE),"")</f>
        <v/>
      </c>
      <c r="AD205" s="4">
        <f>IFERROR(AC205/F205,"")</f>
        <v/>
      </c>
      <c r="AE205">
        <f>IF(AND($E205=TRUE,$C205="GKP"),AB205,"")</f>
        <v/>
      </c>
      <c r="AF205">
        <f>IF(AND($E205=TRUE,$C205="DEF"),AB205,"")</f>
        <v/>
      </c>
      <c r="AG205">
        <f>IF(AND($E205=TRUE,$C205="MID"),AB205,"")</f>
        <v/>
      </c>
      <c r="AH205">
        <f>IF(AND($E205=TRUE,$C205="FWD"),AB205,"")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b">
        <v>1</v>
      </c>
      <c r="F206" s="2" t="n">
        <v>6</v>
      </c>
      <c r="G206" t="inlineStr">
        <is>
          <t>a</t>
        </is>
      </c>
      <c r="I206" s="2" t="n">
        <v>1024</v>
      </c>
      <c r="J206" t="n">
        <v>67</v>
      </c>
      <c r="K206" s="3" t="n">
        <v>1024</v>
      </c>
      <c r="L206" s="3" t="n">
        <v>0.5</v>
      </c>
      <c r="M206" s="4" t="n">
        <v>0.3227</v>
      </c>
      <c r="N206" t="inlineStr">
        <is>
          <t>adjusted xGOT</t>
        </is>
      </c>
      <c r="O206" s="4" t="n">
        <v>1.093</v>
      </c>
      <c r="P206" s="4" t="n">
        <v>9.1</v>
      </c>
      <c r="Q206" s="4" t="n">
        <v>0.1644</v>
      </c>
      <c r="R206" s="4" t="n">
        <v>0</v>
      </c>
      <c r="S206" s="4" t="n">
        <v>0.4395</v>
      </c>
      <c r="T206" s="4" t="n">
        <v>2.637</v>
      </c>
      <c r="U206" s="4">
        <f>IF(T206="",IFERROR(VLOOKUP($C206,Assumptions!$A$4:$F$7,6,FALSE),0),T206)</f>
        <v/>
      </c>
      <c r="V206" s="4">
        <f>N(M206)*IFERROR(VLOOKUP($C206,Assumptions!$A$4:$F$7,2,FALSE),0)</f>
        <v/>
      </c>
      <c r="W206" s="4">
        <f>N(Q206)*IFERROR(VLOOKUP($C206,Assumptions!$A$4:$F$7,3,FALSE),0)*Assumptions!$B$11</f>
        <v/>
      </c>
      <c r="X206" s="4">
        <f>N(L206)*IFERROR(VLOOKUP($C206,Assumptions!$A$4:$F$7,4,FALSE),0)</f>
        <v/>
      </c>
      <c r="Y206" s="4">
        <f>N(R206)*IFERROR(VLOOKUP($C206,Assumptions!$A$4:$F$7,5,FALSE),0)</f>
        <v/>
      </c>
      <c r="Z206" s="4">
        <f>N(S206)</f>
        <v/>
      </c>
      <c r="AA206" s="4">
        <f>SUM(U206:Z206)</f>
        <v/>
      </c>
      <c r="AB206" s="4">
        <f>N(AA206)*N(K206)/90</f>
        <v/>
      </c>
      <c r="AC206" s="4">
        <f>IFERROR(AB206-VLOOKUP($C206,Assumptions!$A$29:$C$32,3,FALSE),"")</f>
        <v/>
      </c>
      <c r="AD206" s="4">
        <f>IFERROR(AC206/F206,"")</f>
        <v/>
      </c>
      <c r="AE206">
        <f>IF(AND($E206=TRUE,$C206="GKP"),AB206,"")</f>
        <v/>
      </c>
      <c r="AF206">
        <f>IF(AND($E206=TRUE,$C206="DEF"),AB206,"")</f>
        <v/>
      </c>
      <c r="AG206">
        <f>IF(AND($E206=TRUE,$C206="MID"),AB206,"")</f>
        <v/>
      </c>
      <c r="AH206">
        <f>IF(AND($E206=TRUE,$C206="FWD"),AB206,"")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b">
        <v>1</v>
      </c>
      <c r="F207" s="2" t="n">
        <v>5</v>
      </c>
      <c r="G207" t="inlineStr">
        <is>
          <t>a</t>
        </is>
      </c>
      <c r="I207" s="2" t="n">
        <v>1899</v>
      </c>
      <c r="J207" t="n">
        <v>67</v>
      </c>
      <c r="K207" s="3" t="n">
        <v>1899</v>
      </c>
      <c r="L207" s="3" t="n">
        <v>0.316</v>
      </c>
      <c r="M207" s="4" t="n">
        <v>0.0708</v>
      </c>
      <c r="N207" t="inlineStr">
        <is>
          <t>adjusted xGOT</t>
        </is>
      </c>
      <c r="O207" s="4" t="n">
        <v>0.911</v>
      </c>
      <c r="P207" s="4" t="n">
        <v>2.8</v>
      </c>
      <c r="Q207" s="4" t="n">
        <v>0.1381</v>
      </c>
      <c r="R207" s="4" t="n">
        <v>0.227</v>
      </c>
      <c r="S207" s="4" t="n">
        <v>0</v>
      </c>
      <c r="T207" s="4" t="n">
        <v>2.275</v>
      </c>
      <c r="U207" s="4">
        <f>IF(T207="",IFERROR(VLOOKUP($C207,Assumptions!$A$4:$F$7,6,FALSE),0),T207)</f>
        <v/>
      </c>
      <c r="V207" s="4">
        <f>N(M207)*IFERROR(VLOOKUP($C207,Assumptions!$A$4:$F$7,2,FALSE),0)</f>
        <v/>
      </c>
      <c r="W207" s="4">
        <f>N(Q207)*IFERROR(VLOOKUP($C207,Assumptions!$A$4:$F$7,3,FALSE),0)*Assumptions!$B$11</f>
        <v/>
      </c>
      <c r="X207" s="4">
        <f>N(L207)*IFERROR(VLOOKUP($C207,Assumptions!$A$4:$F$7,4,FALSE),0)</f>
        <v/>
      </c>
      <c r="Y207" s="4">
        <f>N(R207)*IFERROR(VLOOKUP($C207,Assumptions!$A$4:$F$7,5,FALSE),0)</f>
        <v/>
      </c>
      <c r="Z207" s="4">
        <f>N(S207)</f>
        <v/>
      </c>
      <c r="AA207" s="4">
        <f>SUM(U207:Z207)</f>
        <v/>
      </c>
      <c r="AB207" s="4">
        <f>N(AA207)*N(K207)/90</f>
        <v/>
      </c>
      <c r="AC207" s="4">
        <f>IFERROR(AB207-VLOOKUP($C207,Assumptions!$A$29:$C$32,3,FALSE),"")</f>
        <v/>
      </c>
      <c r="AD207" s="4">
        <f>IFERROR(AC207/F207,"")</f>
        <v/>
      </c>
      <c r="AE207">
        <f>IF(AND($E207=TRUE,$C207="GKP"),AB207,"")</f>
        <v/>
      </c>
      <c r="AF207">
        <f>IF(AND($E207=TRUE,$C207="DEF"),AB207,"")</f>
        <v/>
      </c>
      <c r="AG207">
        <f>IF(AND($E207=TRUE,$C207="MID"),AB207,"")</f>
        <v/>
      </c>
      <c r="AH207">
        <f>IF(AND($E207=TRUE,$C207="FWD"),AB207,"")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b">
        <v>1</v>
      </c>
      <c r="F208" s="2" t="n">
        <v>5</v>
      </c>
      <c r="G208" t="inlineStr">
        <is>
          <t>a</t>
        </is>
      </c>
      <c r="I208" s="2" t="n">
        <v>1730</v>
      </c>
      <c r="J208" t="n">
        <v>67</v>
      </c>
      <c r="K208" s="3" t="n">
        <v>1730</v>
      </c>
      <c r="L208" s="3" t="n"/>
      <c r="M208" s="4" t="n">
        <v>0.1034</v>
      </c>
      <c r="N208" t="inlineStr">
        <is>
          <t>adjusted xGOT</t>
        </is>
      </c>
      <c r="O208" s="4" t="n">
        <v>0.892</v>
      </c>
      <c r="P208" s="4" t="n">
        <v>5</v>
      </c>
      <c r="Q208" s="4" t="n">
        <v>0.106</v>
      </c>
      <c r="R208" s="4" t="n">
        <v>0.15</v>
      </c>
      <c r="S208" s="4" t="n">
        <v>0.2081</v>
      </c>
      <c r="T208" s="4" t="n">
        <v>2.237</v>
      </c>
      <c r="U208" s="4">
        <f>IF(T208="",IFERROR(VLOOKUP($C208,Assumptions!$A$4:$F$7,6,FALSE),0),T208)</f>
        <v/>
      </c>
      <c r="V208" s="4">
        <f>N(M208)*IFERROR(VLOOKUP($C208,Assumptions!$A$4:$F$7,2,FALSE),0)</f>
        <v/>
      </c>
      <c r="W208" s="4">
        <f>N(Q208)*IFERROR(VLOOKUP($C208,Assumptions!$A$4:$F$7,3,FALSE),0)*Assumptions!$B$11</f>
        <v/>
      </c>
      <c r="X208" s="4">
        <f>N(L208)*IFERROR(VLOOKUP($C208,Assumptions!$A$4:$F$7,4,FALSE),0)</f>
        <v/>
      </c>
      <c r="Y208" s="4">
        <f>N(R208)*IFERROR(VLOOKUP($C208,Assumptions!$A$4:$F$7,5,FALSE),0)</f>
        <v/>
      </c>
      <c r="Z208" s="4">
        <f>N(S208)</f>
        <v/>
      </c>
      <c r="AA208" s="4">
        <f>SUM(U208:Z208)</f>
        <v/>
      </c>
      <c r="AB208" s="4">
        <f>N(AA208)*N(K208)/90</f>
        <v/>
      </c>
      <c r="AC208" s="4">
        <f>IFERROR(AB208-VLOOKUP($C208,Assumptions!$A$29:$C$32,3,FALSE),"")</f>
        <v/>
      </c>
      <c r="AD208" s="4">
        <f>IFERROR(AC208/F208,"")</f>
        <v/>
      </c>
      <c r="AE208">
        <f>IF(AND($E208=TRUE,$C208="GKP"),AB208,"")</f>
        <v/>
      </c>
      <c r="AF208">
        <f>IF(AND($E208=TRUE,$C208="DEF"),AB208,"")</f>
        <v/>
      </c>
      <c r="AG208">
        <f>IF(AND($E208=TRUE,$C208="MID"),AB208,"")</f>
        <v/>
      </c>
      <c r="AH208">
        <f>IF(AND($E208=TRUE,$C208="FWD"),AB208,"")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b">
        <v>1</v>
      </c>
      <c r="F209" s="2" t="n">
        <v>4.5</v>
      </c>
      <c r="G209" t="inlineStr">
        <is>
          <t>a</t>
        </is>
      </c>
      <c r="I209" s="2" t="n">
        <v>1587</v>
      </c>
      <c r="J209" t="n">
        <v>67</v>
      </c>
      <c r="K209" s="3" t="n">
        <v>1587</v>
      </c>
      <c r="L209" s="3" t="n">
        <v>0.237</v>
      </c>
      <c r="M209" s="4" t="n">
        <v>0.0226</v>
      </c>
      <c r="N209" t="inlineStr">
        <is>
          <t>adjusted xGOT</t>
        </is>
      </c>
      <c r="O209" s="4" t="n">
        <v>0.97</v>
      </c>
      <c r="P209" s="4" t="n">
        <v>1.4</v>
      </c>
      <c r="Q209" s="4" t="n">
        <v>0.0335</v>
      </c>
      <c r="R209" s="4" t="n">
        <v>0.111</v>
      </c>
      <c r="S209" s="4" t="n">
        <v>0.2836</v>
      </c>
      <c r="T209" s="4" t="n">
        <v>2.042</v>
      </c>
      <c r="U209" s="4">
        <f>IF(T209="",IFERROR(VLOOKUP($C209,Assumptions!$A$4:$F$7,6,FALSE),0),T209)</f>
        <v/>
      </c>
      <c r="V209" s="4">
        <f>N(M209)*IFERROR(VLOOKUP($C209,Assumptions!$A$4:$F$7,2,FALSE),0)</f>
        <v/>
      </c>
      <c r="W209" s="4">
        <f>N(Q209)*IFERROR(VLOOKUP($C209,Assumptions!$A$4:$F$7,3,FALSE),0)*Assumptions!$B$11</f>
        <v/>
      </c>
      <c r="X209" s="4">
        <f>N(L209)*IFERROR(VLOOKUP($C209,Assumptions!$A$4:$F$7,4,FALSE),0)</f>
        <v/>
      </c>
      <c r="Y209" s="4">
        <f>N(R209)*IFERROR(VLOOKUP($C209,Assumptions!$A$4:$F$7,5,FALSE),0)</f>
        <v/>
      </c>
      <c r="Z209" s="4">
        <f>N(S209)</f>
        <v/>
      </c>
      <c r="AA209" s="4">
        <f>SUM(U209:Z209)</f>
        <v/>
      </c>
      <c r="AB209" s="4">
        <f>N(AA209)*N(K209)/90</f>
        <v/>
      </c>
      <c r="AC209" s="4">
        <f>IFERROR(AB209-VLOOKUP($C209,Assumptions!$A$29:$C$32,3,FALSE),"")</f>
        <v/>
      </c>
      <c r="AD209" s="4">
        <f>IFERROR(AC209/F209,"")</f>
        <v/>
      </c>
      <c r="AE209">
        <f>IF(AND($E209=TRUE,$C209="GKP"),AB209,"")</f>
        <v/>
      </c>
      <c r="AF209">
        <f>IF(AND($E209=TRUE,$C209="DEF"),AB209,"")</f>
        <v/>
      </c>
      <c r="AG209">
        <f>IF(AND($E209=TRUE,$C209="MID"),AB209,"")</f>
        <v/>
      </c>
      <c r="AH209">
        <f>IF(AND($E209=TRUE,$C209="FWD"),AB209,"")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b">
        <v>1</v>
      </c>
      <c r="F210" s="2" t="n">
        <v>5.5</v>
      </c>
      <c r="G210" t="inlineStr">
        <is>
          <t>a</t>
        </is>
      </c>
      <c r="I210" s="2" t="n">
        <v>1403</v>
      </c>
      <c r="J210" t="n">
        <v>65</v>
      </c>
      <c r="K210" s="3" t="n">
        <v>1403</v>
      </c>
      <c r="L210" s="3" t="n">
        <v>0.29</v>
      </c>
      <c r="M210" s="4" t="n">
        <v>0.1955</v>
      </c>
      <c r="N210" t="inlineStr">
        <is>
          <t>adjusted xGOT</t>
        </is>
      </c>
      <c r="O210" s="4" t="n">
        <v>0.9320000000000001</v>
      </c>
      <c r="P210" s="4" t="n">
        <v>3.3</v>
      </c>
      <c r="Q210" s="4" t="n">
        <v>0.0479</v>
      </c>
      <c r="R210" s="4" t="n">
        <v>0</v>
      </c>
      <c r="S210" s="4" t="n">
        <v>0.2566</v>
      </c>
      <c r="T210" s="4" t="n">
        <v>2.245</v>
      </c>
      <c r="U210" s="4">
        <f>IF(T210="",IFERROR(VLOOKUP($C210,Assumptions!$A$4:$F$7,6,FALSE),0),T210)</f>
        <v/>
      </c>
      <c r="V210" s="4">
        <f>N(M210)*IFERROR(VLOOKUP($C210,Assumptions!$A$4:$F$7,2,FALSE),0)</f>
        <v/>
      </c>
      <c r="W210" s="4">
        <f>N(Q210)*IFERROR(VLOOKUP($C210,Assumptions!$A$4:$F$7,3,FALSE),0)*Assumptions!$B$11</f>
        <v/>
      </c>
      <c r="X210" s="4">
        <f>N(L210)*IFERROR(VLOOKUP($C210,Assumptions!$A$4:$F$7,4,FALSE),0)</f>
        <v/>
      </c>
      <c r="Y210" s="4">
        <f>N(R210)*IFERROR(VLOOKUP($C210,Assumptions!$A$4:$F$7,5,FALSE),0)</f>
        <v/>
      </c>
      <c r="Z210" s="4">
        <f>N(S210)</f>
        <v/>
      </c>
      <c r="AA210" s="4">
        <f>SUM(U210:Z210)</f>
        <v/>
      </c>
      <c r="AB210" s="4">
        <f>N(AA210)*N(K210)/90</f>
        <v/>
      </c>
      <c r="AC210" s="4">
        <f>IFERROR(AB210-VLOOKUP($C210,Assumptions!$A$29:$C$32,3,FALSE),"")</f>
        <v/>
      </c>
      <c r="AD210" s="4">
        <f>IFERROR(AC210/F210,"")</f>
        <v/>
      </c>
      <c r="AE210">
        <f>IF(AND($E210=TRUE,$C210="GKP"),AB210,"")</f>
        <v/>
      </c>
      <c r="AF210">
        <f>IF(AND($E210=TRUE,$C210="DEF"),AB210,"")</f>
        <v/>
      </c>
      <c r="AG210">
        <f>IF(AND($E210=TRUE,$C210="MID"),AB210,"")</f>
        <v/>
      </c>
      <c r="AH210">
        <f>IF(AND($E210=TRUE,$C210="FWD"),AB210,"")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b">
        <v>1</v>
      </c>
      <c r="F211" s="2" t="n">
        <v>6</v>
      </c>
      <c r="G211" t="inlineStr">
        <is>
          <t>a</t>
        </is>
      </c>
      <c r="I211" s="2" t="n">
        <v>1710</v>
      </c>
      <c r="J211" t="n">
        <v>65</v>
      </c>
      <c r="K211" s="3" t="n">
        <v>1710</v>
      </c>
      <c r="L211" s="3" t="n">
        <v>0.29</v>
      </c>
      <c r="M211" s="4" t="n">
        <v>0.1194</v>
      </c>
      <c r="N211" t="inlineStr">
        <is>
          <t>adjusted xGOT</t>
        </is>
      </c>
      <c r="O211" s="4" t="n">
        <v>0.926</v>
      </c>
      <c r="P211" s="4" t="n">
        <v>32</v>
      </c>
      <c r="Q211" s="4" t="n">
        <v>0.0682</v>
      </c>
      <c r="R211" s="4" t="n">
        <v>0</v>
      </c>
      <c r="S211" s="4" t="n">
        <v>0.1053</v>
      </c>
      <c r="T211" s="4" t="n">
        <v>2.632</v>
      </c>
      <c r="U211" s="4">
        <f>IF(T211="",IFERROR(VLOOKUP($C211,Assumptions!$A$4:$F$7,6,FALSE),0),T211)</f>
        <v/>
      </c>
      <c r="V211" s="4">
        <f>N(M211)*IFERROR(VLOOKUP($C211,Assumptions!$A$4:$F$7,2,FALSE),0)</f>
        <v/>
      </c>
      <c r="W211" s="4">
        <f>N(Q211)*IFERROR(VLOOKUP($C211,Assumptions!$A$4:$F$7,3,FALSE),0)*Assumptions!$B$11</f>
        <v/>
      </c>
      <c r="X211" s="4">
        <f>N(L211)*IFERROR(VLOOKUP($C211,Assumptions!$A$4:$F$7,4,FALSE),0)</f>
        <v/>
      </c>
      <c r="Y211" s="4">
        <f>N(R211)*IFERROR(VLOOKUP($C211,Assumptions!$A$4:$F$7,5,FALSE),0)</f>
        <v/>
      </c>
      <c r="Z211" s="4">
        <f>N(S211)</f>
        <v/>
      </c>
      <c r="AA211" s="4">
        <f>SUM(U211:Z211)</f>
        <v/>
      </c>
      <c r="AB211" s="4">
        <f>N(AA211)*N(K211)/90</f>
        <v/>
      </c>
      <c r="AC211" s="4">
        <f>IFERROR(AB211-VLOOKUP($C211,Assumptions!$A$29:$C$32,3,FALSE),"")</f>
        <v/>
      </c>
      <c r="AD211" s="4">
        <f>IFERROR(AC211/F211,"")</f>
        <v/>
      </c>
      <c r="AE211">
        <f>IF(AND($E211=TRUE,$C211="GKP"),AB211,"")</f>
        <v/>
      </c>
      <c r="AF211">
        <f>IF(AND($E211=TRUE,$C211="DEF"),AB211,"")</f>
        <v/>
      </c>
      <c r="AG211">
        <f>IF(AND($E211=TRUE,$C211="MID"),AB211,"")</f>
        <v/>
      </c>
      <c r="AH211">
        <f>IF(AND($E211=TRUE,$C211="FWD"),AB211,"")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b">
        <v>1</v>
      </c>
      <c r="F212" s="2" t="n">
        <v>5</v>
      </c>
      <c r="G212" t="inlineStr">
        <is>
          <t>s</t>
        </is>
      </c>
      <c r="H212" t="inlineStr">
        <is>
          <t>Suspended until 6 Sep</t>
        </is>
      </c>
      <c r="I212" s="2" t="n">
        <v>1718</v>
      </c>
      <c r="J212" t="n">
        <v>65</v>
      </c>
      <c r="K212" s="3" t="n">
        <v>1718</v>
      </c>
      <c r="L212" s="3" t="n">
        <v>0.237</v>
      </c>
      <c r="M212" s="4" t="n">
        <v>0.0335</v>
      </c>
      <c r="N212" t="inlineStr">
        <is>
          <t>adjusted xGOT</t>
        </is>
      </c>
      <c r="O212" s="4" t="n">
        <v>0.889</v>
      </c>
      <c r="P212" s="4" t="n">
        <v>1.9</v>
      </c>
      <c r="Q212" s="4" t="n">
        <v>0.033</v>
      </c>
      <c r="R212" s="4" t="n">
        <v>0.35</v>
      </c>
      <c r="S212" s="4" t="n">
        <v>0.1048</v>
      </c>
      <c r="T212" s="4" t="n">
        <v>2.253</v>
      </c>
      <c r="U212" s="4">
        <f>IF(T212="",IFERROR(VLOOKUP($C212,Assumptions!$A$4:$F$7,6,FALSE),0),T212)</f>
        <v/>
      </c>
      <c r="V212" s="4">
        <f>N(M212)*IFERROR(VLOOKUP($C212,Assumptions!$A$4:$F$7,2,FALSE),0)</f>
        <v/>
      </c>
      <c r="W212" s="4">
        <f>N(Q212)*IFERROR(VLOOKUP($C212,Assumptions!$A$4:$F$7,3,FALSE),0)*Assumptions!$B$11</f>
        <v/>
      </c>
      <c r="X212" s="4">
        <f>N(L212)*IFERROR(VLOOKUP($C212,Assumptions!$A$4:$F$7,4,FALSE),0)</f>
        <v/>
      </c>
      <c r="Y212" s="4">
        <f>N(R212)*IFERROR(VLOOKUP($C212,Assumptions!$A$4:$F$7,5,FALSE),0)</f>
        <v/>
      </c>
      <c r="Z212" s="4">
        <f>N(S212)</f>
        <v/>
      </c>
      <c r="AA212" s="4">
        <f>SUM(U212:Z212)</f>
        <v/>
      </c>
      <c r="AB212" s="4">
        <f>N(AA212)*N(K212)/90</f>
        <v/>
      </c>
      <c r="AC212" s="4">
        <f>IFERROR(AB212-VLOOKUP($C212,Assumptions!$A$29:$C$32,3,FALSE),"")</f>
        <v/>
      </c>
      <c r="AD212" s="4">
        <f>IFERROR(AC212/F212,"")</f>
        <v/>
      </c>
      <c r="AE212">
        <f>IF(AND($E212=TRUE,$C212="GKP"),AB212,"")</f>
        <v/>
      </c>
      <c r="AF212">
        <f>IF(AND($E212=TRUE,$C212="DEF"),AB212,"")</f>
        <v/>
      </c>
      <c r="AG212">
        <f>IF(AND($E212=TRUE,$C212="MID"),AB212,"")</f>
        <v/>
      </c>
      <c r="AH212">
        <f>IF(AND($E212=TRUE,$C212="FWD"),AB212,"")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b">
        <v>1</v>
      </c>
      <c r="F213" s="2" t="n">
        <v>4.5</v>
      </c>
      <c r="G213" t="inlineStr">
        <is>
          <t>a</t>
        </is>
      </c>
      <c r="I213" s="2" t="n">
        <v>1487</v>
      </c>
      <c r="J213" t="n">
        <v>65</v>
      </c>
      <c r="K213" s="3" t="n">
        <v>1487</v>
      </c>
      <c r="L213" s="3" t="n">
        <v>0.237</v>
      </c>
      <c r="M213" s="4" t="n">
        <v>0.06519999999999999</v>
      </c>
      <c r="N213" t="inlineStr">
        <is>
          <t>adjusted xGOT</t>
        </is>
      </c>
      <c r="O213" s="4" t="n">
        <v>1.008</v>
      </c>
      <c r="P213" s="4" t="n">
        <v>2.5</v>
      </c>
      <c r="Q213" s="4" t="n">
        <v>0.0808</v>
      </c>
      <c r="R213" s="4" t="n">
        <v>0.235</v>
      </c>
      <c r="S213" s="4" t="n">
        <v>0.4237</v>
      </c>
      <c r="T213" s="4" t="n">
        <v>2.3</v>
      </c>
      <c r="U213" s="4">
        <f>IF(T213="",IFERROR(VLOOKUP($C213,Assumptions!$A$4:$F$7,6,FALSE),0),T213)</f>
        <v/>
      </c>
      <c r="V213" s="4">
        <f>N(M213)*IFERROR(VLOOKUP($C213,Assumptions!$A$4:$F$7,2,FALSE),0)</f>
        <v/>
      </c>
      <c r="W213" s="4">
        <f>N(Q213)*IFERROR(VLOOKUP($C213,Assumptions!$A$4:$F$7,3,FALSE),0)*Assumptions!$B$11</f>
        <v/>
      </c>
      <c r="X213" s="4">
        <f>N(L213)*IFERROR(VLOOKUP($C213,Assumptions!$A$4:$F$7,4,FALSE),0)</f>
        <v/>
      </c>
      <c r="Y213" s="4">
        <f>N(R213)*IFERROR(VLOOKUP($C213,Assumptions!$A$4:$F$7,5,FALSE),0)</f>
        <v/>
      </c>
      <c r="Z213" s="4">
        <f>N(S213)</f>
        <v/>
      </c>
      <c r="AA213" s="4">
        <f>SUM(U213:Z213)</f>
        <v/>
      </c>
      <c r="AB213" s="4">
        <f>N(AA213)*N(K213)/90</f>
        <v/>
      </c>
      <c r="AC213" s="4">
        <f>IFERROR(AB213-VLOOKUP($C213,Assumptions!$A$29:$C$32,3,FALSE),"")</f>
        <v/>
      </c>
      <c r="AD213" s="4">
        <f>IFERROR(AC213/F213,"")</f>
        <v/>
      </c>
      <c r="AE213">
        <f>IF(AND($E213=TRUE,$C213="GKP"),AB213,"")</f>
        <v/>
      </c>
      <c r="AF213">
        <f>IF(AND($E213=TRUE,$C213="DEF"),AB213,"")</f>
        <v/>
      </c>
      <c r="AG213">
        <f>IF(AND($E213=TRUE,$C213="MID"),AB213,"")</f>
        <v/>
      </c>
      <c r="AH213">
        <f>IF(AND($E213=TRUE,$C213="FWD"),AB213,"")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b">
        <v>1</v>
      </c>
      <c r="F214" s="2" t="n">
        <v>4.5</v>
      </c>
      <c r="G214" t="inlineStr">
        <is>
          <t>a</t>
        </is>
      </c>
      <c r="I214" s="2" t="n">
        <v>1673</v>
      </c>
      <c r="J214" t="n">
        <v>64</v>
      </c>
      <c r="K214" s="3" t="n">
        <v>1673</v>
      </c>
      <c r="L214" s="3" t="n">
        <v>0.237</v>
      </c>
      <c r="M214" s="4" t="n">
        <v>0.0669</v>
      </c>
      <c r="N214" t="inlineStr">
        <is>
          <t>adjusted xGOT</t>
        </is>
      </c>
      <c r="O214" s="4" t="n">
        <v>0.9350000000000001</v>
      </c>
      <c r="P214" s="4" t="n">
        <v>2.8</v>
      </c>
      <c r="Q214" s="4" t="n">
        <v>0.0107</v>
      </c>
      <c r="R214" s="4" t="n">
        <v>0.111</v>
      </c>
      <c r="S214" s="4" t="n">
        <v>0.1076</v>
      </c>
      <c r="T214" s="4" t="n">
        <v>2.098</v>
      </c>
      <c r="U214" s="4">
        <f>IF(T214="",IFERROR(VLOOKUP($C214,Assumptions!$A$4:$F$7,6,FALSE),0),T214)</f>
        <v/>
      </c>
      <c r="V214" s="4">
        <f>N(M214)*IFERROR(VLOOKUP($C214,Assumptions!$A$4:$F$7,2,FALSE),0)</f>
        <v/>
      </c>
      <c r="W214" s="4">
        <f>N(Q214)*IFERROR(VLOOKUP($C214,Assumptions!$A$4:$F$7,3,FALSE),0)*Assumptions!$B$11</f>
        <v/>
      </c>
      <c r="X214" s="4">
        <f>N(L214)*IFERROR(VLOOKUP($C214,Assumptions!$A$4:$F$7,4,FALSE),0)</f>
        <v/>
      </c>
      <c r="Y214" s="4">
        <f>N(R214)*IFERROR(VLOOKUP($C214,Assumptions!$A$4:$F$7,5,FALSE),0)</f>
        <v/>
      </c>
      <c r="Z214" s="4">
        <f>N(S214)</f>
        <v/>
      </c>
      <c r="AA214" s="4">
        <f>SUM(U214:Z214)</f>
        <v/>
      </c>
      <c r="AB214" s="4">
        <f>N(AA214)*N(K214)/90</f>
        <v/>
      </c>
      <c r="AC214" s="4">
        <f>IFERROR(AB214-VLOOKUP($C214,Assumptions!$A$29:$C$32,3,FALSE),"")</f>
        <v/>
      </c>
      <c r="AD214" s="4">
        <f>IFERROR(AC214/F214,"")</f>
        <v/>
      </c>
      <c r="AE214">
        <f>IF(AND($E214=TRUE,$C214="GKP"),AB214,"")</f>
        <v/>
      </c>
      <c r="AF214">
        <f>IF(AND($E214=TRUE,$C214="DEF"),AB214,"")</f>
        <v/>
      </c>
      <c r="AG214">
        <f>IF(AND($E214=TRUE,$C214="MID"),AB214,"")</f>
        <v/>
      </c>
      <c r="AH214">
        <f>IF(AND($E214=TRUE,$C214="FWD"),AB214,"")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b">
        <v>1</v>
      </c>
      <c r="F215" s="2" t="n">
        <v>5.5</v>
      </c>
      <c r="G215" t="inlineStr">
        <is>
          <t>a</t>
        </is>
      </c>
      <c r="I215" s="2" t="n">
        <v>1561</v>
      </c>
      <c r="J215" t="n">
        <v>63</v>
      </c>
      <c r="K215" s="3" t="n">
        <v>1561</v>
      </c>
      <c r="L215" s="3" t="n">
        <v>0.421</v>
      </c>
      <c r="M215" s="4" t="n">
        <v>0.0382</v>
      </c>
      <c r="N215" t="inlineStr">
        <is>
          <t>adjusted xGOT</t>
        </is>
      </c>
      <c r="O215" s="4" t="n">
        <v>0.975</v>
      </c>
      <c r="P215" s="4" t="n">
        <v>1.1</v>
      </c>
      <c r="Q215" s="4" t="n">
        <v>0.0579</v>
      </c>
      <c r="R215" s="4" t="n">
        <v>0.412</v>
      </c>
      <c r="S215" s="4" t="n">
        <v>0.0577</v>
      </c>
      <c r="T215" s="4" t="n">
        <v>2.422</v>
      </c>
      <c r="U215" s="4">
        <f>IF(T215="",IFERROR(VLOOKUP($C215,Assumptions!$A$4:$F$7,6,FALSE),0),T215)</f>
        <v/>
      </c>
      <c r="V215" s="4">
        <f>N(M215)*IFERROR(VLOOKUP($C215,Assumptions!$A$4:$F$7,2,FALSE),0)</f>
        <v/>
      </c>
      <c r="W215" s="4">
        <f>N(Q215)*IFERROR(VLOOKUP($C215,Assumptions!$A$4:$F$7,3,FALSE),0)*Assumptions!$B$11</f>
        <v/>
      </c>
      <c r="X215" s="4">
        <f>N(L215)*IFERROR(VLOOKUP($C215,Assumptions!$A$4:$F$7,4,FALSE),0)</f>
        <v/>
      </c>
      <c r="Y215" s="4">
        <f>N(R215)*IFERROR(VLOOKUP($C215,Assumptions!$A$4:$F$7,5,FALSE),0)</f>
        <v/>
      </c>
      <c r="Z215" s="4">
        <f>N(S215)</f>
        <v/>
      </c>
      <c r="AA215" s="4">
        <f>SUM(U215:Z215)</f>
        <v/>
      </c>
      <c r="AB215" s="4">
        <f>N(AA215)*N(K215)/90</f>
        <v/>
      </c>
      <c r="AC215" s="4">
        <f>IFERROR(AB215-VLOOKUP($C215,Assumptions!$A$29:$C$32,3,FALSE),"")</f>
        <v/>
      </c>
      <c r="AD215" s="4">
        <f>IFERROR(AC215/F215,"")</f>
        <v/>
      </c>
      <c r="AE215">
        <f>IF(AND($E215=TRUE,$C215="GKP"),AB215,"")</f>
        <v/>
      </c>
      <c r="AF215">
        <f>IF(AND($E215=TRUE,$C215="DEF"),AB215,"")</f>
        <v/>
      </c>
      <c r="AG215">
        <f>IF(AND($E215=TRUE,$C215="MID"),AB215,"")</f>
        <v/>
      </c>
      <c r="AH215">
        <f>IF(AND($E215=TRUE,$C215="FWD"),AB215,"")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b">
        <v>1</v>
      </c>
      <c r="F216" s="2" t="n">
        <v>5.5</v>
      </c>
      <c r="G216" t="inlineStr">
        <is>
          <t>a</t>
        </is>
      </c>
      <c r="I216" s="2" t="n">
        <v>1032</v>
      </c>
      <c r="J216" t="n">
        <v>63</v>
      </c>
      <c r="K216" s="3" t="n">
        <v>1032</v>
      </c>
      <c r="L216" s="3" t="n">
        <v>0.263</v>
      </c>
      <c r="M216" s="4" t="n">
        <v>0.042</v>
      </c>
      <c r="N216" t="inlineStr">
        <is>
          <t>adjusted xGOT</t>
        </is>
      </c>
      <c r="O216" s="4" t="n">
        <v>0.965</v>
      </c>
      <c r="P216" s="4" t="n">
        <v>0.5</v>
      </c>
      <c r="Q216" s="4" t="n">
        <v>0.1849</v>
      </c>
      <c r="R216" s="4" t="n">
        <v>0</v>
      </c>
      <c r="S216" s="4" t="n">
        <v>0.0872</v>
      </c>
      <c r="T216" s="4" t="n">
        <v>2.703</v>
      </c>
      <c r="U216" s="4">
        <f>IF(T216="",IFERROR(VLOOKUP($C216,Assumptions!$A$4:$F$7,6,FALSE),0),T216)</f>
        <v/>
      </c>
      <c r="V216" s="4">
        <f>N(M216)*IFERROR(VLOOKUP($C216,Assumptions!$A$4:$F$7,2,FALSE),0)</f>
        <v/>
      </c>
      <c r="W216" s="4">
        <f>N(Q216)*IFERROR(VLOOKUP($C216,Assumptions!$A$4:$F$7,3,FALSE),0)*Assumptions!$B$11</f>
        <v/>
      </c>
      <c r="X216" s="4">
        <f>N(L216)*IFERROR(VLOOKUP($C216,Assumptions!$A$4:$F$7,4,FALSE),0)</f>
        <v/>
      </c>
      <c r="Y216" s="4">
        <f>N(R216)*IFERROR(VLOOKUP($C216,Assumptions!$A$4:$F$7,5,FALSE),0)</f>
        <v/>
      </c>
      <c r="Z216" s="4">
        <f>N(S216)</f>
        <v/>
      </c>
      <c r="AA216" s="4">
        <f>SUM(U216:Z216)</f>
        <v/>
      </c>
      <c r="AB216" s="4">
        <f>N(AA216)*N(K216)/90</f>
        <v/>
      </c>
      <c r="AC216" s="4">
        <f>IFERROR(AB216-VLOOKUP($C216,Assumptions!$A$29:$C$32,3,FALSE),"")</f>
        <v/>
      </c>
      <c r="AD216" s="4">
        <f>IFERROR(AC216/F216,"")</f>
        <v/>
      </c>
      <c r="AE216">
        <f>IF(AND($E216=TRUE,$C216="GKP"),AB216,"")</f>
        <v/>
      </c>
      <c r="AF216">
        <f>IF(AND($E216=TRUE,$C216="DEF"),AB216,"")</f>
        <v/>
      </c>
      <c r="AG216">
        <f>IF(AND($E216=TRUE,$C216="MID"),AB216,"")</f>
        <v/>
      </c>
      <c r="AH216">
        <f>IF(AND($E216=TRUE,$C216="FWD"),AB216,"")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b">
        <v>1</v>
      </c>
      <c r="F217" s="2" t="n">
        <v>5</v>
      </c>
      <c r="G217" t="inlineStr">
        <is>
          <t>a</t>
        </is>
      </c>
      <c r="I217" s="2" t="n">
        <v>1489</v>
      </c>
      <c r="J217" t="n">
        <v>63</v>
      </c>
      <c r="K217" s="3" t="n">
        <v>1489</v>
      </c>
      <c r="L217" s="3" t="n">
        <v>0.237</v>
      </c>
      <c r="M217" s="4" t="n">
        <v>0.0337</v>
      </c>
      <c r="N217" t="inlineStr">
        <is>
          <t>adjusted xGOT</t>
        </is>
      </c>
      <c r="O217" s="4" t="n">
        <v>0.898</v>
      </c>
      <c r="P217" s="4" t="n">
        <v>1</v>
      </c>
      <c r="Q217" s="4" t="n">
        <v>0.0133</v>
      </c>
      <c r="R217" s="4" t="n">
        <v>0.706</v>
      </c>
      <c r="S217" s="4" t="n">
        <v>0.0604</v>
      </c>
      <c r="T217" s="4" t="n">
        <v>2.357</v>
      </c>
      <c r="U217" s="4">
        <f>IF(T217="",IFERROR(VLOOKUP($C217,Assumptions!$A$4:$F$7,6,FALSE),0),T217)</f>
        <v/>
      </c>
      <c r="V217" s="4">
        <f>N(M217)*IFERROR(VLOOKUP($C217,Assumptions!$A$4:$F$7,2,FALSE),0)</f>
        <v/>
      </c>
      <c r="W217" s="4">
        <f>N(Q217)*IFERROR(VLOOKUP($C217,Assumptions!$A$4:$F$7,3,FALSE),0)*Assumptions!$B$11</f>
        <v/>
      </c>
      <c r="X217" s="4">
        <f>N(L217)*IFERROR(VLOOKUP($C217,Assumptions!$A$4:$F$7,4,FALSE),0)</f>
        <v/>
      </c>
      <c r="Y217" s="4">
        <f>N(R217)*IFERROR(VLOOKUP($C217,Assumptions!$A$4:$F$7,5,FALSE),0)</f>
        <v/>
      </c>
      <c r="Z217" s="4">
        <f>N(S217)</f>
        <v/>
      </c>
      <c r="AA217" s="4">
        <f>SUM(U217:Z217)</f>
        <v/>
      </c>
      <c r="AB217" s="4">
        <f>N(AA217)*N(K217)/90</f>
        <v/>
      </c>
      <c r="AC217" s="4">
        <f>IFERROR(AB217-VLOOKUP($C217,Assumptions!$A$29:$C$32,3,FALSE),"")</f>
        <v/>
      </c>
      <c r="AD217" s="4">
        <f>IFERROR(AC217/F217,"")</f>
        <v/>
      </c>
      <c r="AE217">
        <f>IF(AND($E217=TRUE,$C217="GKP"),AB217,"")</f>
        <v/>
      </c>
      <c r="AF217">
        <f>IF(AND($E217=TRUE,$C217="DEF"),AB217,"")</f>
        <v/>
      </c>
      <c r="AG217">
        <f>IF(AND($E217=TRUE,$C217="MID"),AB217,"")</f>
        <v/>
      </c>
      <c r="AH217">
        <f>IF(AND($E217=TRUE,$C217="FWD"),AB217,"")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b">
        <v>1</v>
      </c>
      <c r="F218" s="2" t="n">
        <v>5.5</v>
      </c>
      <c r="G218" t="inlineStr">
        <is>
          <t>a</t>
        </is>
      </c>
      <c r="I218" s="2" t="n">
        <v>1290</v>
      </c>
      <c r="J218" t="n">
        <v>63</v>
      </c>
      <c r="K218" s="3" t="n">
        <v>1290</v>
      </c>
      <c r="L218" s="3" t="n">
        <v>0.237</v>
      </c>
      <c r="M218" s="4" t="n">
        <v>0.1716</v>
      </c>
      <c r="N218" t="inlineStr">
        <is>
          <t>adjusted xGOT</t>
        </is>
      </c>
      <c r="O218" s="4" t="n">
        <v>0.995</v>
      </c>
      <c r="P218" s="4" t="n">
        <v>2.8</v>
      </c>
      <c r="Q218" s="4" t="n">
        <v>0.0593</v>
      </c>
      <c r="R218" s="4" t="n">
        <v>0</v>
      </c>
      <c r="S218" s="4" t="n">
        <v>0.2093</v>
      </c>
      <c r="T218" s="4" t="n">
        <v>3.14</v>
      </c>
      <c r="U218" s="4">
        <f>IF(T218="",IFERROR(VLOOKUP($C218,Assumptions!$A$4:$F$7,6,FALSE),0),T218)</f>
        <v/>
      </c>
      <c r="V218" s="4">
        <f>N(M218)*IFERROR(VLOOKUP($C218,Assumptions!$A$4:$F$7,2,FALSE),0)</f>
        <v/>
      </c>
      <c r="W218" s="4">
        <f>N(Q218)*IFERROR(VLOOKUP($C218,Assumptions!$A$4:$F$7,3,FALSE),0)*Assumptions!$B$11</f>
        <v/>
      </c>
      <c r="X218" s="4">
        <f>N(L218)*IFERROR(VLOOKUP($C218,Assumptions!$A$4:$F$7,4,FALSE),0)</f>
        <v/>
      </c>
      <c r="Y218" s="4">
        <f>N(R218)*IFERROR(VLOOKUP($C218,Assumptions!$A$4:$F$7,5,FALSE),0)</f>
        <v/>
      </c>
      <c r="Z218" s="4">
        <f>N(S218)</f>
        <v/>
      </c>
      <c r="AA218" s="4">
        <f>SUM(U218:Z218)</f>
        <v/>
      </c>
      <c r="AB218" s="4">
        <f>N(AA218)*N(K218)/90</f>
        <v/>
      </c>
      <c r="AC218" s="4">
        <f>IFERROR(AB218-VLOOKUP($C218,Assumptions!$A$29:$C$32,3,FALSE),"")</f>
        <v/>
      </c>
      <c r="AD218" s="4">
        <f>IFERROR(AC218/F218,"")</f>
        <v/>
      </c>
      <c r="AE218">
        <f>IF(AND($E218=TRUE,$C218="GKP"),AB218,"")</f>
        <v/>
      </c>
      <c r="AF218">
        <f>IF(AND($E218=TRUE,$C218="DEF"),AB218,"")</f>
        <v/>
      </c>
      <c r="AG218">
        <f>IF(AND($E218=TRUE,$C218="MID"),AB218,"")</f>
        <v/>
      </c>
      <c r="AH218">
        <f>IF(AND($E218=TRUE,$C218="FWD"),AB218,"")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b">
        <v>1</v>
      </c>
      <c r="F219" s="2" t="n">
        <v>6</v>
      </c>
      <c r="G219" t="inlineStr">
        <is>
          <t>i</t>
        </is>
      </c>
      <c r="H219" t="inlineStr">
        <is>
          <t>Hamstring injury - Unknown return date</t>
        </is>
      </c>
      <c r="I219" s="2" t="n">
        <v>1714</v>
      </c>
      <c r="J219" t="n">
        <v>62</v>
      </c>
      <c r="K219" s="3" t="n">
        <v>1714</v>
      </c>
      <c r="L219" s="3" t="n">
        <v>0.263</v>
      </c>
      <c r="M219" s="4" t="n">
        <v>0.2198</v>
      </c>
      <c r="N219" t="inlineStr">
        <is>
          <t>adjusted xGOT</t>
        </is>
      </c>
      <c r="O219" s="4" t="n">
        <v>1.036</v>
      </c>
      <c r="P219" s="4" t="n">
        <v>25</v>
      </c>
      <c r="Q219" s="4" t="n">
        <v>0.165</v>
      </c>
      <c r="R219" s="4" t="n">
        <v>0</v>
      </c>
      <c r="S219" s="4" t="n">
        <v>0.105</v>
      </c>
      <c r="T219" s="4" t="n">
        <v>2.205</v>
      </c>
      <c r="U219" s="4">
        <f>IF(T219="",IFERROR(VLOOKUP($C219,Assumptions!$A$4:$F$7,6,FALSE),0),T219)</f>
        <v/>
      </c>
      <c r="V219" s="4">
        <f>N(M219)*IFERROR(VLOOKUP($C219,Assumptions!$A$4:$F$7,2,FALSE),0)</f>
        <v/>
      </c>
      <c r="W219" s="4">
        <f>N(Q219)*IFERROR(VLOOKUP($C219,Assumptions!$A$4:$F$7,3,FALSE),0)*Assumptions!$B$11</f>
        <v/>
      </c>
      <c r="X219" s="4">
        <f>N(L219)*IFERROR(VLOOKUP($C219,Assumptions!$A$4:$F$7,4,FALSE),0)</f>
        <v/>
      </c>
      <c r="Y219" s="4">
        <f>N(R219)*IFERROR(VLOOKUP($C219,Assumptions!$A$4:$F$7,5,FALSE),0)</f>
        <v/>
      </c>
      <c r="Z219" s="4">
        <f>N(S219)</f>
        <v/>
      </c>
      <c r="AA219" s="4">
        <f>SUM(U219:Z219)</f>
        <v/>
      </c>
      <c r="AB219" s="4">
        <f>N(AA219)*N(K219)/90</f>
        <v/>
      </c>
      <c r="AC219" s="4">
        <f>IFERROR(AB219-VLOOKUP($C219,Assumptions!$A$29:$C$32,3,FALSE),"")</f>
        <v/>
      </c>
      <c r="AD219" s="4">
        <f>IFERROR(AC219/F219,"")</f>
        <v/>
      </c>
      <c r="AE219">
        <f>IF(AND($E219=TRUE,$C219="GKP"),AB219,"")</f>
        <v/>
      </c>
      <c r="AF219">
        <f>IF(AND($E219=TRUE,$C219="DEF"),AB219,"")</f>
        <v/>
      </c>
      <c r="AG219">
        <f>IF(AND($E219=TRUE,$C219="MID"),AB219,"")</f>
        <v/>
      </c>
      <c r="AH219">
        <f>IF(AND($E219=TRUE,$C219="FWD"),AB219,"")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b">
        <v>1</v>
      </c>
      <c r="F220" s="2" t="n">
        <v>5</v>
      </c>
      <c r="G220" t="inlineStr">
        <is>
          <t>a</t>
        </is>
      </c>
      <c r="I220" s="2" t="n">
        <v>1441</v>
      </c>
      <c r="J220" t="n">
        <v>62</v>
      </c>
      <c r="K220" s="3" t="n">
        <v>1441</v>
      </c>
      <c r="L220" s="3" t="n">
        <v>0.21</v>
      </c>
      <c r="M220" s="4" t="n">
        <v>0.06510000000000001</v>
      </c>
      <c r="N220" t="inlineStr">
        <is>
          <t>adjusted xGOT</t>
        </is>
      </c>
      <c r="O220" s="4" t="n">
        <v>0.869</v>
      </c>
      <c r="P220" s="4" t="n">
        <v>10</v>
      </c>
      <c r="Q220" s="4" t="n">
        <v>0.09420000000000001</v>
      </c>
      <c r="R220" s="4" t="n">
        <v>0.133</v>
      </c>
      <c r="S220" s="4" t="n">
        <v>0.1874</v>
      </c>
      <c r="T220" s="4" t="n">
        <v>2.561</v>
      </c>
      <c r="U220" s="4">
        <f>IF(T220="",IFERROR(VLOOKUP($C220,Assumptions!$A$4:$F$7,6,FALSE),0),T220)</f>
        <v/>
      </c>
      <c r="V220" s="4">
        <f>N(M220)*IFERROR(VLOOKUP($C220,Assumptions!$A$4:$F$7,2,FALSE),0)</f>
        <v/>
      </c>
      <c r="W220" s="4">
        <f>N(Q220)*IFERROR(VLOOKUP($C220,Assumptions!$A$4:$F$7,3,FALSE),0)*Assumptions!$B$11</f>
        <v/>
      </c>
      <c r="X220" s="4">
        <f>N(L220)*IFERROR(VLOOKUP($C220,Assumptions!$A$4:$F$7,4,FALSE),0)</f>
        <v/>
      </c>
      <c r="Y220" s="4">
        <f>N(R220)*IFERROR(VLOOKUP($C220,Assumptions!$A$4:$F$7,5,FALSE),0)</f>
        <v/>
      </c>
      <c r="Z220" s="4">
        <f>N(S220)</f>
        <v/>
      </c>
      <c r="AA220" s="4">
        <f>SUM(U220:Z220)</f>
        <v/>
      </c>
      <c r="AB220" s="4">
        <f>N(AA220)*N(K220)/90</f>
        <v/>
      </c>
      <c r="AC220" s="4">
        <f>IFERROR(AB220-VLOOKUP($C220,Assumptions!$A$29:$C$32,3,FALSE),"")</f>
        <v/>
      </c>
      <c r="AD220" s="4">
        <f>IFERROR(AC220/F220,"")</f>
        <v/>
      </c>
      <c r="AE220">
        <f>IF(AND($E220=TRUE,$C220="GKP"),AB220,"")</f>
        <v/>
      </c>
      <c r="AF220">
        <f>IF(AND($E220=TRUE,$C220="DEF"),AB220,"")</f>
        <v/>
      </c>
      <c r="AG220">
        <f>IF(AND($E220=TRUE,$C220="MID"),AB220,"")</f>
        <v/>
      </c>
      <c r="AH220">
        <f>IF(AND($E220=TRUE,$C220="FWD"),AB220,"")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b">
        <v>1</v>
      </c>
      <c r="F221" s="2" t="n">
        <v>5</v>
      </c>
      <c r="G221" t="inlineStr">
        <is>
          <t>a</t>
        </is>
      </c>
      <c r="I221" s="2" t="n">
        <v>1410</v>
      </c>
      <c r="J221" t="n">
        <v>61</v>
      </c>
      <c r="K221" s="3" t="n">
        <v>1410</v>
      </c>
      <c r="L221" s="3" t="n">
        <v>0.237</v>
      </c>
      <c r="M221" s="4" t="n">
        <v>0.0327</v>
      </c>
      <c r="N221" t="inlineStr">
        <is>
          <t>adjusted xGOT</t>
        </is>
      </c>
      <c r="O221" s="4" t="n">
        <v>0.966</v>
      </c>
      <c r="P221" s="4" t="n">
        <v>1.6</v>
      </c>
      <c r="Q221" s="4" t="n">
        <v>0.0501</v>
      </c>
      <c r="R221" s="4" t="n">
        <v>0.176</v>
      </c>
      <c r="S221" s="4" t="n">
        <v>0.4468</v>
      </c>
      <c r="T221" s="4" t="n">
        <v>2.17</v>
      </c>
      <c r="U221" s="4">
        <f>IF(T221="",IFERROR(VLOOKUP($C221,Assumptions!$A$4:$F$7,6,FALSE),0),T221)</f>
        <v/>
      </c>
      <c r="V221" s="4">
        <f>N(M221)*IFERROR(VLOOKUP($C221,Assumptions!$A$4:$F$7,2,FALSE),0)</f>
        <v/>
      </c>
      <c r="W221" s="4">
        <f>N(Q221)*IFERROR(VLOOKUP($C221,Assumptions!$A$4:$F$7,3,FALSE),0)*Assumptions!$B$11</f>
        <v/>
      </c>
      <c r="X221" s="4">
        <f>N(L221)*IFERROR(VLOOKUP($C221,Assumptions!$A$4:$F$7,4,FALSE),0)</f>
        <v/>
      </c>
      <c r="Y221" s="4">
        <f>N(R221)*IFERROR(VLOOKUP($C221,Assumptions!$A$4:$F$7,5,FALSE),0)</f>
        <v/>
      </c>
      <c r="Z221" s="4">
        <f>N(S221)</f>
        <v/>
      </c>
      <c r="AA221" s="4">
        <f>SUM(U221:Z221)</f>
        <v/>
      </c>
      <c r="AB221" s="4">
        <f>N(AA221)*N(K221)/90</f>
        <v/>
      </c>
      <c r="AC221" s="4">
        <f>IFERROR(AB221-VLOOKUP($C221,Assumptions!$A$29:$C$32,3,FALSE),"")</f>
        <v/>
      </c>
      <c r="AD221" s="4">
        <f>IFERROR(AC221/F221,"")</f>
        <v/>
      </c>
      <c r="AE221">
        <f>IF(AND($E221=TRUE,$C221="GKP"),AB221,"")</f>
        <v/>
      </c>
      <c r="AF221">
        <f>IF(AND($E221=TRUE,$C221="DEF"),AB221,"")</f>
        <v/>
      </c>
      <c r="AG221">
        <f>IF(AND($E221=TRUE,$C221="MID"),AB221,"")</f>
        <v/>
      </c>
      <c r="AH221">
        <f>IF(AND($E221=TRUE,$C221="FWD"),AB221,"")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b">
        <v>1</v>
      </c>
      <c r="F222" s="2" t="n">
        <v>4.5</v>
      </c>
      <c r="G222" t="inlineStr">
        <is>
          <t>a</t>
        </is>
      </c>
      <c r="I222" s="2" t="n">
        <v>1838</v>
      </c>
      <c r="J222" t="n">
        <v>61</v>
      </c>
      <c r="K222" s="3" t="n">
        <v>1838</v>
      </c>
      <c r="L222" s="3" t="n">
        <v>0.237</v>
      </c>
      <c r="M222" s="4" t="n">
        <v>0.0595</v>
      </c>
      <c r="N222" t="inlineStr">
        <is>
          <t>adjusted xGOT</t>
        </is>
      </c>
      <c r="O222" s="4" t="n">
        <v>0.8100000000000001</v>
      </c>
      <c r="P222" s="4" t="n">
        <v>5.3</v>
      </c>
      <c r="Q222" s="4" t="n">
        <v>0.07870000000000001</v>
      </c>
      <c r="R222" s="4" t="n">
        <v>0.1</v>
      </c>
      <c r="S222" s="4" t="n">
        <v>0.1959</v>
      </c>
      <c r="T222" s="4" t="n">
        <v>2.399</v>
      </c>
      <c r="U222" s="4">
        <f>IF(T222="",IFERROR(VLOOKUP($C222,Assumptions!$A$4:$F$7,6,FALSE),0),T222)</f>
        <v/>
      </c>
      <c r="V222" s="4">
        <f>N(M222)*IFERROR(VLOOKUP($C222,Assumptions!$A$4:$F$7,2,FALSE),0)</f>
        <v/>
      </c>
      <c r="W222" s="4">
        <f>N(Q222)*IFERROR(VLOOKUP($C222,Assumptions!$A$4:$F$7,3,FALSE),0)*Assumptions!$B$11</f>
        <v/>
      </c>
      <c r="X222" s="4">
        <f>N(L222)*IFERROR(VLOOKUP($C222,Assumptions!$A$4:$F$7,4,FALSE),0)</f>
        <v/>
      </c>
      <c r="Y222" s="4">
        <f>N(R222)*IFERROR(VLOOKUP($C222,Assumptions!$A$4:$F$7,5,FALSE),0)</f>
        <v/>
      </c>
      <c r="Z222" s="4">
        <f>N(S222)</f>
        <v/>
      </c>
      <c r="AA222" s="4">
        <f>SUM(U222:Z222)</f>
        <v/>
      </c>
      <c r="AB222" s="4">
        <f>N(AA222)*N(K222)/90</f>
        <v/>
      </c>
      <c r="AC222" s="4">
        <f>IFERROR(AB222-VLOOKUP($C222,Assumptions!$A$29:$C$32,3,FALSE),"")</f>
        <v/>
      </c>
      <c r="AD222" s="4">
        <f>IFERROR(AC222/F222,"")</f>
        <v/>
      </c>
      <c r="AE222">
        <f>IF(AND($E222=TRUE,$C222="GKP"),AB222,"")</f>
        <v/>
      </c>
      <c r="AF222">
        <f>IF(AND($E222=TRUE,$C222="DEF"),AB222,"")</f>
        <v/>
      </c>
      <c r="AG222">
        <f>IF(AND($E222=TRUE,$C222="MID"),AB222,"")</f>
        <v/>
      </c>
      <c r="AH222">
        <f>IF(AND($E222=TRUE,$C222="FWD"),AB222,"")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b">
        <v>1</v>
      </c>
      <c r="F223" s="2" t="n">
        <v>5</v>
      </c>
      <c r="G223" t="inlineStr">
        <is>
          <t>a</t>
        </is>
      </c>
      <c r="I223" s="2" t="n">
        <v>1471</v>
      </c>
      <c r="J223" t="n">
        <v>61</v>
      </c>
      <c r="K223" s="3" t="n">
        <v>1471</v>
      </c>
      <c r="L223" s="3" t="n">
        <v>0.237</v>
      </c>
      <c r="M223" s="4" t="n">
        <v>0.0982</v>
      </c>
      <c r="N223" t="inlineStr">
        <is>
          <t>adjusted xGOT</t>
        </is>
      </c>
      <c r="O223" s="4" t="n">
        <v>1.07</v>
      </c>
      <c r="P223" s="4" t="n">
        <v>1.5</v>
      </c>
      <c r="Q223" s="4" t="n">
        <v>0.0902</v>
      </c>
      <c r="R223" s="4" t="n">
        <v>0</v>
      </c>
      <c r="S223" s="4" t="n">
        <v>0.3671</v>
      </c>
      <c r="T223" s="4" t="n">
        <v>2.386</v>
      </c>
      <c r="U223" s="4">
        <f>IF(T223="",IFERROR(VLOOKUP($C223,Assumptions!$A$4:$F$7,6,FALSE),0),T223)</f>
        <v/>
      </c>
      <c r="V223" s="4">
        <f>N(M223)*IFERROR(VLOOKUP($C223,Assumptions!$A$4:$F$7,2,FALSE),0)</f>
        <v/>
      </c>
      <c r="W223" s="4">
        <f>N(Q223)*IFERROR(VLOOKUP($C223,Assumptions!$A$4:$F$7,3,FALSE),0)*Assumptions!$B$11</f>
        <v/>
      </c>
      <c r="X223" s="4">
        <f>N(L223)*IFERROR(VLOOKUP($C223,Assumptions!$A$4:$F$7,4,FALSE),0)</f>
        <v/>
      </c>
      <c r="Y223" s="4">
        <f>N(R223)*IFERROR(VLOOKUP($C223,Assumptions!$A$4:$F$7,5,FALSE),0)</f>
        <v/>
      </c>
      <c r="Z223" s="4">
        <f>N(S223)</f>
        <v/>
      </c>
      <c r="AA223" s="4">
        <f>SUM(U223:Z223)</f>
        <v/>
      </c>
      <c r="AB223" s="4">
        <f>N(AA223)*N(K223)/90</f>
        <v/>
      </c>
      <c r="AC223" s="4">
        <f>IFERROR(AB223-VLOOKUP($C223,Assumptions!$A$29:$C$32,3,FALSE),"")</f>
        <v/>
      </c>
      <c r="AD223" s="4">
        <f>IFERROR(AC223/F223,"")</f>
        <v/>
      </c>
      <c r="AE223">
        <f>IF(AND($E223=TRUE,$C223="GKP"),AB223,"")</f>
        <v/>
      </c>
      <c r="AF223">
        <f>IF(AND($E223=TRUE,$C223="DEF"),AB223,"")</f>
        <v/>
      </c>
      <c r="AG223">
        <f>IF(AND($E223=TRUE,$C223="MID"),AB223,"")</f>
        <v/>
      </c>
      <c r="AH223">
        <f>IF(AND($E223=TRUE,$C223="FWD"),AB223,"")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b">
        <v>1</v>
      </c>
      <c r="F224" s="2" t="n">
        <v>5.5</v>
      </c>
      <c r="G224" t="inlineStr">
        <is>
          <t>a</t>
        </is>
      </c>
      <c r="I224" s="2" t="n">
        <v>971</v>
      </c>
      <c r="J224" t="n">
        <v>60</v>
      </c>
      <c r="K224" s="3" t="n">
        <v>971</v>
      </c>
      <c r="L224" s="3" t="n">
        <v>0.421</v>
      </c>
      <c r="M224" s="4" t="n">
        <v>0.0466</v>
      </c>
      <c r="N224" t="inlineStr">
        <is>
          <t>adjusted xGOT</t>
        </is>
      </c>
      <c r="O224" s="4" t="n">
        <v>0.949</v>
      </c>
      <c r="P224" s="4" t="n">
        <v>7.6</v>
      </c>
      <c r="Q224" s="4" t="n">
        <v>0.1735</v>
      </c>
      <c r="R224" s="4" t="n">
        <v>0.083</v>
      </c>
      <c r="S224" s="4" t="n">
        <v>0.9268999999999999</v>
      </c>
      <c r="T224" s="4" t="n">
        <v>2.503</v>
      </c>
      <c r="U224" s="4">
        <f>IF(T224="",IFERROR(VLOOKUP($C224,Assumptions!$A$4:$F$7,6,FALSE),0),T224)</f>
        <v/>
      </c>
      <c r="V224" s="4">
        <f>N(M224)*IFERROR(VLOOKUP($C224,Assumptions!$A$4:$F$7,2,FALSE),0)</f>
        <v/>
      </c>
      <c r="W224" s="4">
        <f>N(Q224)*IFERROR(VLOOKUP($C224,Assumptions!$A$4:$F$7,3,FALSE),0)*Assumptions!$B$11</f>
        <v/>
      </c>
      <c r="X224" s="4">
        <f>N(L224)*IFERROR(VLOOKUP($C224,Assumptions!$A$4:$F$7,4,FALSE),0)</f>
        <v/>
      </c>
      <c r="Y224" s="4">
        <f>N(R224)*IFERROR(VLOOKUP($C224,Assumptions!$A$4:$F$7,5,FALSE),0)</f>
        <v/>
      </c>
      <c r="Z224" s="4">
        <f>N(S224)</f>
        <v/>
      </c>
      <c r="AA224" s="4">
        <f>SUM(U224:Z224)</f>
        <v/>
      </c>
      <c r="AB224" s="4">
        <f>N(AA224)*N(K224)/90</f>
        <v/>
      </c>
      <c r="AC224" s="4">
        <f>IFERROR(AB224-VLOOKUP($C224,Assumptions!$A$29:$C$32,3,FALSE),"")</f>
        <v/>
      </c>
      <c r="AD224" s="4">
        <f>IFERROR(AC224/F224,"")</f>
        <v/>
      </c>
      <c r="AE224">
        <f>IF(AND($E224=TRUE,$C224="GKP"),AB224,"")</f>
        <v/>
      </c>
      <c r="AF224">
        <f>IF(AND($E224=TRUE,$C224="DEF"),AB224,"")</f>
        <v/>
      </c>
      <c r="AG224">
        <f>IF(AND($E224=TRUE,$C224="MID"),AB224,"")</f>
        <v/>
      </c>
      <c r="AH224">
        <f>IF(AND($E224=TRUE,$C224="FWD"),AB224,"")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b">
        <v>1</v>
      </c>
      <c r="F225" s="2" t="n">
        <v>5.5</v>
      </c>
      <c r="G225" t="inlineStr">
        <is>
          <t>a</t>
        </is>
      </c>
      <c r="I225" s="2" t="n">
        <v>1259</v>
      </c>
      <c r="J225" t="n">
        <v>59</v>
      </c>
      <c r="K225" s="3" t="n">
        <v>1259</v>
      </c>
      <c r="L225" s="3" t="n"/>
      <c r="M225" s="4" t="n">
        <v>0.0891</v>
      </c>
      <c r="N225" t="inlineStr">
        <is>
          <t>adjusted xGOT</t>
        </is>
      </c>
      <c r="O225" s="4" t="n">
        <v>0.982</v>
      </c>
      <c r="P225" s="4" t="n">
        <v>1.3</v>
      </c>
      <c r="Q225" s="4" t="n">
        <v>0.07539999999999999</v>
      </c>
      <c r="R225" s="4" t="n">
        <v>0.07099999999999999</v>
      </c>
      <c r="S225" s="4" t="n">
        <v>0</v>
      </c>
      <c r="T225" s="4" t="n">
        <v>2.931</v>
      </c>
      <c r="U225" s="4">
        <f>IF(T225="",IFERROR(VLOOKUP($C225,Assumptions!$A$4:$F$7,6,FALSE),0),T225)</f>
        <v/>
      </c>
      <c r="V225" s="4">
        <f>N(M225)*IFERROR(VLOOKUP($C225,Assumptions!$A$4:$F$7,2,FALSE),0)</f>
        <v/>
      </c>
      <c r="W225" s="4">
        <f>N(Q225)*IFERROR(VLOOKUP($C225,Assumptions!$A$4:$F$7,3,FALSE),0)*Assumptions!$B$11</f>
        <v/>
      </c>
      <c r="X225" s="4">
        <f>N(L225)*IFERROR(VLOOKUP($C225,Assumptions!$A$4:$F$7,4,FALSE),0)</f>
        <v/>
      </c>
      <c r="Y225" s="4">
        <f>N(R225)*IFERROR(VLOOKUP($C225,Assumptions!$A$4:$F$7,5,FALSE),0)</f>
        <v/>
      </c>
      <c r="Z225" s="4">
        <f>N(S225)</f>
        <v/>
      </c>
      <c r="AA225" s="4">
        <f>SUM(U225:Z225)</f>
        <v/>
      </c>
      <c r="AB225" s="4">
        <f>N(AA225)*N(K225)/90</f>
        <v/>
      </c>
      <c r="AC225" s="4">
        <f>IFERROR(AB225-VLOOKUP($C225,Assumptions!$A$29:$C$32,3,FALSE),"")</f>
        <v/>
      </c>
      <c r="AD225" s="4">
        <f>IFERROR(AC225/F225,"")</f>
        <v/>
      </c>
      <c r="AE225">
        <f>IF(AND($E225=TRUE,$C225="GKP"),AB225,"")</f>
        <v/>
      </c>
      <c r="AF225">
        <f>IF(AND($E225=TRUE,$C225="DEF"),AB225,"")</f>
        <v/>
      </c>
      <c r="AG225">
        <f>IF(AND($E225=TRUE,$C225="MID"),AB225,"")</f>
        <v/>
      </c>
      <c r="AH225">
        <f>IF(AND($E225=TRUE,$C225="FWD"),AB225,"")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b">
        <v>1</v>
      </c>
      <c r="F226" s="2" t="n">
        <v>5</v>
      </c>
      <c r="G226" t="inlineStr">
        <is>
          <t>d</t>
        </is>
      </c>
      <c r="H226" t="inlineStr">
        <is>
          <t>Calf injury - 75% chance of playing</t>
        </is>
      </c>
      <c r="I226" s="2" t="n">
        <v>1326</v>
      </c>
      <c r="J226" t="n">
        <v>59</v>
      </c>
      <c r="K226" s="3" t="n">
        <v>1326</v>
      </c>
      <c r="L226" s="3" t="n">
        <v>0.21</v>
      </c>
      <c r="M226" s="4" t="n">
        <v>0.009299999999999999</v>
      </c>
      <c r="N226" t="inlineStr">
        <is>
          <t>adjusted xGOT</t>
        </is>
      </c>
      <c r="O226" s="4" t="n">
        <v>1.052</v>
      </c>
      <c r="P226" s="4" t="n">
        <v>0.8</v>
      </c>
      <c r="Q226" s="4" t="n">
        <v>0.0511</v>
      </c>
      <c r="R226" s="4" t="n">
        <v>0.07099999999999999</v>
      </c>
      <c r="S226" s="4" t="n">
        <v>0.2036</v>
      </c>
      <c r="T226" s="4" t="n">
        <v>2.104</v>
      </c>
      <c r="U226" s="4">
        <f>IF(T226="",IFERROR(VLOOKUP($C226,Assumptions!$A$4:$F$7,6,FALSE),0),T226)</f>
        <v/>
      </c>
      <c r="V226" s="4">
        <f>N(M226)*IFERROR(VLOOKUP($C226,Assumptions!$A$4:$F$7,2,FALSE),0)</f>
        <v/>
      </c>
      <c r="W226" s="4">
        <f>N(Q226)*IFERROR(VLOOKUP($C226,Assumptions!$A$4:$F$7,3,FALSE),0)*Assumptions!$B$11</f>
        <v/>
      </c>
      <c r="X226" s="4">
        <f>N(L226)*IFERROR(VLOOKUP($C226,Assumptions!$A$4:$F$7,4,FALSE),0)</f>
        <v/>
      </c>
      <c r="Y226" s="4">
        <f>N(R226)*IFERROR(VLOOKUP($C226,Assumptions!$A$4:$F$7,5,FALSE),0)</f>
        <v/>
      </c>
      <c r="Z226" s="4">
        <f>N(S226)</f>
        <v/>
      </c>
      <c r="AA226" s="4">
        <f>SUM(U226:Z226)</f>
        <v/>
      </c>
      <c r="AB226" s="4">
        <f>N(AA226)*N(K226)/90</f>
        <v/>
      </c>
      <c r="AC226" s="4">
        <f>IFERROR(AB226-VLOOKUP($C226,Assumptions!$A$29:$C$32,3,FALSE),"")</f>
        <v/>
      </c>
      <c r="AD226" s="4">
        <f>IFERROR(AC226/F226,"")</f>
        <v/>
      </c>
      <c r="AE226">
        <f>IF(AND($E226=TRUE,$C226="GKP"),AB226,"")</f>
        <v/>
      </c>
      <c r="AF226">
        <f>IF(AND($E226=TRUE,$C226="DEF"),AB226,"")</f>
        <v/>
      </c>
      <c r="AG226">
        <f>IF(AND($E226=TRUE,$C226="MID"),AB226,"")</f>
        <v/>
      </c>
      <c r="AH226">
        <f>IF(AND($E226=TRUE,$C226="FWD"),AB226,"")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b">
        <v>1</v>
      </c>
      <c r="F227" s="2" t="n">
        <v>5</v>
      </c>
      <c r="G227" t="inlineStr">
        <is>
          <t>a</t>
        </is>
      </c>
      <c r="I227" s="2" t="n">
        <v>1188</v>
      </c>
      <c r="J227" t="n">
        <v>59</v>
      </c>
      <c r="K227" s="3" t="n">
        <v>1188</v>
      </c>
      <c r="L227" s="3" t="n">
        <v>0.29</v>
      </c>
      <c r="M227" s="4" t="n">
        <v>0.3903</v>
      </c>
      <c r="N227" t="inlineStr">
        <is>
          <t>adjusted xGOT</t>
        </is>
      </c>
      <c r="O227" s="4" t="n">
        <v>0.887</v>
      </c>
      <c r="P227" s="4" t="n">
        <v>11.2</v>
      </c>
      <c r="Q227" s="4" t="n">
        <v>0.2878</v>
      </c>
      <c r="R227" s="4" t="n">
        <v>0</v>
      </c>
      <c r="S227" s="4" t="n">
        <v>0.303</v>
      </c>
      <c r="T227" s="4" t="n">
        <v>3.258</v>
      </c>
      <c r="U227" s="4">
        <f>IF(T227="",IFERROR(VLOOKUP($C227,Assumptions!$A$4:$F$7,6,FALSE),0),T227)</f>
        <v/>
      </c>
      <c r="V227" s="4">
        <f>N(M227)*IFERROR(VLOOKUP($C227,Assumptions!$A$4:$F$7,2,FALSE),0)</f>
        <v/>
      </c>
      <c r="W227" s="4">
        <f>N(Q227)*IFERROR(VLOOKUP($C227,Assumptions!$A$4:$F$7,3,FALSE),0)*Assumptions!$B$11</f>
        <v/>
      </c>
      <c r="X227" s="4">
        <f>N(L227)*IFERROR(VLOOKUP($C227,Assumptions!$A$4:$F$7,4,FALSE),0)</f>
        <v/>
      </c>
      <c r="Y227" s="4">
        <f>N(R227)*IFERROR(VLOOKUP($C227,Assumptions!$A$4:$F$7,5,FALSE),0)</f>
        <v/>
      </c>
      <c r="Z227" s="4">
        <f>N(S227)</f>
        <v/>
      </c>
      <c r="AA227" s="4">
        <f>SUM(U227:Z227)</f>
        <v/>
      </c>
      <c r="AB227" s="4">
        <f>N(AA227)*N(K227)/90</f>
        <v/>
      </c>
      <c r="AC227" s="4">
        <f>IFERROR(AB227-VLOOKUP($C227,Assumptions!$A$29:$C$32,3,FALSE),"")</f>
        <v/>
      </c>
      <c r="AD227" s="4">
        <f>IFERROR(AC227/F227,"")</f>
        <v/>
      </c>
      <c r="AE227">
        <f>IF(AND($E227=TRUE,$C227="GKP"),AB227,"")</f>
        <v/>
      </c>
      <c r="AF227">
        <f>IF(AND($E227=TRUE,$C227="DEF"),AB227,"")</f>
        <v/>
      </c>
      <c r="AG227">
        <f>IF(AND($E227=TRUE,$C227="MID"),AB227,"")</f>
        <v/>
      </c>
      <c r="AH227">
        <f>IF(AND($E227=TRUE,$C227="FWD"),AB227,"")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b">
        <v>1</v>
      </c>
      <c r="F228" s="2" t="n">
        <v>4.5</v>
      </c>
      <c r="G228" t="inlineStr">
        <is>
          <t>a</t>
        </is>
      </c>
      <c r="I228" s="2" t="n">
        <v>1073</v>
      </c>
      <c r="J228" t="n">
        <v>58</v>
      </c>
      <c r="K228" s="3" t="n">
        <v>1073</v>
      </c>
      <c r="L228" s="3" t="n">
        <v>0.29</v>
      </c>
      <c r="M228" s="4" t="n">
        <v>0</v>
      </c>
      <c r="N228" t="inlineStr">
        <is>
          <t>adjusted xGOT</t>
        </is>
      </c>
      <c r="O228" s="4" t="n">
        <v>0.9350000000000001</v>
      </c>
      <c r="P228" s="4" t="n">
        <v>1.2</v>
      </c>
      <c r="Q228" s="4" t="n">
        <v>0.0306</v>
      </c>
      <c r="R228" s="4" t="n">
        <v>0</v>
      </c>
      <c r="S228" s="4" t="n">
        <v>0.3355</v>
      </c>
      <c r="T228" s="4" t="n">
        <v>2.768</v>
      </c>
      <c r="U228" s="4">
        <f>IF(T228="",IFERROR(VLOOKUP($C228,Assumptions!$A$4:$F$7,6,FALSE),0),T228)</f>
        <v/>
      </c>
      <c r="V228" s="4">
        <f>N(M228)*IFERROR(VLOOKUP($C228,Assumptions!$A$4:$F$7,2,FALSE),0)</f>
        <v/>
      </c>
      <c r="W228" s="4">
        <f>N(Q228)*IFERROR(VLOOKUP($C228,Assumptions!$A$4:$F$7,3,FALSE),0)*Assumptions!$B$11</f>
        <v/>
      </c>
      <c r="X228" s="4">
        <f>N(L228)*IFERROR(VLOOKUP($C228,Assumptions!$A$4:$F$7,4,FALSE),0)</f>
        <v/>
      </c>
      <c r="Y228" s="4">
        <f>N(R228)*IFERROR(VLOOKUP($C228,Assumptions!$A$4:$F$7,5,FALSE),0)</f>
        <v/>
      </c>
      <c r="Z228" s="4">
        <f>N(S228)</f>
        <v/>
      </c>
      <c r="AA228" s="4">
        <f>SUM(U228:Z228)</f>
        <v/>
      </c>
      <c r="AB228" s="4">
        <f>N(AA228)*N(K228)/90</f>
        <v/>
      </c>
      <c r="AC228" s="4">
        <f>IFERROR(AB228-VLOOKUP($C228,Assumptions!$A$29:$C$32,3,FALSE),"")</f>
        <v/>
      </c>
      <c r="AD228" s="4">
        <f>IFERROR(AC228/F228,"")</f>
        <v/>
      </c>
      <c r="AE228">
        <f>IF(AND($E228=TRUE,$C228="GKP"),AB228,"")</f>
        <v/>
      </c>
      <c r="AF228">
        <f>IF(AND($E228=TRUE,$C228="DEF"),AB228,"")</f>
        <v/>
      </c>
      <c r="AG228">
        <f>IF(AND($E228=TRUE,$C228="MID"),AB228,"")</f>
        <v/>
      </c>
      <c r="AH228">
        <f>IF(AND($E228=TRUE,$C228="FWD"),AB228,"")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b">
        <v>1</v>
      </c>
      <c r="F229" s="2" t="n">
        <v>5.5</v>
      </c>
      <c r="G229" t="inlineStr">
        <is>
          <t>a</t>
        </is>
      </c>
      <c r="I229" s="2" t="n">
        <v>1010</v>
      </c>
      <c r="J229" t="n">
        <v>58</v>
      </c>
      <c r="K229" s="3" t="n">
        <v>1010</v>
      </c>
      <c r="L229" s="3" t="n">
        <v>0.21</v>
      </c>
      <c r="M229" s="4" t="n">
        <v>0.122</v>
      </c>
      <c r="N229" t="inlineStr">
        <is>
          <t>adjusted xGOT</t>
        </is>
      </c>
      <c r="O229" s="4" t="n">
        <v>0.878</v>
      </c>
      <c r="P229" s="4" t="n">
        <v>7.3</v>
      </c>
      <c r="Q229" s="4" t="n">
        <v>0.1335</v>
      </c>
      <c r="R229" s="4" t="n">
        <v>0.167</v>
      </c>
      <c r="S229" s="4" t="n">
        <v>0.2673</v>
      </c>
      <c r="T229" s="4" t="n">
        <v>2.941</v>
      </c>
      <c r="U229" s="4">
        <f>IF(T229="",IFERROR(VLOOKUP($C229,Assumptions!$A$4:$F$7,6,FALSE),0),T229)</f>
        <v/>
      </c>
      <c r="V229" s="4">
        <f>N(M229)*IFERROR(VLOOKUP($C229,Assumptions!$A$4:$F$7,2,FALSE),0)</f>
        <v/>
      </c>
      <c r="W229" s="4">
        <f>N(Q229)*IFERROR(VLOOKUP($C229,Assumptions!$A$4:$F$7,3,FALSE),0)*Assumptions!$B$11</f>
        <v/>
      </c>
      <c r="X229" s="4">
        <f>N(L229)*IFERROR(VLOOKUP($C229,Assumptions!$A$4:$F$7,4,FALSE),0)</f>
        <v/>
      </c>
      <c r="Y229" s="4">
        <f>N(R229)*IFERROR(VLOOKUP($C229,Assumptions!$A$4:$F$7,5,FALSE),0)</f>
        <v/>
      </c>
      <c r="Z229" s="4">
        <f>N(S229)</f>
        <v/>
      </c>
      <c r="AA229" s="4">
        <f>SUM(U229:Z229)</f>
        <v/>
      </c>
      <c r="AB229" s="4">
        <f>N(AA229)*N(K229)/90</f>
        <v/>
      </c>
      <c r="AC229" s="4">
        <f>IFERROR(AB229-VLOOKUP($C229,Assumptions!$A$29:$C$32,3,FALSE),"")</f>
        <v/>
      </c>
      <c r="AD229" s="4">
        <f>IFERROR(AC229/F229,"")</f>
        <v/>
      </c>
      <c r="AE229">
        <f>IF(AND($E229=TRUE,$C229="GKP"),AB229,"")</f>
        <v/>
      </c>
      <c r="AF229">
        <f>IF(AND($E229=TRUE,$C229="DEF"),AB229,"")</f>
        <v/>
      </c>
      <c r="AG229">
        <f>IF(AND($E229=TRUE,$C229="MID"),AB229,"")</f>
        <v/>
      </c>
      <c r="AH229">
        <f>IF(AND($E229=TRUE,$C229="FWD"),AB229,"")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b">
        <v>1</v>
      </c>
      <c r="F230" s="2" t="n">
        <v>6.5</v>
      </c>
      <c r="G230" t="inlineStr">
        <is>
          <t>a</t>
        </is>
      </c>
      <c r="I230" s="2" t="n">
        <v>839</v>
      </c>
      <c r="J230" t="n">
        <v>58</v>
      </c>
      <c r="K230" s="3" t="n">
        <v>839</v>
      </c>
      <c r="L230" s="3" t="n">
        <v>0.237</v>
      </c>
      <c r="M230" s="4" t="n">
        <v>0.3376</v>
      </c>
      <c r="N230" t="inlineStr">
        <is>
          <t>adjusted xGOT</t>
        </is>
      </c>
      <c r="O230" s="4" t="n">
        <v>1.082</v>
      </c>
      <c r="P230" s="4" t="n">
        <v>2.9</v>
      </c>
      <c r="Q230" s="4" t="n">
        <v>0.2658</v>
      </c>
      <c r="R230" s="4" t="n">
        <v>0</v>
      </c>
      <c r="S230" s="4" t="n">
        <v>0.4291</v>
      </c>
      <c r="T230" s="4" t="n">
        <v>3.111</v>
      </c>
      <c r="U230" s="4">
        <f>IF(T230="",IFERROR(VLOOKUP($C230,Assumptions!$A$4:$F$7,6,FALSE),0),T230)</f>
        <v/>
      </c>
      <c r="V230" s="4">
        <f>N(M230)*IFERROR(VLOOKUP($C230,Assumptions!$A$4:$F$7,2,FALSE),0)</f>
        <v/>
      </c>
      <c r="W230" s="4">
        <f>N(Q230)*IFERROR(VLOOKUP($C230,Assumptions!$A$4:$F$7,3,FALSE),0)*Assumptions!$B$11</f>
        <v/>
      </c>
      <c r="X230" s="4">
        <f>N(L230)*IFERROR(VLOOKUP($C230,Assumptions!$A$4:$F$7,4,FALSE),0)</f>
        <v/>
      </c>
      <c r="Y230" s="4">
        <f>N(R230)*IFERROR(VLOOKUP($C230,Assumptions!$A$4:$F$7,5,FALSE),0)</f>
        <v/>
      </c>
      <c r="Z230" s="4">
        <f>N(S230)</f>
        <v/>
      </c>
      <c r="AA230" s="4">
        <f>SUM(U230:Z230)</f>
        <v/>
      </c>
      <c r="AB230" s="4">
        <f>N(AA230)*N(K230)/90</f>
        <v/>
      </c>
      <c r="AC230" s="4">
        <f>IFERROR(AB230-VLOOKUP($C230,Assumptions!$A$29:$C$32,3,FALSE),"")</f>
        <v/>
      </c>
      <c r="AD230" s="4">
        <f>IFERROR(AC230/F230,"")</f>
        <v/>
      </c>
      <c r="AE230">
        <f>IF(AND($E230=TRUE,$C230="GKP"),AB230,"")</f>
        <v/>
      </c>
      <c r="AF230">
        <f>IF(AND($E230=TRUE,$C230="DEF"),AB230,"")</f>
        <v/>
      </c>
      <c r="AG230">
        <f>IF(AND($E230=TRUE,$C230="MID"),AB230,"")</f>
        <v/>
      </c>
      <c r="AH230">
        <f>IF(AND($E230=TRUE,$C230="FWD"),AB230,"")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b">
        <v>1</v>
      </c>
      <c r="F231" s="2" t="n">
        <v>6.5</v>
      </c>
      <c r="G231" t="inlineStr">
        <is>
          <t>a</t>
        </is>
      </c>
      <c r="I231" s="2" t="n">
        <v>1065</v>
      </c>
      <c r="J231" t="n">
        <v>57</v>
      </c>
      <c r="K231" s="3" t="n">
        <v>1065</v>
      </c>
      <c r="L231" s="3" t="n">
        <v>0.5</v>
      </c>
      <c r="M231" s="4" t="n">
        <v>0.3586</v>
      </c>
      <c r="N231" t="inlineStr">
        <is>
          <t>adjusted xGOT</t>
        </is>
      </c>
      <c r="O231" s="4" t="n">
        <v>1.03</v>
      </c>
      <c r="P231" s="4" t="n">
        <v>26.8</v>
      </c>
      <c r="Q231" s="4" t="n">
        <v>0.1622</v>
      </c>
      <c r="R231" s="4" t="n">
        <v>0</v>
      </c>
      <c r="S231" s="4" t="n">
        <v>0.2535</v>
      </c>
      <c r="T231" s="4" t="n">
        <v>2.958</v>
      </c>
      <c r="U231" s="4">
        <f>IF(T231="",IFERROR(VLOOKUP($C231,Assumptions!$A$4:$F$7,6,FALSE),0),T231)</f>
        <v/>
      </c>
      <c r="V231" s="4">
        <f>N(M231)*IFERROR(VLOOKUP($C231,Assumptions!$A$4:$F$7,2,FALSE),0)</f>
        <v/>
      </c>
      <c r="W231" s="4">
        <f>N(Q231)*IFERROR(VLOOKUP($C231,Assumptions!$A$4:$F$7,3,FALSE),0)*Assumptions!$B$11</f>
        <v/>
      </c>
      <c r="X231" s="4">
        <f>N(L231)*IFERROR(VLOOKUP($C231,Assumptions!$A$4:$F$7,4,FALSE),0)</f>
        <v/>
      </c>
      <c r="Y231" s="4">
        <f>N(R231)*IFERROR(VLOOKUP($C231,Assumptions!$A$4:$F$7,5,FALSE),0)</f>
        <v/>
      </c>
      <c r="Z231" s="4">
        <f>N(S231)</f>
        <v/>
      </c>
      <c r="AA231" s="4">
        <f>SUM(U231:Z231)</f>
        <v/>
      </c>
      <c r="AB231" s="4">
        <f>N(AA231)*N(K231)/90</f>
        <v/>
      </c>
      <c r="AC231" s="4">
        <f>IFERROR(AB231-VLOOKUP($C231,Assumptions!$A$29:$C$32,3,FALSE),"")</f>
        <v/>
      </c>
      <c r="AD231" s="4">
        <f>IFERROR(AC231/F231,"")</f>
        <v/>
      </c>
      <c r="AE231">
        <f>IF(AND($E231=TRUE,$C231="GKP"),AB231,"")</f>
        <v/>
      </c>
      <c r="AF231">
        <f>IF(AND($E231=TRUE,$C231="DEF"),AB231,"")</f>
        <v/>
      </c>
      <c r="AG231">
        <f>IF(AND($E231=TRUE,$C231="MID"),AB231,"")</f>
        <v/>
      </c>
      <c r="AH231">
        <f>IF(AND($E231=TRUE,$C231="FWD"),AB231,"")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b">
        <v>1</v>
      </c>
      <c r="F232" s="2" t="n">
        <v>5</v>
      </c>
      <c r="G232" t="inlineStr">
        <is>
          <t>a</t>
        </is>
      </c>
      <c r="I232" s="2" t="n">
        <v>1730</v>
      </c>
      <c r="J232" t="n">
        <v>56</v>
      </c>
      <c r="K232" s="3" t="n">
        <v>1730</v>
      </c>
      <c r="L232" s="3" t="n">
        <v>0.21</v>
      </c>
      <c r="M232" s="4" t="n">
        <v>0.0674</v>
      </c>
      <c r="N232" t="inlineStr">
        <is>
          <t>adjusted xGOT</t>
        </is>
      </c>
      <c r="O232" s="4" t="n">
        <v>0.966</v>
      </c>
      <c r="P232" s="4" t="n">
        <v>2</v>
      </c>
      <c r="Q232" s="4" t="n">
        <v>0.0211</v>
      </c>
      <c r="R232" s="4" t="n">
        <v>0.167</v>
      </c>
      <c r="S232" s="4" t="n">
        <v>0.052</v>
      </c>
      <c r="T232" s="4" t="n">
        <v>2.549</v>
      </c>
      <c r="U232" s="4">
        <f>IF(T232="",IFERROR(VLOOKUP($C232,Assumptions!$A$4:$F$7,6,FALSE),0),T232)</f>
        <v/>
      </c>
      <c r="V232" s="4">
        <f>N(M232)*IFERROR(VLOOKUP($C232,Assumptions!$A$4:$F$7,2,FALSE),0)</f>
        <v/>
      </c>
      <c r="W232" s="4">
        <f>N(Q232)*IFERROR(VLOOKUP($C232,Assumptions!$A$4:$F$7,3,FALSE),0)*Assumptions!$B$11</f>
        <v/>
      </c>
      <c r="X232" s="4">
        <f>N(L232)*IFERROR(VLOOKUP($C232,Assumptions!$A$4:$F$7,4,FALSE),0)</f>
        <v/>
      </c>
      <c r="Y232" s="4">
        <f>N(R232)*IFERROR(VLOOKUP($C232,Assumptions!$A$4:$F$7,5,FALSE),0)</f>
        <v/>
      </c>
      <c r="Z232" s="4">
        <f>N(S232)</f>
        <v/>
      </c>
      <c r="AA232" s="4">
        <f>SUM(U232:Z232)</f>
        <v/>
      </c>
      <c r="AB232" s="4">
        <f>N(AA232)*N(K232)/90</f>
        <v/>
      </c>
      <c r="AC232" s="4">
        <f>IFERROR(AB232-VLOOKUP($C232,Assumptions!$A$29:$C$32,3,FALSE),"")</f>
        <v/>
      </c>
      <c r="AD232" s="4">
        <f>IFERROR(AC232/F232,"")</f>
        <v/>
      </c>
      <c r="AE232">
        <f>IF(AND($E232=TRUE,$C232="GKP"),AB232,"")</f>
        <v/>
      </c>
      <c r="AF232">
        <f>IF(AND($E232=TRUE,$C232="DEF"),AB232,"")</f>
        <v/>
      </c>
      <c r="AG232">
        <f>IF(AND($E232=TRUE,$C232="MID"),AB232,"")</f>
        <v/>
      </c>
      <c r="AH232">
        <f>IF(AND($E232=TRUE,$C232="FWD"),AB232,"")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b">
        <v>1</v>
      </c>
      <c r="F233" s="2" t="n">
        <v>5</v>
      </c>
      <c r="G233" t="inlineStr">
        <is>
          <t>i</t>
        </is>
      </c>
      <c r="H233" t="inlineStr">
        <is>
          <t>Ankle injury - Expected back 23 Aug</t>
        </is>
      </c>
      <c r="I233" s="2" t="n">
        <v>1646</v>
      </c>
      <c r="J233" t="n">
        <v>56</v>
      </c>
      <c r="K233" s="3" t="n">
        <v>1646</v>
      </c>
      <c r="L233" s="3" t="n">
        <v>0.263</v>
      </c>
      <c r="M233" s="4" t="n">
        <v>0.0429</v>
      </c>
      <c r="N233" t="inlineStr">
        <is>
          <t>adjusted xGOT</t>
        </is>
      </c>
      <c r="O233" s="4" t="n">
        <v>1.006</v>
      </c>
      <c r="P233" s="4" t="n">
        <v>4.7</v>
      </c>
      <c r="Q233" s="4" t="n">
        <v>0.0419</v>
      </c>
      <c r="R233" s="4" t="n">
        <v>0.174</v>
      </c>
      <c r="S233" s="4" t="n">
        <v>0</v>
      </c>
      <c r="T233" s="4" t="n">
        <v>2.515</v>
      </c>
      <c r="U233" s="4">
        <f>IF(T233="",IFERROR(VLOOKUP($C233,Assumptions!$A$4:$F$7,6,FALSE),0),T233)</f>
        <v/>
      </c>
      <c r="V233" s="4">
        <f>N(M233)*IFERROR(VLOOKUP($C233,Assumptions!$A$4:$F$7,2,FALSE),0)</f>
        <v/>
      </c>
      <c r="W233" s="4">
        <f>N(Q233)*IFERROR(VLOOKUP($C233,Assumptions!$A$4:$F$7,3,FALSE),0)*Assumptions!$B$11</f>
        <v/>
      </c>
      <c r="X233" s="4">
        <f>N(L233)*IFERROR(VLOOKUP($C233,Assumptions!$A$4:$F$7,4,FALSE),0)</f>
        <v/>
      </c>
      <c r="Y233" s="4">
        <f>N(R233)*IFERROR(VLOOKUP($C233,Assumptions!$A$4:$F$7,5,FALSE),0)</f>
        <v/>
      </c>
      <c r="Z233" s="4">
        <f>N(S233)</f>
        <v/>
      </c>
      <c r="AA233" s="4">
        <f>SUM(U233:Z233)</f>
        <v/>
      </c>
      <c r="AB233" s="4">
        <f>N(AA233)*N(K233)/90</f>
        <v/>
      </c>
      <c r="AC233" s="4">
        <f>IFERROR(AB233-VLOOKUP($C233,Assumptions!$A$29:$C$32,3,FALSE),"")</f>
        <v/>
      </c>
      <c r="AD233" s="4">
        <f>IFERROR(AC233/F233,"")</f>
        <v/>
      </c>
      <c r="AE233">
        <f>IF(AND($E233=TRUE,$C233="GKP"),AB233,"")</f>
        <v/>
      </c>
      <c r="AF233">
        <f>IF(AND($E233=TRUE,$C233="DEF"),AB233,"")</f>
        <v/>
      </c>
      <c r="AG233">
        <f>IF(AND($E233=TRUE,$C233="MID"),AB233,"")</f>
        <v/>
      </c>
      <c r="AH233">
        <f>IF(AND($E233=TRUE,$C233="FWD"),AB233,"")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b">
        <v>1</v>
      </c>
      <c r="F234" s="2" t="n">
        <v>5</v>
      </c>
      <c r="G234" t="inlineStr">
        <is>
          <t>a</t>
        </is>
      </c>
      <c r="I234" s="2" t="n">
        <v>1003</v>
      </c>
      <c r="J234" t="n">
        <v>56</v>
      </c>
      <c r="K234" s="3" t="n">
        <v>1003</v>
      </c>
      <c r="L234" s="3" t="n">
        <v>0.21</v>
      </c>
      <c r="M234" s="4" t="n">
        <v>0.1032</v>
      </c>
      <c r="N234" t="inlineStr">
        <is>
          <t>adjusted xGOT</t>
        </is>
      </c>
      <c r="O234" s="4" t="n">
        <v>0.9350000000000001</v>
      </c>
      <c r="P234" s="4" t="n">
        <v>11.9</v>
      </c>
      <c r="Q234" s="4" t="n">
        <v>0.2081</v>
      </c>
      <c r="R234" s="4" t="n">
        <v>0.2</v>
      </c>
      <c r="S234" s="4" t="n">
        <v>0.4487</v>
      </c>
      <c r="T234" s="4" t="n">
        <v>2.871</v>
      </c>
      <c r="U234" s="4">
        <f>IF(T234="",IFERROR(VLOOKUP($C234,Assumptions!$A$4:$F$7,6,FALSE),0),T234)</f>
        <v/>
      </c>
      <c r="V234" s="4">
        <f>N(M234)*IFERROR(VLOOKUP($C234,Assumptions!$A$4:$F$7,2,FALSE),0)</f>
        <v/>
      </c>
      <c r="W234" s="4">
        <f>N(Q234)*IFERROR(VLOOKUP($C234,Assumptions!$A$4:$F$7,3,FALSE),0)*Assumptions!$B$11</f>
        <v/>
      </c>
      <c r="X234" s="4">
        <f>N(L234)*IFERROR(VLOOKUP($C234,Assumptions!$A$4:$F$7,4,FALSE),0)</f>
        <v/>
      </c>
      <c r="Y234" s="4">
        <f>N(R234)*IFERROR(VLOOKUP($C234,Assumptions!$A$4:$F$7,5,FALSE),0)</f>
        <v/>
      </c>
      <c r="Z234" s="4">
        <f>N(S234)</f>
        <v/>
      </c>
      <c r="AA234" s="4">
        <f>SUM(U234:Z234)</f>
        <v/>
      </c>
      <c r="AB234" s="4">
        <f>N(AA234)*N(K234)/90</f>
        <v/>
      </c>
      <c r="AC234" s="4">
        <f>IFERROR(AB234-VLOOKUP($C234,Assumptions!$A$29:$C$32,3,FALSE),"")</f>
        <v/>
      </c>
      <c r="AD234" s="4">
        <f>IFERROR(AC234/F234,"")</f>
        <v/>
      </c>
      <c r="AE234">
        <f>IF(AND($E234=TRUE,$C234="GKP"),AB234,"")</f>
        <v/>
      </c>
      <c r="AF234">
        <f>IF(AND($E234=TRUE,$C234="DEF"),AB234,"")</f>
        <v/>
      </c>
      <c r="AG234">
        <f>IF(AND($E234=TRUE,$C234="MID"),AB234,"")</f>
        <v/>
      </c>
      <c r="AH234">
        <f>IF(AND($E234=TRUE,$C234="FWD"),AB234,"")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b">
        <v>1</v>
      </c>
      <c r="F235" s="2" t="n">
        <v>7</v>
      </c>
      <c r="G235" t="inlineStr">
        <is>
          <t>a</t>
        </is>
      </c>
      <c r="I235" s="2" t="n">
        <v>691</v>
      </c>
      <c r="J235" t="n">
        <v>56</v>
      </c>
      <c r="K235" s="3" t="n">
        <v>691</v>
      </c>
      <c r="L235" s="3" t="n">
        <v>0.421</v>
      </c>
      <c r="M235" s="4" t="n">
        <v>0.3489</v>
      </c>
      <c r="N235" t="inlineStr">
        <is>
          <t>adjusted xGOT</t>
        </is>
      </c>
      <c r="O235" s="4" t="n">
        <v>0.964</v>
      </c>
      <c r="P235" s="4" t="n">
        <v>8.199999999999999</v>
      </c>
      <c r="Q235" s="4" t="n">
        <v>0.1887</v>
      </c>
      <c r="R235" s="4" t="n">
        <v>0</v>
      </c>
      <c r="S235" s="4" t="n">
        <v>0.6512</v>
      </c>
      <c r="T235" s="4" t="n">
        <v>3.386</v>
      </c>
      <c r="U235" s="4">
        <f>IF(T235="",IFERROR(VLOOKUP($C235,Assumptions!$A$4:$F$7,6,FALSE),0),T235)</f>
        <v/>
      </c>
      <c r="V235" s="4">
        <f>N(M235)*IFERROR(VLOOKUP($C235,Assumptions!$A$4:$F$7,2,FALSE),0)</f>
        <v/>
      </c>
      <c r="W235" s="4">
        <f>N(Q235)*IFERROR(VLOOKUP($C235,Assumptions!$A$4:$F$7,3,FALSE),0)*Assumptions!$B$11</f>
        <v/>
      </c>
      <c r="X235" s="4">
        <f>N(L235)*IFERROR(VLOOKUP($C235,Assumptions!$A$4:$F$7,4,FALSE),0)</f>
        <v/>
      </c>
      <c r="Y235" s="4">
        <f>N(R235)*IFERROR(VLOOKUP($C235,Assumptions!$A$4:$F$7,5,FALSE),0)</f>
        <v/>
      </c>
      <c r="Z235" s="4">
        <f>N(S235)</f>
        <v/>
      </c>
      <c r="AA235" s="4">
        <f>SUM(U235:Z235)</f>
        <v/>
      </c>
      <c r="AB235" s="4">
        <f>N(AA235)*N(K235)/90</f>
        <v/>
      </c>
      <c r="AC235" s="4">
        <f>IFERROR(AB235-VLOOKUP($C235,Assumptions!$A$29:$C$32,3,FALSE),"")</f>
        <v/>
      </c>
      <c r="AD235" s="4">
        <f>IFERROR(AC235/F235,"")</f>
        <v/>
      </c>
      <c r="AE235">
        <f>IF(AND($E235=TRUE,$C235="GKP"),AB235,"")</f>
        <v/>
      </c>
      <c r="AF235">
        <f>IF(AND($E235=TRUE,$C235="DEF"),AB235,"")</f>
        <v/>
      </c>
      <c r="AG235">
        <f>IF(AND($E235=TRUE,$C235="MID"),AB235,"")</f>
        <v/>
      </c>
      <c r="AH235">
        <f>IF(AND($E235=TRUE,$C235="FWD"),AB235,"")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b">
        <v>1</v>
      </c>
      <c r="F236" s="2" t="n">
        <v>6</v>
      </c>
      <c r="G236" t="inlineStr">
        <is>
          <t>a</t>
        </is>
      </c>
      <c r="I236" s="2" t="n">
        <v>1261</v>
      </c>
      <c r="J236" t="n">
        <v>56</v>
      </c>
      <c r="K236" s="3" t="n">
        <v>1261</v>
      </c>
      <c r="L236" s="3" t="n">
        <v>0.237</v>
      </c>
      <c r="M236" s="4" t="n">
        <v>0.2183</v>
      </c>
      <c r="N236" t="inlineStr">
        <is>
          <t>adjusted xGOT</t>
        </is>
      </c>
      <c r="O236" s="4" t="n">
        <v>0.889</v>
      </c>
      <c r="P236" s="4" t="n">
        <v>22</v>
      </c>
      <c r="Q236" s="4" t="n">
        <v>0.2819</v>
      </c>
      <c r="R236" s="4" t="n">
        <v>0</v>
      </c>
      <c r="S236" s="4" t="n">
        <v>0.2141</v>
      </c>
      <c r="T236" s="4" t="n">
        <v>2.427</v>
      </c>
      <c r="U236" s="4">
        <f>IF(T236="",IFERROR(VLOOKUP($C236,Assumptions!$A$4:$F$7,6,FALSE),0),T236)</f>
        <v/>
      </c>
      <c r="V236" s="4">
        <f>N(M236)*IFERROR(VLOOKUP($C236,Assumptions!$A$4:$F$7,2,FALSE),0)</f>
        <v/>
      </c>
      <c r="W236" s="4">
        <f>N(Q236)*IFERROR(VLOOKUP($C236,Assumptions!$A$4:$F$7,3,FALSE),0)*Assumptions!$B$11</f>
        <v/>
      </c>
      <c r="X236" s="4">
        <f>N(L236)*IFERROR(VLOOKUP($C236,Assumptions!$A$4:$F$7,4,FALSE),0)</f>
        <v/>
      </c>
      <c r="Y236" s="4">
        <f>N(R236)*IFERROR(VLOOKUP($C236,Assumptions!$A$4:$F$7,5,FALSE),0)</f>
        <v/>
      </c>
      <c r="Z236" s="4">
        <f>N(S236)</f>
        <v/>
      </c>
      <c r="AA236" s="4">
        <f>SUM(U236:Z236)</f>
        <v/>
      </c>
      <c r="AB236" s="4">
        <f>N(AA236)*N(K236)/90</f>
        <v/>
      </c>
      <c r="AC236" s="4">
        <f>IFERROR(AB236-VLOOKUP($C236,Assumptions!$A$29:$C$32,3,FALSE),"")</f>
        <v/>
      </c>
      <c r="AD236" s="4">
        <f>IFERROR(AC236/F236,"")</f>
        <v/>
      </c>
      <c r="AE236">
        <f>IF(AND($E236=TRUE,$C236="GKP"),AB236,"")</f>
        <v/>
      </c>
      <c r="AF236">
        <f>IF(AND($E236=TRUE,$C236="DEF"),AB236,"")</f>
        <v/>
      </c>
      <c r="AG236">
        <f>IF(AND($E236=TRUE,$C236="MID"),AB236,"")</f>
        <v/>
      </c>
      <c r="AH236">
        <f>IF(AND($E236=TRUE,$C236="FWD"),AB236,"")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b">
        <v>1</v>
      </c>
      <c r="F237" s="2" t="n">
        <v>5</v>
      </c>
      <c r="G237" t="inlineStr">
        <is>
          <t>a</t>
        </is>
      </c>
      <c r="I237" s="2" t="n">
        <v>844</v>
      </c>
      <c r="J237" t="n">
        <v>56</v>
      </c>
      <c r="K237" s="3" t="n">
        <v>844</v>
      </c>
      <c r="L237" s="3" t="n">
        <v>0.237</v>
      </c>
      <c r="M237" s="4" t="n">
        <v>0.183</v>
      </c>
      <c r="N237" t="inlineStr">
        <is>
          <t>adjusted xGOT</t>
        </is>
      </c>
      <c r="O237" s="4" t="n">
        <v>1.086</v>
      </c>
      <c r="P237" s="4" t="n">
        <v>7.3</v>
      </c>
      <c r="Q237" s="4" t="n">
        <v>0.1755</v>
      </c>
      <c r="R237" s="4" t="n">
        <v>0.143</v>
      </c>
      <c r="S237" s="4" t="n">
        <v>0.5332</v>
      </c>
      <c r="T237" s="4" t="n">
        <v>2.986</v>
      </c>
      <c r="U237" s="4">
        <f>IF(T237="",IFERROR(VLOOKUP($C237,Assumptions!$A$4:$F$7,6,FALSE),0),T237)</f>
        <v/>
      </c>
      <c r="V237" s="4">
        <f>N(M237)*IFERROR(VLOOKUP($C237,Assumptions!$A$4:$F$7,2,FALSE),0)</f>
        <v/>
      </c>
      <c r="W237" s="4">
        <f>N(Q237)*IFERROR(VLOOKUP($C237,Assumptions!$A$4:$F$7,3,FALSE),0)*Assumptions!$B$11</f>
        <v/>
      </c>
      <c r="X237" s="4">
        <f>N(L237)*IFERROR(VLOOKUP($C237,Assumptions!$A$4:$F$7,4,FALSE),0)</f>
        <v/>
      </c>
      <c r="Y237" s="4">
        <f>N(R237)*IFERROR(VLOOKUP($C237,Assumptions!$A$4:$F$7,5,FALSE),0)</f>
        <v/>
      </c>
      <c r="Z237" s="4">
        <f>N(S237)</f>
        <v/>
      </c>
      <c r="AA237" s="4">
        <f>SUM(U237:Z237)</f>
        <v/>
      </c>
      <c r="AB237" s="4">
        <f>N(AA237)*N(K237)/90</f>
        <v/>
      </c>
      <c r="AC237" s="4">
        <f>IFERROR(AB237-VLOOKUP($C237,Assumptions!$A$29:$C$32,3,FALSE),"")</f>
        <v/>
      </c>
      <c r="AD237" s="4">
        <f>IFERROR(AC237/F237,"")</f>
        <v/>
      </c>
      <c r="AE237">
        <f>IF(AND($E237=TRUE,$C237="GKP"),AB237,"")</f>
        <v/>
      </c>
      <c r="AF237">
        <f>IF(AND($E237=TRUE,$C237="DEF"),AB237,"")</f>
        <v/>
      </c>
      <c r="AG237">
        <f>IF(AND($E237=TRUE,$C237="MID"),AB237,"")</f>
        <v/>
      </c>
      <c r="AH237">
        <f>IF(AND($E237=TRUE,$C237="FWD"),AB237,"")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b">
        <v>1</v>
      </c>
      <c r="F238" s="2" t="n">
        <v>5</v>
      </c>
      <c r="G238" t="inlineStr">
        <is>
          <t>a</t>
        </is>
      </c>
      <c r="I238" s="2" t="n">
        <v>1318</v>
      </c>
      <c r="J238" t="n">
        <v>56</v>
      </c>
      <c r="K238" s="3" t="n">
        <v>1318</v>
      </c>
      <c r="L238" s="3" t="n">
        <v>0.21</v>
      </c>
      <c r="M238" s="4" t="n">
        <v>0.0323</v>
      </c>
      <c r="N238" t="inlineStr">
        <is>
          <t>adjusted xGOT</t>
        </is>
      </c>
      <c r="O238" s="4" t="n">
        <v>0.966</v>
      </c>
      <c r="P238" s="4" t="n">
        <v>0.5</v>
      </c>
      <c r="Q238" s="4" t="n">
        <v>0.0804</v>
      </c>
      <c r="R238" s="4" t="n">
        <v>0.067</v>
      </c>
      <c r="S238" s="4" t="n">
        <v>0.2049</v>
      </c>
      <c r="T238" s="4" t="n">
        <v>2.527</v>
      </c>
      <c r="U238" s="4">
        <f>IF(T238="",IFERROR(VLOOKUP($C238,Assumptions!$A$4:$F$7,6,FALSE),0),T238)</f>
        <v/>
      </c>
      <c r="V238" s="4">
        <f>N(M238)*IFERROR(VLOOKUP($C238,Assumptions!$A$4:$F$7,2,FALSE),0)</f>
        <v/>
      </c>
      <c r="W238" s="4">
        <f>N(Q238)*IFERROR(VLOOKUP($C238,Assumptions!$A$4:$F$7,3,FALSE),0)*Assumptions!$B$11</f>
        <v/>
      </c>
      <c r="X238" s="4">
        <f>N(L238)*IFERROR(VLOOKUP($C238,Assumptions!$A$4:$F$7,4,FALSE),0)</f>
        <v/>
      </c>
      <c r="Y238" s="4">
        <f>N(R238)*IFERROR(VLOOKUP($C238,Assumptions!$A$4:$F$7,5,FALSE),0)</f>
        <v/>
      </c>
      <c r="Z238" s="4">
        <f>N(S238)</f>
        <v/>
      </c>
      <c r="AA238" s="4">
        <f>SUM(U238:Z238)</f>
        <v/>
      </c>
      <c r="AB238" s="4">
        <f>N(AA238)*N(K238)/90</f>
        <v/>
      </c>
      <c r="AC238" s="4">
        <f>IFERROR(AB238-VLOOKUP($C238,Assumptions!$A$29:$C$32,3,FALSE),"")</f>
        <v/>
      </c>
      <c r="AD238" s="4">
        <f>IFERROR(AC238/F238,"")</f>
        <v/>
      </c>
      <c r="AE238">
        <f>IF(AND($E238=TRUE,$C238="GKP"),AB238,"")</f>
        <v/>
      </c>
      <c r="AF238">
        <f>IF(AND($E238=TRUE,$C238="DEF"),AB238,"")</f>
        <v/>
      </c>
      <c r="AG238">
        <f>IF(AND($E238=TRUE,$C238="MID"),AB238,"")</f>
        <v/>
      </c>
      <c r="AH238">
        <f>IF(AND($E238=TRUE,$C238="FWD"),AB238,"")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b">
        <v>1</v>
      </c>
      <c r="F239" s="2" t="n">
        <v>4.5</v>
      </c>
      <c r="G239" t="inlineStr">
        <is>
          <t>a</t>
        </is>
      </c>
      <c r="I239" s="2" t="n">
        <v>1165</v>
      </c>
      <c r="J239" t="n">
        <v>55</v>
      </c>
      <c r="K239" s="3" t="n">
        <v>1165</v>
      </c>
      <c r="L239" s="3" t="n">
        <v>0.237</v>
      </c>
      <c r="M239" s="4" t="n">
        <v>0.0814</v>
      </c>
      <c r="N239" t="inlineStr">
        <is>
          <t>adjusted xGOT</t>
        </is>
      </c>
      <c r="O239" s="4" t="n">
        <v>0.958</v>
      </c>
      <c r="P239" s="4" t="n">
        <v>5.4</v>
      </c>
      <c r="Q239" s="4" t="n">
        <v>0.1124</v>
      </c>
      <c r="R239" s="4" t="n">
        <v>0</v>
      </c>
      <c r="S239" s="4" t="n">
        <v>0.309</v>
      </c>
      <c r="T239" s="4" t="n">
        <v>2.549</v>
      </c>
      <c r="U239" s="4">
        <f>IF(T239="",IFERROR(VLOOKUP($C239,Assumptions!$A$4:$F$7,6,FALSE),0),T239)</f>
        <v/>
      </c>
      <c r="V239" s="4">
        <f>N(M239)*IFERROR(VLOOKUP($C239,Assumptions!$A$4:$F$7,2,FALSE),0)</f>
        <v/>
      </c>
      <c r="W239" s="4">
        <f>N(Q239)*IFERROR(VLOOKUP($C239,Assumptions!$A$4:$F$7,3,FALSE),0)*Assumptions!$B$11</f>
        <v/>
      </c>
      <c r="X239" s="4">
        <f>N(L239)*IFERROR(VLOOKUP($C239,Assumptions!$A$4:$F$7,4,FALSE),0)</f>
        <v/>
      </c>
      <c r="Y239" s="4">
        <f>N(R239)*IFERROR(VLOOKUP($C239,Assumptions!$A$4:$F$7,5,FALSE),0)</f>
        <v/>
      </c>
      <c r="Z239" s="4">
        <f>N(S239)</f>
        <v/>
      </c>
      <c r="AA239" s="4">
        <f>SUM(U239:Z239)</f>
        <v/>
      </c>
      <c r="AB239" s="4">
        <f>N(AA239)*N(K239)/90</f>
        <v/>
      </c>
      <c r="AC239" s="4">
        <f>IFERROR(AB239-VLOOKUP($C239,Assumptions!$A$29:$C$32,3,FALSE),"")</f>
        <v/>
      </c>
      <c r="AD239" s="4">
        <f>IFERROR(AC239/F239,"")</f>
        <v/>
      </c>
      <c r="AE239">
        <f>IF(AND($E239=TRUE,$C239="GKP"),AB239,"")</f>
        <v/>
      </c>
      <c r="AF239">
        <f>IF(AND($E239=TRUE,$C239="DEF"),AB239,"")</f>
        <v/>
      </c>
      <c r="AG239">
        <f>IF(AND($E239=TRUE,$C239="MID"),AB239,"")</f>
        <v/>
      </c>
      <c r="AH239">
        <f>IF(AND($E239=TRUE,$C239="FWD"),AB239,"")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b">
        <v>1</v>
      </c>
      <c r="F240" s="2" t="n">
        <v>4.5</v>
      </c>
      <c r="G240" t="inlineStr">
        <is>
          <t>a</t>
        </is>
      </c>
      <c r="I240" s="2" t="n">
        <v>1590</v>
      </c>
      <c r="J240" t="n">
        <v>54</v>
      </c>
      <c r="K240" s="3" t="n">
        <v>1590</v>
      </c>
      <c r="L240" s="3" t="n">
        <v>0.237</v>
      </c>
      <c r="M240" s="4" t="n">
        <v>0.0643</v>
      </c>
      <c r="N240" t="inlineStr">
        <is>
          <t>adjusted xGOT</t>
        </is>
      </c>
      <c r="O240" s="4" t="n">
        <v>0.902</v>
      </c>
      <c r="P240" s="4" t="n">
        <v>2.9</v>
      </c>
      <c r="Q240" s="4" t="n">
        <v>0.1516</v>
      </c>
      <c r="R240" s="4" t="n">
        <v>0.118</v>
      </c>
      <c r="S240" s="4" t="n">
        <v>0.0566</v>
      </c>
      <c r="T240" s="4" t="n">
        <v>2.66</v>
      </c>
      <c r="U240" s="4">
        <f>IF(T240="",IFERROR(VLOOKUP($C240,Assumptions!$A$4:$F$7,6,FALSE),0),T240)</f>
        <v/>
      </c>
      <c r="V240" s="4">
        <f>N(M240)*IFERROR(VLOOKUP($C240,Assumptions!$A$4:$F$7,2,FALSE),0)</f>
        <v/>
      </c>
      <c r="W240" s="4">
        <f>N(Q240)*IFERROR(VLOOKUP($C240,Assumptions!$A$4:$F$7,3,FALSE),0)*Assumptions!$B$11</f>
        <v/>
      </c>
      <c r="X240" s="4">
        <f>N(L240)*IFERROR(VLOOKUP($C240,Assumptions!$A$4:$F$7,4,FALSE),0)</f>
        <v/>
      </c>
      <c r="Y240" s="4">
        <f>N(R240)*IFERROR(VLOOKUP($C240,Assumptions!$A$4:$F$7,5,FALSE),0)</f>
        <v/>
      </c>
      <c r="Z240" s="4">
        <f>N(S240)</f>
        <v/>
      </c>
      <c r="AA240" s="4">
        <f>SUM(U240:Z240)</f>
        <v/>
      </c>
      <c r="AB240" s="4">
        <f>N(AA240)*N(K240)/90</f>
        <v/>
      </c>
      <c r="AC240" s="4">
        <f>IFERROR(AB240-VLOOKUP($C240,Assumptions!$A$29:$C$32,3,FALSE),"")</f>
        <v/>
      </c>
      <c r="AD240" s="4">
        <f>IFERROR(AC240/F240,"")</f>
        <v/>
      </c>
      <c r="AE240">
        <f>IF(AND($E240=TRUE,$C240="GKP"),AB240,"")</f>
        <v/>
      </c>
      <c r="AF240">
        <f>IF(AND($E240=TRUE,$C240="DEF"),AB240,"")</f>
        <v/>
      </c>
      <c r="AG240">
        <f>IF(AND($E240=TRUE,$C240="MID"),AB240,"")</f>
        <v/>
      </c>
      <c r="AH240">
        <f>IF(AND($E240=TRUE,$C240="FWD"),AB240,"")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b">
        <v>1</v>
      </c>
      <c r="F241" s="2" t="n">
        <v>5.5</v>
      </c>
      <c r="G241" t="inlineStr">
        <is>
          <t>a</t>
        </is>
      </c>
      <c r="I241" s="2" t="n">
        <v>1161</v>
      </c>
      <c r="J241" t="n">
        <v>53</v>
      </c>
      <c r="K241" s="3" t="n">
        <v>1161</v>
      </c>
      <c r="L241" s="3" t="n">
        <v>0.316</v>
      </c>
      <c r="M241" s="4" t="n">
        <v>0.1112</v>
      </c>
      <c r="N241" t="inlineStr">
        <is>
          <t>adjusted xGOT</t>
        </is>
      </c>
      <c r="O241" s="4" t="n">
        <v>1.047</v>
      </c>
      <c r="P241" s="4" t="n">
        <v>9.199999999999999</v>
      </c>
      <c r="Q241" s="4" t="n">
        <v>0.1414</v>
      </c>
      <c r="R241" s="4" t="n">
        <v>0.143</v>
      </c>
      <c r="S241" s="4" t="n">
        <v>0.0775</v>
      </c>
      <c r="T241" s="4" t="n">
        <v>2.636</v>
      </c>
      <c r="U241" s="4">
        <f>IF(T241="",IFERROR(VLOOKUP($C241,Assumptions!$A$4:$F$7,6,FALSE),0),T241)</f>
        <v/>
      </c>
      <c r="V241" s="4">
        <f>N(M241)*IFERROR(VLOOKUP($C241,Assumptions!$A$4:$F$7,2,FALSE),0)</f>
        <v/>
      </c>
      <c r="W241" s="4">
        <f>N(Q241)*IFERROR(VLOOKUP($C241,Assumptions!$A$4:$F$7,3,FALSE),0)*Assumptions!$B$11</f>
        <v/>
      </c>
      <c r="X241" s="4">
        <f>N(L241)*IFERROR(VLOOKUP($C241,Assumptions!$A$4:$F$7,4,FALSE),0)</f>
        <v/>
      </c>
      <c r="Y241" s="4">
        <f>N(R241)*IFERROR(VLOOKUP($C241,Assumptions!$A$4:$F$7,5,FALSE),0)</f>
        <v/>
      </c>
      <c r="Z241" s="4">
        <f>N(S241)</f>
        <v/>
      </c>
      <c r="AA241" s="4">
        <f>SUM(U241:Z241)</f>
        <v/>
      </c>
      <c r="AB241" s="4">
        <f>N(AA241)*N(K241)/90</f>
        <v/>
      </c>
      <c r="AC241" s="4">
        <f>IFERROR(AB241-VLOOKUP($C241,Assumptions!$A$29:$C$32,3,FALSE),"")</f>
        <v/>
      </c>
      <c r="AD241" s="4">
        <f>IFERROR(AC241/F241,"")</f>
        <v/>
      </c>
      <c r="AE241">
        <f>IF(AND($E241=TRUE,$C241="GKP"),AB241,"")</f>
        <v/>
      </c>
      <c r="AF241">
        <f>IF(AND($E241=TRUE,$C241="DEF"),AB241,"")</f>
        <v/>
      </c>
      <c r="AG241">
        <f>IF(AND($E241=TRUE,$C241="MID"),AB241,"")</f>
        <v/>
      </c>
      <c r="AH241">
        <f>IF(AND($E241=TRUE,$C241="FWD"),AB241,"")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b">
        <v>1</v>
      </c>
      <c r="F242" s="2" t="n">
        <v>5</v>
      </c>
      <c r="G242" t="inlineStr">
        <is>
          <t>a</t>
        </is>
      </c>
      <c r="I242" s="2" t="n">
        <v>1340</v>
      </c>
      <c r="J242" t="n">
        <v>53</v>
      </c>
      <c r="K242" s="3" t="n">
        <v>1340</v>
      </c>
      <c r="L242" s="3" t="n">
        <v>0.237</v>
      </c>
      <c r="M242" s="4" t="n">
        <v>0.0905</v>
      </c>
      <c r="N242" t="inlineStr">
        <is>
          <t>adjusted xGOT</t>
        </is>
      </c>
      <c r="O242" s="4" t="n">
        <v>1.021</v>
      </c>
      <c r="P242" s="4" t="n">
        <v>1.5</v>
      </c>
      <c r="Q242" s="4" t="n">
        <v>0.008200000000000001</v>
      </c>
      <c r="R242" s="4" t="n">
        <v>0.5</v>
      </c>
      <c r="S242" s="4" t="n">
        <v>0.0672</v>
      </c>
      <c r="T242" s="4" t="n">
        <v>2.351</v>
      </c>
      <c r="U242" s="4">
        <f>IF(T242="",IFERROR(VLOOKUP($C242,Assumptions!$A$4:$F$7,6,FALSE),0),T242)</f>
        <v/>
      </c>
      <c r="V242" s="4">
        <f>N(M242)*IFERROR(VLOOKUP($C242,Assumptions!$A$4:$F$7,2,FALSE),0)</f>
        <v/>
      </c>
      <c r="W242" s="4">
        <f>N(Q242)*IFERROR(VLOOKUP($C242,Assumptions!$A$4:$F$7,3,FALSE),0)*Assumptions!$B$11</f>
        <v/>
      </c>
      <c r="X242" s="4">
        <f>N(L242)*IFERROR(VLOOKUP($C242,Assumptions!$A$4:$F$7,4,FALSE),0)</f>
        <v/>
      </c>
      <c r="Y242" s="4">
        <f>N(R242)*IFERROR(VLOOKUP($C242,Assumptions!$A$4:$F$7,5,FALSE),0)</f>
        <v/>
      </c>
      <c r="Z242" s="4">
        <f>N(S242)</f>
        <v/>
      </c>
      <c r="AA242" s="4">
        <f>SUM(U242:Z242)</f>
        <v/>
      </c>
      <c r="AB242" s="4">
        <f>N(AA242)*N(K242)/90</f>
        <v/>
      </c>
      <c r="AC242" s="4">
        <f>IFERROR(AB242-VLOOKUP($C242,Assumptions!$A$29:$C$32,3,FALSE),"")</f>
        <v/>
      </c>
      <c r="AD242" s="4">
        <f>IFERROR(AC242/F242,"")</f>
        <v/>
      </c>
      <c r="AE242">
        <f>IF(AND($E242=TRUE,$C242="GKP"),AB242,"")</f>
        <v/>
      </c>
      <c r="AF242">
        <f>IF(AND($E242=TRUE,$C242="DEF"),AB242,"")</f>
        <v/>
      </c>
      <c r="AG242">
        <f>IF(AND($E242=TRUE,$C242="MID"),AB242,"")</f>
        <v/>
      </c>
      <c r="AH242">
        <f>IF(AND($E242=TRUE,$C242="FWD"),AB242,"")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b">
        <v>1</v>
      </c>
      <c r="F243" s="2" t="n">
        <v>4.5</v>
      </c>
      <c r="G243" t="inlineStr">
        <is>
          <t>a</t>
        </is>
      </c>
      <c r="I243" s="2" t="n">
        <v>977</v>
      </c>
      <c r="J243" t="n">
        <v>53</v>
      </c>
      <c r="K243" s="3" t="n">
        <v>977</v>
      </c>
      <c r="L243" s="3" t="n">
        <v>0.21</v>
      </c>
      <c r="M243" s="4" t="n">
        <v>0.0164</v>
      </c>
      <c r="N243" t="inlineStr">
        <is>
          <t>adjusted xGOT</t>
        </is>
      </c>
      <c r="O243" s="4" t="n">
        <v>0.9350000000000001</v>
      </c>
      <c r="P243" s="4" t="n">
        <v>0.9</v>
      </c>
      <c r="Q243" s="4" t="n">
        <v>0.0258</v>
      </c>
      <c r="R243" s="4" t="n">
        <v>0.091</v>
      </c>
      <c r="S243" s="4" t="n">
        <v>0.5527</v>
      </c>
      <c r="T243" s="4" t="n">
        <v>2.764</v>
      </c>
      <c r="U243" s="4">
        <f>IF(T243="",IFERROR(VLOOKUP($C243,Assumptions!$A$4:$F$7,6,FALSE),0),T243)</f>
        <v/>
      </c>
      <c r="V243" s="4">
        <f>N(M243)*IFERROR(VLOOKUP($C243,Assumptions!$A$4:$F$7,2,FALSE),0)</f>
        <v/>
      </c>
      <c r="W243" s="4">
        <f>N(Q243)*IFERROR(VLOOKUP($C243,Assumptions!$A$4:$F$7,3,FALSE),0)*Assumptions!$B$11</f>
        <v/>
      </c>
      <c r="X243" s="4">
        <f>N(L243)*IFERROR(VLOOKUP($C243,Assumptions!$A$4:$F$7,4,FALSE),0)</f>
        <v/>
      </c>
      <c r="Y243" s="4">
        <f>N(R243)*IFERROR(VLOOKUP($C243,Assumptions!$A$4:$F$7,5,FALSE),0)</f>
        <v/>
      </c>
      <c r="Z243" s="4">
        <f>N(S243)</f>
        <v/>
      </c>
      <c r="AA243" s="4">
        <f>SUM(U243:Z243)</f>
        <v/>
      </c>
      <c r="AB243" s="4">
        <f>N(AA243)*N(K243)/90</f>
        <v/>
      </c>
      <c r="AC243" s="4">
        <f>IFERROR(AB243-VLOOKUP($C243,Assumptions!$A$29:$C$32,3,FALSE),"")</f>
        <v/>
      </c>
      <c r="AD243" s="4">
        <f>IFERROR(AC243/F243,"")</f>
        <v/>
      </c>
      <c r="AE243">
        <f>IF(AND($E243=TRUE,$C243="GKP"),AB243,"")</f>
        <v/>
      </c>
      <c r="AF243">
        <f>IF(AND($E243=TRUE,$C243="DEF"),AB243,"")</f>
        <v/>
      </c>
      <c r="AG243">
        <f>IF(AND($E243=TRUE,$C243="MID"),AB243,"")</f>
        <v/>
      </c>
      <c r="AH243">
        <f>IF(AND($E243=TRUE,$C243="FWD"),AB243,"")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b">
        <v>1</v>
      </c>
      <c r="F244" s="2" t="n">
        <v>4.5</v>
      </c>
      <c r="G244" t="inlineStr">
        <is>
          <t>a</t>
        </is>
      </c>
      <c r="I244" s="2" t="n">
        <v>1322</v>
      </c>
      <c r="J244" t="n">
        <v>52</v>
      </c>
      <c r="K244" s="3" t="n">
        <v>1322</v>
      </c>
      <c r="L244" s="3" t="n">
        <v>0.263</v>
      </c>
      <c r="M244" s="4" t="n">
        <v>0.011</v>
      </c>
      <c r="N244" t="inlineStr">
        <is>
          <t>adjusted xGOT</t>
        </is>
      </c>
      <c r="O244" s="4" t="n">
        <v>0.896</v>
      </c>
      <c r="P244" s="4" t="n">
        <v>2</v>
      </c>
      <c r="Q244" s="4" t="n">
        <v>0.0291</v>
      </c>
      <c r="R244" s="4" t="n">
        <v>0</v>
      </c>
      <c r="S244" s="4" t="n">
        <v>0</v>
      </c>
      <c r="T244" s="4" t="n">
        <v>2.587</v>
      </c>
      <c r="U244" s="4">
        <f>IF(T244="",IFERROR(VLOOKUP($C244,Assumptions!$A$4:$F$7,6,FALSE),0),T244)</f>
        <v/>
      </c>
      <c r="V244" s="4">
        <f>N(M244)*IFERROR(VLOOKUP($C244,Assumptions!$A$4:$F$7,2,FALSE),0)</f>
        <v/>
      </c>
      <c r="W244" s="4">
        <f>N(Q244)*IFERROR(VLOOKUP($C244,Assumptions!$A$4:$F$7,3,FALSE),0)*Assumptions!$B$11</f>
        <v/>
      </c>
      <c r="X244" s="4">
        <f>N(L244)*IFERROR(VLOOKUP($C244,Assumptions!$A$4:$F$7,4,FALSE),0)</f>
        <v/>
      </c>
      <c r="Y244" s="4">
        <f>N(R244)*IFERROR(VLOOKUP($C244,Assumptions!$A$4:$F$7,5,FALSE),0)</f>
        <v/>
      </c>
      <c r="Z244" s="4">
        <f>N(S244)</f>
        <v/>
      </c>
      <c r="AA244" s="4">
        <f>SUM(U244:Z244)</f>
        <v/>
      </c>
      <c r="AB244" s="4">
        <f>N(AA244)*N(K244)/90</f>
        <v/>
      </c>
      <c r="AC244" s="4">
        <f>IFERROR(AB244-VLOOKUP($C244,Assumptions!$A$29:$C$32,3,FALSE),"")</f>
        <v/>
      </c>
      <c r="AD244" s="4">
        <f>IFERROR(AC244/F244,"")</f>
        <v/>
      </c>
      <c r="AE244">
        <f>IF(AND($E244=TRUE,$C244="GKP"),AB244,"")</f>
        <v/>
      </c>
      <c r="AF244">
        <f>IF(AND($E244=TRUE,$C244="DEF"),AB244,"")</f>
        <v/>
      </c>
      <c r="AG244">
        <f>IF(AND($E244=TRUE,$C244="MID"),AB244,"")</f>
        <v/>
      </c>
      <c r="AH244">
        <f>IF(AND($E244=TRUE,$C244="FWD"),AB244,"")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b">
        <v>1</v>
      </c>
      <c r="F245" s="2" t="n">
        <v>5</v>
      </c>
      <c r="G245" t="inlineStr">
        <is>
          <t>d</t>
        </is>
      </c>
      <c r="H245" t="inlineStr">
        <is>
          <t>Thigh injury - 75% chance of playing</t>
        </is>
      </c>
      <c r="I245" s="2" t="n">
        <v>1229</v>
      </c>
      <c r="J245" t="n">
        <v>51</v>
      </c>
      <c r="K245" s="3" t="n">
        <v>1229</v>
      </c>
      <c r="L245" s="3" t="n">
        <v>0.21</v>
      </c>
      <c r="M245" s="4" t="n">
        <v>0.01</v>
      </c>
      <c r="N245" t="inlineStr">
        <is>
          <t>adjusted xGOT</t>
        </is>
      </c>
      <c r="O245" s="4" t="n">
        <v>0.916</v>
      </c>
      <c r="P245" s="4" t="n">
        <v>1.9</v>
      </c>
      <c r="Q245" s="4" t="n">
        <v>0.039</v>
      </c>
      <c r="R245" s="4" t="n">
        <v>0.308</v>
      </c>
      <c r="S245" s="4" t="n">
        <v>0.1465</v>
      </c>
      <c r="T245" s="4" t="n">
        <v>2.197</v>
      </c>
      <c r="U245" s="4">
        <f>IF(T245="",IFERROR(VLOOKUP($C245,Assumptions!$A$4:$F$7,6,FALSE),0),T245)</f>
        <v/>
      </c>
      <c r="V245" s="4">
        <f>N(M245)*IFERROR(VLOOKUP($C245,Assumptions!$A$4:$F$7,2,FALSE),0)</f>
        <v/>
      </c>
      <c r="W245" s="4">
        <f>N(Q245)*IFERROR(VLOOKUP($C245,Assumptions!$A$4:$F$7,3,FALSE),0)*Assumptions!$B$11</f>
        <v/>
      </c>
      <c r="X245" s="4">
        <f>N(L245)*IFERROR(VLOOKUP($C245,Assumptions!$A$4:$F$7,4,FALSE),0)</f>
        <v/>
      </c>
      <c r="Y245" s="4">
        <f>N(R245)*IFERROR(VLOOKUP($C245,Assumptions!$A$4:$F$7,5,FALSE),0)</f>
        <v/>
      </c>
      <c r="Z245" s="4">
        <f>N(S245)</f>
        <v/>
      </c>
      <c r="AA245" s="4">
        <f>SUM(U245:Z245)</f>
        <v/>
      </c>
      <c r="AB245" s="4">
        <f>N(AA245)*N(K245)/90</f>
        <v/>
      </c>
      <c r="AC245" s="4">
        <f>IFERROR(AB245-VLOOKUP($C245,Assumptions!$A$29:$C$32,3,FALSE),"")</f>
        <v/>
      </c>
      <c r="AD245" s="4">
        <f>IFERROR(AC245/F245,"")</f>
        <v/>
      </c>
      <c r="AE245">
        <f>IF(AND($E245=TRUE,$C245="GKP"),AB245,"")</f>
        <v/>
      </c>
      <c r="AF245">
        <f>IF(AND($E245=TRUE,$C245="DEF"),AB245,"")</f>
        <v/>
      </c>
      <c r="AG245">
        <f>IF(AND($E245=TRUE,$C245="MID"),AB245,"")</f>
        <v/>
      </c>
      <c r="AH245">
        <f>IF(AND($E245=TRUE,$C245="FWD"),AB245,"")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b">
        <v>1</v>
      </c>
      <c r="F246" s="2" t="n">
        <v>5</v>
      </c>
      <c r="G246" t="inlineStr">
        <is>
          <t>a</t>
        </is>
      </c>
      <c r="I246" s="2" t="n">
        <v>1089</v>
      </c>
      <c r="J246" t="n">
        <v>51</v>
      </c>
      <c r="K246" s="3" t="n">
        <v>1089</v>
      </c>
      <c r="L246" s="3" t="n">
        <v>0.21</v>
      </c>
      <c r="M246" s="4" t="n">
        <v>0.0693</v>
      </c>
      <c r="N246" t="inlineStr">
        <is>
          <t>adjusted xGOT</t>
        </is>
      </c>
      <c r="O246" s="4" t="n">
        <v>0.865</v>
      </c>
      <c r="P246" s="4" t="n">
        <v>12</v>
      </c>
      <c r="Q246" s="4" t="n">
        <v>0.0315</v>
      </c>
      <c r="R246" s="4" t="n">
        <v>0.545</v>
      </c>
      <c r="S246" s="4" t="n">
        <v>0</v>
      </c>
      <c r="T246" s="4" t="n">
        <v>2.231</v>
      </c>
      <c r="U246" s="4">
        <f>IF(T246="",IFERROR(VLOOKUP($C246,Assumptions!$A$4:$F$7,6,FALSE),0),T246)</f>
        <v/>
      </c>
      <c r="V246" s="4">
        <f>N(M246)*IFERROR(VLOOKUP($C246,Assumptions!$A$4:$F$7,2,FALSE),0)</f>
        <v/>
      </c>
      <c r="W246" s="4">
        <f>N(Q246)*IFERROR(VLOOKUP($C246,Assumptions!$A$4:$F$7,3,FALSE),0)*Assumptions!$B$11</f>
        <v/>
      </c>
      <c r="X246" s="4">
        <f>N(L246)*IFERROR(VLOOKUP($C246,Assumptions!$A$4:$F$7,4,FALSE),0)</f>
        <v/>
      </c>
      <c r="Y246" s="4">
        <f>N(R246)*IFERROR(VLOOKUP($C246,Assumptions!$A$4:$F$7,5,FALSE),0)</f>
        <v/>
      </c>
      <c r="Z246" s="4">
        <f>N(S246)</f>
        <v/>
      </c>
      <c r="AA246" s="4">
        <f>SUM(U246:Z246)</f>
        <v/>
      </c>
      <c r="AB246" s="4">
        <f>N(AA246)*N(K246)/90</f>
        <v/>
      </c>
      <c r="AC246" s="4">
        <f>IFERROR(AB246-VLOOKUP($C246,Assumptions!$A$29:$C$32,3,FALSE),"")</f>
        <v/>
      </c>
      <c r="AD246" s="4">
        <f>IFERROR(AC246/F246,"")</f>
        <v/>
      </c>
      <c r="AE246">
        <f>IF(AND($E246=TRUE,$C246="GKP"),AB246,"")</f>
        <v/>
      </c>
      <c r="AF246">
        <f>IF(AND($E246=TRUE,$C246="DEF"),AB246,"")</f>
        <v/>
      </c>
      <c r="AG246">
        <f>IF(AND($E246=TRUE,$C246="MID"),AB246,"")</f>
        <v/>
      </c>
      <c r="AH246">
        <f>IF(AND($E246=TRUE,$C246="FWD"),AB246,"")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b">
        <v>1</v>
      </c>
      <c r="F247" s="2" t="n">
        <v>4.5</v>
      </c>
      <c r="G247" t="inlineStr">
        <is>
          <t>a</t>
        </is>
      </c>
      <c r="I247" s="2" t="n">
        <v>1322</v>
      </c>
      <c r="J247" t="n">
        <v>50</v>
      </c>
      <c r="K247" s="3" t="n">
        <v>1322</v>
      </c>
      <c r="L247" s="3" t="n">
        <v>0.237</v>
      </c>
      <c r="M247" s="4" t="n">
        <v>0.073</v>
      </c>
      <c r="N247" t="inlineStr">
        <is>
          <t>adjusted xGOT</t>
        </is>
      </c>
      <c r="O247" s="4" t="n">
        <v>0.825</v>
      </c>
      <c r="P247" s="4" t="n">
        <v>3.2</v>
      </c>
      <c r="Q247" s="4" t="n">
        <v>0.0384</v>
      </c>
      <c r="R247" s="4" t="n">
        <v>0.267</v>
      </c>
      <c r="S247" s="4" t="n">
        <v>0.2723</v>
      </c>
      <c r="T247" s="4" t="n">
        <v>2.11</v>
      </c>
      <c r="U247" s="4">
        <f>IF(T247="",IFERROR(VLOOKUP($C247,Assumptions!$A$4:$F$7,6,FALSE),0),T247)</f>
        <v/>
      </c>
      <c r="V247" s="4">
        <f>N(M247)*IFERROR(VLOOKUP($C247,Assumptions!$A$4:$F$7,2,FALSE),0)</f>
        <v/>
      </c>
      <c r="W247" s="4">
        <f>N(Q247)*IFERROR(VLOOKUP($C247,Assumptions!$A$4:$F$7,3,FALSE),0)*Assumptions!$B$11</f>
        <v/>
      </c>
      <c r="X247" s="4">
        <f>N(L247)*IFERROR(VLOOKUP($C247,Assumptions!$A$4:$F$7,4,FALSE),0)</f>
        <v/>
      </c>
      <c r="Y247" s="4">
        <f>N(R247)*IFERROR(VLOOKUP($C247,Assumptions!$A$4:$F$7,5,FALSE),0)</f>
        <v/>
      </c>
      <c r="Z247" s="4">
        <f>N(S247)</f>
        <v/>
      </c>
      <c r="AA247" s="4">
        <f>SUM(U247:Z247)</f>
        <v/>
      </c>
      <c r="AB247" s="4">
        <f>N(AA247)*N(K247)/90</f>
        <v/>
      </c>
      <c r="AC247" s="4">
        <f>IFERROR(AB247-VLOOKUP($C247,Assumptions!$A$29:$C$32,3,FALSE),"")</f>
        <v/>
      </c>
      <c r="AD247" s="4">
        <f>IFERROR(AC247/F247,"")</f>
        <v/>
      </c>
      <c r="AE247">
        <f>IF(AND($E247=TRUE,$C247="GKP"),AB247,"")</f>
        <v/>
      </c>
      <c r="AF247">
        <f>IF(AND($E247=TRUE,$C247="DEF"),AB247,"")</f>
        <v/>
      </c>
      <c r="AG247">
        <f>IF(AND($E247=TRUE,$C247="MID"),AB247,"")</f>
        <v/>
      </c>
      <c r="AH247">
        <f>IF(AND($E247=TRUE,$C247="FWD"),AB247,"")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b">
        <v>1</v>
      </c>
      <c r="F248" s="2" t="n">
        <v>5.5</v>
      </c>
      <c r="G248" t="inlineStr">
        <is>
          <t>a</t>
        </is>
      </c>
      <c r="I248" s="2" t="n">
        <v>1167</v>
      </c>
      <c r="J248" t="n">
        <v>50</v>
      </c>
      <c r="K248" s="3" t="n">
        <v>1167</v>
      </c>
      <c r="L248" s="3" t="n">
        <v>0.237</v>
      </c>
      <c r="M248" s="4" t="n">
        <v>0.07969999999999999</v>
      </c>
      <c r="N248" t="inlineStr">
        <is>
          <t>adjusted xGOT</t>
        </is>
      </c>
      <c r="O248" s="4" t="n">
        <v>0.983</v>
      </c>
      <c r="P248" s="4" t="n">
        <v>1</v>
      </c>
      <c r="Q248" s="4" t="n">
        <v>0.1181</v>
      </c>
      <c r="R248" s="4" t="n">
        <v>0</v>
      </c>
      <c r="S248" s="4" t="n">
        <v>0.3085</v>
      </c>
      <c r="T248" s="4" t="n">
        <v>2.622</v>
      </c>
      <c r="U248" s="4">
        <f>IF(T248="",IFERROR(VLOOKUP($C248,Assumptions!$A$4:$F$7,6,FALSE),0),T248)</f>
        <v/>
      </c>
      <c r="V248" s="4">
        <f>N(M248)*IFERROR(VLOOKUP($C248,Assumptions!$A$4:$F$7,2,FALSE),0)</f>
        <v/>
      </c>
      <c r="W248" s="4">
        <f>N(Q248)*IFERROR(VLOOKUP($C248,Assumptions!$A$4:$F$7,3,FALSE),0)*Assumptions!$B$11</f>
        <v/>
      </c>
      <c r="X248" s="4">
        <f>N(L248)*IFERROR(VLOOKUP($C248,Assumptions!$A$4:$F$7,4,FALSE),0)</f>
        <v/>
      </c>
      <c r="Y248" s="4">
        <f>N(R248)*IFERROR(VLOOKUP($C248,Assumptions!$A$4:$F$7,5,FALSE),0)</f>
        <v/>
      </c>
      <c r="Z248" s="4">
        <f>N(S248)</f>
        <v/>
      </c>
      <c r="AA248" s="4">
        <f>SUM(U248:Z248)</f>
        <v/>
      </c>
      <c r="AB248" s="4">
        <f>N(AA248)*N(K248)/90</f>
        <v/>
      </c>
      <c r="AC248" s="4">
        <f>IFERROR(AB248-VLOOKUP($C248,Assumptions!$A$29:$C$32,3,FALSE),"")</f>
        <v/>
      </c>
      <c r="AD248" s="4">
        <f>IFERROR(AC248/F248,"")</f>
        <v/>
      </c>
      <c r="AE248">
        <f>IF(AND($E248=TRUE,$C248="GKP"),AB248,"")</f>
        <v/>
      </c>
      <c r="AF248">
        <f>IF(AND($E248=TRUE,$C248="DEF"),AB248,"")</f>
        <v/>
      </c>
      <c r="AG248">
        <f>IF(AND($E248=TRUE,$C248="MID"),AB248,"")</f>
        <v/>
      </c>
      <c r="AH248">
        <f>IF(AND($E248=TRUE,$C248="FWD"),AB248,"")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b">
        <v>1</v>
      </c>
      <c r="F249" s="2" t="n">
        <v>4.5</v>
      </c>
      <c r="G249" t="inlineStr">
        <is>
          <t>a</t>
        </is>
      </c>
      <c r="I249" s="2" t="n">
        <v>1254</v>
      </c>
      <c r="J249" t="n">
        <v>49</v>
      </c>
      <c r="K249" s="3" t="n">
        <v>1254</v>
      </c>
      <c r="L249" s="3" t="n">
        <v>0.237</v>
      </c>
      <c r="M249" s="4" t="n">
        <v>0.08019999999999999</v>
      </c>
      <c r="N249" t="inlineStr">
        <is>
          <t>adjusted xGOT</t>
        </is>
      </c>
      <c r="O249" s="4" t="n">
        <v>1.015</v>
      </c>
      <c r="P249" s="4" t="n">
        <v>3.8</v>
      </c>
      <c r="Q249" s="4" t="n">
        <v>0.0019</v>
      </c>
      <c r="R249" s="4" t="n">
        <v>0.143</v>
      </c>
      <c r="S249" s="4" t="n">
        <v>0</v>
      </c>
      <c r="T249" s="4" t="n">
        <v>2.01</v>
      </c>
      <c r="U249" s="4">
        <f>IF(T249="",IFERROR(VLOOKUP($C249,Assumptions!$A$4:$F$7,6,FALSE),0),T249)</f>
        <v/>
      </c>
      <c r="V249" s="4">
        <f>N(M249)*IFERROR(VLOOKUP($C249,Assumptions!$A$4:$F$7,2,FALSE),0)</f>
        <v/>
      </c>
      <c r="W249" s="4">
        <f>N(Q249)*IFERROR(VLOOKUP($C249,Assumptions!$A$4:$F$7,3,FALSE),0)*Assumptions!$B$11</f>
        <v/>
      </c>
      <c r="X249" s="4">
        <f>N(L249)*IFERROR(VLOOKUP($C249,Assumptions!$A$4:$F$7,4,FALSE),0)</f>
        <v/>
      </c>
      <c r="Y249" s="4">
        <f>N(R249)*IFERROR(VLOOKUP($C249,Assumptions!$A$4:$F$7,5,FALSE),0)</f>
        <v/>
      </c>
      <c r="Z249" s="4">
        <f>N(S249)</f>
        <v/>
      </c>
      <c r="AA249" s="4">
        <f>SUM(U249:Z249)</f>
        <v/>
      </c>
      <c r="AB249" s="4">
        <f>N(AA249)*N(K249)/90</f>
        <v/>
      </c>
      <c r="AC249" s="4">
        <f>IFERROR(AB249-VLOOKUP($C249,Assumptions!$A$29:$C$32,3,FALSE),"")</f>
        <v/>
      </c>
      <c r="AD249" s="4">
        <f>IFERROR(AC249/F249,"")</f>
        <v/>
      </c>
      <c r="AE249">
        <f>IF(AND($E249=TRUE,$C249="GKP"),AB249,"")</f>
        <v/>
      </c>
      <c r="AF249">
        <f>IF(AND($E249=TRUE,$C249="DEF"),AB249,"")</f>
        <v/>
      </c>
      <c r="AG249">
        <f>IF(AND($E249=TRUE,$C249="MID"),AB249,"")</f>
        <v/>
      </c>
      <c r="AH249">
        <f>IF(AND($E249=TRUE,$C249="FWD"),AB249,"")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b">
        <v>1</v>
      </c>
      <c r="F250" s="2" t="n">
        <v>5.5</v>
      </c>
      <c r="G250" t="inlineStr">
        <is>
          <t>a</t>
        </is>
      </c>
      <c r="I250" s="2" t="n">
        <v>955</v>
      </c>
      <c r="J250" t="n">
        <v>49</v>
      </c>
      <c r="K250" s="3" t="n">
        <v>955</v>
      </c>
      <c r="L250" s="3" t="n">
        <v>0.237</v>
      </c>
      <c r="M250" s="4" t="n">
        <v>0.1038</v>
      </c>
      <c r="N250" t="inlineStr">
        <is>
          <t>adjusted xGOT</t>
        </is>
      </c>
      <c r="O250" s="4" t="n">
        <v>0.895</v>
      </c>
      <c r="P250" s="4" t="n">
        <v>1.9</v>
      </c>
      <c r="Q250" s="4" t="n">
        <v>0.034</v>
      </c>
      <c r="R250" s="4" t="n">
        <v>0.091</v>
      </c>
      <c r="S250" s="4" t="n">
        <v>0.09420000000000001</v>
      </c>
      <c r="T250" s="4" t="n">
        <v>3.016</v>
      </c>
      <c r="U250" s="4">
        <f>IF(T250="",IFERROR(VLOOKUP($C250,Assumptions!$A$4:$F$7,6,FALSE),0),T250)</f>
        <v/>
      </c>
      <c r="V250" s="4">
        <f>N(M250)*IFERROR(VLOOKUP($C250,Assumptions!$A$4:$F$7,2,FALSE),0)</f>
        <v/>
      </c>
      <c r="W250" s="4">
        <f>N(Q250)*IFERROR(VLOOKUP($C250,Assumptions!$A$4:$F$7,3,FALSE),0)*Assumptions!$B$11</f>
        <v/>
      </c>
      <c r="X250" s="4">
        <f>N(L250)*IFERROR(VLOOKUP($C250,Assumptions!$A$4:$F$7,4,FALSE),0)</f>
        <v/>
      </c>
      <c r="Y250" s="4">
        <f>N(R250)*IFERROR(VLOOKUP($C250,Assumptions!$A$4:$F$7,5,FALSE),0)</f>
        <v/>
      </c>
      <c r="Z250" s="4">
        <f>N(S250)</f>
        <v/>
      </c>
      <c r="AA250" s="4">
        <f>SUM(U250:Z250)</f>
        <v/>
      </c>
      <c r="AB250" s="4">
        <f>N(AA250)*N(K250)/90</f>
        <v/>
      </c>
      <c r="AC250" s="4">
        <f>IFERROR(AB250-VLOOKUP($C250,Assumptions!$A$29:$C$32,3,FALSE),"")</f>
        <v/>
      </c>
      <c r="AD250" s="4">
        <f>IFERROR(AC250/F250,"")</f>
        <v/>
      </c>
      <c r="AE250">
        <f>IF(AND($E250=TRUE,$C250="GKP"),AB250,"")</f>
        <v/>
      </c>
      <c r="AF250">
        <f>IF(AND($E250=TRUE,$C250="DEF"),AB250,"")</f>
        <v/>
      </c>
      <c r="AG250">
        <f>IF(AND($E250=TRUE,$C250="MID"),AB250,"")</f>
        <v/>
      </c>
      <c r="AH250">
        <f>IF(AND($E250=TRUE,$C250="FWD"),AB250,"")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b">
        <v>1</v>
      </c>
      <c r="F251" s="2" t="n">
        <v>5.5</v>
      </c>
      <c r="G251" t="inlineStr">
        <is>
          <t>a</t>
        </is>
      </c>
      <c r="I251" s="2" t="n">
        <v>1030</v>
      </c>
      <c r="J251" t="n">
        <v>49</v>
      </c>
      <c r="K251" s="3" t="n">
        <v>1030</v>
      </c>
      <c r="L251" s="3" t="n">
        <v>0.237</v>
      </c>
      <c r="M251" s="4" t="n">
        <v>0.1148</v>
      </c>
      <c r="N251" t="inlineStr">
        <is>
          <t>adjusted xGOT</t>
        </is>
      </c>
      <c r="O251" s="4" t="n">
        <v>1.086</v>
      </c>
      <c r="P251" s="4" t="n">
        <v>1.2</v>
      </c>
      <c r="Q251" s="4" t="n">
        <v>0.1184</v>
      </c>
      <c r="R251" s="4" t="n">
        <v>0</v>
      </c>
      <c r="S251" s="4" t="n">
        <v>0</v>
      </c>
      <c r="T251" s="4" t="n">
        <v>2.796</v>
      </c>
      <c r="U251" s="4">
        <f>IF(T251="",IFERROR(VLOOKUP($C251,Assumptions!$A$4:$F$7,6,FALSE),0),T251)</f>
        <v/>
      </c>
      <c r="V251" s="4">
        <f>N(M251)*IFERROR(VLOOKUP($C251,Assumptions!$A$4:$F$7,2,FALSE),0)</f>
        <v/>
      </c>
      <c r="W251" s="4">
        <f>N(Q251)*IFERROR(VLOOKUP($C251,Assumptions!$A$4:$F$7,3,FALSE),0)*Assumptions!$B$11</f>
        <v/>
      </c>
      <c r="X251" s="4">
        <f>N(L251)*IFERROR(VLOOKUP($C251,Assumptions!$A$4:$F$7,4,FALSE),0)</f>
        <v/>
      </c>
      <c r="Y251" s="4">
        <f>N(R251)*IFERROR(VLOOKUP($C251,Assumptions!$A$4:$F$7,5,FALSE),0)</f>
        <v/>
      </c>
      <c r="Z251" s="4">
        <f>N(S251)</f>
        <v/>
      </c>
      <c r="AA251" s="4">
        <f>SUM(U251:Z251)</f>
        <v/>
      </c>
      <c r="AB251" s="4">
        <f>N(AA251)*N(K251)/90</f>
        <v/>
      </c>
      <c r="AC251" s="4">
        <f>IFERROR(AB251-VLOOKUP($C251,Assumptions!$A$29:$C$32,3,FALSE),"")</f>
        <v/>
      </c>
      <c r="AD251" s="4">
        <f>IFERROR(AC251/F251,"")</f>
        <v/>
      </c>
      <c r="AE251">
        <f>IF(AND($E251=TRUE,$C251="GKP"),AB251,"")</f>
        <v/>
      </c>
      <c r="AF251">
        <f>IF(AND($E251=TRUE,$C251="DEF"),AB251,"")</f>
        <v/>
      </c>
      <c r="AG251">
        <f>IF(AND($E251=TRUE,$C251="MID"),AB251,"")</f>
        <v/>
      </c>
      <c r="AH251">
        <f>IF(AND($E251=TRUE,$C251="FWD"),AB251,"")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b">
        <v>1</v>
      </c>
      <c r="F252" s="2" t="n">
        <v>5</v>
      </c>
      <c r="G252" t="inlineStr">
        <is>
          <t>a</t>
        </is>
      </c>
      <c r="I252" s="2" t="n">
        <v>1168</v>
      </c>
      <c r="J252" t="n">
        <v>48</v>
      </c>
      <c r="K252" s="3" t="n">
        <v>1168</v>
      </c>
      <c r="L252" s="3" t="n">
        <v>0.237</v>
      </c>
      <c r="M252" s="4" t="n">
        <v>0.1147</v>
      </c>
      <c r="N252" t="inlineStr">
        <is>
          <t>adjusted xGOT</t>
        </is>
      </c>
      <c r="O252" s="4" t="n">
        <v>1.012</v>
      </c>
      <c r="P252" s="4" t="n">
        <v>4.4</v>
      </c>
      <c r="Q252" s="4" t="n">
        <v>0.079</v>
      </c>
      <c r="R252" s="4" t="n">
        <v>0.059</v>
      </c>
      <c r="S252" s="4" t="n">
        <v>0.2312</v>
      </c>
      <c r="T252" s="4" t="n">
        <v>2.697</v>
      </c>
      <c r="U252" s="4">
        <f>IF(T252="",IFERROR(VLOOKUP($C252,Assumptions!$A$4:$F$7,6,FALSE),0),T252)</f>
        <v/>
      </c>
      <c r="V252" s="4">
        <f>N(M252)*IFERROR(VLOOKUP($C252,Assumptions!$A$4:$F$7,2,FALSE),0)</f>
        <v/>
      </c>
      <c r="W252" s="4">
        <f>N(Q252)*IFERROR(VLOOKUP($C252,Assumptions!$A$4:$F$7,3,FALSE),0)*Assumptions!$B$11</f>
        <v/>
      </c>
      <c r="X252" s="4">
        <f>N(L252)*IFERROR(VLOOKUP($C252,Assumptions!$A$4:$F$7,4,FALSE),0)</f>
        <v/>
      </c>
      <c r="Y252" s="4">
        <f>N(R252)*IFERROR(VLOOKUP($C252,Assumptions!$A$4:$F$7,5,FALSE),0)</f>
        <v/>
      </c>
      <c r="Z252" s="4">
        <f>N(S252)</f>
        <v/>
      </c>
      <c r="AA252" s="4">
        <f>SUM(U252:Z252)</f>
        <v/>
      </c>
      <c r="AB252" s="4">
        <f>N(AA252)*N(K252)/90</f>
        <v/>
      </c>
      <c r="AC252" s="4">
        <f>IFERROR(AB252-VLOOKUP($C252,Assumptions!$A$29:$C$32,3,FALSE),"")</f>
        <v/>
      </c>
      <c r="AD252" s="4">
        <f>IFERROR(AC252/F252,"")</f>
        <v/>
      </c>
      <c r="AE252">
        <f>IF(AND($E252=TRUE,$C252="GKP"),AB252,"")</f>
        <v/>
      </c>
      <c r="AF252">
        <f>IF(AND($E252=TRUE,$C252="DEF"),AB252,"")</f>
        <v/>
      </c>
      <c r="AG252">
        <f>IF(AND($E252=TRUE,$C252="MID"),AB252,"")</f>
        <v/>
      </c>
      <c r="AH252">
        <f>IF(AND($E252=TRUE,$C252="FWD"),AB252,"")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b">
        <v>1</v>
      </c>
      <c r="F253" s="2" t="n">
        <v>6</v>
      </c>
      <c r="G253" t="inlineStr">
        <is>
          <t>a</t>
        </is>
      </c>
      <c r="I253" s="2" t="n">
        <v>1302</v>
      </c>
      <c r="J253" t="n">
        <v>48</v>
      </c>
      <c r="K253" s="3" t="n">
        <v>1302</v>
      </c>
      <c r="L253" s="3" t="n">
        <v>0.21</v>
      </c>
      <c r="M253" s="4" t="n">
        <v>0.1268</v>
      </c>
      <c r="N253" t="inlineStr">
        <is>
          <t>adjusted xGOT</t>
        </is>
      </c>
      <c r="O253" s="4" t="n">
        <v>1.112</v>
      </c>
      <c r="P253" s="4" t="n">
        <v>13.3</v>
      </c>
      <c r="Q253" s="4" t="n">
        <v>0.1206</v>
      </c>
      <c r="R253" s="4" t="n">
        <v>0</v>
      </c>
      <c r="S253" s="4" t="n">
        <v>0</v>
      </c>
      <c r="T253" s="4" t="n">
        <v>2.972</v>
      </c>
      <c r="U253" s="4">
        <f>IF(T253="",IFERROR(VLOOKUP($C253,Assumptions!$A$4:$F$7,6,FALSE),0),T253)</f>
        <v/>
      </c>
      <c r="V253" s="4">
        <f>N(M253)*IFERROR(VLOOKUP($C253,Assumptions!$A$4:$F$7,2,FALSE),0)</f>
        <v/>
      </c>
      <c r="W253" s="4">
        <f>N(Q253)*IFERROR(VLOOKUP($C253,Assumptions!$A$4:$F$7,3,FALSE),0)*Assumptions!$B$11</f>
        <v/>
      </c>
      <c r="X253" s="4">
        <f>N(L253)*IFERROR(VLOOKUP($C253,Assumptions!$A$4:$F$7,4,FALSE),0)</f>
        <v/>
      </c>
      <c r="Y253" s="4">
        <f>N(R253)*IFERROR(VLOOKUP($C253,Assumptions!$A$4:$F$7,5,FALSE),0)</f>
        <v/>
      </c>
      <c r="Z253" s="4">
        <f>N(S253)</f>
        <v/>
      </c>
      <c r="AA253" s="4">
        <f>SUM(U253:Z253)</f>
        <v/>
      </c>
      <c r="AB253" s="4">
        <f>N(AA253)*N(K253)/90</f>
        <v/>
      </c>
      <c r="AC253" s="4">
        <f>IFERROR(AB253-VLOOKUP($C253,Assumptions!$A$29:$C$32,3,FALSE),"")</f>
        <v/>
      </c>
      <c r="AD253" s="4">
        <f>IFERROR(AC253/F253,"")</f>
        <v/>
      </c>
      <c r="AE253">
        <f>IF(AND($E253=TRUE,$C253="GKP"),AB253,"")</f>
        <v/>
      </c>
      <c r="AF253">
        <f>IF(AND($E253=TRUE,$C253="DEF"),AB253,"")</f>
        <v/>
      </c>
      <c r="AG253">
        <f>IF(AND($E253=TRUE,$C253="MID"),AB253,"")</f>
        <v/>
      </c>
      <c r="AH253">
        <f>IF(AND($E253=TRUE,$C253="FWD"),AB253,"")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b">
        <v>1</v>
      </c>
      <c r="F254" s="2" t="n">
        <v>5</v>
      </c>
      <c r="G254" t="inlineStr">
        <is>
          <t>s</t>
        </is>
      </c>
      <c r="H254" t="inlineStr">
        <is>
          <t>Suspended until 29 Aug</t>
        </is>
      </c>
      <c r="I254" s="2" t="n">
        <v>978</v>
      </c>
      <c r="J254" t="n">
        <v>47</v>
      </c>
      <c r="K254" s="3" t="n">
        <v>978</v>
      </c>
      <c r="L254" s="3" t="n">
        <v>0.29</v>
      </c>
      <c r="M254" s="4" t="n">
        <v>0.1653</v>
      </c>
      <c r="N254" t="inlineStr">
        <is>
          <t>adjusted xGOT</t>
        </is>
      </c>
      <c r="O254" s="4" t="n">
        <v>0.992</v>
      </c>
      <c r="P254" s="4" t="n">
        <v>9.300000000000001</v>
      </c>
      <c r="Q254" s="4" t="n">
        <v>0.1109</v>
      </c>
      <c r="R254" s="4" t="n">
        <v>0.111</v>
      </c>
      <c r="S254" s="4" t="n">
        <v>0.184</v>
      </c>
      <c r="T254" s="4" t="n">
        <v>3.037</v>
      </c>
      <c r="U254" s="4">
        <f>IF(T254="",IFERROR(VLOOKUP($C254,Assumptions!$A$4:$F$7,6,FALSE),0),T254)</f>
        <v/>
      </c>
      <c r="V254" s="4">
        <f>N(M254)*IFERROR(VLOOKUP($C254,Assumptions!$A$4:$F$7,2,FALSE),0)</f>
        <v/>
      </c>
      <c r="W254" s="4">
        <f>N(Q254)*IFERROR(VLOOKUP($C254,Assumptions!$A$4:$F$7,3,FALSE),0)*Assumptions!$B$11</f>
        <v/>
      </c>
      <c r="X254" s="4">
        <f>N(L254)*IFERROR(VLOOKUP($C254,Assumptions!$A$4:$F$7,4,FALSE),0)</f>
        <v/>
      </c>
      <c r="Y254" s="4">
        <f>N(R254)*IFERROR(VLOOKUP($C254,Assumptions!$A$4:$F$7,5,FALSE),0)</f>
        <v/>
      </c>
      <c r="Z254" s="4">
        <f>N(S254)</f>
        <v/>
      </c>
      <c r="AA254" s="4">
        <f>SUM(U254:Z254)</f>
        <v/>
      </c>
      <c r="AB254" s="4">
        <f>N(AA254)*N(K254)/90</f>
        <v/>
      </c>
      <c r="AC254" s="4">
        <f>IFERROR(AB254-VLOOKUP($C254,Assumptions!$A$29:$C$32,3,FALSE),"")</f>
        <v/>
      </c>
      <c r="AD254" s="4">
        <f>IFERROR(AC254/F254,"")</f>
        <v/>
      </c>
      <c r="AE254">
        <f>IF(AND($E254=TRUE,$C254="GKP"),AB254,"")</f>
        <v/>
      </c>
      <c r="AF254">
        <f>IF(AND($E254=TRUE,$C254="DEF"),AB254,"")</f>
        <v/>
      </c>
      <c r="AG254">
        <f>IF(AND($E254=TRUE,$C254="MID"),AB254,"")</f>
        <v/>
      </c>
      <c r="AH254">
        <f>IF(AND($E254=TRUE,$C254="FWD"),AB254,"")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b">
        <v>1</v>
      </c>
      <c r="F255" s="2" t="n">
        <v>5</v>
      </c>
      <c r="G255" t="inlineStr">
        <is>
          <t>a</t>
        </is>
      </c>
      <c r="I255" s="2" t="n">
        <v>1247</v>
      </c>
      <c r="J255" t="n">
        <v>47</v>
      </c>
      <c r="K255" s="3" t="n">
        <v>1247</v>
      </c>
      <c r="L255" s="3" t="n">
        <v>0.21</v>
      </c>
      <c r="M255" s="4" t="n">
        <v>0.1349</v>
      </c>
      <c r="N255" t="inlineStr">
        <is>
          <t>adjusted xGOT</t>
        </is>
      </c>
      <c r="O255" s="4" t="n">
        <v>0.9340000000000001</v>
      </c>
      <c r="P255" s="4" t="n">
        <v>2.1</v>
      </c>
      <c r="Q255" s="4" t="n">
        <v>0.0566</v>
      </c>
      <c r="R255" s="4" t="n">
        <v>0.154</v>
      </c>
      <c r="S255" s="4" t="n">
        <v>0.2165</v>
      </c>
      <c r="T255" s="4" t="n">
        <v>2.743</v>
      </c>
      <c r="U255" s="4">
        <f>IF(T255="",IFERROR(VLOOKUP($C255,Assumptions!$A$4:$F$7,6,FALSE),0),T255)</f>
        <v/>
      </c>
      <c r="V255" s="4">
        <f>N(M255)*IFERROR(VLOOKUP($C255,Assumptions!$A$4:$F$7,2,FALSE),0)</f>
        <v/>
      </c>
      <c r="W255" s="4">
        <f>N(Q255)*IFERROR(VLOOKUP($C255,Assumptions!$A$4:$F$7,3,FALSE),0)*Assumptions!$B$11</f>
        <v/>
      </c>
      <c r="X255" s="4">
        <f>N(L255)*IFERROR(VLOOKUP($C255,Assumptions!$A$4:$F$7,4,FALSE),0)</f>
        <v/>
      </c>
      <c r="Y255" s="4">
        <f>N(R255)*IFERROR(VLOOKUP($C255,Assumptions!$A$4:$F$7,5,FALSE),0)</f>
        <v/>
      </c>
      <c r="Z255" s="4">
        <f>N(S255)</f>
        <v/>
      </c>
      <c r="AA255" s="4">
        <f>SUM(U255:Z255)</f>
        <v/>
      </c>
      <c r="AB255" s="4">
        <f>N(AA255)*N(K255)/90</f>
        <v/>
      </c>
      <c r="AC255" s="4">
        <f>IFERROR(AB255-VLOOKUP($C255,Assumptions!$A$29:$C$32,3,FALSE),"")</f>
        <v/>
      </c>
      <c r="AD255" s="4">
        <f>IFERROR(AC255/F255,"")</f>
        <v/>
      </c>
      <c r="AE255">
        <f>IF(AND($E255=TRUE,$C255="GKP"),AB255,"")</f>
        <v/>
      </c>
      <c r="AF255">
        <f>IF(AND($E255=TRUE,$C255="DEF"),AB255,"")</f>
        <v/>
      </c>
      <c r="AG255">
        <f>IF(AND($E255=TRUE,$C255="MID"),AB255,"")</f>
        <v/>
      </c>
      <c r="AH255">
        <f>IF(AND($E255=TRUE,$C255="FWD"),AB255,"")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b">
        <v>1</v>
      </c>
      <c r="F256" s="2" t="n">
        <v>5</v>
      </c>
      <c r="G256" t="inlineStr">
        <is>
          <t>a</t>
        </is>
      </c>
      <c r="I256" s="2" t="n">
        <v>1275</v>
      </c>
      <c r="J256" t="n">
        <v>46</v>
      </c>
      <c r="K256" s="3" t="n">
        <v>1275</v>
      </c>
      <c r="L256" s="3" t="n">
        <v>0.29</v>
      </c>
      <c r="M256" s="4" t="n">
        <v>0.0014</v>
      </c>
      <c r="N256" t="inlineStr">
        <is>
          <t>adjusted xGOT</t>
        </is>
      </c>
      <c r="O256" s="4" t="n">
        <v>0.998</v>
      </c>
      <c r="P256" s="4" t="n">
        <v>0</v>
      </c>
      <c r="Q256" s="4" t="n">
        <v>0.0097</v>
      </c>
      <c r="R256" s="4" t="n">
        <v>0.267</v>
      </c>
      <c r="S256" s="4" t="n">
        <v>0.1412</v>
      </c>
      <c r="T256" s="4" t="n">
        <v>2.188</v>
      </c>
      <c r="U256" s="4">
        <f>IF(T256="",IFERROR(VLOOKUP($C256,Assumptions!$A$4:$F$7,6,FALSE),0),T256)</f>
        <v/>
      </c>
      <c r="V256" s="4">
        <f>N(M256)*IFERROR(VLOOKUP($C256,Assumptions!$A$4:$F$7,2,FALSE),0)</f>
        <v/>
      </c>
      <c r="W256" s="4">
        <f>N(Q256)*IFERROR(VLOOKUP($C256,Assumptions!$A$4:$F$7,3,FALSE),0)*Assumptions!$B$11</f>
        <v/>
      </c>
      <c r="X256" s="4">
        <f>N(L256)*IFERROR(VLOOKUP($C256,Assumptions!$A$4:$F$7,4,FALSE),0)</f>
        <v/>
      </c>
      <c r="Y256" s="4">
        <f>N(R256)*IFERROR(VLOOKUP($C256,Assumptions!$A$4:$F$7,5,FALSE),0)</f>
        <v/>
      </c>
      <c r="Z256" s="4">
        <f>N(S256)</f>
        <v/>
      </c>
      <c r="AA256" s="4">
        <f>SUM(U256:Z256)</f>
        <v/>
      </c>
      <c r="AB256" s="4">
        <f>N(AA256)*N(K256)/90</f>
        <v/>
      </c>
      <c r="AC256" s="4">
        <f>IFERROR(AB256-VLOOKUP($C256,Assumptions!$A$29:$C$32,3,FALSE),"")</f>
        <v/>
      </c>
      <c r="AD256" s="4">
        <f>IFERROR(AC256/F256,"")</f>
        <v/>
      </c>
      <c r="AE256">
        <f>IF(AND($E256=TRUE,$C256="GKP"),AB256,"")</f>
        <v/>
      </c>
      <c r="AF256">
        <f>IF(AND($E256=TRUE,$C256="DEF"),AB256,"")</f>
        <v/>
      </c>
      <c r="AG256">
        <f>IF(AND($E256=TRUE,$C256="MID"),AB256,"")</f>
        <v/>
      </c>
      <c r="AH256">
        <f>IF(AND($E256=TRUE,$C256="FWD"),AB256,"")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b">
        <v>1</v>
      </c>
      <c r="F257" s="2" t="n">
        <v>5.5</v>
      </c>
      <c r="G257" t="inlineStr">
        <is>
          <t>i</t>
        </is>
      </c>
      <c r="H257" t="inlineStr">
        <is>
          <t>Knee injury - Unknown return date</t>
        </is>
      </c>
      <c r="I257" s="2" t="n">
        <v>972</v>
      </c>
      <c r="J257" t="n">
        <v>46</v>
      </c>
      <c r="K257" s="3" t="n">
        <v>972</v>
      </c>
      <c r="L257" s="3" t="n">
        <v>0.237</v>
      </c>
      <c r="M257" s="4" t="n">
        <v>0.1604</v>
      </c>
      <c r="N257" t="inlineStr">
        <is>
          <t>adjusted xGOT</t>
        </is>
      </c>
      <c r="O257" s="4" t="n">
        <v>0.902</v>
      </c>
      <c r="P257" s="4" t="n">
        <v>6.3</v>
      </c>
      <c r="Q257" s="4" t="n">
        <v>0.1464</v>
      </c>
      <c r="R257" s="4" t="n">
        <v>0</v>
      </c>
      <c r="S257" s="4" t="n">
        <v>0.5556</v>
      </c>
      <c r="T257" s="4" t="n">
        <v>2.963</v>
      </c>
      <c r="U257" s="4">
        <f>IF(T257="",IFERROR(VLOOKUP($C257,Assumptions!$A$4:$F$7,6,FALSE),0),T257)</f>
        <v/>
      </c>
      <c r="V257" s="4">
        <f>N(M257)*IFERROR(VLOOKUP($C257,Assumptions!$A$4:$F$7,2,FALSE),0)</f>
        <v/>
      </c>
      <c r="W257" s="4">
        <f>N(Q257)*IFERROR(VLOOKUP($C257,Assumptions!$A$4:$F$7,3,FALSE),0)*Assumptions!$B$11</f>
        <v/>
      </c>
      <c r="X257" s="4">
        <f>N(L257)*IFERROR(VLOOKUP($C257,Assumptions!$A$4:$F$7,4,FALSE),0)</f>
        <v/>
      </c>
      <c r="Y257" s="4">
        <f>N(R257)*IFERROR(VLOOKUP($C257,Assumptions!$A$4:$F$7,5,FALSE),0)</f>
        <v/>
      </c>
      <c r="Z257" s="4">
        <f>N(S257)</f>
        <v/>
      </c>
      <c r="AA257" s="4">
        <f>SUM(U257:Z257)</f>
        <v/>
      </c>
      <c r="AB257" s="4">
        <f>N(AA257)*N(K257)/90</f>
        <v/>
      </c>
      <c r="AC257" s="4">
        <f>IFERROR(AB257-VLOOKUP($C257,Assumptions!$A$29:$C$32,3,FALSE),"")</f>
        <v/>
      </c>
      <c r="AD257" s="4">
        <f>IFERROR(AC257/F257,"")</f>
        <v/>
      </c>
      <c r="AE257">
        <f>IF(AND($E257=TRUE,$C257="GKP"),AB257,"")</f>
        <v/>
      </c>
      <c r="AF257">
        <f>IF(AND($E257=TRUE,$C257="DEF"),AB257,"")</f>
        <v/>
      </c>
      <c r="AG257">
        <f>IF(AND($E257=TRUE,$C257="MID"),AB257,"")</f>
        <v/>
      </c>
      <c r="AH257">
        <f>IF(AND($E257=TRUE,$C257="FWD"),AB257,"")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b">
        <v>1</v>
      </c>
      <c r="F258" s="2" t="n">
        <v>5.5</v>
      </c>
      <c r="G258" t="inlineStr">
        <is>
          <t>a</t>
        </is>
      </c>
      <c r="I258" s="2" t="n">
        <v>1092</v>
      </c>
      <c r="J258" t="n">
        <v>45</v>
      </c>
      <c r="K258" s="3" t="n">
        <v>1092</v>
      </c>
      <c r="L258" s="3" t="n">
        <v>0.237</v>
      </c>
      <c r="M258" s="4" t="n">
        <v>0.3711</v>
      </c>
      <c r="N258" t="inlineStr">
        <is>
          <t>adjusted xGOT</t>
        </is>
      </c>
      <c r="O258" s="4" t="n">
        <v>0.992</v>
      </c>
      <c r="P258" s="4" t="n">
        <v>14</v>
      </c>
      <c r="Q258" s="4" t="n">
        <v>0.0165</v>
      </c>
      <c r="R258" s="4" t="n">
        <v>0</v>
      </c>
      <c r="S258" s="4" t="n">
        <v>0.0824</v>
      </c>
      <c r="T258" s="4" t="n">
        <v>3.132</v>
      </c>
      <c r="U258" s="4">
        <f>IF(T258="",IFERROR(VLOOKUP($C258,Assumptions!$A$4:$F$7,6,FALSE),0),T258)</f>
        <v/>
      </c>
      <c r="V258" s="4">
        <f>N(M258)*IFERROR(VLOOKUP($C258,Assumptions!$A$4:$F$7,2,FALSE),0)</f>
        <v/>
      </c>
      <c r="W258" s="4">
        <f>N(Q258)*IFERROR(VLOOKUP($C258,Assumptions!$A$4:$F$7,3,FALSE),0)*Assumptions!$B$11</f>
        <v/>
      </c>
      <c r="X258" s="4">
        <f>N(L258)*IFERROR(VLOOKUP($C258,Assumptions!$A$4:$F$7,4,FALSE),0)</f>
        <v/>
      </c>
      <c r="Y258" s="4">
        <f>N(R258)*IFERROR(VLOOKUP($C258,Assumptions!$A$4:$F$7,5,FALSE),0)</f>
        <v/>
      </c>
      <c r="Z258" s="4">
        <f>N(S258)</f>
        <v/>
      </c>
      <c r="AA258" s="4">
        <f>SUM(U258:Z258)</f>
        <v/>
      </c>
      <c r="AB258" s="4">
        <f>N(AA258)*N(K258)/90</f>
        <v/>
      </c>
      <c r="AC258" s="4">
        <f>IFERROR(AB258-VLOOKUP($C258,Assumptions!$A$29:$C$32,3,FALSE),"")</f>
        <v/>
      </c>
      <c r="AD258" s="4">
        <f>IFERROR(AC258/F258,"")</f>
        <v/>
      </c>
      <c r="AE258">
        <f>IF(AND($E258=TRUE,$C258="GKP"),AB258,"")</f>
        <v/>
      </c>
      <c r="AF258">
        <f>IF(AND($E258=TRUE,$C258="DEF"),AB258,"")</f>
        <v/>
      </c>
      <c r="AG258">
        <f>IF(AND($E258=TRUE,$C258="MID"),AB258,"")</f>
        <v/>
      </c>
      <c r="AH258">
        <f>IF(AND($E258=TRUE,$C258="FWD"),AB258,"")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b">
        <v>1</v>
      </c>
      <c r="F259" s="2" t="n">
        <v>4.5</v>
      </c>
      <c r="G259" t="inlineStr">
        <is>
          <t>a</t>
        </is>
      </c>
      <c r="I259" s="2" t="n">
        <v>1560</v>
      </c>
      <c r="J259" t="n">
        <v>45</v>
      </c>
      <c r="K259" s="3" t="n">
        <v>1560</v>
      </c>
      <c r="L259" s="3" t="n">
        <v>0.316</v>
      </c>
      <c r="M259" s="4" t="n">
        <v>0.0549</v>
      </c>
      <c r="N259" t="inlineStr">
        <is>
          <t>adjusted xGOT</t>
        </is>
      </c>
      <c r="O259" s="4" t="n">
        <v>0.857</v>
      </c>
      <c r="P259" s="4" t="n">
        <v>2.8</v>
      </c>
      <c r="Q259" s="4" t="n">
        <v>0.1115</v>
      </c>
      <c r="R259" s="4" t="n">
        <v>0</v>
      </c>
      <c r="S259" s="4" t="n">
        <v>0</v>
      </c>
      <c r="T259" s="4" t="n">
        <v>2.538</v>
      </c>
      <c r="U259" s="4">
        <f>IF(T259="",IFERROR(VLOOKUP($C259,Assumptions!$A$4:$F$7,6,FALSE),0),T259)</f>
        <v/>
      </c>
      <c r="V259" s="4">
        <f>N(M259)*IFERROR(VLOOKUP($C259,Assumptions!$A$4:$F$7,2,FALSE),0)</f>
        <v/>
      </c>
      <c r="W259" s="4">
        <f>N(Q259)*IFERROR(VLOOKUP($C259,Assumptions!$A$4:$F$7,3,FALSE),0)*Assumptions!$B$11</f>
        <v/>
      </c>
      <c r="X259" s="4">
        <f>N(L259)*IFERROR(VLOOKUP($C259,Assumptions!$A$4:$F$7,4,FALSE),0)</f>
        <v/>
      </c>
      <c r="Y259" s="4">
        <f>N(R259)*IFERROR(VLOOKUP($C259,Assumptions!$A$4:$F$7,5,FALSE),0)</f>
        <v/>
      </c>
      <c r="Z259" s="4">
        <f>N(S259)</f>
        <v/>
      </c>
      <c r="AA259" s="4">
        <f>SUM(U259:Z259)</f>
        <v/>
      </c>
      <c r="AB259" s="4">
        <f>N(AA259)*N(K259)/90</f>
        <v/>
      </c>
      <c r="AC259" s="4">
        <f>IFERROR(AB259-VLOOKUP($C259,Assumptions!$A$29:$C$32,3,FALSE),"")</f>
        <v/>
      </c>
      <c r="AD259" s="4">
        <f>IFERROR(AC259/F259,"")</f>
        <v/>
      </c>
      <c r="AE259">
        <f>IF(AND($E259=TRUE,$C259="GKP"),AB259,"")</f>
        <v/>
      </c>
      <c r="AF259">
        <f>IF(AND($E259=TRUE,$C259="DEF"),AB259,"")</f>
        <v/>
      </c>
      <c r="AG259">
        <f>IF(AND($E259=TRUE,$C259="MID"),AB259,"")</f>
        <v/>
      </c>
      <c r="AH259">
        <f>IF(AND($E259=TRUE,$C259="FWD"),AB259,"")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b">
        <v>1</v>
      </c>
      <c r="F260" s="2" t="n">
        <v>5.5</v>
      </c>
      <c r="G260" t="inlineStr">
        <is>
          <t>a</t>
        </is>
      </c>
      <c r="I260" s="2" t="n">
        <v>699</v>
      </c>
      <c r="J260" t="n">
        <v>45</v>
      </c>
      <c r="K260" s="3" t="n">
        <v>699</v>
      </c>
      <c r="L260" s="3" t="n">
        <v>0.5</v>
      </c>
      <c r="M260" s="4" t="n">
        <v>0.0578</v>
      </c>
      <c r="N260" t="inlineStr">
        <is>
          <t>adjusted xGOT</t>
        </is>
      </c>
      <c r="O260" s="4" t="n">
        <v>0.997</v>
      </c>
      <c r="P260" s="4" t="n">
        <v>3.4</v>
      </c>
      <c r="Q260" s="4" t="n">
        <v>0.1447</v>
      </c>
      <c r="R260" s="4" t="n">
        <v>0.111</v>
      </c>
      <c r="S260" s="4" t="n">
        <v>0.3863</v>
      </c>
      <c r="T260" s="4" t="n">
        <v>2.446</v>
      </c>
      <c r="U260" s="4">
        <f>IF(T260="",IFERROR(VLOOKUP($C260,Assumptions!$A$4:$F$7,6,FALSE),0),T260)</f>
        <v/>
      </c>
      <c r="V260" s="4">
        <f>N(M260)*IFERROR(VLOOKUP($C260,Assumptions!$A$4:$F$7,2,FALSE),0)</f>
        <v/>
      </c>
      <c r="W260" s="4">
        <f>N(Q260)*IFERROR(VLOOKUP($C260,Assumptions!$A$4:$F$7,3,FALSE),0)*Assumptions!$B$11</f>
        <v/>
      </c>
      <c r="X260" s="4">
        <f>N(L260)*IFERROR(VLOOKUP($C260,Assumptions!$A$4:$F$7,4,FALSE),0)</f>
        <v/>
      </c>
      <c r="Y260" s="4">
        <f>N(R260)*IFERROR(VLOOKUP($C260,Assumptions!$A$4:$F$7,5,FALSE),0)</f>
        <v/>
      </c>
      <c r="Z260" s="4">
        <f>N(S260)</f>
        <v/>
      </c>
      <c r="AA260" s="4">
        <f>SUM(U260:Z260)</f>
        <v/>
      </c>
      <c r="AB260" s="4">
        <f>N(AA260)*N(K260)/90</f>
        <v/>
      </c>
      <c r="AC260" s="4">
        <f>IFERROR(AB260-VLOOKUP($C260,Assumptions!$A$29:$C$32,3,FALSE),"")</f>
        <v/>
      </c>
      <c r="AD260" s="4">
        <f>IFERROR(AC260/F260,"")</f>
        <v/>
      </c>
      <c r="AE260">
        <f>IF(AND($E260=TRUE,$C260="GKP"),AB260,"")</f>
        <v/>
      </c>
      <c r="AF260">
        <f>IF(AND($E260=TRUE,$C260="DEF"),AB260,"")</f>
        <v/>
      </c>
      <c r="AG260">
        <f>IF(AND($E260=TRUE,$C260="MID"),AB260,"")</f>
        <v/>
      </c>
      <c r="AH260">
        <f>IF(AND($E260=TRUE,$C260="FWD"),AB260,"")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b">
        <v>1</v>
      </c>
      <c r="F261" s="2" t="n">
        <v>5.5</v>
      </c>
      <c r="G261" t="inlineStr">
        <is>
          <t>a</t>
        </is>
      </c>
      <c r="I261" s="2" t="n">
        <v>1183</v>
      </c>
      <c r="J261" t="n">
        <v>44</v>
      </c>
      <c r="K261" s="3" t="n">
        <v>1183</v>
      </c>
      <c r="L261" s="3" t="n">
        <v>0.237</v>
      </c>
      <c r="M261" s="4" t="n">
        <v>0.09180000000000001</v>
      </c>
      <c r="N261" t="inlineStr">
        <is>
          <t>adjusted xGOT</t>
        </is>
      </c>
      <c r="O261" s="4" t="n">
        <v>0.982</v>
      </c>
      <c r="P261" s="4" t="n">
        <v>7.8</v>
      </c>
      <c r="Q261" s="4" t="n">
        <v>0.0592</v>
      </c>
      <c r="R261" s="4" t="n">
        <v>0.143</v>
      </c>
      <c r="S261" s="4" t="n">
        <v>0.2282</v>
      </c>
      <c r="T261" s="4" t="n">
        <v>2.206</v>
      </c>
      <c r="U261" s="4">
        <f>IF(T261="",IFERROR(VLOOKUP($C261,Assumptions!$A$4:$F$7,6,FALSE),0),T261)</f>
        <v/>
      </c>
      <c r="V261" s="4">
        <f>N(M261)*IFERROR(VLOOKUP($C261,Assumptions!$A$4:$F$7,2,FALSE),0)</f>
        <v/>
      </c>
      <c r="W261" s="4">
        <f>N(Q261)*IFERROR(VLOOKUP($C261,Assumptions!$A$4:$F$7,3,FALSE),0)*Assumptions!$B$11</f>
        <v/>
      </c>
      <c r="X261" s="4">
        <f>N(L261)*IFERROR(VLOOKUP($C261,Assumptions!$A$4:$F$7,4,FALSE),0)</f>
        <v/>
      </c>
      <c r="Y261" s="4">
        <f>N(R261)*IFERROR(VLOOKUP($C261,Assumptions!$A$4:$F$7,5,FALSE),0)</f>
        <v/>
      </c>
      <c r="Z261" s="4">
        <f>N(S261)</f>
        <v/>
      </c>
      <c r="AA261" s="4">
        <f>SUM(U261:Z261)</f>
        <v/>
      </c>
      <c r="AB261" s="4">
        <f>N(AA261)*N(K261)/90</f>
        <v/>
      </c>
      <c r="AC261" s="4">
        <f>IFERROR(AB261-VLOOKUP($C261,Assumptions!$A$29:$C$32,3,FALSE),"")</f>
        <v/>
      </c>
      <c r="AD261" s="4">
        <f>IFERROR(AC261/F261,"")</f>
        <v/>
      </c>
      <c r="AE261">
        <f>IF(AND($E261=TRUE,$C261="GKP"),AB261,"")</f>
        <v/>
      </c>
      <c r="AF261">
        <f>IF(AND($E261=TRUE,$C261="DEF"),AB261,"")</f>
        <v/>
      </c>
      <c r="AG261">
        <f>IF(AND($E261=TRUE,$C261="MID"),AB261,"")</f>
        <v/>
      </c>
      <c r="AH261">
        <f>IF(AND($E261=TRUE,$C261="FWD"),AB261,"")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b">
        <v>1</v>
      </c>
      <c r="F262" s="2" t="n">
        <v>5.5</v>
      </c>
      <c r="G262" t="inlineStr">
        <is>
          <t>a</t>
        </is>
      </c>
      <c r="I262" s="2" t="n">
        <v>909</v>
      </c>
      <c r="J262" t="n">
        <v>44</v>
      </c>
      <c r="K262" s="3" t="n">
        <v>909</v>
      </c>
      <c r="L262" s="3" t="n">
        <v>0.316</v>
      </c>
      <c r="M262" s="4" t="n">
        <v>0.1551</v>
      </c>
      <c r="N262" t="inlineStr">
        <is>
          <t>adjusted xGOT</t>
        </is>
      </c>
      <c r="O262" s="4" t="n">
        <v>1.004</v>
      </c>
      <c r="P262" s="4" t="n">
        <v>1.6</v>
      </c>
      <c r="Q262" s="4" t="n">
        <v>0.1034</v>
      </c>
      <c r="R262" s="4" t="n">
        <v>0</v>
      </c>
      <c r="S262" s="4" t="n">
        <v>0</v>
      </c>
      <c r="T262" s="4" t="n">
        <v>2.772</v>
      </c>
      <c r="U262" s="4">
        <f>IF(T262="",IFERROR(VLOOKUP($C262,Assumptions!$A$4:$F$7,6,FALSE),0),T262)</f>
        <v/>
      </c>
      <c r="V262" s="4">
        <f>N(M262)*IFERROR(VLOOKUP($C262,Assumptions!$A$4:$F$7,2,FALSE),0)</f>
        <v/>
      </c>
      <c r="W262" s="4">
        <f>N(Q262)*IFERROR(VLOOKUP($C262,Assumptions!$A$4:$F$7,3,FALSE),0)*Assumptions!$B$11</f>
        <v/>
      </c>
      <c r="X262" s="4">
        <f>N(L262)*IFERROR(VLOOKUP($C262,Assumptions!$A$4:$F$7,4,FALSE),0)</f>
        <v/>
      </c>
      <c r="Y262" s="4">
        <f>N(R262)*IFERROR(VLOOKUP($C262,Assumptions!$A$4:$F$7,5,FALSE),0)</f>
        <v/>
      </c>
      <c r="Z262" s="4">
        <f>N(S262)</f>
        <v/>
      </c>
      <c r="AA262" s="4">
        <f>SUM(U262:Z262)</f>
        <v/>
      </c>
      <c r="AB262" s="4">
        <f>N(AA262)*N(K262)/90</f>
        <v/>
      </c>
      <c r="AC262" s="4">
        <f>IFERROR(AB262-VLOOKUP($C262,Assumptions!$A$29:$C$32,3,FALSE),"")</f>
        <v/>
      </c>
      <c r="AD262" s="4">
        <f>IFERROR(AC262/F262,"")</f>
        <v/>
      </c>
      <c r="AE262">
        <f>IF(AND($E262=TRUE,$C262="GKP"),AB262,"")</f>
        <v/>
      </c>
      <c r="AF262">
        <f>IF(AND($E262=TRUE,$C262="DEF"),AB262,"")</f>
        <v/>
      </c>
      <c r="AG262">
        <f>IF(AND($E262=TRUE,$C262="MID"),AB262,"")</f>
        <v/>
      </c>
      <c r="AH262">
        <f>IF(AND($E262=TRUE,$C262="FWD"),AB262,"")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b">
        <v>1</v>
      </c>
      <c r="F263" s="2" t="n">
        <v>6.5</v>
      </c>
      <c r="G263" t="inlineStr">
        <is>
          <t>a</t>
        </is>
      </c>
      <c r="I263" s="2" t="n">
        <v>817</v>
      </c>
      <c r="J263" t="n">
        <v>43</v>
      </c>
      <c r="K263" s="3" t="n">
        <v>817</v>
      </c>
      <c r="L263" s="3" t="n">
        <v>0.421</v>
      </c>
      <c r="M263" s="4" t="n">
        <v>0.2644</v>
      </c>
      <c r="N263" t="inlineStr">
        <is>
          <t>adjusted xGOT</t>
        </is>
      </c>
      <c r="O263" s="4" t="n">
        <v>0.96</v>
      </c>
      <c r="P263" s="4" t="n">
        <v>7.5</v>
      </c>
      <c r="Q263" s="4" t="n">
        <v>0.1389</v>
      </c>
      <c r="R263" s="4" t="n">
        <v>0</v>
      </c>
      <c r="S263" s="4" t="n">
        <v>0.1102</v>
      </c>
      <c r="T263" s="4" t="n">
        <v>3.305</v>
      </c>
      <c r="U263" s="4">
        <f>IF(T263="",IFERROR(VLOOKUP($C263,Assumptions!$A$4:$F$7,6,FALSE),0),T263)</f>
        <v/>
      </c>
      <c r="V263" s="4">
        <f>N(M263)*IFERROR(VLOOKUP($C263,Assumptions!$A$4:$F$7,2,FALSE),0)</f>
        <v/>
      </c>
      <c r="W263" s="4">
        <f>N(Q263)*IFERROR(VLOOKUP($C263,Assumptions!$A$4:$F$7,3,FALSE),0)*Assumptions!$B$11</f>
        <v/>
      </c>
      <c r="X263" s="4">
        <f>N(L263)*IFERROR(VLOOKUP($C263,Assumptions!$A$4:$F$7,4,FALSE),0)</f>
        <v/>
      </c>
      <c r="Y263" s="4">
        <f>N(R263)*IFERROR(VLOOKUP($C263,Assumptions!$A$4:$F$7,5,FALSE),0)</f>
        <v/>
      </c>
      <c r="Z263" s="4">
        <f>N(S263)</f>
        <v/>
      </c>
      <c r="AA263" s="4">
        <f>SUM(U263:Z263)</f>
        <v/>
      </c>
      <c r="AB263" s="4">
        <f>N(AA263)*N(K263)/90</f>
        <v/>
      </c>
      <c r="AC263" s="4">
        <f>IFERROR(AB263-VLOOKUP($C263,Assumptions!$A$29:$C$32,3,FALSE),"")</f>
        <v/>
      </c>
      <c r="AD263" s="4">
        <f>IFERROR(AC263/F263,"")</f>
        <v/>
      </c>
      <c r="AE263">
        <f>IF(AND($E263=TRUE,$C263="GKP"),AB263,"")</f>
        <v/>
      </c>
      <c r="AF263">
        <f>IF(AND($E263=TRUE,$C263="DEF"),AB263,"")</f>
        <v/>
      </c>
      <c r="AG263">
        <f>IF(AND($E263=TRUE,$C263="MID"),AB263,"")</f>
        <v/>
      </c>
      <c r="AH263">
        <f>IF(AND($E263=TRUE,$C263="FWD"),AB263,"")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b">
        <v>1</v>
      </c>
      <c r="F264" s="2" t="n">
        <v>6</v>
      </c>
      <c r="G264" t="inlineStr">
        <is>
          <t>a</t>
        </is>
      </c>
      <c r="I264" s="2" t="n">
        <v>547</v>
      </c>
      <c r="J264" t="n">
        <v>43</v>
      </c>
      <c r="K264" s="3" t="n">
        <v>547</v>
      </c>
      <c r="L264" s="3" t="n">
        <v>0.263</v>
      </c>
      <c r="M264" s="4" t="n">
        <v>0.2336</v>
      </c>
      <c r="N264" t="inlineStr">
        <is>
          <t>adjusted xGOT</t>
        </is>
      </c>
      <c r="O264" s="4" t="n">
        <v>1.06</v>
      </c>
      <c r="P264" s="4" t="n">
        <v>1.3</v>
      </c>
      <c r="Q264" s="4" t="n">
        <v>0.3403</v>
      </c>
      <c r="R264" s="4" t="n">
        <v>0</v>
      </c>
      <c r="S264" s="4" t="n">
        <v>0.6581</v>
      </c>
      <c r="T264" s="4" t="n">
        <v>3.949</v>
      </c>
      <c r="U264" s="4">
        <f>IF(T264="",IFERROR(VLOOKUP($C264,Assumptions!$A$4:$F$7,6,FALSE),0),T264)</f>
        <v/>
      </c>
      <c r="V264" s="4">
        <f>N(M264)*IFERROR(VLOOKUP($C264,Assumptions!$A$4:$F$7,2,FALSE),0)</f>
        <v/>
      </c>
      <c r="W264" s="4">
        <f>N(Q264)*IFERROR(VLOOKUP($C264,Assumptions!$A$4:$F$7,3,FALSE),0)*Assumptions!$B$11</f>
        <v/>
      </c>
      <c r="X264" s="4">
        <f>N(L264)*IFERROR(VLOOKUP($C264,Assumptions!$A$4:$F$7,4,FALSE),0)</f>
        <v/>
      </c>
      <c r="Y264" s="4">
        <f>N(R264)*IFERROR(VLOOKUP($C264,Assumptions!$A$4:$F$7,5,FALSE),0)</f>
        <v/>
      </c>
      <c r="Z264" s="4">
        <f>N(S264)</f>
        <v/>
      </c>
      <c r="AA264" s="4">
        <f>SUM(U264:Z264)</f>
        <v/>
      </c>
      <c r="AB264" s="4">
        <f>N(AA264)*N(K264)/90</f>
        <v/>
      </c>
      <c r="AC264" s="4">
        <f>IFERROR(AB264-VLOOKUP($C264,Assumptions!$A$29:$C$32,3,FALSE),"")</f>
        <v/>
      </c>
      <c r="AD264" s="4">
        <f>IFERROR(AC264/F264,"")</f>
        <v/>
      </c>
      <c r="AE264">
        <f>IF(AND($E264=TRUE,$C264="GKP"),AB264,"")</f>
        <v/>
      </c>
      <c r="AF264">
        <f>IF(AND($E264=TRUE,$C264="DEF"),AB264,"")</f>
        <v/>
      </c>
      <c r="AG264">
        <f>IF(AND($E264=TRUE,$C264="MID"),AB264,"")</f>
        <v/>
      </c>
      <c r="AH264">
        <f>IF(AND($E264=TRUE,$C264="FWD"),AB264,"")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b">
        <v>1</v>
      </c>
      <c r="F265" s="2" t="n">
        <v>5.5</v>
      </c>
      <c r="G265" t="inlineStr">
        <is>
          <t>a</t>
        </is>
      </c>
      <c r="I265" s="2" t="n">
        <v>480</v>
      </c>
      <c r="J265" t="n">
        <v>43</v>
      </c>
      <c r="K265" s="3" t="n">
        <v>480</v>
      </c>
      <c r="L265" s="3" t="n">
        <v>0.237</v>
      </c>
      <c r="M265" s="4" t="n">
        <v>0.5998</v>
      </c>
      <c r="N265" t="inlineStr">
        <is>
          <t>adjusted xGOT</t>
        </is>
      </c>
      <c r="O265" s="4" t="n">
        <v>0.869</v>
      </c>
      <c r="P265" s="4" t="n">
        <v>17.5</v>
      </c>
      <c r="Q265" s="4" t="n">
        <v>0.1959</v>
      </c>
      <c r="R265" s="4" t="n">
        <v>0</v>
      </c>
      <c r="S265" s="4" t="n">
        <v>0.75</v>
      </c>
      <c r="T265" s="4" t="n">
        <v>3.562</v>
      </c>
      <c r="U265" s="4">
        <f>IF(T265="",IFERROR(VLOOKUP($C265,Assumptions!$A$4:$F$7,6,FALSE),0),T265)</f>
        <v/>
      </c>
      <c r="V265" s="4">
        <f>N(M265)*IFERROR(VLOOKUP($C265,Assumptions!$A$4:$F$7,2,FALSE),0)</f>
        <v/>
      </c>
      <c r="W265" s="4">
        <f>N(Q265)*IFERROR(VLOOKUP($C265,Assumptions!$A$4:$F$7,3,FALSE),0)*Assumptions!$B$11</f>
        <v/>
      </c>
      <c r="X265" s="4">
        <f>N(L265)*IFERROR(VLOOKUP($C265,Assumptions!$A$4:$F$7,4,FALSE),0)</f>
        <v/>
      </c>
      <c r="Y265" s="4">
        <f>N(R265)*IFERROR(VLOOKUP($C265,Assumptions!$A$4:$F$7,5,FALSE),0)</f>
        <v/>
      </c>
      <c r="Z265" s="4">
        <f>N(S265)</f>
        <v/>
      </c>
      <c r="AA265" s="4">
        <f>SUM(U265:Z265)</f>
        <v/>
      </c>
      <c r="AB265" s="4">
        <f>N(AA265)*N(K265)/90</f>
        <v/>
      </c>
      <c r="AC265" s="4">
        <f>IFERROR(AB265-VLOOKUP($C265,Assumptions!$A$29:$C$32,3,FALSE),"")</f>
        <v/>
      </c>
      <c r="AD265" s="4">
        <f>IFERROR(AC265/F265,"")</f>
        <v/>
      </c>
      <c r="AE265">
        <f>IF(AND($E265=TRUE,$C265="GKP"),AB265,"")</f>
        <v/>
      </c>
      <c r="AF265">
        <f>IF(AND($E265=TRUE,$C265="DEF"),AB265,"")</f>
        <v/>
      </c>
      <c r="AG265">
        <f>IF(AND($E265=TRUE,$C265="MID"),AB265,"")</f>
        <v/>
      </c>
      <c r="AH265">
        <f>IF(AND($E265=TRUE,$C265="FWD"),AB265,"")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b">
        <v>1</v>
      </c>
      <c r="F266" s="2" t="n">
        <v>5</v>
      </c>
      <c r="G266" t="inlineStr">
        <is>
          <t>i</t>
        </is>
      </c>
      <c r="H266" t="inlineStr">
        <is>
          <t>Back injury - Unknown return date</t>
        </is>
      </c>
      <c r="I266" s="2" t="n">
        <v>1170</v>
      </c>
      <c r="J266" t="n">
        <v>43</v>
      </c>
      <c r="K266" s="3" t="n">
        <v>1170</v>
      </c>
      <c r="L266" s="3" t="n">
        <v>0.21</v>
      </c>
      <c r="M266" s="4" t="n">
        <v>0.1164</v>
      </c>
      <c r="N266" t="inlineStr">
        <is>
          <t>adjusted xGOT</t>
        </is>
      </c>
      <c r="O266" s="4" t="n">
        <v>1.096</v>
      </c>
      <c r="P266" s="4" t="n">
        <v>3.9</v>
      </c>
      <c r="Q266" s="4" t="n">
        <v>0.0484</v>
      </c>
      <c r="R266" s="4" t="n">
        <v>0.308</v>
      </c>
      <c r="S266" s="4" t="n">
        <v>0.2308</v>
      </c>
      <c r="T266" s="4" t="n">
        <v>2</v>
      </c>
      <c r="U266" s="4">
        <f>IF(T266="",IFERROR(VLOOKUP($C266,Assumptions!$A$4:$F$7,6,FALSE),0),T266)</f>
        <v/>
      </c>
      <c r="V266" s="4">
        <f>N(M266)*IFERROR(VLOOKUP($C266,Assumptions!$A$4:$F$7,2,FALSE),0)</f>
        <v/>
      </c>
      <c r="W266" s="4">
        <f>N(Q266)*IFERROR(VLOOKUP($C266,Assumptions!$A$4:$F$7,3,FALSE),0)*Assumptions!$B$11</f>
        <v/>
      </c>
      <c r="X266" s="4">
        <f>N(L266)*IFERROR(VLOOKUP($C266,Assumptions!$A$4:$F$7,4,FALSE),0)</f>
        <v/>
      </c>
      <c r="Y266" s="4">
        <f>N(R266)*IFERROR(VLOOKUP($C266,Assumptions!$A$4:$F$7,5,FALSE),0)</f>
        <v/>
      </c>
      <c r="Z266" s="4">
        <f>N(S266)</f>
        <v/>
      </c>
      <c r="AA266" s="4">
        <f>SUM(U266:Z266)</f>
        <v/>
      </c>
      <c r="AB266" s="4">
        <f>N(AA266)*N(K266)/90</f>
        <v/>
      </c>
      <c r="AC266" s="4">
        <f>IFERROR(AB266-VLOOKUP($C266,Assumptions!$A$29:$C$32,3,FALSE),"")</f>
        <v/>
      </c>
      <c r="AD266" s="4">
        <f>IFERROR(AC266/F266,"")</f>
        <v/>
      </c>
      <c r="AE266">
        <f>IF(AND($E266=TRUE,$C266="GKP"),AB266,"")</f>
        <v/>
      </c>
      <c r="AF266">
        <f>IF(AND($E266=TRUE,$C266="DEF"),AB266,"")</f>
        <v/>
      </c>
      <c r="AG266">
        <f>IF(AND($E266=TRUE,$C266="MID"),AB266,"")</f>
        <v/>
      </c>
      <c r="AH266">
        <f>IF(AND($E266=TRUE,$C266="FWD"),AB266,"")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b">
        <v>1</v>
      </c>
      <c r="F267" s="2" t="n">
        <v>4.5</v>
      </c>
      <c r="G267" t="inlineStr">
        <is>
          <t>a</t>
        </is>
      </c>
      <c r="I267" s="2" t="n">
        <v>1440</v>
      </c>
      <c r="J267" t="n">
        <v>43</v>
      </c>
      <c r="K267" s="3" t="n">
        <v>1440</v>
      </c>
      <c r="L267" s="3" t="n">
        <v>0.21</v>
      </c>
      <c r="M267" s="4" t="n">
        <v>0</v>
      </c>
      <c r="N267" t="inlineStr">
        <is>
          <t>blended xG</t>
        </is>
      </c>
      <c r="O267" s="4" t="n">
        <v>1</v>
      </c>
      <c r="P267" s="4" t="n">
        <v>0</v>
      </c>
      <c r="Q267" s="4" t="n">
        <v>0</v>
      </c>
      <c r="R267" s="4" t="n">
        <v>0</v>
      </c>
      <c r="S267" s="4" t="n">
        <v>0.1875</v>
      </c>
      <c r="T267" s="4" t="n">
        <v>2</v>
      </c>
      <c r="U267" s="4">
        <f>IF(T267="",IFERROR(VLOOKUP($C267,Assumptions!$A$4:$F$7,6,FALSE),0),T267)</f>
        <v/>
      </c>
      <c r="V267" s="4">
        <f>N(M267)*IFERROR(VLOOKUP($C267,Assumptions!$A$4:$F$7,2,FALSE),0)</f>
        <v/>
      </c>
      <c r="W267" s="4">
        <f>N(Q267)*IFERROR(VLOOKUP($C267,Assumptions!$A$4:$F$7,3,FALSE),0)*Assumptions!$B$11</f>
        <v/>
      </c>
      <c r="X267" s="4">
        <f>N(L267)*IFERROR(VLOOKUP($C267,Assumptions!$A$4:$F$7,4,FALSE),0)</f>
        <v/>
      </c>
      <c r="Y267" s="4">
        <f>N(R267)*IFERROR(VLOOKUP($C267,Assumptions!$A$4:$F$7,5,FALSE),0)</f>
        <v/>
      </c>
      <c r="Z267" s="4">
        <f>N(S267)</f>
        <v/>
      </c>
      <c r="AA267" s="4">
        <f>SUM(U267:Z267)</f>
        <v/>
      </c>
      <c r="AB267" s="4">
        <f>N(AA267)*N(K267)/90</f>
        <v/>
      </c>
      <c r="AC267" s="4">
        <f>IFERROR(AB267-VLOOKUP($C267,Assumptions!$A$29:$C$32,3,FALSE),"")</f>
        <v/>
      </c>
      <c r="AD267" s="4">
        <f>IFERROR(AC267/F267,"")</f>
        <v/>
      </c>
      <c r="AE267">
        <f>IF(AND($E267=TRUE,$C267="GKP"),AB267,"")</f>
        <v/>
      </c>
      <c r="AF267">
        <f>IF(AND($E267=TRUE,$C267="DEF"),AB267,"")</f>
        <v/>
      </c>
      <c r="AG267">
        <f>IF(AND($E267=TRUE,$C267="MID"),AB267,"")</f>
        <v/>
      </c>
      <c r="AH267">
        <f>IF(AND($E267=TRUE,$C267="FWD"),AB267,"")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b">
        <v>1</v>
      </c>
      <c r="F268" s="2" t="n">
        <v>5.5</v>
      </c>
      <c r="G268" t="inlineStr">
        <is>
          <t>a</t>
        </is>
      </c>
      <c r="I268" s="2" t="n">
        <v>1030</v>
      </c>
      <c r="J268" t="n">
        <v>42</v>
      </c>
      <c r="K268" s="3" t="n">
        <v>1030</v>
      </c>
      <c r="L268" s="3" t="n">
        <v>0.237</v>
      </c>
      <c r="M268" s="4" t="n">
        <v>0.1206</v>
      </c>
      <c r="N268" t="inlineStr">
        <is>
          <t>adjusted xGOT</t>
        </is>
      </c>
      <c r="O268" s="4" t="n">
        <v>0.9389999999999999</v>
      </c>
      <c r="P268" s="4" t="n">
        <v>3</v>
      </c>
      <c r="Q268" s="4" t="n">
        <v>0.1799</v>
      </c>
      <c r="R268" s="4" t="n">
        <v>0</v>
      </c>
      <c r="S268" s="4" t="n">
        <v>0</v>
      </c>
      <c r="T268" s="4" t="n">
        <v>2.883</v>
      </c>
      <c r="U268" s="4">
        <f>IF(T268="",IFERROR(VLOOKUP($C268,Assumptions!$A$4:$F$7,6,FALSE),0),T268)</f>
        <v/>
      </c>
      <c r="V268" s="4">
        <f>N(M268)*IFERROR(VLOOKUP($C268,Assumptions!$A$4:$F$7,2,FALSE),0)</f>
        <v/>
      </c>
      <c r="W268" s="4">
        <f>N(Q268)*IFERROR(VLOOKUP($C268,Assumptions!$A$4:$F$7,3,FALSE),0)*Assumptions!$B$11</f>
        <v/>
      </c>
      <c r="X268" s="4">
        <f>N(L268)*IFERROR(VLOOKUP($C268,Assumptions!$A$4:$F$7,4,FALSE),0)</f>
        <v/>
      </c>
      <c r="Y268" s="4">
        <f>N(R268)*IFERROR(VLOOKUP($C268,Assumptions!$A$4:$F$7,5,FALSE),0)</f>
        <v/>
      </c>
      <c r="Z268" s="4">
        <f>N(S268)</f>
        <v/>
      </c>
      <c r="AA268" s="4">
        <f>SUM(U268:Z268)</f>
        <v/>
      </c>
      <c r="AB268" s="4">
        <f>N(AA268)*N(K268)/90</f>
        <v/>
      </c>
      <c r="AC268" s="4">
        <f>IFERROR(AB268-VLOOKUP($C268,Assumptions!$A$29:$C$32,3,FALSE),"")</f>
        <v/>
      </c>
      <c r="AD268" s="4">
        <f>IFERROR(AC268/F268,"")</f>
        <v/>
      </c>
      <c r="AE268">
        <f>IF(AND($E268=TRUE,$C268="GKP"),AB268,"")</f>
        <v/>
      </c>
      <c r="AF268">
        <f>IF(AND($E268=TRUE,$C268="DEF"),AB268,"")</f>
        <v/>
      </c>
      <c r="AG268">
        <f>IF(AND($E268=TRUE,$C268="MID"),AB268,"")</f>
        <v/>
      </c>
      <c r="AH268">
        <f>IF(AND($E268=TRUE,$C268="FWD"),AB268,"")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b">
        <v>1</v>
      </c>
      <c r="F269" s="2" t="n">
        <v>4.5</v>
      </c>
      <c r="G269" t="inlineStr">
        <is>
          <t>a</t>
        </is>
      </c>
      <c r="I269" s="2" t="n">
        <v>920</v>
      </c>
      <c r="J269" t="n">
        <v>42</v>
      </c>
      <c r="K269" s="3" t="n">
        <v>920</v>
      </c>
      <c r="L269" s="3" t="n">
        <v>0.21</v>
      </c>
      <c r="M269" s="4" t="n">
        <v>0.0315</v>
      </c>
      <c r="N269" t="inlineStr">
        <is>
          <t>adjusted xGOT</t>
        </is>
      </c>
      <c r="O269" s="4" t="n">
        <v>0.946</v>
      </c>
      <c r="P269" s="4" t="n">
        <v>0.5</v>
      </c>
      <c r="Q269" s="4" t="n">
        <v>0.0267</v>
      </c>
      <c r="R269" s="4" t="n">
        <v>0.455</v>
      </c>
      <c r="S269" s="4" t="n">
        <v>0</v>
      </c>
      <c r="T269" s="4" t="n">
        <v>2.641</v>
      </c>
      <c r="U269" s="4">
        <f>IF(T269="",IFERROR(VLOOKUP($C269,Assumptions!$A$4:$F$7,6,FALSE),0),T269)</f>
        <v/>
      </c>
      <c r="V269" s="4">
        <f>N(M269)*IFERROR(VLOOKUP($C269,Assumptions!$A$4:$F$7,2,FALSE),0)</f>
        <v/>
      </c>
      <c r="W269" s="4">
        <f>N(Q269)*IFERROR(VLOOKUP($C269,Assumptions!$A$4:$F$7,3,FALSE),0)*Assumptions!$B$11</f>
        <v/>
      </c>
      <c r="X269" s="4">
        <f>N(L269)*IFERROR(VLOOKUP($C269,Assumptions!$A$4:$F$7,4,FALSE),0)</f>
        <v/>
      </c>
      <c r="Y269" s="4">
        <f>N(R269)*IFERROR(VLOOKUP($C269,Assumptions!$A$4:$F$7,5,FALSE),0)</f>
        <v/>
      </c>
      <c r="Z269" s="4">
        <f>N(S269)</f>
        <v/>
      </c>
      <c r="AA269" s="4">
        <f>SUM(U269:Z269)</f>
        <v/>
      </c>
      <c r="AB269" s="4">
        <f>N(AA269)*N(K269)/90</f>
        <v/>
      </c>
      <c r="AC269" s="4">
        <f>IFERROR(AB269-VLOOKUP($C269,Assumptions!$A$29:$C$32,3,FALSE),"")</f>
        <v/>
      </c>
      <c r="AD269" s="4">
        <f>IFERROR(AC269/F269,"")</f>
        <v/>
      </c>
      <c r="AE269">
        <f>IF(AND($E269=TRUE,$C269="GKP"),AB269,"")</f>
        <v/>
      </c>
      <c r="AF269">
        <f>IF(AND($E269=TRUE,$C269="DEF"),AB269,"")</f>
        <v/>
      </c>
      <c r="AG269">
        <f>IF(AND($E269=TRUE,$C269="MID"),AB269,"")</f>
        <v/>
      </c>
      <c r="AH269">
        <f>IF(AND($E269=TRUE,$C269="FWD"),AB269,"")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b">
        <v>1</v>
      </c>
      <c r="F270" s="2" t="n">
        <v>5</v>
      </c>
      <c r="G270" t="inlineStr">
        <is>
          <t>i</t>
        </is>
      </c>
      <c r="H270" t="inlineStr">
        <is>
          <t>Knee injury - Unknown return date</t>
        </is>
      </c>
      <c r="I270" s="2" t="n">
        <v>928</v>
      </c>
      <c r="J270" t="n">
        <v>42</v>
      </c>
      <c r="K270" s="3" t="n">
        <v>928</v>
      </c>
      <c r="L270" s="3" t="n">
        <v>0.263</v>
      </c>
      <c r="M270" s="4" t="n">
        <v>0.0185</v>
      </c>
      <c r="N270" t="inlineStr">
        <is>
          <t>adjusted xGOT</t>
        </is>
      </c>
      <c r="O270" s="4" t="n">
        <v>1.062</v>
      </c>
      <c r="P270" s="4" t="n">
        <v>1.8</v>
      </c>
      <c r="Q270" s="4" t="n">
        <v>0.09859999999999999</v>
      </c>
      <c r="R270" s="4" t="n">
        <v>0.083</v>
      </c>
      <c r="S270" s="4" t="n">
        <v>0</v>
      </c>
      <c r="T270" s="4" t="n">
        <v>2.328</v>
      </c>
      <c r="U270" s="4">
        <f>IF(T270="",IFERROR(VLOOKUP($C270,Assumptions!$A$4:$F$7,6,FALSE),0),T270)</f>
        <v/>
      </c>
      <c r="V270" s="4">
        <f>N(M270)*IFERROR(VLOOKUP($C270,Assumptions!$A$4:$F$7,2,FALSE),0)</f>
        <v/>
      </c>
      <c r="W270" s="4">
        <f>N(Q270)*IFERROR(VLOOKUP($C270,Assumptions!$A$4:$F$7,3,FALSE),0)*Assumptions!$B$11</f>
        <v/>
      </c>
      <c r="X270" s="4">
        <f>N(L270)*IFERROR(VLOOKUP($C270,Assumptions!$A$4:$F$7,4,FALSE),0)</f>
        <v/>
      </c>
      <c r="Y270" s="4">
        <f>N(R270)*IFERROR(VLOOKUP($C270,Assumptions!$A$4:$F$7,5,FALSE),0)</f>
        <v/>
      </c>
      <c r="Z270" s="4">
        <f>N(S270)</f>
        <v/>
      </c>
      <c r="AA270" s="4">
        <f>SUM(U270:Z270)</f>
        <v/>
      </c>
      <c r="AB270" s="4">
        <f>N(AA270)*N(K270)/90</f>
        <v/>
      </c>
      <c r="AC270" s="4">
        <f>IFERROR(AB270-VLOOKUP($C270,Assumptions!$A$29:$C$32,3,FALSE),"")</f>
        <v/>
      </c>
      <c r="AD270" s="4">
        <f>IFERROR(AC270/F270,"")</f>
        <v/>
      </c>
      <c r="AE270">
        <f>IF(AND($E270=TRUE,$C270="GKP"),AB270,"")</f>
        <v/>
      </c>
      <c r="AF270">
        <f>IF(AND($E270=TRUE,$C270="DEF"),AB270,"")</f>
        <v/>
      </c>
      <c r="AG270">
        <f>IF(AND($E270=TRUE,$C270="MID"),AB270,"")</f>
        <v/>
      </c>
      <c r="AH270">
        <f>IF(AND($E270=TRUE,$C270="FWD"),AB270,"")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b">
        <v>1</v>
      </c>
      <c r="F271" s="2" t="n">
        <v>5.5</v>
      </c>
      <c r="G271" t="inlineStr">
        <is>
          <t>a</t>
        </is>
      </c>
      <c r="I271" s="2" t="n">
        <v>607</v>
      </c>
      <c r="J271" t="n">
        <v>42</v>
      </c>
      <c r="K271" s="3" t="n">
        <v>607</v>
      </c>
      <c r="L271" s="3" t="n">
        <v>0.21</v>
      </c>
      <c r="M271" s="4" t="n">
        <v>0.4147</v>
      </c>
      <c r="N271" t="inlineStr">
        <is>
          <t>adjusted xGOT</t>
        </is>
      </c>
      <c r="O271" s="4" t="n">
        <v>1.021</v>
      </c>
      <c r="P271" s="4" t="n">
        <v>7.4</v>
      </c>
      <c r="Q271" s="4" t="n">
        <v>0.1154</v>
      </c>
      <c r="R271" s="4" t="n">
        <v>0</v>
      </c>
      <c r="S271" s="4" t="n">
        <v>0.8895999999999999</v>
      </c>
      <c r="T271" s="4" t="n">
        <v>4.152</v>
      </c>
      <c r="U271" s="4">
        <f>IF(T271="",IFERROR(VLOOKUP($C271,Assumptions!$A$4:$F$7,6,FALSE),0),T271)</f>
        <v/>
      </c>
      <c r="V271" s="4">
        <f>N(M271)*IFERROR(VLOOKUP($C271,Assumptions!$A$4:$F$7,2,FALSE),0)</f>
        <v/>
      </c>
      <c r="W271" s="4">
        <f>N(Q271)*IFERROR(VLOOKUP($C271,Assumptions!$A$4:$F$7,3,FALSE),0)*Assumptions!$B$11</f>
        <v/>
      </c>
      <c r="X271" s="4">
        <f>N(L271)*IFERROR(VLOOKUP($C271,Assumptions!$A$4:$F$7,4,FALSE),0)</f>
        <v/>
      </c>
      <c r="Y271" s="4">
        <f>N(R271)*IFERROR(VLOOKUP($C271,Assumptions!$A$4:$F$7,5,FALSE),0)</f>
        <v/>
      </c>
      <c r="Z271" s="4">
        <f>N(S271)</f>
        <v/>
      </c>
      <c r="AA271" s="4">
        <f>SUM(U271:Z271)</f>
        <v/>
      </c>
      <c r="AB271" s="4">
        <f>N(AA271)*N(K271)/90</f>
        <v/>
      </c>
      <c r="AC271" s="4">
        <f>IFERROR(AB271-VLOOKUP($C271,Assumptions!$A$29:$C$32,3,FALSE),"")</f>
        <v/>
      </c>
      <c r="AD271" s="4">
        <f>IFERROR(AC271/F271,"")</f>
        <v/>
      </c>
      <c r="AE271">
        <f>IF(AND($E271=TRUE,$C271="GKP"),AB271,"")</f>
        <v/>
      </c>
      <c r="AF271">
        <f>IF(AND($E271=TRUE,$C271="DEF"),AB271,"")</f>
        <v/>
      </c>
      <c r="AG271">
        <f>IF(AND($E271=TRUE,$C271="MID"),AB271,"")</f>
        <v/>
      </c>
      <c r="AH271">
        <f>IF(AND($E271=TRUE,$C271="FWD"),AB271,"")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b">
        <v>1</v>
      </c>
      <c r="F272" s="2" t="n">
        <v>6</v>
      </c>
      <c r="G272" t="inlineStr">
        <is>
          <t>a</t>
        </is>
      </c>
      <c r="I272" s="2" t="n">
        <v>945</v>
      </c>
      <c r="J272" t="n">
        <v>41</v>
      </c>
      <c r="K272" s="3" t="n">
        <v>945</v>
      </c>
      <c r="L272" s="3" t="n">
        <v>0.29</v>
      </c>
      <c r="M272" s="4" t="n">
        <v>0.2249</v>
      </c>
      <c r="N272" t="inlineStr">
        <is>
          <t>adjusted xGOT</t>
        </is>
      </c>
      <c r="O272" s="4" t="n">
        <v>1.022</v>
      </c>
      <c r="P272" s="4" t="n">
        <v>18.1</v>
      </c>
      <c r="Q272" s="4" t="n">
        <v>0.1831</v>
      </c>
      <c r="R272" s="4" t="n">
        <v>0</v>
      </c>
      <c r="S272" s="4" t="n">
        <v>0.2857</v>
      </c>
      <c r="T272" s="4" t="n">
        <v>2.762</v>
      </c>
      <c r="U272" s="4">
        <f>IF(T272="",IFERROR(VLOOKUP($C272,Assumptions!$A$4:$F$7,6,FALSE),0),T272)</f>
        <v/>
      </c>
      <c r="V272" s="4">
        <f>N(M272)*IFERROR(VLOOKUP($C272,Assumptions!$A$4:$F$7,2,FALSE),0)</f>
        <v/>
      </c>
      <c r="W272" s="4">
        <f>N(Q272)*IFERROR(VLOOKUP($C272,Assumptions!$A$4:$F$7,3,FALSE),0)*Assumptions!$B$11</f>
        <v/>
      </c>
      <c r="X272" s="4">
        <f>N(L272)*IFERROR(VLOOKUP($C272,Assumptions!$A$4:$F$7,4,FALSE),0)</f>
        <v/>
      </c>
      <c r="Y272" s="4">
        <f>N(R272)*IFERROR(VLOOKUP($C272,Assumptions!$A$4:$F$7,5,FALSE),0)</f>
        <v/>
      </c>
      <c r="Z272" s="4">
        <f>N(S272)</f>
        <v/>
      </c>
      <c r="AA272" s="4">
        <f>SUM(U272:Z272)</f>
        <v/>
      </c>
      <c r="AB272" s="4">
        <f>N(AA272)*N(K272)/90</f>
        <v/>
      </c>
      <c r="AC272" s="4">
        <f>IFERROR(AB272-VLOOKUP($C272,Assumptions!$A$29:$C$32,3,FALSE),"")</f>
        <v/>
      </c>
      <c r="AD272" s="4">
        <f>IFERROR(AC272/F272,"")</f>
        <v/>
      </c>
      <c r="AE272">
        <f>IF(AND($E272=TRUE,$C272="GKP"),AB272,"")</f>
        <v/>
      </c>
      <c r="AF272">
        <f>IF(AND($E272=TRUE,$C272="DEF"),AB272,"")</f>
        <v/>
      </c>
      <c r="AG272">
        <f>IF(AND($E272=TRUE,$C272="MID"),AB272,"")</f>
        <v/>
      </c>
      <c r="AH272">
        <f>IF(AND($E272=TRUE,$C272="FWD"),AB272,"")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b">
        <v>1</v>
      </c>
      <c r="F273" s="2" t="n">
        <v>5</v>
      </c>
      <c r="G273" t="inlineStr">
        <is>
          <t>i</t>
        </is>
      </c>
      <c r="H273" t="inlineStr">
        <is>
          <t>Knee injury - Expected back 10 Oct</t>
        </is>
      </c>
      <c r="I273" s="2" t="n">
        <v>756</v>
      </c>
      <c r="J273" t="n">
        <v>41</v>
      </c>
      <c r="K273" s="3" t="n">
        <v>756</v>
      </c>
      <c r="L273" s="3" t="n">
        <v>0.237</v>
      </c>
      <c r="M273" s="4" t="n">
        <v>0.1474</v>
      </c>
      <c r="N273" t="inlineStr">
        <is>
          <t>adjusted xGOT</t>
        </is>
      </c>
      <c r="O273" s="4" t="n">
        <v>1.023</v>
      </c>
      <c r="P273" s="4" t="n">
        <v>4.4</v>
      </c>
      <c r="Q273" s="4" t="n">
        <v>0.0892</v>
      </c>
      <c r="R273" s="4" t="n">
        <v>0</v>
      </c>
      <c r="S273" s="4" t="n">
        <v>0.119</v>
      </c>
      <c r="T273" s="4" t="n">
        <v>3.69</v>
      </c>
      <c r="U273" s="4">
        <f>IF(T273="",IFERROR(VLOOKUP($C273,Assumptions!$A$4:$F$7,6,FALSE),0),T273)</f>
        <v/>
      </c>
      <c r="V273" s="4">
        <f>N(M273)*IFERROR(VLOOKUP($C273,Assumptions!$A$4:$F$7,2,FALSE),0)</f>
        <v/>
      </c>
      <c r="W273" s="4">
        <f>N(Q273)*IFERROR(VLOOKUP($C273,Assumptions!$A$4:$F$7,3,FALSE),0)*Assumptions!$B$11</f>
        <v/>
      </c>
      <c r="X273" s="4">
        <f>N(L273)*IFERROR(VLOOKUP($C273,Assumptions!$A$4:$F$7,4,FALSE),0)</f>
        <v/>
      </c>
      <c r="Y273" s="4">
        <f>N(R273)*IFERROR(VLOOKUP($C273,Assumptions!$A$4:$F$7,5,FALSE),0)</f>
        <v/>
      </c>
      <c r="Z273" s="4">
        <f>N(S273)</f>
        <v/>
      </c>
      <c r="AA273" s="4">
        <f>SUM(U273:Z273)</f>
        <v/>
      </c>
      <c r="AB273" s="4">
        <f>N(AA273)*N(K273)/90</f>
        <v/>
      </c>
      <c r="AC273" s="4">
        <f>IFERROR(AB273-VLOOKUP($C273,Assumptions!$A$29:$C$32,3,FALSE),"")</f>
        <v/>
      </c>
      <c r="AD273" s="4">
        <f>IFERROR(AC273/F273,"")</f>
        <v/>
      </c>
      <c r="AE273">
        <f>IF(AND($E273=TRUE,$C273="GKP"),AB273,"")</f>
        <v/>
      </c>
      <c r="AF273">
        <f>IF(AND($E273=TRUE,$C273="DEF"),AB273,"")</f>
        <v/>
      </c>
      <c r="AG273">
        <f>IF(AND($E273=TRUE,$C273="MID"),AB273,"")</f>
        <v/>
      </c>
      <c r="AH273">
        <f>IF(AND($E273=TRUE,$C273="FWD"),AB273,"")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b">
        <v>1</v>
      </c>
      <c r="F274" s="2" t="n">
        <v>6</v>
      </c>
      <c r="G274" t="inlineStr">
        <is>
          <t>a</t>
        </is>
      </c>
      <c r="I274" s="2" t="n">
        <v>896</v>
      </c>
      <c r="J274" t="n">
        <v>41</v>
      </c>
      <c r="K274" s="3" t="n">
        <v>896</v>
      </c>
      <c r="L274" s="3" t="n">
        <v>0.237</v>
      </c>
      <c r="M274" s="4" t="n">
        <v>0.4327</v>
      </c>
      <c r="N274" t="inlineStr">
        <is>
          <t>adjusted xGOT</t>
        </is>
      </c>
      <c r="O274" s="4" t="n">
        <v>1.004</v>
      </c>
      <c r="P274" s="4" t="n">
        <v>32.1</v>
      </c>
      <c r="Q274" s="4" t="n">
        <v>0.0322</v>
      </c>
      <c r="R274" s="4" t="n">
        <v>0</v>
      </c>
      <c r="S274" s="4" t="n">
        <v>0.4018</v>
      </c>
      <c r="T274" s="4" t="n">
        <v>2.511</v>
      </c>
      <c r="U274" s="4">
        <f>IF(T274="",IFERROR(VLOOKUP($C274,Assumptions!$A$4:$F$7,6,FALSE),0),T274)</f>
        <v/>
      </c>
      <c r="V274" s="4">
        <f>N(M274)*IFERROR(VLOOKUP($C274,Assumptions!$A$4:$F$7,2,FALSE),0)</f>
        <v/>
      </c>
      <c r="W274" s="4">
        <f>N(Q274)*IFERROR(VLOOKUP($C274,Assumptions!$A$4:$F$7,3,FALSE),0)*Assumptions!$B$11</f>
        <v/>
      </c>
      <c r="X274" s="4">
        <f>N(L274)*IFERROR(VLOOKUP($C274,Assumptions!$A$4:$F$7,4,FALSE),0)</f>
        <v/>
      </c>
      <c r="Y274" s="4">
        <f>N(R274)*IFERROR(VLOOKUP($C274,Assumptions!$A$4:$F$7,5,FALSE),0)</f>
        <v/>
      </c>
      <c r="Z274" s="4">
        <f>N(S274)</f>
        <v/>
      </c>
      <c r="AA274" s="4">
        <f>SUM(U274:Z274)</f>
        <v/>
      </c>
      <c r="AB274" s="4">
        <f>N(AA274)*N(K274)/90</f>
        <v/>
      </c>
      <c r="AC274" s="4">
        <f>IFERROR(AB274-VLOOKUP($C274,Assumptions!$A$29:$C$32,3,FALSE),"")</f>
        <v/>
      </c>
      <c r="AD274" s="4">
        <f>IFERROR(AC274/F274,"")</f>
        <v/>
      </c>
      <c r="AE274">
        <f>IF(AND($E274=TRUE,$C274="GKP"),AB274,"")</f>
        <v/>
      </c>
      <c r="AF274">
        <f>IF(AND($E274=TRUE,$C274="DEF"),AB274,"")</f>
        <v/>
      </c>
      <c r="AG274">
        <f>IF(AND($E274=TRUE,$C274="MID"),AB274,"")</f>
        <v/>
      </c>
      <c r="AH274">
        <f>IF(AND($E274=TRUE,$C274="FWD"),AB274,"")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b">
        <v>1</v>
      </c>
      <c r="F275" s="2" t="n">
        <v>9</v>
      </c>
      <c r="G275" t="inlineStr">
        <is>
          <t>a</t>
        </is>
      </c>
      <c r="I275" s="2" t="n">
        <v>694</v>
      </c>
      <c r="J275" t="n">
        <v>41</v>
      </c>
      <c r="K275" s="3" t="n">
        <v>694</v>
      </c>
      <c r="L275" s="3" t="n">
        <v>0.263</v>
      </c>
      <c r="M275" s="4" t="n">
        <v>0.3548</v>
      </c>
      <c r="N275" t="inlineStr">
        <is>
          <t>adjusted xGOT</t>
        </is>
      </c>
      <c r="O275" s="4" t="n">
        <v>1.056</v>
      </c>
      <c r="P275" s="4" t="n">
        <v>51.2</v>
      </c>
      <c r="Q275" s="4" t="n">
        <v>0.0601</v>
      </c>
      <c r="R275" s="4" t="n">
        <v>0</v>
      </c>
      <c r="S275" s="4" t="n">
        <v>0.5187</v>
      </c>
      <c r="T275" s="4" t="n">
        <v>2.853</v>
      </c>
      <c r="U275" s="4">
        <f>IF(T275="",IFERROR(VLOOKUP($C275,Assumptions!$A$4:$F$7,6,FALSE),0),T275)</f>
        <v/>
      </c>
      <c r="V275" s="4">
        <f>N(M275)*IFERROR(VLOOKUP($C275,Assumptions!$A$4:$F$7,2,FALSE),0)</f>
        <v/>
      </c>
      <c r="W275" s="4">
        <f>N(Q275)*IFERROR(VLOOKUP($C275,Assumptions!$A$4:$F$7,3,FALSE),0)*Assumptions!$B$11</f>
        <v/>
      </c>
      <c r="X275" s="4">
        <f>N(L275)*IFERROR(VLOOKUP($C275,Assumptions!$A$4:$F$7,4,FALSE),0)</f>
        <v/>
      </c>
      <c r="Y275" s="4">
        <f>N(R275)*IFERROR(VLOOKUP($C275,Assumptions!$A$4:$F$7,5,FALSE),0)</f>
        <v/>
      </c>
      <c r="Z275" s="4">
        <f>N(S275)</f>
        <v/>
      </c>
      <c r="AA275" s="4">
        <f>SUM(U275:Z275)</f>
        <v/>
      </c>
      <c r="AB275" s="4">
        <f>N(AA275)*N(K275)/90</f>
        <v/>
      </c>
      <c r="AC275" s="4">
        <f>IFERROR(AB275-VLOOKUP($C275,Assumptions!$A$29:$C$32,3,FALSE),"")</f>
        <v/>
      </c>
      <c r="AD275" s="4">
        <f>IFERROR(AC275/F275,"")</f>
        <v/>
      </c>
      <c r="AE275">
        <f>IF(AND($E275=TRUE,$C275="GKP"),AB275,"")</f>
        <v/>
      </c>
      <c r="AF275">
        <f>IF(AND($E275=TRUE,$C275="DEF"),AB275,"")</f>
        <v/>
      </c>
      <c r="AG275">
        <f>IF(AND($E275=TRUE,$C275="MID"),AB275,"")</f>
        <v/>
      </c>
      <c r="AH275">
        <f>IF(AND($E275=TRUE,$C275="FWD"),AB275,"")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b">
        <v>1</v>
      </c>
      <c r="F276" s="2" t="n">
        <v>5</v>
      </c>
      <c r="G276" t="inlineStr">
        <is>
          <t>a</t>
        </is>
      </c>
      <c r="I276" s="2" t="n">
        <v>1042</v>
      </c>
      <c r="J276" t="n">
        <v>40</v>
      </c>
      <c r="K276" s="3" t="n">
        <v>1042</v>
      </c>
      <c r="L276" s="3" t="n">
        <v>0.237</v>
      </c>
      <c r="M276" s="4" t="n">
        <v>0</v>
      </c>
      <c r="N276" t="inlineStr">
        <is>
          <t>adjusted xGOT</t>
        </is>
      </c>
      <c r="O276" s="4" t="n">
        <v>1.008</v>
      </c>
      <c r="P276" s="4" t="n">
        <v>0</v>
      </c>
      <c r="Q276" s="4" t="n">
        <v>0.0104</v>
      </c>
      <c r="R276" s="4" t="n">
        <v>0</v>
      </c>
      <c r="S276" s="4" t="n">
        <v>0.3455</v>
      </c>
      <c r="T276" s="4" t="n">
        <v>3.282</v>
      </c>
      <c r="U276" s="4">
        <f>IF(T276="",IFERROR(VLOOKUP($C276,Assumptions!$A$4:$F$7,6,FALSE),0),T276)</f>
        <v/>
      </c>
      <c r="V276" s="4">
        <f>N(M276)*IFERROR(VLOOKUP($C276,Assumptions!$A$4:$F$7,2,FALSE),0)</f>
        <v/>
      </c>
      <c r="W276" s="4">
        <f>N(Q276)*IFERROR(VLOOKUP($C276,Assumptions!$A$4:$F$7,3,FALSE),0)*Assumptions!$B$11</f>
        <v/>
      </c>
      <c r="X276" s="4">
        <f>N(L276)*IFERROR(VLOOKUP($C276,Assumptions!$A$4:$F$7,4,FALSE),0)</f>
        <v/>
      </c>
      <c r="Y276" s="4">
        <f>N(R276)*IFERROR(VLOOKUP($C276,Assumptions!$A$4:$F$7,5,FALSE),0)</f>
        <v/>
      </c>
      <c r="Z276" s="4">
        <f>N(S276)</f>
        <v/>
      </c>
      <c r="AA276" s="4">
        <f>SUM(U276:Z276)</f>
        <v/>
      </c>
      <c r="AB276" s="4">
        <f>N(AA276)*N(K276)/90</f>
        <v/>
      </c>
      <c r="AC276" s="4">
        <f>IFERROR(AB276-VLOOKUP($C276,Assumptions!$A$29:$C$32,3,FALSE),"")</f>
        <v/>
      </c>
      <c r="AD276" s="4">
        <f>IFERROR(AC276/F276,"")</f>
        <v/>
      </c>
      <c r="AE276">
        <f>IF(AND($E276=TRUE,$C276="GKP"),AB276,"")</f>
        <v/>
      </c>
      <c r="AF276">
        <f>IF(AND($E276=TRUE,$C276="DEF"),AB276,"")</f>
        <v/>
      </c>
      <c r="AG276">
        <f>IF(AND($E276=TRUE,$C276="MID"),AB276,"")</f>
        <v/>
      </c>
      <c r="AH276">
        <f>IF(AND($E276=TRUE,$C276="FWD"),AB276,"")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b">
        <v>1</v>
      </c>
      <c r="F277" s="2" t="n">
        <v>5.5</v>
      </c>
      <c r="G277" t="inlineStr">
        <is>
          <t>a</t>
        </is>
      </c>
      <c r="I277" s="2" t="n">
        <v>986</v>
      </c>
      <c r="J277" t="n">
        <v>40</v>
      </c>
      <c r="K277" s="3" t="n">
        <v>986</v>
      </c>
      <c r="L277" s="3" t="n">
        <v>0.5</v>
      </c>
      <c r="M277" s="4" t="n">
        <v>0.008999999999999999</v>
      </c>
      <c r="N277" t="inlineStr">
        <is>
          <t>adjusted xGOT</t>
        </is>
      </c>
      <c r="O277" s="4" t="n">
        <v>0.988</v>
      </c>
      <c r="P277" s="4" t="n">
        <v>0.1</v>
      </c>
      <c r="Q277" s="4" t="n">
        <v>0.0421</v>
      </c>
      <c r="R277" s="4" t="n">
        <v>0.222</v>
      </c>
      <c r="S277" s="4" t="n">
        <v>0.09130000000000001</v>
      </c>
      <c r="T277" s="4" t="n">
        <v>2.556</v>
      </c>
      <c r="U277" s="4">
        <f>IF(T277="",IFERROR(VLOOKUP($C277,Assumptions!$A$4:$F$7,6,FALSE),0),T277)</f>
        <v/>
      </c>
      <c r="V277" s="4">
        <f>N(M277)*IFERROR(VLOOKUP($C277,Assumptions!$A$4:$F$7,2,FALSE),0)</f>
        <v/>
      </c>
      <c r="W277" s="4">
        <f>N(Q277)*IFERROR(VLOOKUP($C277,Assumptions!$A$4:$F$7,3,FALSE),0)*Assumptions!$B$11</f>
        <v/>
      </c>
      <c r="X277" s="4">
        <f>N(L277)*IFERROR(VLOOKUP($C277,Assumptions!$A$4:$F$7,4,FALSE),0)</f>
        <v/>
      </c>
      <c r="Y277" s="4">
        <f>N(R277)*IFERROR(VLOOKUP($C277,Assumptions!$A$4:$F$7,5,FALSE),0)</f>
        <v/>
      </c>
      <c r="Z277" s="4">
        <f>N(S277)</f>
        <v/>
      </c>
      <c r="AA277" s="4">
        <f>SUM(U277:Z277)</f>
        <v/>
      </c>
      <c r="AB277" s="4">
        <f>N(AA277)*N(K277)/90</f>
        <v/>
      </c>
      <c r="AC277" s="4">
        <f>IFERROR(AB277-VLOOKUP($C277,Assumptions!$A$29:$C$32,3,FALSE),"")</f>
        <v/>
      </c>
      <c r="AD277" s="4">
        <f>IFERROR(AC277/F277,"")</f>
        <v/>
      </c>
      <c r="AE277">
        <f>IF(AND($E277=TRUE,$C277="GKP"),AB277,"")</f>
        <v/>
      </c>
      <c r="AF277">
        <f>IF(AND($E277=TRUE,$C277="DEF"),AB277,"")</f>
        <v/>
      </c>
      <c r="AG277">
        <f>IF(AND($E277=TRUE,$C277="MID"),AB277,"")</f>
        <v/>
      </c>
      <c r="AH277">
        <f>IF(AND($E277=TRUE,$C277="FWD"),AB277,"")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b">
        <v>1</v>
      </c>
      <c r="F278" s="2" t="n">
        <v>6</v>
      </c>
      <c r="G278" t="inlineStr">
        <is>
          <t>a</t>
        </is>
      </c>
      <c r="I278" s="2" t="n">
        <v>997</v>
      </c>
      <c r="J278" t="n">
        <v>40</v>
      </c>
      <c r="K278" s="3" t="n">
        <v>997</v>
      </c>
      <c r="L278" s="3" t="n">
        <v>0.237</v>
      </c>
      <c r="M278" s="4" t="n">
        <v>0.2459</v>
      </c>
      <c r="N278" t="inlineStr">
        <is>
          <t>adjusted xGOT</t>
        </is>
      </c>
      <c r="O278" s="4" t="n">
        <v>0.917</v>
      </c>
      <c r="P278" s="4" t="n">
        <v>42.6</v>
      </c>
      <c r="Q278" s="4" t="n">
        <v>0.0423</v>
      </c>
      <c r="R278" s="4" t="n">
        <v>0</v>
      </c>
      <c r="S278" s="4" t="n">
        <v>0.3611</v>
      </c>
      <c r="T278" s="4" t="n">
        <v>2.257</v>
      </c>
      <c r="U278" s="4">
        <f>IF(T278="",IFERROR(VLOOKUP($C278,Assumptions!$A$4:$F$7,6,FALSE),0),T278)</f>
        <v/>
      </c>
      <c r="V278" s="4">
        <f>N(M278)*IFERROR(VLOOKUP($C278,Assumptions!$A$4:$F$7,2,FALSE),0)</f>
        <v/>
      </c>
      <c r="W278" s="4">
        <f>N(Q278)*IFERROR(VLOOKUP($C278,Assumptions!$A$4:$F$7,3,FALSE),0)*Assumptions!$B$11</f>
        <v/>
      </c>
      <c r="X278" s="4">
        <f>N(L278)*IFERROR(VLOOKUP($C278,Assumptions!$A$4:$F$7,4,FALSE),0)</f>
        <v/>
      </c>
      <c r="Y278" s="4">
        <f>N(R278)*IFERROR(VLOOKUP($C278,Assumptions!$A$4:$F$7,5,FALSE),0)</f>
        <v/>
      </c>
      <c r="Z278" s="4">
        <f>N(S278)</f>
        <v/>
      </c>
      <c r="AA278" s="4">
        <f>SUM(U278:Z278)</f>
        <v/>
      </c>
      <c r="AB278" s="4">
        <f>N(AA278)*N(K278)/90</f>
        <v/>
      </c>
      <c r="AC278" s="4">
        <f>IFERROR(AB278-VLOOKUP($C278,Assumptions!$A$29:$C$32,3,FALSE),"")</f>
        <v/>
      </c>
      <c r="AD278" s="4">
        <f>IFERROR(AC278/F278,"")</f>
        <v/>
      </c>
      <c r="AE278">
        <f>IF(AND($E278=TRUE,$C278="GKP"),AB278,"")</f>
        <v/>
      </c>
      <c r="AF278">
        <f>IF(AND($E278=TRUE,$C278="DEF"),AB278,"")</f>
        <v/>
      </c>
      <c r="AG278">
        <f>IF(AND($E278=TRUE,$C278="MID"),AB278,"")</f>
        <v/>
      </c>
      <c r="AH278">
        <f>IF(AND($E278=TRUE,$C278="FWD"),AB278,"")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b">
        <v>1</v>
      </c>
      <c r="F279" s="2" t="n">
        <v>5</v>
      </c>
      <c r="G279" t="inlineStr">
        <is>
          <t>a</t>
        </is>
      </c>
      <c r="I279" s="2" t="n">
        <v>872</v>
      </c>
      <c r="J279" t="n">
        <v>40</v>
      </c>
      <c r="K279" s="3" t="n">
        <v>872</v>
      </c>
      <c r="L279" s="3" t="n">
        <v>0.29</v>
      </c>
      <c r="M279" s="4" t="n">
        <v>0.0071</v>
      </c>
      <c r="N279" t="inlineStr">
        <is>
          <t>adjusted xGOT</t>
        </is>
      </c>
      <c r="O279" s="4" t="n">
        <v>0.993</v>
      </c>
      <c r="P279" s="4" t="n">
        <v>1.7</v>
      </c>
      <c r="Q279" s="4" t="n">
        <v>0.0447</v>
      </c>
      <c r="R279" s="4" t="n">
        <v>0.875</v>
      </c>
      <c r="S279" s="4" t="n">
        <v>0</v>
      </c>
      <c r="T279" s="4" t="n">
        <v>2.683</v>
      </c>
      <c r="U279" s="4">
        <f>IF(T279="",IFERROR(VLOOKUP($C279,Assumptions!$A$4:$F$7,6,FALSE),0),T279)</f>
        <v/>
      </c>
      <c r="V279" s="4">
        <f>N(M279)*IFERROR(VLOOKUP($C279,Assumptions!$A$4:$F$7,2,FALSE),0)</f>
        <v/>
      </c>
      <c r="W279" s="4">
        <f>N(Q279)*IFERROR(VLOOKUP($C279,Assumptions!$A$4:$F$7,3,FALSE),0)*Assumptions!$B$11</f>
        <v/>
      </c>
      <c r="X279" s="4">
        <f>N(L279)*IFERROR(VLOOKUP($C279,Assumptions!$A$4:$F$7,4,FALSE),0)</f>
        <v/>
      </c>
      <c r="Y279" s="4">
        <f>N(R279)*IFERROR(VLOOKUP($C279,Assumptions!$A$4:$F$7,5,FALSE),0)</f>
        <v/>
      </c>
      <c r="Z279" s="4">
        <f>N(S279)</f>
        <v/>
      </c>
      <c r="AA279" s="4">
        <f>SUM(U279:Z279)</f>
        <v/>
      </c>
      <c r="AB279" s="4">
        <f>N(AA279)*N(K279)/90</f>
        <v/>
      </c>
      <c r="AC279" s="4">
        <f>IFERROR(AB279-VLOOKUP($C279,Assumptions!$A$29:$C$32,3,FALSE),"")</f>
        <v/>
      </c>
      <c r="AD279" s="4">
        <f>IFERROR(AC279/F279,"")</f>
        <v/>
      </c>
      <c r="AE279">
        <f>IF(AND($E279=TRUE,$C279="GKP"),AB279,"")</f>
        <v/>
      </c>
      <c r="AF279">
        <f>IF(AND($E279=TRUE,$C279="DEF"),AB279,"")</f>
        <v/>
      </c>
      <c r="AG279">
        <f>IF(AND($E279=TRUE,$C279="MID"),AB279,"")</f>
        <v/>
      </c>
      <c r="AH279">
        <f>IF(AND($E279=TRUE,$C279="FWD"),AB279,"")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b">
        <v>1</v>
      </c>
      <c r="F280" s="2" t="n">
        <v>4.5</v>
      </c>
      <c r="G280" t="inlineStr">
        <is>
          <t>a</t>
        </is>
      </c>
      <c r="I280" s="2" t="n">
        <v>657</v>
      </c>
      <c r="J280" t="n">
        <v>39</v>
      </c>
      <c r="K280" s="3" t="n">
        <v>657</v>
      </c>
      <c r="L280" s="3" t="n">
        <v>0.237</v>
      </c>
      <c r="M280" s="4" t="n">
        <v>0.0864</v>
      </c>
      <c r="N280" t="inlineStr">
        <is>
          <t>adjusted xGOT</t>
        </is>
      </c>
      <c r="O280" s="4" t="n">
        <v>1.018</v>
      </c>
      <c r="P280" s="4" t="n">
        <v>0.8</v>
      </c>
      <c r="Q280" s="4" t="n">
        <v>0.0184</v>
      </c>
      <c r="R280" s="4" t="n">
        <v>0</v>
      </c>
      <c r="S280" s="4" t="n">
        <v>0.6849</v>
      </c>
      <c r="T280" s="4" t="n">
        <v>3.288</v>
      </c>
      <c r="U280" s="4">
        <f>IF(T280="",IFERROR(VLOOKUP($C280,Assumptions!$A$4:$F$7,6,FALSE),0),T280)</f>
        <v/>
      </c>
      <c r="V280" s="4">
        <f>N(M280)*IFERROR(VLOOKUP($C280,Assumptions!$A$4:$F$7,2,FALSE),0)</f>
        <v/>
      </c>
      <c r="W280" s="4">
        <f>N(Q280)*IFERROR(VLOOKUP($C280,Assumptions!$A$4:$F$7,3,FALSE),0)*Assumptions!$B$11</f>
        <v/>
      </c>
      <c r="X280" s="4">
        <f>N(L280)*IFERROR(VLOOKUP($C280,Assumptions!$A$4:$F$7,4,FALSE),0)</f>
        <v/>
      </c>
      <c r="Y280" s="4">
        <f>N(R280)*IFERROR(VLOOKUP($C280,Assumptions!$A$4:$F$7,5,FALSE),0)</f>
        <v/>
      </c>
      <c r="Z280" s="4">
        <f>N(S280)</f>
        <v/>
      </c>
      <c r="AA280" s="4">
        <f>SUM(U280:Z280)</f>
        <v/>
      </c>
      <c r="AB280" s="4">
        <f>N(AA280)*N(K280)/90</f>
        <v/>
      </c>
      <c r="AC280" s="4">
        <f>IFERROR(AB280-VLOOKUP($C280,Assumptions!$A$29:$C$32,3,FALSE),"")</f>
        <v/>
      </c>
      <c r="AD280" s="4">
        <f>IFERROR(AC280/F280,"")</f>
        <v/>
      </c>
      <c r="AE280">
        <f>IF(AND($E280=TRUE,$C280="GKP"),AB280,"")</f>
        <v/>
      </c>
      <c r="AF280">
        <f>IF(AND($E280=TRUE,$C280="DEF"),AB280,"")</f>
        <v/>
      </c>
      <c r="AG280">
        <f>IF(AND($E280=TRUE,$C280="MID"),AB280,"")</f>
        <v/>
      </c>
      <c r="AH280">
        <f>IF(AND($E280=TRUE,$C280="FWD"),AB280,"")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b">
        <v>1</v>
      </c>
      <c r="F281" s="2" t="n">
        <v>4.5</v>
      </c>
      <c r="G281" t="inlineStr">
        <is>
          <t>i</t>
        </is>
      </c>
      <c r="H281" t="inlineStr">
        <is>
          <t>Knee injury - Unknown return date</t>
        </is>
      </c>
      <c r="I281" s="2" t="n">
        <v>1025</v>
      </c>
      <c r="J281" t="n">
        <v>39</v>
      </c>
      <c r="K281" s="3" t="n">
        <v>1025</v>
      </c>
      <c r="L281" s="3" t="n">
        <v>0.237</v>
      </c>
      <c r="M281" s="4" t="n">
        <v>0.1209</v>
      </c>
      <c r="N281" t="inlineStr">
        <is>
          <t>adjusted xGOT</t>
        </is>
      </c>
      <c r="O281" s="4" t="n">
        <v>1.028</v>
      </c>
      <c r="P281" s="4" t="n">
        <v>1.3</v>
      </c>
      <c r="Q281" s="4" t="n">
        <v>0.0459</v>
      </c>
      <c r="R281" s="4" t="n">
        <v>0</v>
      </c>
      <c r="S281" s="4" t="n">
        <v>0</v>
      </c>
      <c r="T281" s="4" t="n">
        <v>2.107</v>
      </c>
      <c r="U281" s="4">
        <f>IF(T281="",IFERROR(VLOOKUP($C281,Assumptions!$A$4:$F$7,6,FALSE),0),T281)</f>
        <v/>
      </c>
      <c r="V281" s="4">
        <f>N(M281)*IFERROR(VLOOKUP($C281,Assumptions!$A$4:$F$7,2,FALSE),0)</f>
        <v/>
      </c>
      <c r="W281" s="4">
        <f>N(Q281)*IFERROR(VLOOKUP($C281,Assumptions!$A$4:$F$7,3,FALSE),0)*Assumptions!$B$11</f>
        <v/>
      </c>
      <c r="X281" s="4">
        <f>N(L281)*IFERROR(VLOOKUP($C281,Assumptions!$A$4:$F$7,4,FALSE),0)</f>
        <v/>
      </c>
      <c r="Y281" s="4">
        <f>N(R281)*IFERROR(VLOOKUP($C281,Assumptions!$A$4:$F$7,5,FALSE),0)</f>
        <v/>
      </c>
      <c r="Z281" s="4">
        <f>N(S281)</f>
        <v/>
      </c>
      <c r="AA281" s="4">
        <f>SUM(U281:Z281)</f>
        <v/>
      </c>
      <c r="AB281" s="4">
        <f>N(AA281)*N(K281)/90</f>
        <v/>
      </c>
      <c r="AC281" s="4">
        <f>IFERROR(AB281-VLOOKUP($C281,Assumptions!$A$29:$C$32,3,FALSE),"")</f>
        <v/>
      </c>
      <c r="AD281" s="4">
        <f>IFERROR(AC281/F281,"")</f>
        <v/>
      </c>
      <c r="AE281">
        <f>IF(AND($E281=TRUE,$C281="GKP"),AB281,"")</f>
        <v/>
      </c>
      <c r="AF281">
        <f>IF(AND($E281=TRUE,$C281="DEF"),AB281,"")</f>
        <v/>
      </c>
      <c r="AG281">
        <f>IF(AND($E281=TRUE,$C281="MID"),AB281,"")</f>
        <v/>
      </c>
      <c r="AH281">
        <f>IF(AND($E281=TRUE,$C281="FWD"),AB281,"")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b">
        <v>1</v>
      </c>
      <c r="F282" s="2" t="n">
        <v>4.5</v>
      </c>
      <c r="G282" t="inlineStr">
        <is>
          <t>a</t>
        </is>
      </c>
      <c r="I282" s="2" t="n">
        <v>935</v>
      </c>
      <c r="J282" t="n">
        <v>39</v>
      </c>
      <c r="K282" s="3" t="n">
        <v>935</v>
      </c>
      <c r="L282" s="3" t="n">
        <v>0.237</v>
      </c>
      <c r="M282" s="4" t="n">
        <v>0.0048</v>
      </c>
      <c r="N282" t="inlineStr">
        <is>
          <t>adjusted xGOT</t>
        </is>
      </c>
      <c r="O282" s="4" t="n">
        <v>0.991</v>
      </c>
      <c r="P282" s="4" t="n">
        <v>0.1</v>
      </c>
      <c r="Q282" s="4" t="n">
        <v>0.0503</v>
      </c>
      <c r="R282" s="4" t="n">
        <v>0.636</v>
      </c>
      <c r="S282" s="4" t="n">
        <v>0.0963</v>
      </c>
      <c r="T282" s="4" t="n">
        <v>2.406</v>
      </c>
      <c r="U282" s="4">
        <f>IF(T282="",IFERROR(VLOOKUP($C282,Assumptions!$A$4:$F$7,6,FALSE),0),T282)</f>
        <v/>
      </c>
      <c r="V282" s="4">
        <f>N(M282)*IFERROR(VLOOKUP($C282,Assumptions!$A$4:$F$7,2,FALSE),0)</f>
        <v/>
      </c>
      <c r="W282" s="4">
        <f>N(Q282)*IFERROR(VLOOKUP($C282,Assumptions!$A$4:$F$7,3,FALSE),0)*Assumptions!$B$11</f>
        <v/>
      </c>
      <c r="X282" s="4">
        <f>N(L282)*IFERROR(VLOOKUP($C282,Assumptions!$A$4:$F$7,4,FALSE),0)</f>
        <v/>
      </c>
      <c r="Y282" s="4">
        <f>N(R282)*IFERROR(VLOOKUP($C282,Assumptions!$A$4:$F$7,5,FALSE),0)</f>
        <v/>
      </c>
      <c r="Z282" s="4">
        <f>N(S282)</f>
        <v/>
      </c>
      <c r="AA282" s="4">
        <f>SUM(U282:Z282)</f>
        <v/>
      </c>
      <c r="AB282" s="4">
        <f>N(AA282)*N(K282)/90</f>
        <v/>
      </c>
      <c r="AC282" s="4">
        <f>IFERROR(AB282-VLOOKUP($C282,Assumptions!$A$29:$C$32,3,FALSE),"")</f>
        <v/>
      </c>
      <c r="AD282" s="4">
        <f>IFERROR(AC282/F282,"")</f>
        <v/>
      </c>
      <c r="AE282">
        <f>IF(AND($E282=TRUE,$C282="GKP"),AB282,"")</f>
        <v/>
      </c>
      <c r="AF282">
        <f>IF(AND($E282=TRUE,$C282="DEF"),AB282,"")</f>
        <v/>
      </c>
      <c r="AG282">
        <f>IF(AND($E282=TRUE,$C282="MID"),AB282,"")</f>
        <v/>
      </c>
      <c r="AH282">
        <f>IF(AND($E282=TRUE,$C282="FWD"),AB282,"")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b">
        <v>1</v>
      </c>
      <c r="F283" s="2" t="n">
        <v>4.5</v>
      </c>
      <c r="G283" t="inlineStr">
        <is>
          <t>a</t>
        </is>
      </c>
      <c r="I283" s="2" t="n">
        <v>799</v>
      </c>
      <c r="J283" t="n">
        <v>39</v>
      </c>
      <c r="K283" s="3" t="n">
        <v>799</v>
      </c>
      <c r="L283" s="3" t="n">
        <v>0.263</v>
      </c>
      <c r="M283" s="4" t="n">
        <v>0.0056</v>
      </c>
      <c r="N283" t="inlineStr">
        <is>
          <t>adjusted xGOT</t>
        </is>
      </c>
      <c r="O283" s="4" t="n">
        <v>0.994</v>
      </c>
      <c r="P283" s="4" t="n">
        <v>0</v>
      </c>
      <c r="Q283" s="4" t="n">
        <v>0.0348</v>
      </c>
      <c r="R283" s="4" t="n">
        <v>0.222</v>
      </c>
      <c r="S283" s="4" t="n">
        <v>0.3379</v>
      </c>
      <c r="T283" s="4" t="n">
        <v>2.253</v>
      </c>
      <c r="U283" s="4">
        <f>IF(T283="",IFERROR(VLOOKUP($C283,Assumptions!$A$4:$F$7,6,FALSE),0),T283)</f>
        <v/>
      </c>
      <c r="V283" s="4">
        <f>N(M283)*IFERROR(VLOOKUP($C283,Assumptions!$A$4:$F$7,2,FALSE),0)</f>
        <v/>
      </c>
      <c r="W283" s="4">
        <f>N(Q283)*IFERROR(VLOOKUP($C283,Assumptions!$A$4:$F$7,3,FALSE),0)*Assumptions!$B$11</f>
        <v/>
      </c>
      <c r="X283" s="4">
        <f>N(L283)*IFERROR(VLOOKUP($C283,Assumptions!$A$4:$F$7,4,FALSE),0)</f>
        <v/>
      </c>
      <c r="Y283" s="4">
        <f>N(R283)*IFERROR(VLOOKUP($C283,Assumptions!$A$4:$F$7,5,FALSE),0)</f>
        <v/>
      </c>
      <c r="Z283" s="4">
        <f>N(S283)</f>
        <v/>
      </c>
      <c r="AA283" s="4">
        <f>SUM(U283:Z283)</f>
        <v/>
      </c>
      <c r="AB283" s="4">
        <f>N(AA283)*N(K283)/90</f>
        <v/>
      </c>
      <c r="AC283" s="4">
        <f>IFERROR(AB283-VLOOKUP($C283,Assumptions!$A$29:$C$32,3,FALSE),"")</f>
        <v/>
      </c>
      <c r="AD283" s="4">
        <f>IFERROR(AC283/F283,"")</f>
        <v/>
      </c>
      <c r="AE283">
        <f>IF(AND($E283=TRUE,$C283="GKP"),AB283,"")</f>
        <v/>
      </c>
      <c r="AF283">
        <f>IF(AND($E283=TRUE,$C283="DEF"),AB283,"")</f>
        <v/>
      </c>
      <c r="AG283">
        <f>IF(AND($E283=TRUE,$C283="MID"),AB283,"")</f>
        <v/>
      </c>
      <c r="AH283">
        <f>IF(AND($E283=TRUE,$C283="FWD"),AB283,"")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b">
        <v>1</v>
      </c>
      <c r="F284" s="2" t="n">
        <v>5</v>
      </c>
      <c r="G284" t="inlineStr">
        <is>
          <t>a</t>
        </is>
      </c>
      <c r="I284" s="2" t="n">
        <v>972</v>
      </c>
      <c r="J284" t="n">
        <v>38</v>
      </c>
      <c r="K284" s="3" t="n">
        <v>972</v>
      </c>
      <c r="L284" s="3" t="n">
        <v>0.21</v>
      </c>
      <c r="M284" s="4" t="n">
        <v>0.1076</v>
      </c>
      <c r="N284" t="inlineStr">
        <is>
          <t>adjusted xGOT</t>
        </is>
      </c>
      <c r="O284" s="4" t="n">
        <v>0.922</v>
      </c>
      <c r="P284" s="4" t="n">
        <v>11.1</v>
      </c>
      <c r="Q284" s="4" t="n">
        <v>0.1467</v>
      </c>
      <c r="R284" s="4" t="n">
        <v>0</v>
      </c>
      <c r="S284" s="4" t="n">
        <v>0</v>
      </c>
      <c r="T284" s="4" t="n">
        <v>2.963</v>
      </c>
      <c r="U284" s="4">
        <f>IF(T284="",IFERROR(VLOOKUP($C284,Assumptions!$A$4:$F$7,6,FALSE),0),T284)</f>
        <v/>
      </c>
      <c r="V284" s="4">
        <f>N(M284)*IFERROR(VLOOKUP($C284,Assumptions!$A$4:$F$7,2,FALSE),0)</f>
        <v/>
      </c>
      <c r="W284" s="4">
        <f>N(Q284)*IFERROR(VLOOKUP($C284,Assumptions!$A$4:$F$7,3,FALSE),0)*Assumptions!$B$11</f>
        <v/>
      </c>
      <c r="X284" s="4">
        <f>N(L284)*IFERROR(VLOOKUP($C284,Assumptions!$A$4:$F$7,4,FALSE),0)</f>
        <v/>
      </c>
      <c r="Y284" s="4">
        <f>N(R284)*IFERROR(VLOOKUP($C284,Assumptions!$A$4:$F$7,5,FALSE),0)</f>
        <v/>
      </c>
      <c r="Z284" s="4">
        <f>N(S284)</f>
        <v/>
      </c>
      <c r="AA284" s="4">
        <f>SUM(U284:Z284)</f>
        <v/>
      </c>
      <c r="AB284" s="4">
        <f>N(AA284)*N(K284)/90</f>
        <v/>
      </c>
      <c r="AC284" s="4">
        <f>IFERROR(AB284-VLOOKUP($C284,Assumptions!$A$29:$C$32,3,FALSE),"")</f>
        <v/>
      </c>
      <c r="AD284" s="4">
        <f>IFERROR(AC284/F284,"")</f>
        <v/>
      </c>
      <c r="AE284">
        <f>IF(AND($E284=TRUE,$C284="GKP"),AB284,"")</f>
        <v/>
      </c>
      <c r="AF284">
        <f>IF(AND($E284=TRUE,$C284="DEF"),AB284,"")</f>
        <v/>
      </c>
      <c r="AG284">
        <f>IF(AND($E284=TRUE,$C284="MID"),AB284,"")</f>
        <v/>
      </c>
      <c r="AH284">
        <f>IF(AND($E284=TRUE,$C284="FWD"),AB284,"")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b">
        <v>1</v>
      </c>
      <c r="F285" s="2" t="n">
        <v>5</v>
      </c>
      <c r="G285" t="inlineStr">
        <is>
          <t>i</t>
        </is>
      </c>
      <c r="H285" t="inlineStr">
        <is>
          <t>Knee injury - Unknown return date</t>
        </is>
      </c>
      <c r="I285" s="2" t="n">
        <v>876</v>
      </c>
      <c r="J285" t="n">
        <v>38</v>
      </c>
      <c r="K285" s="3" t="n">
        <v>876</v>
      </c>
      <c r="L285" s="3" t="n">
        <v>0.21</v>
      </c>
      <c r="M285" s="4" t="n">
        <v>0.0639</v>
      </c>
      <c r="N285" t="inlineStr">
        <is>
          <t>adjusted xGOT</t>
        </is>
      </c>
      <c r="O285" s="4" t="n">
        <v>0.864</v>
      </c>
      <c r="P285" s="4" t="n">
        <v>1.7</v>
      </c>
      <c r="Q285" s="4" t="n">
        <v>0.0148</v>
      </c>
      <c r="R285" s="4" t="n">
        <v>0.5</v>
      </c>
      <c r="S285" s="4" t="n">
        <v>0</v>
      </c>
      <c r="T285" s="4" t="n">
        <v>3.082</v>
      </c>
      <c r="U285" s="4">
        <f>IF(T285="",IFERROR(VLOOKUP($C285,Assumptions!$A$4:$F$7,6,FALSE),0),T285)</f>
        <v/>
      </c>
      <c r="V285" s="4">
        <f>N(M285)*IFERROR(VLOOKUP($C285,Assumptions!$A$4:$F$7,2,FALSE),0)</f>
        <v/>
      </c>
      <c r="W285" s="4">
        <f>N(Q285)*IFERROR(VLOOKUP($C285,Assumptions!$A$4:$F$7,3,FALSE),0)*Assumptions!$B$11</f>
        <v/>
      </c>
      <c r="X285" s="4">
        <f>N(L285)*IFERROR(VLOOKUP($C285,Assumptions!$A$4:$F$7,4,FALSE),0)</f>
        <v/>
      </c>
      <c r="Y285" s="4">
        <f>N(R285)*IFERROR(VLOOKUP($C285,Assumptions!$A$4:$F$7,5,FALSE),0)</f>
        <v/>
      </c>
      <c r="Z285" s="4">
        <f>N(S285)</f>
        <v/>
      </c>
      <c r="AA285" s="4">
        <f>SUM(U285:Z285)</f>
        <v/>
      </c>
      <c r="AB285" s="4">
        <f>N(AA285)*N(K285)/90</f>
        <v/>
      </c>
      <c r="AC285" s="4">
        <f>IFERROR(AB285-VLOOKUP($C285,Assumptions!$A$29:$C$32,3,FALSE),"")</f>
        <v/>
      </c>
      <c r="AD285" s="4">
        <f>IFERROR(AC285/F285,"")</f>
        <v/>
      </c>
      <c r="AE285">
        <f>IF(AND($E285=TRUE,$C285="GKP"),AB285,"")</f>
        <v/>
      </c>
      <c r="AF285">
        <f>IF(AND($E285=TRUE,$C285="DEF"),AB285,"")</f>
        <v/>
      </c>
      <c r="AG285">
        <f>IF(AND($E285=TRUE,$C285="MID"),AB285,"")</f>
        <v/>
      </c>
      <c r="AH285">
        <f>IF(AND($E285=TRUE,$C285="FWD"),AB285,"")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b">
        <v>1</v>
      </c>
      <c r="F286" s="2" t="n">
        <v>5.5</v>
      </c>
      <c r="G286" t="inlineStr">
        <is>
          <t>a</t>
        </is>
      </c>
      <c r="I286" s="2" t="n">
        <v>317</v>
      </c>
      <c r="J286" t="n">
        <v>37</v>
      </c>
      <c r="K286" s="3" t="n">
        <v>317</v>
      </c>
      <c r="L286" s="3" t="n">
        <v>0.263</v>
      </c>
      <c r="M286" s="4" t="n">
        <v>0.429</v>
      </c>
      <c r="N286" t="inlineStr">
        <is>
          <t>adjusted xGOT</t>
        </is>
      </c>
      <c r="O286" s="4" t="n">
        <v>1.042</v>
      </c>
      <c r="P286" s="4" t="n">
        <v>1.8</v>
      </c>
      <c r="Q286" s="4" t="n">
        <v>0.2956</v>
      </c>
      <c r="R286" s="4" t="n">
        <v>0</v>
      </c>
      <c r="S286" s="4" t="n">
        <v>0</v>
      </c>
      <c r="T286" s="4" t="n">
        <v>7.666</v>
      </c>
      <c r="U286" s="4">
        <f>IF(T286="",IFERROR(VLOOKUP($C286,Assumptions!$A$4:$F$7,6,FALSE),0),T286)</f>
        <v/>
      </c>
      <c r="V286" s="4">
        <f>N(M286)*IFERROR(VLOOKUP($C286,Assumptions!$A$4:$F$7,2,FALSE),0)</f>
        <v/>
      </c>
      <c r="W286" s="4">
        <f>N(Q286)*IFERROR(VLOOKUP($C286,Assumptions!$A$4:$F$7,3,FALSE),0)*Assumptions!$B$11</f>
        <v/>
      </c>
      <c r="X286" s="4">
        <f>N(L286)*IFERROR(VLOOKUP($C286,Assumptions!$A$4:$F$7,4,FALSE),0)</f>
        <v/>
      </c>
      <c r="Y286" s="4">
        <f>N(R286)*IFERROR(VLOOKUP($C286,Assumptions!$A$4:$F$7,5,FALSE),0)</f>
        <v/>
      </c>
      <c r="Z286" s="4">
        <f>N(S286)</f>
        <v/>
      </c>
      <c r="AA286" s="4">
        <f>SUM(U286:Z286)</f>
        <v/>
      </c>
      <c r="AB286" s="4">
        <f>N(AA286)*N(K286)/90</f>
        <v/>
      </c>
      <c r="AC286" s="4">
        <f>IFERROR(AB286-VLOOKUP($C286,Assumptions!$A$29:$C$32,3,FALSE),"")</f>
        <v/>
      </c>
      <c r="AD286" s="4">
        <f>IFERROR(AC286/F286,"")</f>
        <v/>
      </c>
      <c r="AE286">
        <f>IF(AND($E286=TRUE,$C286="GKP"),AB286,"")</f>
        <v/>
      </c>
      <c r="AF286">
        <f>IF(AND($E286=TRUE,$C286="DEF"),AB286,"")</f>
        <v/>
      </c>
      <c r="AG286">
        <f>IF(AND($E286=TRUE,$C286="MID"),AB286,"")</f>
        <v/>
      </c>
      <c r="AH286">
        <f>IF(AND($E286=TRUE,$C286="FWD"),AB286,"")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b">
        <v>1</v>
      </c>
      <c r="F287" s="2" t="n">
        <v>4.5</v>
      </c>
      <c r="G287" t="inlineStr">
        <is>
          <t>a</t>
        </is>
      </c>
      <c r="I287" s="2" t="n">
        <v>679</v>
      </c>
      <c r="J287" t="n">
        <v>37</v>
      </c>
      <c r="K287" s="3" t="n">
        <v>679</v>
      </c>
      <c r="L287" s="3" t="n">
        <v>0.263</v>
      </c>
      <c r="M287" s="4" t="n">
        <v>0.055</v>
      </c>
      <c r="N287" t="inlineStr">
        <is>
          <t>adjusted xGOT</t>
        </is>
      </c>
      <c r="O287" s="4" t="n">
        <v>0.9419999999999999</v>
      </c>
      <c r="P287" s="4" t="n">
        <v>1</v>
      </c>
      <c r="Q287" s="4" t="n">
        <v>0.0513</v>
      </c>
      <c r="R287" s="4" t="n">
        <v>0.125</v>
      </c>
      <c r="S287" s="4" t="n">
        <v>0</v>
      </c>
      <c r="T287" s="4" t="n">
        <v>3.711</v>
      </c>
      <c r="U287" s="4">
        <f>IF(T287="",IFERROR(VLOOKUP($C287,Assumptions!$A$4:$F$7,6,FALSE),0),T287)</f>
        <v/>
      </c>
      <c r="V287" s="4">
        <f>N(M287)*IFERROR(VLOOKUP($C287,Assumptions!$A$4:$F$7,2,FALSE),0)</f>
        <v/>
      </c>
      <c r="W287" s="4">
        <f>N(Q287)*IFERROR(VLOOKUP($C287,Assumptions!$A$4:$F$7,3,FALSE),0)*Assumptions!$B$11</f>
        <v/>
      </c>
      <c r="X287" s="4">
        <f>N(L287)*IFERROR(VLOOKUP($C287,Assumptions!$A$4:$F$7,4,FALSE),0)</f>
        <v/>
      </c>
      <c r="Y287" s="4">
        <f>N(R287)*IFERROR(VLOOKUP($C287,Assumptions!$A$4:$F$7,5,FALSE),0)</f>
        <v/>
      </c>
      <c r="Z287" s="4">
        <f>N(S287)</f>
        <v/>
      </c>
      <c r="AA287" s="4">
        <f>SUM(U287:Z287)</f>
        <v/>
      </c>
      <c r="AB287" s="4">
        <f>N(AA287)*N(K287)/90</f>
        <v/>
      </c>
      <c r="AC287" s="4">
        <f>IFERROR(AB287-VLOOKUP($C287,Assumptions!$A$29:$C$32,3,FALSE),"")</f>
        <v/>
      </c>
      <c r="AD287" s="4">
        <f>IFERROR(AC287/F287,"")</f>
        <v/>
      </c>
      <c r="AE287">
        <f>IF(AND($E287=TRUE,$C287="GKP"),AB287,"")</f>
        <v/>
      </c>
      <c r="AF287">
        <f>IF(AND($E287=TRUE,$C287="DEF"),AB287,"")</f>
        <v/>
      </c>
      <c r="AG287">
        <f>IF(AND($E287=TRUE,$C287="MID"),AB287,"")</f>
        <v/>
      </c>
      <c r="AH287">
        <f>IF(AND($E287=TRUE,$C287="FWD"),AB287,"")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b">
        <v>1</v>
      </c>
      <c r="F288" s="2" t="n">
        <v>5</v>
      </c>
      <c r="G288" t="inlineStr">
        <is>
          <t>a</t>
        </is>
      </c>
      <c r="I288" s="2" t="n">
        <v>758</v>
      </c>
      <c r="J288" t="n">
        <v>36</v>
      </c>
      <c r="K288" s="3" t="n">
        <v>758</v>
      </c>
      <c r="L288" s="3" t="n">
        <v>0.29</v>
      </c>
      <c r="M288" s="4" t="n">
        <v>0.1026</v>
      </c>
      <c r="N288" t="inlineStr">
        <is>
          <t>adjusted xGOT</t>
        </is>
      </c>
      <c r="O288" s="4" t="n">
        <v>1.004</v>
      </c>
      <c r="P288" s="4" t="n">
        <v>0.9</v>
      </c>
      <c r="Q288" s="4" t="n">
        <v>0.1258</v>
      </c>
      <c r="R288" s="4" t="n">
        <v>0</v>
      </c>
      <c r="S288" s="4" t="n">
        <v>0</v>
      </c>
      <c r="T288" s="4" t="n">
        <v>2.968</v>
      </c>
      <c r="U288" s="4">
        <f>IF(T288="",IFERROR(VLOOKUP($C288,Assumptions!$A$4:$F$7,6,FALSE),0),T288)</f>
        <v/>
      </c>
      <c r="V288" s="4">
        <f>N(M288)*IFERROR(VLOOKUP($C288,Assumptions!$A$4:$F$7,2,FALSE),0)</f>
        <v/>
      </c>
      <c r="W288" s="4">
        <f>N(Q288)*IFERROR(VLOOKUP($C288,Assumptions!$A$4:$F$7,3,FALSE),0)*Assumptions!$B$11</f>
        <v/>
      </c>
      <c r="X288" s="4">
        <f>N(L288)*IFERROR(VLOOKUP($C288,Assumptions!$A$4:$F$7,4,FALSE),0)</f>
        <v/>
      </c>
      <c r="Y288" s="4">
        <f>N(R288)*IFERROR(VLOOKUP($C288,Assumptions!$A$4:$F$7,5,FALSE),0)</f>
        <v/>
      </c>
      <c r="Z288" s="4">
        <f>N(S288)</f>
        <v/>
      </c>
      <c r="AA288" s="4">
        <f>SUM(U288:Z288)</f>
        <v/>
      </c>
      <c r="AB288" s="4">
        <f>N(AA288)*N(K288)/90</f>
        <v/>
      </c>
      <c r="AC288" s="4">
        <f>IFERROR(AB288-VLOOKUP($C288,Assumptions!$A$29:$C$32,3,FALSE),"")</f>
        <v/>
      </c>
      <c r="AD288" s="4">
        <f>IFERROR(AC288/F288,"")</f>
        <v/>
      </c>
      <c r="AE288">
        <f>IF(AND($E288=TRUE,$C288="GKP"),AB288,"")</f>
        <v/>
      </c>
      <c r="AF288">
        <f>IF(AND($E288=TRUE,$C288="DEF"),AB288,"")</f>
        <v/>
      </c>
      <c r="AG288">
        <f>IF(AND($E288=TRUE,$C288="MID"),AB288,"")</f>
        <v/>
      </c>
      <c r="AH288">
        <f>IF(AND($E288=TRUE,$C288="FWD"),AB288,"")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b">
        <v>1</v>
      </c>
      <c r="F289" s="2" t="n">
        <v>5.5</v>
      </c>
      <c r="G289" t="inlineStr">
        <is>
          <t>a</t>
        </is>
      </c>
      <c r="I289" s="2" t="n">
        <v>987</v>
      </c>
      <c r="J289" t="n">
        <v>36</v>
      </c>
      <c r="K289" s="3" t="n">
        <v>987</v>
      </c>
      <c r="L289" s="3" t="n">
        <v>0.237</v>
      </c>
      <c r="M289" s="4" t="n">
        <v>0.2989</v>
      </c>
      <c r="N289" t="inlineStr">
        <is>
          <t>adjusted xGOT</t>
        </is>
      </c>
      <c r="O289" s="4" t="n">
        <v>0.994</v>
      </c>
      <c r="P289" s="4" t="n">
        <v>18</v>
      </c>
      <c r="Q289" s="4" t="n">
        <v>0.0507</v>
      </c>
      <c r="R289" s="4" t="n">
        <v>0</v>
      </c>
      <c r="S289" s="4" t="n">
        <v>0.2736</v>
      </c>
      <c r="T289" s="4" t="n">
        <v>2.736</v>
      </c>
      <c r="U289" s="4">
        <f>IF(T289="",IFERROR(VLOOKUP($C289,Assumptions!$A$4:$F$7,6,FALSE),0),T289)</f>
        <v/>
      </c>
      <c r="V289" s="4">
        <f>N(M289)*IFERROR(VLOOKUP($C289,Assumptions!$A$4:$F$7,2,FALSE),0)</f>
        <v/>
      </c>
      <c r="W289" s="4">
        <f>N(Q289)*IFERROR(VLOOKUP($C289,Assumptions!$A$4:$F$7,3,FALSE),0)*Assumptions!$B$11</f>
        <v/>
      </c>
      <c r="X289" s="4">
        <f>N(L289)*IFERROR(VLOOKUP($C289,Assumptions!$A$4:$F$7,4,FALSE),0)</f>
        <v/>
      </c>
      <c r="Y289" s="4">
        <f>N(R289)*IFERROR(VLOOKUP($C289,Assumptions!$A$4:$F$7,5,FALSE),0)</f>
        <v/>
      </c>
      <c r="Z289" s="4">
        <f>N(S289)</f>
        <v/>
      </c>
      <c r="AA289" s="4">
        <f>SUM(U289:Z289)</f>
        <v/>
      </c>
      <c r="AB289" s="4">
        <f>N(AA289)*N(K289)/90</f>
        <v/>
      </c>
      <c r="AC289" s="4">
        <f>IFERROR(AB289-VLOOKUP($C289,Assumptions!$A$29:$C$32,3,FALSE),"")</f>
        <v/>
      </c>
      <c r="AD289" s="4">
        <f>IFERROR(AC289/F289,"")</f>
        <v/>
      </c>
      <c r="AE289">
        <f>IF(AND($E289=TRUE,$C289="GKP"),AB289,"")</f>
        <v/>
      </c>
      <c r="AF289">
        <f>IF(AND($E289=TRUE,$C289="DEF"),AB289,"")</f>
        <v/>
      </c>
      <c r="AG289">
        <f>IF(AND($E289=TRUE,$C289="MID"),AB289,"")</f>
        <v/>
      </c>
      <c r="AH289">
        <f>IF(AND($E289=TRUE,$C289="FWD"),AB289,"")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b">
        <v>1</v>
      </c>
      <c r="F290" s="2" t="n">
        <v>7.5</v>
      </c>
      <c r="G290" t="inlineStr">
        <is>
          <t>a</t>
        </is>
      </c>
      <c r="I290" s="2" t="n">
        <v>577</v>
      </c>
      <c r="J290" t="n">
        <v>36</v>
      </c>
      <c r="K290" s="3" t="n">
        <v>577</v>
      </c>
      <c r="L290" s="3" t="n">
        <v>0.5</v>
      </c>
      <c r="M290" s="4" t="n">
        <v>0.475</v>
      </c>
      <c r="N290" t="inlineStr">
        <is>
          <t>adjusted xGOT</t>
        </is>
      </c>
      <c r="O290" s="4" t="n">
        <v>0.92</v>
      </c>
      <c r="P290" s="4" t="n">
        <v>36.8</v>
      </c>
      <c r="Q290" s="4" t="n">
        <v>0.1635</v>
      </c>
      <c r="R290" s="4" t="n">
        <v>0</v>
      </c>
      <c r="S290" s="4" t="n">
        <v>0.4679</v>
      </c>
      <c r="T290" s="4" t="n">
        <v>2.652</v>
      </c>
      <c r="U290" s="4">
        <f>IF(T290="",IFERROR(VLOOKUP($C290,Assumptions!$A$4:$F$7,6,FALSE),0),T290)</f>
        <v/>
      </c>
      <c r="V290" s="4">
        <f>N(M290)*IFERROR(VLOOKUP($C290,Assumptions!$A$4:$F$7,2,FALSE),0)</f>
        <v/>
      </c>
      <c r="W290" s="4">
        <f>N(Q290)*IFERROR(VLOOKUP($C290,Assumptions!$A$4:$F$7,3,FALSE),0)*Assumptions!$B$11</f>
        <v/>
      </c>
      <c r="X290" s="4">
        <f>N(L290)*IFERROR(VLOOKUP($C290,Assumptions!$A$4:$F$7,4,FALSE),0)</f>
        <v/>
      </c>
      <c r="Y290" s="4">
        <f>N(R290)*IFERROR(VLOOKUP($C290,Assumptions!$A$4:$F$7,5,FALSE),0)</f>
        <v/>
      </c>
      <c r="Z290" s="4">
        <f>N(S290)</f>
        <v/>
      </c>
      <c r="AA290" s="4">
        <f>SUM(U290:Z290)</f>
        <v/>
      </c>
      <c r="AB290" s="4">
        <f>N(AA290)*N(K290)/90</f>
        <v/>
      </c>
      <c r="AC290" s="4">
        <f>IFERROR(AB290-VLOOKUP($C290,Assumptions!$A$29:$C$32,3,FALSE),"")</f>
        <v/>
      </c>
      <c r="AD290" s="4">
        <f>IFERROR(AC290/F290,"")</f>
        <v/>
      </c>
      <c r="AE290">
        <f>IF(AND($E290=TRUE,$C290="GKP"),AB290,"")</f>
        <v/>
      </c>
      <c r="AF290">
        <f>IF(AND($E290=TRUE,$C290="DEF"),AB290,"")</f>
        <v/>
      </c>
      <c r="AG290">
        <f>IF(AND($E290=TRUE,$C290="MID"),AB290,"")</f>
        <v/>
      </c>
      <c r="AH290">
        <f>IF(AND($E290=TRUE,$C290="FWD"),AB290,"")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b">
        <v>1</v>
      </c>
      <c r="F291" s="2" t="n">
        <v>5</v>
      </c>
      <c r="G291" t="inlineStr">
        <is>
          <t>a</t>
        </is>
      </c>
      <c r="I291" s="2" t="n">
        <v>785</v>
      </c>
      <c r="J291" t="n">
        <v>36</v>
      </c>
      <c r="K291" s="3" t="n">
        <v>785</v>
      </c>
      <c r="L291" s="3" t="n">
        <v>0.316</v>
      </c>
      <c r="M291" s="4" t="n">
        <v>0.2423</v>
      </c>
      <c r="N291" t="inlineStr">
        <is>
          <t>adjusted xGOT</t>
        </is>
      </c>
      <c r="O291" s="4" t="n">
        <v>0.888</v>
      </c>
      <c r="P291" s="4" t="n">
        <v>3.2</v>
      </c>
      <c r="Q291" s="4" t="n">
        <v>0.0414</v>
      </c>
      <c r="R291" s="4" t="n">
        <v>0.143</v>
      </c>
      <c r="S291" s="4" t="n">
        <v>0</v>
      </c>
      <c r="T291" s="4" t="n">
        <v>3.21</v>
      </c>
      <c r="U291" s="4">
        <f>IF(T291="",IFERROR(VLOOKUP($C291,Assumptions!$A$4:$F$7,6,FALSE),0),T291)</f>
        <v/>
      </c>
      <c r="V291" s="4">
        <f>N(M291)*IFERROR(VLOOKUP($C291,Assumptions!$A$4:$F$7,2,FALSE),0)</f>
        <v/>
      </c>
      <c r="W291" s="4">
        <f>N(Q291)*IFERROR(VLOOKUP($C291,Assumptions!$A$4:$F$7,3,FALSE),0)*Assumptions!$B$11</f>
        <v/>
      </c>
      <c r="X291" s="4">
        <f>N(L291)*IFERROR(VLOOKUP($C291,Assumptions!$A$4:$F$7,4,FALSE),0)</f>
        <v/>
      </c>
      <c r="Y291" s="4">
        <f>N(R291)*IFERROR(VLOOKUP($C291,Assumptions!$A$4:$F$7,5,FALSE),0)</f>
        <v/>
      </c>
      <c r="Z291" s="4">
        <f>N(S291)</f>
        <v/>
      </c>
      <c r="AA291" s="4">
        <f>SUM(U291:Z291)</f>
        <v/>
      </c>
      <c r="AB291" s="4">
        <f>N(AA291)*N(K291)/90</f>
        <v/>
      </c>
      <c r="AC291" s="4">
        <f>IFERROR(AB291-VLOOKUP($C291,Assumptions!$A$29:$C$32,3,FALSE),"")</f>
        <v/>
      </c>
      <c r="AD291" s="4">
        <f>IFERROR(AC291/F291,"")</f>
        <v/>
      </c>
      <c r="AE291">
        <f>IF(AND($E291=TRUE,$C291="GKP"),AB291,"")</f>
        <v/>
      </c>
      <c r="AF291">
        <f>IF(AND($E291=TRUE,$C291="DEF"),AB291,"")</f>
        <v/>
      </c>
      <c r="AG291">
        <f>IF(AND($E291=TRUE,$C291="MID"),AB291,"")</f>
        <v/>
      </c>
      <c r="AH291">
        <f>IF(AND($E291=TRUE,$C291="FWD"),AB291,"")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b">
        <v>1</v>
      </c>
      <c r="F292" s="2" t="n">
        <v>5</v>
      </c>
      <c r="G292" t="inlineStr">
        <is>
          <t>a</t>
        </is>
      </c>
      <c r="I292" s="2" t="n">
        <v>675</v>
      </c>
      <c r="J292" t="n">
        <v>36</v>
      </c>
      <c r="K292" s="3" t="n">
        <v>675</v>
      </c>
      <c r="L292" s="3" t="n">
        <v>0.29</v>
      </c>
      <c r="M292" s="4" t="n">
        <v>0.08550000000000001</v>
      </c>
      <c r="N292" t="inlineStr">
        <is>
          <t>adjusted xGOT</t>
        </is>
      </c>
      <c r="O292" s="4" t="n">
        <v>0.957</v>
      </c>
      <c r="P292" s="4" t="n">
        <v>0.7</v>
      </c>
      <c r="Q292" s="4" t="n">
        <v>0.0474</v>
      </c>
      <c r="R292" s="4" t="n">
        <v>0.167</v>
      </c>
      <c r="S292" s="4" t="n">
        <v>0.2667</v>
      </c>
      <c r="T292" s="4" t="n">
        <v>2.933</v>
      </c>
      <c r="U292" s="4">
        <f>IF(T292="",IFERROR(VLOOKUP($C292,Assumptions!$A$4:$F$7,6,FALSE),0),T292)</f>
        <v/>
      </c>
      <c r="V292" s="4">
        <f>N(M292)*IFERROR(VLOOKUP($C292,Assumptions!$A$4:$F$7,2,FALSE),0)</f>
        <v/>
      </c>
      <c r="W292" s="4">
        <f>N(Q292)*IFERROR(VLOOKUP($C292,Assumptions!$A$4:$F$7,3,FALSE),0)*Assumptions!$B$11</f>
        <v/>
      </c>
      <c r="X292" s="4">
        <f>N(L292)*IFERROR(VLOOKUP($C292,Assumptions!$A$4:$F$7,4,FALSE),0)</f>
        <v/>
      </c>
      <c r="Y292" s="4">
        <f>N(R292)*IFERROR(VLOOKUP($C292,Assumptions!$A$4:$F$7,5,FALSE),0)</f>
        <v/>
      </c>
      <c r="Z292" s="4">
        <f>N(S292)</f>
        <v/>
      </c>
      <c r="AA292" s="4">
        <f>SUM(U292:Z292)</f>
        <v/>
      </c>
      <c r="AB292" s="4">
        <f>N(AA292)*N(K292)/90</f>
        <v/>
      </c>
      <c r="AC292" s="4">
        <f>IFERROR(AB292-VLOOKUP($C292,Assumptions!$A$29:$C$32,3,FALSE),"")</f>
        <v/>
      </c>
      <c r="AD292" s="4">
        <f>IFERROR(AC292/F292,"")</f>
        <v/>
      </c>
      <c r="AE292">
        <f>IF(AND($E292=TRUE,$C292="GKP"),AB292,"")</f>
        <v/>
      </c>
      <c r="AF292">
        <f>IF(AND($E292=TRUE,$C292="DEF"),AB292,"")</f>
        <v/>
      </c>
      <c r="AG292">
        <f>IF(AND($E292=TRUE,$C292="MID"),AB292,"")</f>
        <v/>
      </c>
      <c r="AH292">
        <f>IF(AND($E292=TRUE,$C292="FWD"),AB292,"")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b">
        <v>1</v>
      </c>
      <c r="F293" s="2" t="n">
        <v>5.5</v>
      </c>
      <c r="G293" t="inlineStr">
        <is>
          <t>a</t>
        </is>
      </c>
      <c r="I293" s="2" t="n">
        <v>351</v>
      </c>
      <c r="J293" t="n">
        <v>35</v>
      </c>
      <c r="K293" s="3" t="n">
        <v>351</v>
      </c>
      <c r="L293" s="3" t="n">
        <v>0.263</v>
      </c>
      <c r="M293" s="4" t="n">
        <v>0.5479000000000001</v>
      </c>
      <c r="N293" t="inlineStr">
        <is>
          <t>adjusted xGOT</t>
        </is>
      </c>
      <c r="O293" s="4" t="n">
        <v>1.008</v>
      </c>
      <c r="P293" s="4" t="n">
        <v>2.1</v>
      </c>
      <c r="Q293" s="4" t="n">
        <v>0.2333</v>
      </c>
      <c r="R293" s="4" t="n">
        <v>0</v>
      </c>
      <c r="S293" s="4" t="n">
        <v>0.7692</v>
      </c>
      <c r="T293" s="4" t="n">
        <v>5.897</v>
      </c>
      <c r="U293" s="4">
        <f>IF(T293="",IFERROR(VLOOKUP($C293,Assumptions!$A$4:$F$7,6,FALSE),0),T293)</f>
        <v/>
      </c>
      <c r="V293" s="4">
        <f>N(M293)*IFERROR(VLOOKUP($C293,Assumptions!$A$4:$F$7,2,FALSE),0)</f>
        <v/>
      </c>
      <c r="W293" s="4">
        <f>N(Q293)*IFERROR(VLOOKUP($C293,Assumptions!$A$4:$F$7,3,FALSE),0)*Assumptions!$B$11</f>
        <v/>
      </c>
      <c r="X293" s="4">
        <f>N(L293)*IFERROR(VLOOKUP($C293,Assumptions!$A$4:$F$7,4,FALSE),0)</f>
        <v/>
      </c>
      <c r="Y293" s="4">
        <f>N(R293)*IFERROR(VLOOKUP($C293,Assumptions!$A$4:$F$7,5,FALSE),0)</f>
        <v/>
      </c>
      <c r="Z293" s="4">
        <f>N(S293)</f>
        <v/>
      </c>
      <c r="AA293" s="4">
        <f>SUM(U293:Z293)</f>
        <v/>
      </c>
      <c r="AB293" s="4">
        <f>N(AA293)*N(K293)/90</f>
        <v/>
      </c>
      <c r="AC293" s="4">
        <f>IFERROR(AB293-VLOOKUP($C293,Assumptions!$A$29:$C$32,3,FALSE),"")</f>
        <v/>
      </c>
      <c r="AD293" s="4">
        <f>IFERROR(AC293/F293,"")</f>
        <v/>
      </c>
      <c r="AE293">
        <f>IF(AND($E293=TRUE,$C293="GKP"),AB293,"")</f>
        <v/>
      </c>
      <c r="AF293">
        <f>IF(AND($E293=TRUE,$C293="DEF"),AB293,"")</f>
        <v/>
      </c>
      <c r="AG293">
        <f>IF(AND($E293=TRUE,$C293="MID"),AB293,"")</f>
        <v/>
      </c>
      <c r="AH293">
        <f>IF(AND($E293=TRUE,$C293="FWD"),AB293,"")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b">
        <v>1</v>
      </c>
      <c r="F294" s="2" t="n">
        <v>4.5</v>
      </c>
      <c r="G294" t="inlineStr">
        <is>
          <t>a</t>
        </is>
      </c>
      <c r="I294" s="2" t="n">
        <v>788</v>
      </c>
      <c r="J294" t="n">
        <v>34</v>
      </c>
      <c r="K294" s="3" t="n">
        <v>788</v>
      </c>
      <c r="L294" s="3" t="n">
        <v>0.237</v>
      </c>
      <c r="M294" s="4" t="n">
        <v>0.0126</v>
      </c>
      <c r="N294" t="inlineStr">
        <is>
          <t>adjusted xGOT</t>
        </is>
      </c>
      <c r="O294" s="4" t="n">
        <v>0.997</v>
      </c>
      <c r="P294" s="4" t="n">
        <v>2.5</v>
      </c>
      <c r="Q294" s="4" t="n">
        <v>0.0466</v>
      </c>
      <c r="R294" s="4" t="n">
        <v>0.5</v>
      </c>
      <c r="S294" s="4" t="n">
        <v>0.2284</v>
      </c>
      <c r="T294" s="4" t="n">
        <v>2.627</v>
      </c>
      <c r="U294" s="4">
        <f>IF(T294="",IFERROR(VLOOKUP($C294,Assumptions!$A$4:$F$7,6,FALSE),0),T294)</f>
        <v/>
      </c>
      <c r="V294" s="4">
        <f>N(M294)*IFERROR(VLOOKUP($C294,Assumptions!$A$4:$F$7,2,FALSE),0)</f>
        <v/>
      </c>
      <c r="W294" s="4">
        <f>N(Q294)*IFERROR(VLOOKUP($C294,Assumptions!$A$4:$F$7,3,FALSE),0)*Assumptions!$B$11</f>
        <v/>
      </c>
      <c r="X294" s="4">
        <f>N(L294)*IFERROR(VLOOKUP($C294,Assumptions!$A$4:$F$7,4,FALSE),0)</f>
        <v/>
      </c>
      <c r="Y294" s="4">
        <f>N(R294)*IFERROR(VLOOKUP($C294,Assumptions!$A$4:$F$7,5,FALSE),0)</f>
        <v/>
      </c>
      <c r="Z294" s="4">
        <f>N(S294)</f>
        <v/>
      </c>
      <c r="AA294" s="4">
        <f>SUM(U294:Z294)</f>
        <v/>
      </c>
      <c r="AB294" s="4">
        <f>N(AA294)*N(K294)/90</f>
        <v/>
      </c>
      <c r="AC294" s="4">
        <f>IFERROR(AB294-VLOOKUP($C294,Assumptions!$A$29:$C$32,3,FALSE),"")</f>
        <v/>
      </c>
      <c r="AD294" s="4">
        <f>IFERROR(AC294/F294,"")</f>
        <v/>
      </c>
      <c r="AE294">
        <f>IF(AND($E294=TRUE,$C294="GKP"),AB294,"")</f>
        <v/>
      </c>
      <c r="AF294">
        <f>IF(AND($E294=TRUE,$C294="DEF"),AB294,"")</f>
        <v/>
      </c>
      <c r="AG294">
        <f>IF(AND($E294=TRUE,$C294="MID"),AB294,"")</f>
        <v/>
      </c>
      <c r="AH294">
        <f>IF(AND($E294=TRUE,$C294="FWD"),AB294,"")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b">
        <v>1</v>
      </c>
      <c r="F295" s="2" t="n">
        <v>5</v>
      </c>
      <c r="G295" t="inlineStr">
        <is>
          <t>a</t>
        </is>
      </c>
      <c r="I295" s="2" t="n">
        <v>867</v>
      </c>
      <c r="J295" t="n">
        <v>34</v>
      </c>
      <c r="K295" s="3" t="n">
        <v>867</v>
      </c>
      <c r="L295" s="3" t="n">
        <v>0.263</v>
      </c>
      <c r="M295" s="4" t="n">
        <v>0</v>
      </c>
      <c r="N295" t="inlineStr">
        <is>
          <t>blended xG</t>
        </is>
      </c>
      <c r="O295" s="4" t="n">
        <v>1</v>
      </c>
      <c r="P295" s="4" t="n">
        <v>0</v>
      </c>
      <c r="Q295" s="4" t="n">
        <v>0</v>
      </c>
      <c r="R295" s="4" t="n">
        <v>0</v>
      </c>
      <c r="S295" s="4" t="n">
        <v>0.2076</v>
      </c>
      <c r="T295" s="4" t="n">
        <v>1.972</v>
      </c>
      <c r="U295" s="4">
        <f>IF(T295="",IFERROR(VLOOKUP($C295,Assumptions!$A$4:$F$7,6,FALSE),0),T295)</f>
        <v/>
      </c>
      <c r="V295" s="4">
        <f>N(M295)*IFERROR(VLOOKUP($C295,Assumptions!$A$4:$F$7,2,FALSE),0)</f>
        <v/>
      </c>
      <c r="W295" s="4">
        <f>N(Q295)*IFERROR(VLOOKUP($C295,Assumptions!$A$4:$F$7,3,FALSE),0)*Assumptions!$B$11</f>
        <v/>
      </c>
      <c r="X295" s="4">
        <f>N(L295)*IFERROR(VLOOKUP($C295,Assumptions!$A$4:$F$7,4,FALSE),0)</f>
        <v/>
      </c>
      <c r="Y295" s="4">
        <f>N(R295)*IFERROR(VLOOKUP($C295,Assumptions!$A$4:$F$7,5,FALSE),0)</f>
        <v/>
      </c>
      <c r="Z295" s="4">
        <f>N(S295)</f>
        <v/>
      </c>
      <c r="AA295" s="4">
        <f>SUM(U295:Z295)</f>
        <v/>
      </c>
      <c r="AB295" s="4">
        <f>N(AA295)*N(K295)/90</f>
        <v/>
      </c>
      <c r="AC295" s="4">
        <f>IFERROR(AB295-VLOOKUP($C295,Assumptions!$A$29:$C$32,3,FALSE),"")</f>
        <v/>
      </c>
      <c r="AD295" s="4">
        <f>IFERROR(AC295/F295,"")</f>
        <v/>
      </c>
      <c r="AE295">
        <f>IF(AND($E295=TRUE,$C295="GKP"),AB295,"")</f>
        <v/>
      </c>
      <c r="AF295">
        <f>IF(AND($E295=TRUE,$C295="DEF"),AB295,"")</f>
        <v/>
      </c>
      <c r="AG295">
        <f>IF(AND($E295=TRUE,$C295="MID"),AB295,"")</f>
        <v/>
      </c>
      <c r="AH295">
        <f>IF(AND($E295=TRUE,$C295="FWD"),AB295,"")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b">
        <v>1</v>
      </c>
      <c r="F296" s="2" t="n">
        <v>5</v>
      </c>
      <c r="G296" t="inlineStr">
        <is>
          <t>a</t>
        </is>
      </c>
      <c r="I296" s="2" t="n">
        <v>649</v>
      </c>
      <c r="J296" t="n">
        <v>34</v>
      </c>
      <c r="K296" s="3" t="n">
        <v>649</v>
      </c>
      <c r="L296" s="3" t="n">
        <v>0.29</v>
      </c>
      <c r="M296" s="4" t="n">
        <v>0.0553</v>
      </c>
      <c r="N296" t="inlineStr">
        <is>
          <t>adjusted xGOT</t>
        </is>
      </c>
      <c r="O296" s="4" t="n">
        <v>1.139</v>
      </c>
      <c r="P296" s="4" t="n">
        <v>7</v>
      </c>
      <c r="Q296" s="4" t="n">
        <v>0.09379999999999999</v>
      </c>
      <c r="R296" s="4" t="n">
        <v>0</v>
      </c>
      <c r="S296" s="4" t="n">
        <v>0.416</v>
      </c>
      <c r="T296" s="4" t="n">
        <v>2.912</v>
      </c>
      <c r="U296" s="4">
        <f>IF(T296="",IFERROR(VLOOKUP($C296,Assumptions!$A$4:$F$7,6,FALSE),0),T296)</f>
        <v/>
      </c>
      <c r="V296" s="4">
        <f>N(M296)*IFERROR(VLOOKUP($C296,Assumptions!$A$4:$F$7,2,FALSE),0)</f>
        <v/>
      </c>
      <c r="W296" s="4">
        <f>N(Q296)*IFERROR(VLOOKUP($C296,Assumptions!$A$4:$F$7,3,FALSE),0)*Assumptions!$B$11</f>
        <v/>
      </c>
      <c r="X296" s="4">
        <f>N(L296)*IFERROR(VLOOKUP($C296,Assumptions!$A$4:$F$7,4,FALSE),0)</f>
        <v/>
      </c>
      <c r="Y296" s="4">
        <f>N(R296)*IFERROR(VLOOKUP($C296,Assumptions!$A$4:$F$7,5,FALSE),0)</f>
        <v/>
      </c>
      <c r="Z296" s="4">
        <f>N(S296)</f>
        <v/>
      </c>
      <c r="AA296" s="4">
        <f>SUM(U296:Z296)</f>
        <v/>
      </c>
      <c r="AB296" s="4">
        <f>N(AA296)*N(K296)/90</f>
        <v/>
      </c>
      <c r="AC296" s="4">
        <f>IFERROR(AB296-VLOOKUP($C296,Assumptions!$A$29:$C$32,3,FALSE),"")</f>
        <v/>
      </c>
      <c r="AD296" s="4">
        <f>IFERROR(AC296/F296,"")</f>
        <v/>
      </c>
      <c r="AE296">
        <f>IF(AND($E296=TRUE,$C296="GKP"),AB296,"")</f>
        <v/>
      </c>
      <c r="AF296">
        <f>IF(AND($E296=TRUE,$C296="DEF"),AB296,"")</f>
        <v/>
      </c>
      <c r="AG296">
        <f>IF(AND($E296=TRUE,$C296="MID"),AB296,"")</f>
        <v/>
      </c>
      <c r="AH296">
        <f>IF(AND($E296=TRUE,$C296="FWD"),AB296,"")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b">
        <v>1</v>
      </c>
      <c r="F297" s="2" t="n">
        <v>5</v>
      </c>
      <c r="G297" t="inlineStr">
        <is>
          <t>i</t>
        </is>
      </c>
      <c r="H297" t="inlineStr">
        <is>
          <t>Muscular injury - Unknown return date</t>
        </is>
      </c>
      <c r="I297" s="2" t="n">
        <v>594</v>
      </c>
      <c r="J297" t="n">
        <v>33</v>
      </c>
      <c r="K297" s="3" t="n">
        <v>594</v>
      </c>
      <c r="L297" s="3" t="n">
        <v>0.263</v>
      </c>
      <c r="M297" s="4" t="n">
        <v>0.0397</v>
      </c>
      <c r="N297" t="inlineStr">
        <is>
          <t>adjusted xGOT</t>
        </is>
      </c>
      <c r="O297" s="4" t="n">
        <v>0.9360000000000001</v>
      </c>
      <c r="P297" s="4" t="n">
        <v>1.8</v>
      </c>
      <c r="Q297" s="4" t="n">
        <v>0.1431</v>
      </c>
      <c r="R297" s="4" t="n">
        <v>0</v>
      </c>
      <c r="S297" s="4" t="n">
        <v>0.303</v>
      </c>
      <c r="T297" s="4" t="n">
        <v>3.939</v>
      </c>
      <c r="U297" s="4">
        <f>IF(T297="",IFERROR(VLOOKUP($C297,Assumptions!$A$4:$F$7,6,FALSE),0),T297)</f>
        <v/>
      </c>
      <c r="V297" s="4">
        <f>N(M297)*IFERROR(VLOOKUP($C297,Assumptions!$A$4:$F$7,2,FALSE),0)</f>
        <v/>
      </c>
      <c r="W297" s="4">
        <f>N(Q297)*IFERROR(VLOOKUP($C297,Assumptions!$A$4:$F$7,3,FALSE),0)*Assumptions!$B$11</f>
        <v/>
      </c>
      <c r="X297" s="4">
        <f>N(L297)*IFERROR(VLOOKUP($C297,Assumptions!$A$4:$F$7,4,FALSE),0)</f>
        <v/>
      </c>
      <c r="Y297" s="4">
        <f>N(R297)*IFERROR(VLOOKUP($C297,Assumptions!$A$4:$F$7,5,FALSE),0)</f>
        <v/>
      </c>
      <c r="Z297" s="4">
        <f>N(S297)</f>
        <v/>
      </c>
      <c r="AA297" s="4">
        <f>SUM(U297:Z297)</f>
        <v/>
      </c>
      <c r="AB297" s="4">
        <f>N(AA297)*N(K297)/90</f>
        <v/>
      </c>
      <c r="AC297" s="4">
        <f>IFERROR(AB297-VLOOKUP($C297,Assumptions!$A$29:$C$32,3,FALSE),"")</f>
        <v/>
      </c>
      <c r="AD297" s="4">
        <f>IFERROR(AC297/F297,"")</f>
        <v/>
      </c>
      <c r="AE297">
        <f>IF(AND($E297=TRUE,$C297="GKP"),AB297,"")</f>
        <v/>
      </c>
      <c r="AF297">
        <f>IF(AND($E297=TRUE,$C297="DEF"),AB297,"")</f>
        <v/>
      </c>
      <c r="AG297">
        <f>IF(AND($E297=TRUE,$C297="MID"),AB297,"")</f>
        <v/>
      </c>
      <c r="AH297">
        <f>IF(AND($E297=TRUE,$C297="FWD"),AB297,"")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b">
        <v>1</v>
      </c>
      <c r="F298" s="2" t="n">
        <v>5.5</v>
      </c>
      <c r="G298" t="inlineStr">
        <is>
          <t>a</t>
        </is>
      </c>
      <c r="I298" s="2" t="n">
        <v>678</v>
      </c>
      <c r="J298" t="n">
        <v>32</v>
      </c>
      <c r="K298" s="3" t="n">
        <v>678</v>
      </c>
      <c r="L298" s="3" t="n">
        <v>0.29</v>
      </c>
      <c r="M298" s="4" t="n">
        <v>0.0445</v>
      </c>
      <c r="N298" t="inlineStr">
        <is>
          <t>adjusted xGOT</t>
        </is>
      </c>
      <c r="O298" s="4" t="n">
        <v>0.986</v>
      </c>
      <c r="P298" s="4" t="n">
        <v>3.2</v>
      </c>
      <c r="Q298" s="4" t="n">
        <v>0.0321</v>
      </c>
      <c r="R298" s="4" t="n">
        <v>0.429</v>
      </c>
      <c r="S298" s="4" t="n">
        <v>0</v>
      </c>
      <c r="T298" s="4" t="n">
        <v>2.257</v>
      </c>
      <c r="U298" s="4">
        <f>IF(T298="",IFERROR(VLOOKUP($C298,Assumptions!$A$4:$F$7,6,FALSE),0),T298)</f>
        <v/>
      </c>
      <c r="V298" s="4">
        <f>N(M298)*IFERROR(VLOOKUP($C298,Assumptions!$A$4:$F$7,2,FALSE),0)</f>
        <v/>
      </c>
      <c r="W298" s="4">
        <f>N(Q298)*IFERROR(VLOOKUP($C298,Assumptions!$A$4:$F$7,3,FALSE),0)*Assumptions!$B$11</f>
        <v/>
      </c>
      <c r="X298" s="4">
        <f>N(L298)*IFERROR(VLOOKUP($C298,Assumptions!$A$4:$F$7,4,FALSE),0)</f>
        <v/>
      </c>
      <c r="Y298" s="4">
        <f>N(R298)*IFERROR(VLOOKUP($C298,Assumptions!$A$4:$F$7,5,FALSE),0)</f>
        <v/>
      </c>
      <c r="Z298" s="4">
        <f>N(S298)</f>
        <v/>
      </c>
      <c r="AA298" s="4">
        <f>SUM(U298:Z298)</f>
        <v/>
      </c>
      <c r="AB298" s="4">
        <f>N(AA298)*N(K298)/90</f>
        <v/>
      </c>
      <c r="AC298" s="4">
        <f>IFERROR(AB298-VLOOKUP($C298,Assumptions!$A$29:$C$32,3,FALSE),"")</f>
        <v/>
      </c>
      <c r="AD298" s="4">
        <f>IFERROR(AC298/F298,"")</f>
        <v/>
      </c>
      <c r="AE298">
        <f>IF(AND($E298=TRUE,$C298="GKP"),AB298,"")</f>
        <v/>
      </c>
      <c r="AF298">
        <f>IF(AND($E298=TRUE,$C298="DEF"),AB298,"")</f>
        <v/>
      </c>
      <c r="AG298">
        <f>IF(AND($E298=TRUE,$C298="MID"),AB298,"")</f>
        <v/>
      </c>
      <c r="AH298">
        <f>IF(AND($E298=TRUE,$C298="FWD"),AB298,"")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b">
        <v>1</v>
      </c>
      <c r="F299" s="2" t="n">
        <v>5</v>
      </c>
      <c r="G299" t="inlineStr">
        <is>
          <t>a</t>
        </is>
      </c>
      <c r="I299" s="2" t="n">
        <v>521</v>
      </c>
      <c r="J299" t="n">
        <v>32</v>
      </c>
      <c r="K299" s="3" t="n">
        <v>521</v>
      </c>
      <c r="L299" s="3" t="n">
        <v>0.21</v>
      </c>
      <c r="M299" s="4" t="n">
        <v>0.0672</v>
      </c>
      <c r="N299" t="inlineStr">
        <is>
          <t>adjusted xGOT</t>
        </is>
      </c>
      <c r="O299" s="4" t="n">
        <v>0.972</v>
      </c>
      <c r="P299" s="4" t="n">
        <v>2.2</v>
      </c>
      <c r="Q299" s="4" t="n">
        <v>0.1742</v>
      </c>
      <c r="R299" s="4" t="n">
        <v>0</v>
      </c>
      <c r="S299" s="4" t="n">
        <v>0</v>
      </c>
      <c r="T299" s="4" t="n">
        <v>4.319</v>
      </c>
      <c r="U299" s="4">
        <f>IF(T299="",IFERROR(VLOOKUP($C299,Assumptions!$A$4:$F$7,6,FALSE),0),T299)</f>
        <v/>
      </c>
      <c r="V299" s="4">
        <f>N(M299)*IFERROR(VLOOKUP($C299,Assumptions!$A$4:$F$7,2,FALSE),0)</f>
        <v/>
      </c>
      <c r="W299" s="4">
        <f>N(Q299)*IFERROR(VLOOKUP($C299,Assumptions!$A$4:$F$7,3,FALSE),0)*Assumptions!$B$11</f>
        <v/>
      </c>
      <c r="X299" s="4">
        <f>N(L299)*IFERROR(VLOOKUP($C299,Assumptions!$A$4:$F$7,4,FALSE),0)</f>
        <v/>
      </c>
      <c r="Y299" s="4">
        <f>N(R299)*IFERROR(VLOOKUP($C299,Assumptions!$A$4:$F$7,5,FALSE),0)</f>
        <v/>
      </c>
      <c r="Z299" s="4">
        <f>N(S299)</f>
        <v/>
      </c>
      <c r="AA299" s="4">
        <f>SUM(U299:Z299)</f>
        <v/>
      </c>
      <c r="AB299" s="4">
        <f>N(AA299)*N(K299)/90</f>
        <v/>
      </c>
      <c r="AC299" s="4">
        <f>IFERROR(AB299-VLOOKUP($C299,Assumptions!$A$29:$C$32,3,FALSE),"")</f>
        <v/>
      </c>
      <c r="AD299" s="4">
        <f>IFERROR(AC299/F299,"")</f>
        <v/>
      </c>
      <c r="AE299">
        <f>IF(AND($E299=TRUE,$C299="GKP"),AB299,"")</f>
        <v/>
      </c>
      <c r="AF299">
        <f>IF(AND($E299=TRUE,$C299="DEF"),AB299,"")</f>
        <v/>
      </c>
      <c r="AG299">
        <f>IF(AND($E299=TRUE,$C299="MID"),AB299,"")</f>
        <v/>
      </c>
      <c r="AH299">
        <f>IF(AND($E299=TRUE,$C299="FWD"),AB299,"")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b">
        <v>1</v>
      </c>
      <c r="F300" s="2" t="n">
        <v>4</v>
      </c>
      <c r="G300" t="inlineStr">
        <is>
          <t>a</t>
        </is>
      </c>
      <c r="I300" s="2" t="n">
        <v>812</v>
      </c>
      <c r="J300" t="n">
        <v>31</v>
      </c>
      <c r="K300" s="3" t="n">
        <v>812</v>
      </c>
      <c r="L300" s="3" t="n"/>
      <c r="M300" s="4" t="n">
        <v>0.09619999999999999</v>
      </c>
      <c r="N300" t="inlineStr">
        <is>
          <t>adjusted xGOT</t>
        </is>
      </c>
      <c r="O300" s="4" t="n">
        <v>1.085</v>
      </c>
      <c r="P300" s="4" t="n">
        <v>1.9</v>
      </c>
      <c r="Q300" s="4" t="n">
        <v>0.0028</v>
      </c>
      <c r="R300" s="4" t="n">
        <v>0.125</v>
      </c>
      <c r="S300" s="4" t="n">
        <v>0.3325</v>
      </c>
      <c r="T300" s="4" t="n">
        <v>2.328</v>
      </c>
      <c r="U300" s="4">
        <f>IF(T300="",IFERROR(VLOOKUP($C300,Assumptions!$A$4:$F$7,6,FALSE),0),T300)</f>
        <v/>
      </c>
      <c r="V300" s="4">
        <f>N(M300)*IFERROR(VLOOKUP($C300,Assumptions!$A$4:$F$7,2,FALSE),0)</f>
        <v/>
      </c>
      <c r="W300" s="4">
        <f>N(Q300)*IFERROR(VLOOKUP($C300,Assumptions!$A$4:$F$7,3,FALSE),0)*Assumptions!$B$11</f>
        <v/>
      </c>
      <c r="X300" s="4">
        <f>N(L300)*IFERROR(VLOOKUP($C300,Assumptions!$A$4:$F$7,4,FALSE),0)</f>
        <v/>
      </c>
      <c r="Y300" s="4">
        <f>N(R300)*IFERROR(VLOOKUP($C300,Assumptions!$A$4:$F$7,5,FALSE),0)</f>
        <v/>
      </c>
      <c r="Z300" s="4">
        <f>N(S300)</f>
        <v/>
      </c>
      <c r="AA300" s="4">
        <f>SUM(U300:Z300)</f>
        <v/>
      </c>
      <c r="AB300" s="4">
        <f>N(AA300)*N(K300)/90</f>
        <v/>
      </c>
      <c r="AC300" s="4">
        <f>IFERROR(AB300-VLOOKUP($C300,Assumptions!$A$29:$C$32,3,FALSE),"")</f>
        <v/>
      </c>
      <c r="AD300" s="4">
        <f>IFERROR(AC300/F300,"")</f>
        <v/>
      </c>
      <c r="AE300">
        <f>IF(AND($E300=TRUE,$C300="GKP"),AB300,"")</f>
        <v/>
      </c>
      <c r="AF300">
        <f>IF(AND($E300=TRUE,$C300="DEF"),AB300,"")</f>
        <v/>
      </c>
      <c r="AG300">
        <f>IF(AND($E300=TRUE,$C300="MID"),AB300,"")</f>
        <v/>
      </c>
      <c r="AH300">
        <f>IF(AND($E300=TRUE,$C300="FWD"),AB300,"")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b">
        <v>1</v>
      </c>
      <c r="F301" s="2" t="n">
        <v>4.5</v>
      </c>
      <c r="G301" t="inlineStr">
        <is>
          <t>a</t>
        </is>
      </c>
      <c r="I301" s="2" t="n">
        <v>602</v>
      </c>
      <c r="J301" t="n">
        <v>30</v>
      </c>
      <c r="K301" s="3" t="n">
        <v>602</v>
      </c>
      <c r="L301" s="3" t="n">
        <v>0.237</v>
      </c>
      <c r="M301" s="4" t="n">
        <v>0.0646</v>
      </c>
      <c r="N301" t="inlineStr">
        <is>
          <t>adjusted xGOT</t>
        </is>
      </c>
      <c r="O301" s="4" t="n">
        <v>0.881</v>
      </c>
      <c r="P301" s="4" t="n">
        <v>7.7</v>
      </c>
      <c r="Q301" s="4" t="n">
        <v>0.0447</v>
      </c>
      <c r="R301" s="4" t="n">
        <v>0.5</v>
      </c>
      <c r="S301" s="4" t="n">
        <v>0</v>
      </c>
      <c r="T301" s="4" t="n">
        <v>3.738</v>
      </c>
      <c r="U301" s="4">
        <f>IF(T301="",IFERROR(VLOOKUP($C301,Assumptions!$A$4:$F$7,6,FALSE),0),T301)</f>
        <v/>
      </c>
      <c r="V301" s="4">
        <f>N(M301)*IFERROR(VLOOKUP($C301,Assumptions!$A$4:$F$7,2,FALSE),0)</f>
        <v/>
      </c>
      <c r="W301" s="4">
        <f>N(Q301)*IFERROR(VLOOKUP($C301,Assumptions!$A$4:$F$7,3,FALSE),0)*Assumptions!$B$11</f>
        <v/>
      </c>
      <c r="X301" s="4">
        <f>N(L301)*IFERROR(VLOOKUP($C301,Assumptions!$A$4:$F$7,4,FALSE),0)</f>
        <v/>
      </c>
      <c r="Y301" s="4">
        <f>N(R301)*IFERROR(VLOOKUP($C301,Assumptions!$A$4:$F$7,5,FALSE),0)</f>
        <v/>
      </c>
      <c r="Z301" s="4">
        <f>N(S301)</f>
        <v/>
      </c>
      <c r="AA301" s="4">
        <f>SUM(U301:Z301)</f>
        <v/>
      </c>
      <c r="AB301" s="4">
        <f>N(AA301)*N(K301)/90</f>
        <v/>
      </c>
      <c r="AC301" s="4">
        <f>IFERROR(AB301-VLOOKUP($C301,Assumptions!$A$29:$C$32,3,FALSE),"")</f>
        <v/>
      </c>
      <c r="AD301" s="4">
        <f>IFERROR(AC301/F301,"")</f>
        <v/>
      </c>
      <c r="AE301">
        <f>IF(AND($E301=TRUE,$C301="GKP"),AB301,"")</f>
        <v/>
      </c>
      <c r="AF301">
        <f>IF(AND($E301=TRUE,$C301="DEF"),AB301,"")</f>
        <v/>
      </c>
      <c r="AG301">
        <f>IF(AND($E301=TRUE,$C301="MID"),AB301,"")</f>
        <v/>
      </c>
      <c r="AH301">
        <f>IF(AND($E301=TRUE,$C301="FWD"),AB301,"")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b">
        <v>1</v>
      </c>
      <c r="F302" s="2" t="n">
        <v>4.5</v>
      </c>
      <c r="G302" t="inlineStr">
        <is>
          <t>a</t>
        </is>
      </c>
      <c r="I302" s="2" t="n">
        <v>1335</v>
      </c>
      <c r="J302" t="n">
        <v>29</v>
      </c>
      <c r="K302" s="3" t="n">
        <v>1335</v>
      </c>
      <c r="L302" s="3" t="n">
        <v>0.237</v>
      </c>
      <c r="M302" s="4" t="n">
        <v>0.0132</v>
      </c>
      <c r="N302" t="inlineStr">
        <is>
          <t>adjusted xGOT</t>
        </is>
      </c>
      <c r="O302" s="4" t="n">
        <v>1.091</v>
      </c>
      <c r="P302" s="4" t="n">
        <v>2.9</v>
      </c>
      <c r="Q302" s="4" t="n">
        <v>0.0621</v>
      </c>
      <c r="R302" s="4" t="n">
        <v>0</v>
      </c>
      <c r="S302" s="4" t="n">
        <v>0.0674</v>
      </c>
      <c r="T302" s="4" t="n">
        <v>2.225</v>
      </c>
      <c r="U302" s="4">
        <f>IF(T302="",IFERROR(VLOOKUP($C302,Assumptions!$A$4:$F$7,6,FALSE),0),T302)</f>
        <v/>
      </c>
      <c r="V302" s="4">
        <f>N(M302)*IFERROR(VLOOKUP($C302,Assumptions!$A$4:$F$7,2,FALSE),0)</f>
        <v/>
      </c>
      <c r="W302" s="4">
        <f>N(Q302)*IFERROR(VLOOKUP($C302,Assumptions!$A$4:$F$7,3,FALSE),0)*Assumptions!$B$11</f>
        <v/>
      </c>
      <c r="X302" s="4">
        <f>N(L302)*IFERROR(VLOOKUP($C302,Assumptions!$A$4:$F$7,4,FALSE),0)</f>
        <v/>
      </c>
      <c r="Y302" s="4">
        <f>N(R302)*IFERROR(VLOOKUP($C302,Assumptions!$A$4:$F$7,5,FALSE),0)</f>
        <v/>
      </c>
      <c r="Z302" s="4">
        <f>N(S302)</f>
        <v/>
      </c>
      <c r="AA302" s="4">
        <f>SUM(U302:Z302)</f>
        <v/>
      </c>
      <c r="AB302" s="4">
        <f>N(AA302)*N(K302)/90</f>
        <v/>
      </c>
      <c r="AC302" s="4">
        <f>IFERROR(AB302-VLOOKUP($C302,Assumptions!$A$29:$C$32,3,FALSE),"")</f>
        <v/>
      </c>
      <c r="AD302" s="4">
        <f>IFERROR(AC302/F302,"")</f>
        <v/>
      </c>
      <c r="AE302">
        <f>IF(AND($E302=TRUE,$C302="GKP"),AB302,"")</f>
        <v/>
      </c>
      <c r="AF302">
        <f>IF(AND($E302=TRUE,$C302="DEF"),AB302,"")</f>
        <v/>
      </c>
      <c r="AG302">
        <f>IF(AND($E302=TRUE,$C302="MID"),AB302,"")</f>
        <v/>
      </c>
      <c r="AH302">
        <f>IF(AND($E302=TRUE,$C302="FWD"),AB302,"")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b">
        <v>1</v>
      </c>
      <c r="F303" s="2" t="n">
        <v>5.5</v>
      </c>
      <c r="G303" t="inlineStr">
        <is>
          <t>a</t>
        </is>
      </c>
      <c r="I303" s="2" t="n">
        <v>697</v>
      </c>
      <c r="J303" t="n">
        <v>29</v>
      </c>
      <c r="K303" s="3" t="n">
        <v>697</v>
      </c>
      <c r="L303" s="3" t="n">
        <v>0.5</v>
      </c>
      <c r="M303" s="4" t="n">
        <v>0.0128</v>
      </c>
      <c r="N303" t="inlineStr">
        <is>
          <t>adjusted xGOT</t>
        </is>
      </c>
      <c r="O303" s="4" t="n">
        <v>0.993</v>
      </c>
      <c r="P303" s="4" t="n">
        <v>0.3</v>
      </c>
      <c r="Q303" s="4" t="n">
        <v>0.0244</v>
      </c>
      <c r="R303" s="4" t="n">
        <v>0</v>
      </c>
      <c r="S303" s="4" t="n">
        <v>0</v>
      </c>
      <c r="T303" s="4" t="n">
        <v>3.228</v>
      </c>
      <c r="U303" s="4">
        <f>IF(T303="",IFERROR(VLOOKUP($C303,Assumptions!$A$4:$F$7,6,FALSE),0),T303)</f>
        <v/>
      </c>
      <c r="V303" s="4">
        <f>N(M303)*IFERROR(VLOOKUP($C303,Assumptions!$A$4:$F$7,2,FALSE),0)</f>
        <v/>
      </c>
      <c r="W303" s="4">
        <f>N(Q303)*IFERROR(VLOOKUP($C303,Assumptions!$A$4:$F$7,3,FALSE),0)*Assumptions!$B$11</f>
        <v/>
      </c>
      <c r="X303" s="4">
        <f>N(L303)*IFERROR(VLOOKUP($C303,Assumptions!$A$4:$F$7,4,FALSE),0)</f>
        <v/>
      </c>
      <c r="Y303" s="4">
        <f>N(R303)*IFERROR(VLOOKUP($C303,Assumptions!$A$4:$F$7,5,FALSE),0)</f>
        <v/>
      </c>
      <c r="Z303" s="4">
        <f>N(S303)</f>
        <v/>
      </c>
      <c r="AA303" s="4">
        <f>SUM(U303:Z303)</f>
        <v/>
      </c>
      <c r="AB303" s="4">
        <f>N(AA303)*N(K303)/90</f>
        <v/>
      </c>
      <c r="AC303" s="4">
        <f>IFERROR(AB303-VLOOKUP($C303,Assumptions!$A$29:$C$32,3,FALSE),"")</f>
        <v/>
      </c>
      <c r="AD303" s="4">
        <f>IFERROR(AC303/F303,"")</f>
        <v/>
      </c>
      <c r="AE303">
        <f>IF(AND($E303=TRUE,$C303="GKP"),AB303,"")</f>
        <v/>
      </c>
      <c r="AF303">
        <f>IF(AND($E303=TRUE,$C303="DEF"),AB303,"")</f>
        <v/>
      </c>
      <c r="AG303">
        <f>IF(AND($E303=TRUE,$C303="MID"),AB303,"")</f>
        <v/>
      </c>
      <c r="AH303">
        <f>IF(AND($E303=TRUE,$C303="FWD"),AB303,"")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b">
        <v>1</v>
      </c>
      <c r="F304" s="2" t="n">
        <v>4.5</v>
      </c>
      <c r="G304" t="inlineStr">
        <is>
          <t>a</t>
        </is>
      </c>
      <c r="I304" s="2" t="n">
        <v>942</v>
      </c>
      <c r="J304" t="n">
        <v>29</v>
      </c>
      <c r="K304" s="3" t="n">
        <v>942</v>
      </c>
      <c r="L304" s="3" t="n">
        <v>0.237</v>
      </c>
      <c r="M304" s="4" t="n">
        <v>0.0261</v>
      </c>
      <c r="N304" t="inlineStr">
        <is>
          <t>adjusted xGOT</t>
        </is>
      </c>
      <c r="O304" s="4" t="n">
        <v>0.976</v>
      </c>
      <c r="P304" s="4" t="n">
        <v>1.2</v>
      </c>
      <c r="Q304" s="4" t="n">
        <v>0.0333</v>
      </c>
      <c r="R304" s="4" t="n">
        <v>0</v>
      </c>
      <c r="S304" s="4" t="n">
        <v>0</v>
      </c>
      <c r="T304" s="4" t="n">
        <v>2.58</v>
      </c>
      <c r="U304" s="4">
        <f>IF(T304="",IFERROR(VLOOKUP($C304,Assumptions!$A$4:$F$7,6,FALSE),0),T304)</f>
        <v/>
      </c>
      <c r="V304" s="4">
        <f>N(M304)*IFERROR(VLOOKUP($C304,Assumptions!$A$4:$F$7,2,FALSE),0)</f>
        <v/>
      </c>
      <c r="W304" s="4">
        <f>N(Q304)*IFERROR(VLOOKUP($C304,Assumptions!$A$4:$F$7,3,FALSE),0)*Assumptions!$B$11</f>
        <v/>
      </c>
      <c r="X304" s="4">
        <f>N(L304)*IFERROR(VLOOKUP($C304,Assumptions!$A$4:$F$7,4,FALSE),0)</f>
        <v/>
      </c>
      <c r="Y304" s="4">
        <f>N(R304)*IFERROR(VLOOKUP($C304,Assumptions!$A$4:$F$7,5,FALSE),0)</f>
        <v/>
      </c>
      <c r="Z304" s="4">
        <f>N(S304)</f>
        <v/>
      </c>
      <c r="AA304" s="4">
        <f>SUM(U304:Z304)</f>
        <v/>
      </c>
      <c r="AB304" s="4">
        <f>N(AA304)*N(K304)/90</f>
        <v/>
      </c>
      <c r="AC304" s="4">
        <f>IFERROR(AB304-VLOOKUP($C304,Assumptions!$A$29:$C$32,3,FALSE),"")</f>
        <v/>
      </c>
      <c r="AD304" s="4">
        <f>IFERROR(AC304/F304,"")</f>
        <v/>
      </c>
      <c r="AE304">
        <f>IF(AND($E304=TRUE,$C304="GKP"),AB304,"")</f>
        <v/>
      </c>
      <c r="AF304">
        <f>IF(AND($E304=TRUE,$C304="DEF"),AB304,"")</f>
        <v/>
      </c>
      <c r="AG304">
        <f>IF(AND($E304=TRUE,$C304="MID"),AB304,"")</f>
        <v/>
      </c>
      <c r="AH304">
        <f>IF(AND($E304=TRUE,$C304="FWD"),AB304,"")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b">
        <v>1</v>
      </c>
      <c r="F305" s="2" t="n">
        <v>5</v>
      </c>
      <c r="G305" t="inlineStr">
        <is>
          <t>a</t>
        </is>
      </c>
      <c r="I305" s="2" t="n">
        <v>679</v>
      </c>
      <c r="J305" t="n">
        <v>29</v>
      </c>
      <c r="K305" s="3" t="n">
        <v>679</v>
      </c>
      <c r="L305" s="3" t="n">
        <v>0.29</v>
      </c>
      <c r="M305" s="4" t="n">
        <v>0.1671</v>
      </c>
      <c r="N305" t="inlineStr">
        <is>
          <t>adjusted xGOT</t>
        </is>
      </c>
      <c r="O305" s="4" t="n">
        <v>1.078</v>
      </c>
      <c r="P305" s="4" t="n">
        <v>4.7</v>
      </c>
      <c r="Q305" s="4" t="n">
        <v>0.1162</v>
      </c>
      <c r="R305" s="4" t="n">
        <v>0</v>
      </c>
      <c r="S305" s="4" t="n">
        <v>0</v>
      </c>
      <c r="T305" s="4" t="n">
        <v>3.579</v>
      </c>
      <c r="U305" s="4">
        <f>IF(T305="",IFERROR(VLOOKUP($C305,Assumptions!$A$4:$F$7,6,FALSE),0),T305)</f>
        <v/>
      </c>
      <c r="V305" s="4">
        <f>N(M305)*IFERROR(VLOOKUP($C305,Assumptions!$A$4:$F$7,2,FALSE),0)</f>
        <v/>
      </c>
      <c r="W305" s="4">
        <f>N(Q305)*IFERROR(VLOOKUP($C305,Assumptions!$A$4:$F$7,3,FALSE),0)*Assumptions!$B$11</f>
        <v/>
      </c>
      <c r="X305" s="4">
        <f>N(L305)*IFERROR(VLOOKUP($C305,Assumptions!$A$4:$F$7,4,FALSE),0)</f>
        <v/>
      </c>
      <c r="Y305" s="4">
        <f>N(R305)*IFERROR(VLOOKUP($C305,Assumptions!$A$4:$F$7,5,FALSE),0)</f>
        <v/>
      </c>
      <c r="Z305" s="4">
        <f>N(S305)</f>
        <v/>
      </c>
      <c r="AA305" s="4">
        <f>SUM(U305:Z305)</f>
        <v/>
      </c>
      <c r="AB305" s="4">
        <f>N(AA305)*N(K305)/90</f>
        <v/>
      </c>
      <c r="AC305" s="4">
        <f>IFERROR(AB305-VLOOKUP($C305,Assumptions!$A$29:$C$32,3,FALSE),"")</f>
        <v/>
      </c>
      <c r="AD305" s="4">
        <f>IFERROR(AC305/F305,"")</f>
        <v/>
      </c>
      <c r="AE305">
        <f>IF(AND($E305=TRUE,$C305="GKP"),AB305,"")</f>
        <v/>
      </c>
      <c r="AF305">
        <f>IF(AND($E305=TRUE,$C305="DEF"),AB305,"")</f>
        <v/>
      </c>
      <c r="AG305">
        <f>IF(AND($E305=TRUE,$C305="MID"),AB305,"")</f>
        <v/>
      </c>
      <c r="AH305">
        <f>IF(AND($E305=TRUE,$C305="FWD"),AB305,"")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b">
        <v>1</v>
      </c>
      <c r="F306" s="2" t="n">
        <v>6</v>
      </c>
      <c r="G306" t="inlineStr">
        <is>
          <t>a</t>
        </is>
      </c>
      <c r="I306" s="2" t="n">
        <v>517</v>
      </c>
      <c r="J306" t="n">
        <v>27</v>
      </c>
      <c r="K306" s="3" t="n">
        <v>517</v>
      </c>
      <c r="L306" s="3" t="n">
        <v>0.21</v>
      </c>
      <c r="M306" s="4" t="n">
        <v>0.5092</v>
      </c>
      <c r="N306" t="inlineStr">
        <is>
          <t>adjusted xGOT</t>
        </is>
      </c>
      <c r="O306" s="4" t="n">
        <v>0.9350000000000001</v>
      </c>
      <c r="P306" s="4" t="n">
        <v>37.9</v>
      </c>
      <c r="Q306" s="4" t="n">
        <v>0.0618</v>
      </c>
      <c r="R306" s="4" t="n">
        <v>0</v>
      </c>
      <c r="S306" s="4" t="n">
        <v>0</v>
      </c>
      <c r="T306" s="4" t="n">
        <v>4.004</v>
      </c>
      <c r="U306" s="4">
        <f>IF(T306="",IFERROR(VLOOKUP($C306,Assumptions!$A$4:$F$7,6,FALSE),0),T306)</f>
        <v/>
      </c>
      <c r="V306" s="4">
        <f>N(M306)*IFERROR(VLOOKUP($C306,Assumptions!$A$4:$F$7,2,FALSE),0)</f>
        <v/>
      </c>
      <c r="W306" s="4">
        <f>N(Q306)*IFERROR(VLOOKUP($C306,Assumptions!$A$4:$F$7,3,FALSE),0)*Assumptions!$B$11</f>
        <v/>
      </c>
      <c r="X306" s="4">
        <f>N(L306)*IFERROR(VLOOKUP($C306,Assumptions!$A$4:$F$7,4,FALSE),0)</f>
        <v/>
      </c>
      <c r="Y306" s="4">
        <f>N(R306)*IFERROR(VLOOKUP($C306,Assumptions!$A$4:$F$7,5,FALSE),0)</f>
        <v/>
      </c>
      <c r="Z306" s="4">
        <f>N(S306)</f>
        <v/>
      </c>
      <c r="AA306" s="4">
        <f>SUM(U306:Z306)</f>
        <v/>
      </c>
      <c r="AB306" s="4">
        <f>N(AA306)*N(K306)/90</f>
        <v/>
      </c>
      <c r="AC306" s="4">
        <f>IFERROR(AB306-VLOOKUP($C306,Assumptions!$A$29:$C$32,3,FALSE),"")</f>
        <v/>
      </c>
      <c r="AD306" s="4">
        <f>IFERROR(AC306/F306,"")</f>
        <v/>
      </c>
      <c r="AE306">
        <f>IF(AND($E306=TRUE,$C306="GKP"),AB306,"")</f>
        <v/>
      </c>
      <c r="AF306">
        <f>IF(AND($E306=TRUE,$C306="DEF"),AB306,"")</f>
        <v/>
      </c>
      <c r="AG306">
        <f>IF(AND($E306=TRUE,$C306="MID"),AB306,"")</f>
        <v/>
      </c>
      <c r="AH306">
        <f>IF(AND($E306=TRUE,$C306="FWD"),AB306,"")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b">
        <v>1</v>
      </c>
      <c r="F307" s="2" t="n">
        <v>5.5</v>
      </c>
      <c r="G307" t="inlineStr">
        <is>
          <t>u</t>
        </is>
      </c>
      <c r="H307" t="inlineStr">
        <is>
          <t>Has joined Getafe permanently</t>
        </is>
      </c>
      <c r="I307" s="2" t="n">
        <v>214</v>
      </c>
      <c r="J307" t="n">
        <v>27</v>
      </c>
      <c r="K307" s="3" t="n">
        <v>214</v>
      </c>
      <c r="L307" s="3" t="n">
        <v>0.29</v>
      </c>
      <c r="M307" s="4" t="n">
        <v>0.7023</v>
      </c>
      <c r="N307" t="inlineStr">
        <is>
          <t>adjusted xGOT</t>
        </is>
      </c>
      <c r="O307" s="4" t="n">
        <v>0.835</v>
      </c>
      <c r="P307" s="4" t="n">
        <v>7.6</v>
      </c>
      <c r="Q307" s="4" t="n">
        <v>0.0745</v>
      </c>
      <c r="R307" s="4" t="n"/>
      <c r="S307" s="4" t="n">
        <v>0.4206</v>
      </c>
      <c r="T307" s="4" t="n">
        <v>9.673</v>
      </c>
      <c r="U307" s="4">
        <f>IF(T307="",IFERROR(VLOOKUP($C307,Assumptions!$A$4:$F$7,6,FALSE),0),T307)</f>
        <v/>
      </c>
      <c r="V307" s="4">
        <f>N(M307)*IFERROR(VLOOKUP($C307,Assumptions!$A$4:$F$7,2,FALSE),0)</f>
        <v/>
      </c>
      <c r="W307" s="4">
        <f>N(Q307)*IFERROR(VLOOKUP($C307,Assumptions!$A$4:$F$7,3,FALSE),0)*Assumptions!$B$11</f>
        <v/>
      </c>
      <c r="X307" s="4">
        <f>N(L307)*IFERROR(VLOOKUP($C307,Assumptions!$A$4:$F$7,4,FALSE),0)</f>
        <v/>
      </c>
      <c r="Y307" s="4">
        <f>N(R307)*IFERROR(VLOOKUP($C307,Assumptions!$A$4:$F$7,5,FALSE),0)</f>
        <v/>
      </c>
      <c r="Z307" s="4">
        <f>N(S307)</f>
        <v/>
      </c>
      <c r="AA307" s="4">
        <f>SUM(U307:Z307)</f>
        <v/>
      </c>
      <c r="AB307" s="4">
        <f>N(AA307)*N(K307)/90</f>
        <v/>
      </c>
      <c r="AC307" s="4">
        <f>IFERROR(AB307-VLOOKUP($C307,Assumptions!$A$29:$C$32,3,FALSE),"")</f>
        <v/>
      </c>
      <c r="AD307" s="4">
        <f>IFERROR(AC307/F307,"")</f>
        <v/>
      </c>
      <c r="AE307">
        <f>IF(AND($E307=TRUE,$C307="GKP"),AB307,"")</f>
        <v/>
      </c>
      <c r="AF307">
        <f>IF(AND($E307=TRUE,$C307="DEF"),AB307,"")</f>
        <v/>
      </c>
      <c r="AG307">
        <f>IF(AND($E307=TRUE,$C307="MID"),AB307,"")</f>
        <v/>
      </c>
      <c r="AH307">
        <f>IF(AND($E307=TRUE,$C307="FWD"),AB307,"")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b">
        <v>1</v>
      </c>
      <c r="F308" s="2" t="n">
        <v>4</v>
      </c>
      <c r="G308" t="inlineStr">
        <is>
          <t>a</t>
        </is>
      </c>
      <c r="I308" s="2" t="n">
        <v>565</v>
      </c>
      <c r="J308" t="n">
        <v>26</v>
      </c>
      <c r="K308" s="3" t="n">
        <v>565</v>
      </c>
      <c r="L308" s="3" t="n">
        <v>0.29</v>
      </c>
      <c r="M308" s="4" t="n">
        <v>0.0237</v>
      </c>
      <c r="N308" t="inlineStr">
        <is>
          <t>adjusted xGOT</t>
        </is>
      </c>
      <c r="O308" s="4" t="n">
        <v>0.994</v>
      </c>
      <c r="P308" s="4" t="n">
        <v>0.2</v>
      </c>
      <c r="Q308" s="4" t="n">
        <v>0.0188</v>
      </c>
      <c r="R308" s="4" t="n">
        <v>0.2</v>
      </c>
      <c r="S308" s="4" t="n">
        <v>0.1593</v>
      </c>
      <c r="T308" s="4" t="n">
        <v>2.867</v>
      </c>
      <c r="U308" s="4">
        <f>IF(T308="",IFERROR(VLOOKUP($C308,Assumptions!$A$4:$F$7,6,FALSE),0),T308)</f>
        <v/>
      </c>
      <c r="V308" s="4">
        <f>N(M308)*IFERROR(VLOOKUP($C308,Assumptions!$A$4:$F$7,2,FALSE),0)</f>
        <v/>
      </c>
      <c r="W308" s="4">
        <f>N(Q308)*IFERROR(VLOOKUP($C308,Assumptions!$A$4:$F$7,3,FALSE),0)*Assumptions!$B$11</f>
        <v/>
      </c>
      <c r="X308" s="4">
        <f>N(L308)*IFERROR(VLOOKUP($C308,Assumptions!$A$4:$F$7,4,FALSE),0)</f>
        <v/>
      </c>
      <c r="Y308" s="4">
        <f>N(R308)*IFERROR(VLOOKUP($C308,Assumptions!$A$4:$F$7,5,FALSE),0)</f>
        <v/>
      </c>
      <c r="Z308" s="4">
        <f>N(S308)</f>
        <v/>
      </c>
      <c r="AA308" s="4">
        <f>SUM(U308:Z308)</f>
        <v/>
      </c>
      <c r="AB308" s="4">
        <f>N(AA308)*N(K308)/90</f>
        <v/>
      </c>
      <c r="AC308" s="4">
        <f>IFERROR(AB308-VLOOKUP($C308,Assumptions!$A$29:$C$32,3,FALSE),"")</f>
        <v/>
      </c>
      <c r="AD308" s="4">
        <f>IFERROR(AC308/F308,"")</f>
        <v/>
      </c>
      <c r="AE308">
        <f>IF(AND($E308=TRUE,$C308="GKP"),AB308,"")</f>
        <v/>
      </c>
      <c r="AF308">
        <f>IF(AND($E308=TRUE,$C308="DEF"),AB308,"")</f>
        <v/>
      </c>
      <c r="AG308">
        <f>IF(AND($E308=TRUE,$C308="MID"),AB308,"")</f>
        <v/>
      </c>
      <c r="AH308">
        <f>IF(AND($E308=TRUE,$C308="FWD"),AB308,"")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b">
        <v>1</v>
      </c>
      <c r="F309" s="2" t="n">
        <v>5.5</v>
      </c>
      <c r="G309" t="inlineStr">
        <is>
          <t>a</t>
        </is>
      </c>
      <c r="I309" s="2" t="n">
        <v>549</v>
      </c>
      <c r="J309" t="n">
        <v>26</v>
      </c>
      <c r="K309" s="3" t="n">
        <v>549</v>
      </c>
      <c r="L309" s="3" t="n">
        <v>0.237</v>
      </c>
      <c r="M309" s="4" t="n">
        <v>0.0851</v>
      </c>
      <c r="N309" t="inlineStr">
        <is>
          <t>adjusted xGOT</t>
        </is>
      </c>
      <c r="O309" s="4" t="n">
        <v>0.96</v>
      </c>
      <c r="P309" s="4" t="n">
        <v>0.5</v>
      </c>
      <c r="Q309" s="4" t="n">
        <v>0.1825</v>
      </c>
      <c r="R309" s="4" t="n">
        <v>0</v>
      </c>
      <c r="S309" s="4" t="n">
        <v>0.1639</v>
      </c>
      <c r="T309" s="4" t="n">
        <v>2.951</v>
      </c>
      <c r="U309" s="4">
        <f>IF(T309="",IFERROR(VLOOKUP($C309,Assumptions!$A$4:$F$7,6,FALSE),0),T309)</f>
        <v/>
      </c>
      <c r="V309" s="4">
        <f>N(M309)*IFERROR(VLOOKUP($C309,Assumptions!$A$4:$F$7,2,FALSE),0)</f>
        <v/>
      </c>
      <c r="W309" s="4">
        <f>N(Q309)*IFERROR(VLOOKUP($C309,Assumptions!$A$4:$F$7,3,FALSE),0)*Assumptions!$B$11</f>
        <v/>
      </c>
      <c r="X309" s="4">
        <f>N(L309)*IFERROR(VLOOKUP($C309,Assumptions!$A$4:$F$7,4,FALSE),0)</f>
        <v/>
      </c>
      <c r="Y309" s="4">
        <f>N(R309)*IFERROR(VLOOKUP($C309,Assumptions!$A$4:$F$7,5,FALSE),0)</f>
        <v/>
      </c>
      <c r="Z309" s="4">
        <f>N(S309)</f>
        <v/>
      </c>
      <c r="AA309" s="4">
        <f>SUM(U309:Z309)</f>
        <v/>
      </c>
      <c r="AB309" s="4">
        <f>N(AA309)*N(K309)/90</f>
        <v/>
      </c>
      <c r="AC309" s="4">
        <f>IFERROR(AB309-VLOOKUP($C309,Assumptions!$A$29:$C$32,3,FALSE),"")</f>
        <v/>
      </c>
      <c r="AD309" s="4">
        <f>IFERROR(AC309/F309,"")</f>
        <v/>
      </c>
      <c r="AE309">
        <f>IF(AND($E309=TRUE,$C309="GKP"),AB309,"")</f>
        <v/>
      </c>
      <c r="AF309">
        <f>IF(AND($E309=TRUE,$C309="DEF"),AB309,"")</f>
        <v/>
      </c>
      <c r="AG309">
        <f>IF(AND($E309=TRUE,$C309="MID"),AB309,"")</f>
        <v/>
      </c>
      <c r="AH309">
        <f>IF(AND($E309=TRUE,$C309="FWD"),AB309,"")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b">
        <v>1</v>
      </c>
      <c r="F310" s="2" t="n">
        <v>6</v>
      </c>
      <c r="G310" t="inlineStr">
        <is>
          <t>a</t>
        </is>
      </c>
      <c r="I310" s="2" t="n">
        <v>486</v>
      </c>
      <c r="J310" t="n">
        <v>25</v>
      </c>
      <c r="K310" s="3" t="n">
        <v>486</v>
      </c>
      <c r="L310" s="3" t="n">
        <v>0.237</v>
      </c>
      <c r="M310" s="4" t="n">
        <v>0.138</v>
      </c>
      <c r="N310" t="inlineStr">
        <is>
          <t>adjusted xGOT</t>
        </is>
      </c>
      <c r="O310" s="4" t="n">
        <v>0.919</v>
      </c>
      <c r="P310" s="4" t="n">
        <v>0.8</v>
      </c>
      <c r="Q310" s="4" t="n">
        <v>0.1776</v>
      </c>
      <c r="R310" s="4" t="n">
        <v>0</v>
      </c>
      <c r="S310" s="4" t="n">
        <v>0</v>
      </c>
      <c r="T310" s="4" t="n">
        <v>3.333</v>
      </c>
      <c r="U310" s="4">
        <f>IF(T310="",IFERROR(VLOOKUP($C310,Assumptions!$A$4:$F$7,6,FALSE),0),T310)</f>
        <v/>
      </c>
      <c r="V310" s="4">
        <f>N(M310)*IFERROR(VLOOKUP($C310,Assumptions!$A$4:$F$7,2,FALSE),0)</f>
        <v/>
      </c>
      <c r="W310" s="4">
        <f>N(Q310)*IFERROR(VLOOKUP($C310,Assumptions!$A$4:$F$7,3,FALSE),0)*Assumptions!$B$11</f>
        <v/>
      </c>
      <c r="X310" s="4">
        <f>N(L310)*IFERROR(VLOOKUP($C310,Assumptions!$A$4:$F$7,4,FALSE),0)</f>
        <v/>
      </c>
      <c r="Y310" s="4">
        <f>N(R310)*IFERROR(VLOOKUP($C310,Assumptions!$A$4:$F$7,5,FALSE),0)</f>
        <v/>
      </c>
      <c r="Z310" s="4">
        <f>N(S310)</f>
        <v/>
      </c>
      <c r="AA310" s="4">
        <f>SUM(U310:Z310)</f>
        <v/>
      </c>
      <c r="AB310" s="4">
        <f>N(AA310)*N(K310)/90</f>
        <v/>
      </c>
      <c r="AC310" s="4">
        <f>IFERROR(AB310-VLOOKUP($C310,Assumptions!$A$29:$C$32,3,FALSE),"")</f>
        <v/>
      </c>
      <c r="AD310" s="4">
        <f>IFERROR(AC310/F310,"")</f>
        <v/>
      </c>
      <c r="AE310">
        <f>IF(AND($E310=TRUE,$C310="GKP"),AB310,"")</f>
        <v/>
      </c>
      <c r="AF310">
        <f>IF(AND($E310=TRUE,$C310="DEF"),AB310,"")</f>
        <v/>
      </c>
      <c r="AG310">
        <f>IF(AND($E310=TRUE,$C310="MID"),AB310,"")</f>
        <v/>
      </c>
      <c r="AH310">
        <f>IF(AND($E310=TRUE,$C310="FWD"),AB310,"")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b">
        <v>1</v>
      </c>
      <c r="F311" s="2" t="n">
        <v>4.5</v>
      </c>
      <c r="G311" t="inlineStr">
        <is>
          <t>a</t>
        </is>
      </c>
      <c r="I311" s="2" t="n">
        <v>429</v>
      </c>
      <c r="J311" t="n">
        <v>25</v>
      </c>
      <c r="K311" s="3" t="n">
        <v>429</v>
      </c>
      <c r="L311" s="3" t="n">
        <v>0.21</v>
      </c>
      <c r="M311" s="4" t="n">
        <v>0.0409</v>
      </c>
      <c r="N311" t="inlineStr">
        <is>
          <t>adjusted xGOT</t>
        </is>
      </c>
      <c r="O311" s="4" t="n">
        <v>0.976</v>
      </c>
      <c r="P311" s="4" t="n">
        <v>0.2</v>
      </c>
      <c r="Q311" s="4" t="n">
        <v>0.001</v>
      </c>
      <c r="R311" s="4" t="n">
        <v>0.2</v>
      </c>
      <c r="S311" s="4" t="n">
        <v>0</v>
      </c>
      <c r="T311" s="4" t="n">
        <v>3.357</v>
      </c>
      <c r="U311" s="4">
        <f>IF(T311="",IFERROR(VLOOKUP($C311,Assumptions!$A$4:$F$7,6,FALSE),0),T311)</f>
        <v/>
      </c>
      <c r="V311" s="4">
        <f>N(M311)*IFERROR(VLOOKUP($C311,Assumptions!$A$4:$F$7,2,FALSE),0)</f>
        <v/>
      </c>
      <c r="W311" s="4">
        <f>N(Q311)*IFERROR(VLOOKUP($C311,Assumptions!$A$4:$F$7,3,FALSE),0)*Assumptions!$B$11</f>
        <v/>
      </c>
      <c r="X311" s="4">
        <f>N(L311)*IFERROR(VLOOKUP($C311,Assumptions!$A$4:$F$7,4,FALSE),0)</f>
        <v/>
      </c>
      <c r="Y311" s="4">
        <f>N(R311)*IFERROR(VLOOKUP($C311,Assumptions!$A$4:$F$7,5,FALSE),0)</f>
        <v/>
      </c>
      <c r="Z311" s="4">
        <f>N(S311)</f>
        <v/>
      </c>
      <c r="AA311" s="4">
        <f>SUM(U311:Z311)</f>
        <v/>
      </c>
      <c r="AB311" s="4">
        <f>N(AA311)*N(K311)/90</f>
        <v/>
      </c>
      <c r="AC311" s="4">
        <f>IFERROR(AB311-VLOOKUP($C311,Assumptions!$A$29:$C$32,3,FALSE),"")</f>
        <v/>
      </c>
      <c r="AD311" s="4">
        <f>IFERROR(AC311/F311,"")</f>
        <v/>
      </c>
      <c r="AE311">
        <f>IF(AND($E311=TRUE,$C311="GKP"),AB311,"")</f>
        <v/>
      </c>
      <c r="AF311">
        <f>IF(AND($E311=TRUE,$C311="DEF"),AB311,"")</f>
        <v/>
      </c>
      <c r="AG311">
        <f>IF(AND($E311=TRUE,$C311="MID"),AB311,"")</f>
        <v/>
      </c>
      <c r="AH311">
        <f>IF(AND($E311=TRUE,$C311="FWD"),AB311,"")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b">
        <v>1</v>
      </c>
      <c r="F312" s="2" t="n">
        <v>6</v>
      </c>
      <c r="G312" t="inlineStr">
        <is>
          <t>a</t>
        </is>
      </c>
      <c r="I312" s="2" t="n">
        <v>418</v>
      </c>
      <c r="J312" t="n">
        <v>24</v>
      </c>
      <c r="K312" s="3" t="n">
        <v>418</v>
      </c>
      <c r="L312" s="3" t="n">
        <v>0.5</v>
      </c>
      <c r="M312" s="4" t="n">
        <v>0.509</v>
      </c>
      <c r="N312" t="inlineStr">
        <is>
          <t>adjusted xGOT</t>
        </is>
      </c>
      <c r="O312" s="4" t="n">
        <v>0.872</v>
      </c>
      <c r="P312" s="4" t="n">
        <v>26.3</v>
      </c>
      <c r="Q312" s="4" t="n">
        <v>0.0504</v>
      </c>
      <c r="R312" s="4" t="n">
        <v>0</v>
      </c>
      <c r="S312" s="4" t="n">
        <v>0</v>
      </c>
      <c r="T312" s="4" t="n">
        <v>3.23</v>
      </c>
      <c r="U312" s="4">
        <f>IF(T312="",IFERROR(VLOOKUP($C312,Assumptions!$A$4:$F$7,6,FALSE),0),T312)</f>
        <v/>
      </c>
      <c r="V312" s="4">
        <f>N(M312)*IFERROR(VLOOKUP($C312,Assumptions!$A$4:$F$7,2,FALSE),0)</f>
        <v/>
      </c>
      <c r="W312" s="4">
        <f>N(Q312)*IFERROR(VLOOKUP($C312,Assumptions!$A$4:$F$7,3,FALSE),0)*Assumptions!$B$11</f>
        <v/>
      </c>
      <c r="X312" s="4">
        <f>N(L312)*IFERROR(VLOOKUP($C312,Assumptions!$A$4:$F$7,4,FALSE),0)</f>
        <v/>
      </c>
      <c r="Y312" s="4">
        <f>N(R312)*IFERROR(VLOOKUP($C312,Assumptions!$A$4:$F$7,5,FALSE),0)</f>
        <v/>
      </c>
      <c r="Z312" s="4">
        <f>N(S312)</f>
        <v/>
      </c>
      <c r="AA312" s="4">
        <f>SUM(U312:Z312)</f>
        <v/>
      </c>
      <c r="AB312" s="4">
        <f>N(AA312)*N(K312)/90</f>
        <v/>
      </c>
      <c r="AC312" s="4">
        <f>IFERROR(AB312-VLOOKUP($C312,Assumptions!$A$29:$C$32,3,FALSE),"")</f>
        <v/>
      </c>
      <c r="AD312" s="4">
        <f>IFERROR(AC312/F312,"")</f>
        <v/>
      </c>
      <c r="AE312">
        <f>IF(AND($E312=TRUE,$C312="GKP"),AB312,"")</f>
        <v/>
      </c>
      <c r="AF312">
        <f>IF(AND($E312=TRUE,$C312="DEF"),AB312,"")</f>
        <v/>
      </c>
      <c r="AG312">
        <f>IF(AND($E312=TRUE,$C312="MID"),AB312,"")</f>
        <v/>
      </c>
      <c r="AH312">
        <f>IF(AND($E312=TRUE,$C312="FWD"),AB312,"")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b">
        <v>1</v>
      </c>
      <c r="F313" s="2" t="n">
        <v>5</v>
      </c>
      <c r="G313" t="inlineStr">
        <is>
          <t>a</t>
        </is>
      </c>
      <c r="I313" s="2" t="n">
        <v>547</v>
      </c>
      <c r="J313" t="n">
        <v>23</v>
      </c>
      <c r="K313" s="3" t="n">
        <v>547</v>
      </c>
      <c r="L313" s="3" t="n">
        <v>0.21</v>
      </c>
      <c r="M313" s="4" t="n">
        <v>0.1466</v>
      </c>
      <c r="N313" t="inlineStr">
        <is>
          <t>adjusted xGOT</t>
        </is>
      </c>
      <c r="O313" s="4" t="n">
        <v>0.979</v>
      </c>
      <c r="P313" s="4" t="n">
        <v>2.9</v>
      </c>
      <c r="Q313" s="4" t="n">
        <v>0.0987</v>
      </c>
      <c r="R313" s="4" t="n">
        <v>0</v>
      </c>
      <c r="S313" s="4" t="n">
        <v>0</v>
      </c>
      <c r="T313" s="4" t="n">
        <v>3.62</v>
      </c>
      <c r="U313" s="4">
        <f>IF(T313="",IFERROR(VLOOKUP($C313,Assumptions!$A$4:$F$7,6,FALSE),0),T313)</f>
        <v/>
      </c>
      <c r="V313" s="4">
        <f>N(M313)*IFERROR(VLOOKUP($C313,Assumptions!$A$4:$F$7,2,FALSE),0)</f>
        <v/>
      </c>
      <c r="W313" s="4">
        <f>N(Q313)*IFERROR(VLOOKUP($C313,Assumptions!$A$4:$F$7,3,FALSE),0)*Assumptions!$B$11</f>
        <v/>
      </c>
      <c r="X313" s="4">
        <f>N(L313)*IFERROR(VLOOKUP($C313,Assumptions!$A$4:$F$7,4,FALSE),0)</f>
        <v/>
      </c>
      <c r="Y313" s="4">
        <f>N(R313)*IFERROR(VLOOKUP($C313,Assumptions!$A$4:$F$7,5,FALSE),0)</f>
        <v/>
      </c>
      <c r="Z313" s="4">
        <f>N(S313)</f>
        <v/>
      </c>
      <c r="AA313" s="4">
        <f>SUM(U313:Z313)</f>
        <v/>
      </c>
      <c r="AB313" s="4">
        <f>N(AA313)*N(K313)/90</f>
        <v/>
      </c>
      <c r="AC313" s="4">
        <f>IFERROR(AB313-VLOOKUP($C313,Assumptions!$A$29:$C$32,3,FALSE),"")</f>
        <v/>
      </c>
      <c r="AD313" s="4">
        <f>IFERROR(AC313/F313,"")</f>
        <v/>
      </c>
      <c r="AE313">
        <f>IF(AND($E313=TRUE,$C313="GKP"),AB313,"")</f>
        <v/>
      </c>
      <c r="AF313">
        <f>IF(AND($E313=TRUE,$C313="DEF"),AB313,"")</f>
        <v/>
      </c>
      <c r="AG313">
        <f>IF(AND($E313=TRUE,$C313="MID"),AB313,"")</f>
        <v/>
      </c>
      <c r="AH313">
        <f>IF(AND($E313=TRUE,$C313="FWD"),AB313,"")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b">
        <v>1</v>
      </c>
      <c r="F314" s="2" t="n">
        <v>5.5</v>
      </c>
      <c r="G314" t="inlineStr">
        <is>
          <t>a</t>
        </is>
      </c>
      <c r="I314" s="2" t="n">
        <v>414</v>
      </c>
      <c r="J314" t="n">
        <v>23</v>
      </c>
      <c r="K314" s="3" t="n">
        <v>414</v>
      </c>
      <c r="L314" s="3" t="n">
        <v>0.316</v>
      </c>
      <c r="M314" s="4" t="n">
        <v>0.335</v>
      </c>
      <c r="N314" t="inlineStr">
        <is>
          <t>adjusted xGOT</t>
        </is>
      </c>
      <c r="O314" s="4" t="n">
        <v>0.871</v>
      </c>
      <c r="P314" s="4" t="n">
        <v>20.2</v>
      </c>
      <c r="Q314" s="4" t="n">
        <v>0.1544</v>
      </c>
      <c r="R314" s="4" t="n">
        <v>0</v>
      </c>
      <c r="S314" s="4" t="n">
        <v>0.6522</v>
      </c>
      <c r="T314" s="4" t="n">
        <v>3.043</v>
      </c>
      <c r="U314" s="4">
        <f>IF(T314="",IFERROR(VLOOKUP($C314,Assumptions!$A$4:$F$7,6,FALSE),0),T314)</f>
        <v/>
      </c>
      <c r="V314" s="4">
        <f>N(M314)*IFERROR(VLOOKUP($C314,Assumptions!$A$4:$F$7,2,FALSE),0)</f>
        <v/>
      </c>
      <c r="W314" s="4">
        <f>N(Q314)*IFERROR(VLOOKUP($C314,Assumptions!$A$4:$F$7,3,FALSE),0)*Assumptions!$B$11</f>
        <v/>
      </c>
      <c r="X314" s="4">
        <f>N(L314)*IFERROR(VLOOKUP($C314,Assumptions!$A$4:$F$7,4,FALSE),0)</f>
        <v/>
      </c>
      <c r="Y314" s="4">
        <f>N(R314)*IFERROR(VLOOKUP($C314,Assumptions!$A$4:$F$7,5,FALSE),0)</f>
        <v/>
      </c>
      <c r="Z314" s="4">
        <f>N(S314)</f>
        <v/>
      </c>
      <c r="AA314" s="4">
        <f>SUM(U314:Z314)</f>
        <v/>
      </c>
      <c r="AB314" s="4">
        <f>N(AA314)*N(K314)/90</f>
        <v/>
      </c>
      <c r="AC314" s="4">
        <f>IFERROR(AB314-VLOOKUP($C314,Assumptions!$A$29:$C$32,3,FALSE),"")</f>
        <v/>
      </c>
      <c r="AD314" s="4">
        <f>IFERROR(AC314/F314,"")</f>
        <v/>
      </c>
      <c r="AE314">
        <f>IF(AND($E314=TRUE,$C314="GKP"),AB314,"")</f>
        <v/>
      </c>
      <c r="AF314">
        <f>IF(AND($E314=TRUE,$C314="DEF"),AB314,"")</f>
        <v/>
      </c>
      <c r="AG314">
        <f>IF(AND($E314=TRUE,$C314="MID"),AB314,"")</f>
        <v/>
      </c>
      <c r="AH314">
        <f>IF(AND($E314=TRUE,$C314="FWD"),AB314,"")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b">
        <v>1</v>
      </c>
      <c r="F315" s="2" t="n">
        <v>5.5</v>
      </c>
      <c r="G315" t="inlineStr">
        <is>
          <t>a</t>
        </is>
      </c>
      <c r="I315" s="2" t="n">
        <v>278</v>
      </c>
      <c r="J315" t="n">
        <v>23</v>
      </c>
      <c r="K315" s="3" t="n">
        <v>278</v>
      </c>
      <c r="L315" s="3" t="n">
        <v>0.237</v>
      </c>
      <c r="M315" s="4" t="n">
        <v>0.6604</v>
      </c>
      <c r="N315" t="inlineStr">
        <is>
          <t>adjusted xGOT</t>
        </is>
      </c>
      <c r="O315" s="4" t="n">
        <v>0.995</v>
      </c>
      <c r="P315" s="4" t="n">
        <v>2</v>
      </c>
      <c r="Q315" s="4" t="n">
        <v>0.07920000000000001</v>
      </c>
      <c r="R315" s="4" t="n">
        <v>0</v>
      </c>
      <c r="S315" s="4" t="n">
        <v>0.6475</v>
      </c>
      <c r="T315" s="4" t="n">
        <v>4.209</v>
      </c>
      <c r="U315" s="4">
        <f>IF(T315="",IFERROR(VLOOKUP($C315,Assumptions!$A$4:$F$7,6,FALSE),0),T315)</f>
        <v/>
      </c>
      <c r="V315" s="4">
        <f>N(M315)*IFERROR(VLOOKUP($C315,Assumptions!$A$4:$F$7,2,FALSE),0)</f>
        <v/>
      </c>
      <c r="W315" s="4">
        <f>N(Q315)*IFERROR(VLOOKUP($C315,Assumptions!$A$4:$F$7,3,FALSE),0)*Assumptions!$B$11</f>
        <v/>
      </c>
      <c r="X315" s="4">
        <f>N(L315)*IFERROR(VLOOKUP($C315,Assumptions!$A$4:$F$7,4,FALSE),0)</f>
        <v/>
      </c>
      <c r="Y315" s="4">
        <f>N(R315)*IFERROR(VLOOKUP($C315,Assumptions!$A$4:$F$7,5,FALSE),0)</f>
        <v/>
      </c>
      <c r="Z315" s="4">
        <f>N(S315)</f>
        <v/>
      </c>
      <c r="AA315" s="4">
        <f>SUM(U315:Z315)</f>
        <v/>
      </c>
      <c r="AB315" s="4">
        <f>N(AA315)*N(K315)/90</f>
        <v/>
      </c>
      <c r="AC315" s="4">
        <f>IFERROR(AB315-VLOOKUP($C315,Assumptions!$A$29:$C$32,3,FALSE),"")</f>
        <v/>
      </c>
      <c r="AD315" s="4">
        <f>IFERROR(AC315/F315,"")</f>
        <v/>
      </c>
      <c r="AE315">
        <f>IF(AND($E315=TRUE,$C315="GKP"),AB315,"")</f>
        <v/>
      </c>
      <c r="AF315">
        <f>IF(AND($E315=TRUE,$C315="DEF"),AB315,"")</f>
        <v/>
      </c>
      <c r="AG315">
        <f>IF(AND($E315=TRUE,$C315="MID"),AB315,"")</f>
        <v/>
      </c>
      <c r="AH315">
        <f>IF(AND($E315=TRUE,$C315="FWD"),AB315,"")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b">
        <v>1</v>
      </c>
      <c r="F316" s="2" t="n">
        <v>4.5</v>
      </c>
      <c r="G316" t="inlineStr">
        <is>
          <t>a</t>
        </is>
      </c>
      <c r="I316" s="2" t="n">
        <v>238</v>
      </c>
      <c r="J316" t="n">
        <v>22</v>
      </c>
      <c r="K316" s="3" t="n">
        <v>238</v>
      </c>
      <c r="L316" s="3" t="n">
        <v>0.29</v>
      </c>
      <c r="M316" s="4" t="n">
        <v>0.0106</v>
      </c>
      <c r="N316" t="inlineStr">
        <is>
          <t>adjusted xGOT</t>
        </is>
      </c>
      <c r="O316" s="4" t="n">
        <v>0.93</v>
      </c>
      <c r="P316" s="4" t="n">
        <v>0.9</v>
      </c>
      <c r="Q316" s="4" t="n">
        <v>0.0076</v>
      </c>
      <c r="R316" s="4" t="n">
        <v>0.667</v>
      </c>
      <c r="S316" s="4" t="n">
        <v>0</v>
      </c>
      <c r="T316" s="4" t="n">
        <v>3.782</v>
      </c>
      <c r="U316" s="4">
        <f>IF(T316="",IFERROR(VLOOKUP($C316,Assumptions!$A$4:$F$7,6,FALSE),0),T316)</f>
        <v/>
      </c>
      <c r="V316" s="4">
        <f>N(M316)*IFERROR(VLOOKUP($C316,Assumptions!$A$4:$F$7,2,FALSE),0)</f>
        <v/>
      </c>
      <c r="W316" s="4">
        <f>N(Q316)*IFERROR(VLOOKUP($C316,Assumptions!$A$4:$F$7,3,FALSE),0)*Assumptions!$B$11</f>
        <v/>
      </c>
      <c r="X316" s="4">
        <f>N(L316)*IFERROR(VLOOKUP($C316,Assumptions!$A$4:$F$7,4,FALSE),0)</f>
        <v/>
      </c>
      <c r="Y316" s="4">
        <f>N(R316)*IFERROR(VLOOKUP($C316,Assumptions!$A$4:$F$7,5,FALSE),0)</f>
        <v/>
      </c>
      <c r="Z316" s="4">
        <f>N(S316)</f>
        <v/>
      </c>
      <c r="AA316" s="4">
        <f>SUM(U316:Z316)</f>
        <v/>
      </c>
      <c r="AB316" s="4">
        <f>N(AA316)*N(K316)/90</f>
        <v/>
      </c>
      <c r="AC316" s="4">
        <f>IFERROR(AB316-VLOOKUP($C316,Assumptions!$A$29:$C$32,3,FALSE),"")</f>
        <v/>
      </c>
      <c r="AD316" s="4">
        <f>IFERROR(AC316/F316,"")</f>
        <v/>
      </c>
      <c r="AE316">
        <f>IF(AND($E316=TRUE,$C316="GKP"),AB316,"")</f>
        <v/>
      </c>
      <c r="AF316">
        <f>IF(AND($E316=TRUE,$C316="DEF"),AB316,"")</f>
        <v/>
      </c>
      <c r="AG316">
        <f>IF(AND($E316=TRUE,$C316="MID"),AB316,"")</f>
        <v/>
      </c>
      <c r="AH316">
        <f>IF(AND($E316=TRUE,$C316="FWD"),AB316,"")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b">
        <v>1</v>
      </c>
      <c r="F317" s="2" t="n">
        <v>5.5</v>
      </c>
      <c r="G317" t="inlineStr">
        <is>
          <t>a</t>
        </is>
      </c>
      <c r="I317" s="2" t="n">
        <v>450</v>
      </c>
      <c r="J317" t="n">
        <v>21</v>
      </c>
      <c r="K317" s="3" t="n">
        <v>450</v>
      </c>
      <c r="L317" s="3" t="n">
        <v>0.237</v>
      </c>
      <c r="M317" s="4" t="n">
        <v>0.081</v>
      </c>
      <c r="N317" t="inlineStr">
        <is>
          <t>adjusted xGOT</t>
        </is>
      </c>
      <c r="O317" s="4" t="n">
        <v>0.8100000000000001</v>
      </c>
      <c r="P317" s="4" t="n">
        <v>13.9</v>
      </c>
      <c r="Q317" s="4" t="n">
        <v>0.2577</v>
      </c>
      <c r="R317" s="4" t="n">
        <v>0</v>
      </c>
      <c r="S317" s="4" t="n">
        <v>0</v>
      </c>
      <c r="T317" s="4" t="n">
        <v>3.2</v>
      </c>
      <c r="U317" s="4">
        <f>IF(T317="",IFERROR(VLOOKUP($C317,Assumptions!$A$4:$F$7,6,FALSE),0),T317)</f>
        <v/>
      </c>
      <c r="V317" s="4">
        <f>N(M317)*IFERROR(VLOOKUP($C317,Assumptions!$A$4:$F$7,2,FALSE),0)</f>
        <v/>
      </c>
      <c r="W317" s="4">
        <f>N(Q317)*IFERROR(VLOOKUP($C317,Assumptions!$A$4:$F$7,3,FALSE),0)*Assumptions!$B$11</f>
        <v/>
      </c>
      <c r="X317" s="4">
        <f>N(L317)*IFERROR(VLOOKUP($C317,Assumptions!$A$4:$F$7,4,FALSE),0)</f>
        <v/>
      </c>
      <c r="Y317" s="4">
        <f>N(R317)*IFERROR(VLOOKUP($C317,Assumptions!$A$4:$F$7,5,FALSE),0)</f>
        <v/>
      </c>
      <c r="Z317" s="4">
        <f>N(S317)</f>
        <v/>
      </c>
      <c r="AA317" s="4">
        <f>SUM(U317:Z317)</f>
        <v/>
      </c>
      <c r="AB317" s="4">
        <f>N(AA317)*N(K317)/90</f>
        <v/>
      </c>
      <c r="AC317" s="4">
        <f>IFERROR(AB317-VLOOKUP($C317,Assumptions!$A$29:$C$32,3,FALSE),"")</f>
        <v/>
      </c>
      <c r="AD317" s="4">
        <f>IFERROR(AC317/F317,"")</f>
        <v/>
      </c>
      <c r="AE317">
        <f>IF(AND($E317=TRUE,$C317="GKP"),AB317,"")</f>
        <v/>
      </c>
      <c r="AF317">
        <f>IF(AND($E317=TRUE,$C317="DEF"),AB317,"")</f>
        <v/>
      </c>
      <c r="AG317">
        <f>IF(AND($E317=TRUE,$C317="MID"),AB317,"")</f>
        <v/>
      </c>
      <c r="AH317">
        <f>IF(AND($E317=TRUE,$C317="FWD"),AB317,"")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b">
        <v>1</v>
      </c>
      <c r="F318" s="2" t="n">
        <v>5</v>
      </c>
      <c r="G318" t="inlineStr">
        <is>
          <t>a</t>
        </is>
      </c>
      <c r="I318" s="2" t="n">
        <v>524</v>
      </c>
      <c r="J318" t="n">
        <v>21</v>
      </c>
      <c r="K318" s="3" t="n">
        <v>524</v>
      </c>
      <c r="L318" s="3" t="n">
        <v>0.29</v>
      </c>
      <c r="M318" s="4" t="n">
        <v>0.1304</v>
      </c>
      <c r="N318" t="inlineStr">
        <is>
          <t>adjusted xGOT</t>
        </is>
      </c>
      <c r="O318" s="4" t="n">
        <v>0.961</v>
      </c>
      <c r="P318" s="4" t="n">
        <v>1.2</v>
      </c>
      <c r="Q318" s="4" t="n">
        <v>0.0293</v>
      </c>
      <c r="R318" s="4" t="n">
        <v>0.167</v>
      </c>
      <c r="S318" s="4" t="n">
        <v>0</v>
      </c>
      <c r="T318" s="4" t="n">
        <v>3.092</v>
      </c>
      <c r="U318" s="4">
        <f>IF(T318="",IFERROR(VLOOKUP($C318,Assumptions!$A$4:$F$7,6,FALSE),0),T318)</f>
        <v/>
      </c>
      <c r="V318" s="4">
        <f>N(M318)*IFERROR(VLOOKUP($C318,Assumptions!$A$4:$F$7,2,FALSE),0)</f>
        <v/>
      </c>
      <c r="W318" s="4">
        <f>N(Q318)*IFERROR(VLOOKUP($C318,Assumptions!$A$4:$F$7,3,FALSE),0)*Assumptions!$B$11</f>
        <v/>
      </c>
      <c r="X318" s="4">
        <f>N(L318)*IFERROR(VLOOKUP($C318,Assumptions!$A$4:$F$7,4,FALSE),0)</f>
        <v/>
      </c>
      <c r="Y318" s="4">
        <f>N(R318)*IFERROR(VLOOKUP($C318,Assumptions!$A$4:$F$7,5,FALSE),0)</f>
        <v/>
      </c>
      <c r="Z318" s="4">
        <f>N(S318)</f>
        <v/>
      </c>
      <c r="AA318" s="4">
        <f>SUM(U318:Z318)</f>
        <v/>
      </c>
      <c r="AB318" s="4">
        <f>N(AA318)*N(K318)/90</f>
        <v/>
      </c>
      <c r="AC318" s="4">
        <f>IFERROR(AB318-VLOOKUP($C318,Assumptions!$A$29:$C$32,3,FALSE),"")</f>
        <v/>
      </c>
      <c r="AD318" s="4">
        <f>IFERROR(AC318/F318,"")</f>
        <v/>
      </c>
      <c r="AE318">
        <f>IF(AND($E318=TRUE,$C318="GKP"),AB318,"")</f>
        <v/>
      </c>
      <c r="AF318">
        <f>IF(AND($E318=TRUE,$C318="DEF"),AB318,"")</f>
        <v/>
      </c>
      <c r="AG318">
        <f>IF(AND($E318=TRUE,$C318="MID"),AB318,"")</f>
        <v/>
      </c>
      <c r="AH318">
        <f>IF(AND($E318=TRUE,$C318="FWD"),AB318,"")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b">
        <v>1</v>
      </c>
      <c r="F319" s="2" t="n">
        <v>4.5</v>
      </c>
      <c r="G319" t="inlineStr">
        <is>
          <t>a</t>
        </is>
      </c>
      <c r="I319" s="2" t="n">
        <v>630</v>
      </c>
      <c r="J319" t="n">
        <v>20</v>
      </c>
      <c r="K319" s="3" t="n">
        <v>630</v>
      </c>
      <c r="L319" s="3" t="n">
        <v>0.237</v>
      </c>
      <c r="M319" s="4" t="n">
        <v>0</v>
      </c>
      <c r="N319" t="inlineStr">
        <is>
          <t>blended xG</t>
        </is>
      </c>
      <c r="O319" s="4" t="n">
        <v>1</v>
      </c>
      <c r="P319" s="4" t="n">
        <v>0</v>
      </c>
      <c r="Q319" s="4" t="n">
        <v>0</v>
      </c>
      <c r="R319" s="4" t="n">
        <v>0</v>
      </c>
      <c r="S319" s="4" t="n">
        <v>0</v>
      </c>
      <c r="T319" s="4" t="n">
        <v>2</v>
      </c>
      <c r="U319" s="4">
        <f>IF(T319="",IFERROR(VLOOKUP($C319,Assumptions!$A$4:$F$7,6,FALSE),0),T319)</f>
        <v/>
      </c>
      <c r="V319" s="4">
        <f>N(M319)*IFERROR(VLOOKUP($C319,Assumptions!$A$4:$F$7,2,FALSE),0)</f>
        <v/>
      </c>
      <c r="W319" s="4">
        <f>N(Q319)*IFERROR(VLOOKUP($C319,Assumptions!$A$4:$F$7,3,FALSE),0)*Assumptions!$B$11</f>
        <v/>
      </c>
      <c r="X319" s="4">
        <f>N(L319)*IFERROR(VLOOKUP($C319,Assumptions!$A$4:$F$7,4,FALSE),0)</f>
        <v/>
      </c>
      <c r="Y319" s="4">
        <f>N(R319)*IFERROR(VLOOKUP($C319,Assumptions!$A$4:$F$7,5,FALSE),0)</f>
        <v/>
      </c>
      <c r="Z319" s="4">
        <f>N(S319)</f>
        <v/>
      </c>
      <c r="AA319" s="4">
        <f>SUM(U319:Z319)</f>
        <v/>
      </c>
      <c r="AB319" s="4">
        <f>N(AA319)*N(K319)/90</f>
        <v/>
      </c>
      <c r="AC319" s="4">
        <f>IFERROR(AB319-VLOOKUP($C319,Assumptions!$A$29:$C$32,3,FALSE),"")</f>
        <v/>
      </c>
      <c r="AD319" s="4">
        <f>IFERROR(AC319/F319,"")</f>
        <v/>
      </c>
      <c r="AE319">
        <f>IF(AND($E319=TRUE,$C319="GKP"),AB319,"")</f>
        <v/>
      </c>
      <c r="AF319">
        <f>IF(AND($E319=TRUE,$C319="DEF"),AB319,"")</f>
        <v/>
      </c>
      <c r="AG319">
        <f>IF(AND($E319=TRUE,$C319="MID"),AB319,"")</f>
        <v/>
      </c>
      <c r="AH319">
        <f>IF(AND($E319=TRUE,$C319="FWD"),AB319,"")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b">
        <v>1</v>
      </c>
      <c r="F320" s="2" t="n">
        <v>4.5</v>
      </c>
      <c r="G320" t="inlineStr">
        <is>
          <t>a</t>
        </is>
      </c>
      <c r="I320" s="2" t="n">
        <v>550</v>
      </c>
      <c r="J320" t="n">
        <v>20</v>
      </c>
      <c r="K320" s="3" t="n">
        <v>550</v>
      </c>
      <c r="L320" s="3" t="n">
        <v>0.316</v>
      </c>
      <c r="M320" s="4" t="n">
        <v>0.0532</v>
      </c>
      <c r="N320" t="inlineStr">
        <is>
          <t>adjusted xGOT</t>
        </is>
      </c>
      <c r="O320" s="4" t="n">
        <v>0.984</v>
      </c>
      <c r="P320" s="4" t="n">
        <v>0.3</v>
      </c>
      <c r="Q320" s="4" t="n">
        <v>0.0456</v>
      </c>
      <c r="R320" s="4" t="n">
        <v>0.167</v>
      </c>
      <c r="S320" s="4" t="n">
        <v>0</v>
      </c>
      <c r="T320" s="4" t="n">
        <v>2.455</v>
      </c>
      <c r="U320" s="4">
        <f>IF(T320="",IFERROR(VLOOKUP($C320,Assumptions!$A$4:$F$7,6,FALSE),0),T320)</f>
        <v/>
      </c>
      <c r="V320" s="4">
        <f>N(M320)*IFERROR(VLOOKUP($C320,Assumptions!$A$4:$F$7,2,FALSE),0)</f>
        <v/>
      </c>
      <c r="W320" s="4">
        <f>N(Q320)*IFERROR(VLOOKUP($C320,Assumptions!$A$4:$F$7,3,FALSE),0)*Assumptions!$B$11</f>
        <v/>
      </c>
      <c r="X320" s="4">
        <f>N(L320)*IFERROR(VLOOKUP($C320,Assumptions!$A$4:$F$7,4,FALSE),0)</f>
        <v/>
      </c>
      <c r="Y320" s="4">
        <f>N(R320)*IFERROR(VLOOKUP($C320,Assumptions!$A$4:$F$7,5,FALSE),0)</f>
        <v/>
      </c>
      <c r="Z320" s="4">
        <f>N(S320)</f>
        <v/>
      </c>
      <c r="AA320" s="4">
        <f>SUM(U320:Z320)</f>
        <v/>
      </c>
      <c r="AB320" s="4">
        <f>N(AA320)*N(K320)/90</f>
        <v/>
      </c>
      <c r="AC320" s="4">
        <f>IFERROR(AB320-VLOOKUP($C320,Assumptions!$A$29:$C$32,3,FALSE),"")</f>
        <v/>
      </c>
      <c r="AD320" s="4">
        <f>IFERROR(AC320/F320,"")</f>
        <v/>
      </c>
      <c r="AE320">
        <f>IF(AND($E320=TRUE,$C320="GKP"),AB320,"")</f>
        <v/>
      </c>
      <c r="AF320">
        <f>IF(AND($E320=TRUE,$C320="DEF"),AB320,"")</f>
        <v/>
      </c>
      <c r="AG320">
        <f>IF(AND($E320=TRUE,$C320="MID"),AB320,"")</f>
        <v/>
      </c>
      <c r="AH320">
        <f>IF(AND($E320=TRUE,$C320="FWD"),AB320,"")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b">
        <v>1</v>
      </c>
      <c r="F321" s="2" t="n">
        <v>4.5</v>
      </c>
      <c r="G321" t="inlineStr">
        <is>
          <t>a</t>
        </is>
      </c>
      <c r="I321" s="2" t="n">
        <v>1139</v>
      </c>
      <c r="J321" t="n">
        <v>19</v>
      </c>
      <c r="K321" s="3" t="n">
        <v>1139</v>
      </c>
      <c r="L321" s="3" t="n">
        <v>0.237</v>
      </c>
      <c r="M321" s="4" t="n">
        <v>0.0228</v>
      </c>
      <c r="N321" t="inlineStr">
        <is>
          <t>adjusted xGOT</t>
        </is>
      </c>
      <c r="O321" s="4" t="n">
        <v>0.964</v>
      </c>
      <c r="P321" s="4" t="n">
        <v>0.3</v>
      </c>
      <c r="Q321" s="4" t="n">
        <v>0.0521</v>
      </c>
      <c r="R321" s="4" t="n">
        <v>0.083</v>
      </c>
      <c r="S321" s="4" t="n">
        <v>0</v>
      </c>
      <c r="T321" s="4" t="n">
        <v>2.529</v>
      </c>
      <c r="U321" s="4">
        <f>IF(T321="",IFERROR(VLOOKUP($C321,Assumptions!$A$4:$F$7,6,FALSE),0),T321)</f>
        <v/>
      </c>
      <c r="V321" s="4">
        <f>N(M321)*IFERROR(VLOOKUP($C321,Assumptions!$A$4:$F$7,2,FALSE),0)</f>
        <v/>
      </c>
      <c r="W321" s="4">
        <f>N(Q321)*IFERROR(VLOOKUP($C321,Assumptions!$A$4:$F$7,3,FALSE),0)*Assumptions!$B$11</f>
        <v/>
      </c>
      <c r="X321" s="4">
        <f>N(L321)*IFERROR(VLOOKUP($C321,Assumptions!$A$4:$F$7,4,FALSE),0)</f>
        <v/>
      </c>
      <c r="Y321" s="4">
        <f>N(R321)*IFERROR(VLOOKUP($C321,Assumptions!$A$4:$F$7,5,FALSE),0)</f>
        <v/>
      </c>
      <c r="Z321" s="4">
        <f>N(S321)</f>
        <v/>
      </c>
      <c r="AA321" s="4">
        <f>SUM(U321:Z321)</f>
        <v/>
      </c>
      <c r="AB321" s="4">
        <f>N(AA321)*N(K321)/90</f>
        <v/>
      </c>
      <c r="AC321" s="4">
        <f>IFERROR(AB321-VLOOKUP($C321,Assumptions!$A$29:$C$32,3,FALSE),"")</f>
        <v/>
      </c>
      <c r="AD321" s="4">
        <f>IFERROR(AC321/F321,"")</f>
        <v/>
      </c>
      <c r="AE321">
        <f>IF(AND($E321=TRUE,$C321="GKP"),AB321,"")</f>
        <v/>
      </c>
      <c r="AF321">
        <f>IF(AND($E321=TRUE,$C321="DEF"),AB321,"")</f>
        <v/>
      </c>
      <c r="AG321">
        <f>IF(AND($E321=TRUE,$C321="MID"),AB321,"")</f>
        <v/>
      </c>
      <c r="AH321">
        <f>IF(AND($E321=TRUE,$C321="FWD"),AB321,"")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b">
        <v>1</v>
      </c>
      <c r="F322" s="2" t="n">
        <v>4.5</v>
      </c>
      <c r="G322" t="inlineStr">
        <is>
          <t>a</t>
        </is>
      </c>
      <c r="I322" s="2" t="n">
        <v>401</v>
      </c>
      <c r="J322" t="n">
        <v>19</v>
      </c>
      <c r="K322" s="3" t="n">
        <v>401</v>
      </c>
      <c r="L322" s="3" t="n">
        <v>0.421</v>
      </c>
      <c r="M322" s="4" t="n">
        <v>0.0462</v>
      </c>
      <c r="N322" t="inlineStr">
        <is>
          <t>adjusted xGOT</t>
        </is>
      </c>
      <c r="O322" s="4" t="n">
        <v>1.082</v>
      </c>
      <c r="P322" s="4" t="n">
        <v>2.4</v>
      </c>
      <c r="Q322" s="4" t="n">
        <v>0.3304</v>
      </c>
      <c r="R322" s="4" t="n">
        <v>0</v>
      </c>
      <c r="S322" s="4" t="n">
        <v>0.4489</v>
      </c>
      <c r="T322" s="4" t="n">
        <v>3.367</v>
      </c>
      <c r="U322" s="4">
        <f>IF(T322="",IFERROR(VLOOKUP($C322,Assumptions!$A$4:$F$7,6,FALSE),0),T322)</f>
        <v/>
      </c>
      <c r="V322" s="4">
        <f>N(M322)*IFERROR(VLOOKUP($C322,Assumptions!$A$4:$F$7,2,FALSE),0)</f>
        <v/>
      </c>
      <c r="W322" s="4">
        <f>N(Q322)*IFERROR(VLOOKUP($C322,Assumptions!$A$4:$F$7,3,FALSE),0)*Assumptions!$B$11</f>
        <v/>
      </c>
      <c r="X322" s="4">
        <f>N(L322)*IFERROR(VLOOKUP($C322,Assumptions!$A$4:$F$7,4,FALSE),0)</f>
        <v/>
      </c>
      <c r="Y322" s="4">
        <f>N(R322)*IFERROR(VLOOKUP($C322,Assumptions!$A$4:$F$7,5,FALSE),0)</f>
        <v/>
      </c>
      <c r="Z322" s="4">
        <f>N(S322)</f>
        <v/>
      </c>
      <c r="AA322" s="4">
        <f>SUM(U322:Z322)</f>
        <v/>
      </c>
      <c r="AB322" s="4">
        <f>N(AA322)*N(K322)/90</f>
        <v/>
      </c>
      <c r="AC322" s="4">
        <f>IFERROR(AB322-VLOOKUP($C322,Assumptions!$A$29:$C$32,3,FALSE),"")</f>
        <v/>
      </c>
      <c r="AD322" s="4">
        <f>IFERROR(AC322/F322,"")</f>
        <v/>
      </c>
      <c r="AE322">
        <f>IF(AND($E322=TRUE,$C322="GKP"),AB322,"")</f>
        <v/>
      </c>
      <c r="AF322">
        <f>IF(AND($E322=TRUE,$C322="DEF"),AB322,"")</f>
        <v/>
      </c>
      <c r="AG322">
        <f>IF(AND($E322=TRUE,$C322="MID"),AB322,"")</f>
        <v/>
      </c>
      <c r="AH322">
        <f>IF(AND($E322=TRUE,$C322="FWD"),AB322,"")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b">
        <v>1</v>
      </c>
      <c r="F323" s="2" t="n">
        <v>5</v>
      </c>
      <c r="G323" t="inlineStr">
        <is>
          <t>i</t>
        </is>
      </c>
      <c r="H323" t="inlineStr">
        <is>
          <t>Unspecified injury - Unknown return date</t>
        </is>
      </c>
      <c r="I323" s="2" t="n">
        <v>367</v>
      </c>
      <c r="J323" t="n">
        <v>19</v>
      </c>
      <c r="K323" s="3" t="n">
        <v>367</v>
      </c>
      <c r="L323" s="3" t="n">
        <v>0.29</v>
      </c>
      <c r="M323" s="4" t="n">
        <v>0.036</v>
      </c>
      <c r="N323" t="inlineStr">
        <is>
          <t>adjusted xGOT</t>
        </is>
      </c>
      <c r="O323" s="4" t="n">
        <v>0.982</v>
      </c>
      <c r="P323" s="4" t="n">
        <v>0.2</v>
      </c>
      <c r="Q323" s="4" t="n">
        <v>0.0315</v>
      </c>
      <c r="R323" s="4" t="n">
        <v>0.75</v>
      </c>
      <c r="S323" s="4" t="n">
        <v>0</v>
      </c>
      <c r="T323" s="4" t="n">
        <v>2.698</v>
      </c>
      <c r="U323" s="4">
        <f>IF(T323="",IFERROR(VLOOKUP($C323,Assumptions!$A$4:$F$7,6,FALSE),0),T323)</f>
        <v/>
      </c>
      <c r="V323" s="4">
        <f>N(M323)*IFERROR(VLOOKUP($C323,Assumptions!$A$4:$F$7,2,FALSE),0)</f>
        <v/>
      </c>
      <c r="W323" s="4">
        <f>N(Q323)*IFERROR(VLOOKUP($C323,Assumptions!$A$4:$F$7,3,FALSE),0)*Assumptions!$B$11</f>
        <v/>
      </c>
      <c r="X323" s="4">
        <f>N(L323)*IFERROR(VLOOKUP($C323,Assumptions!$A$4:$F$7,4,FALSE),0)</f>
        <v/>
      </c>
      <c r="Y323" s="4">
        <f>N(R323)*IFERROR(VLOOKUP($C323,Assumptions!$A$4:$F$7,5,FALSE),0)</f>
        <v/>
      </c>
      <c r="Z323" s="4">
        <f>N(S323)</f>
        <v/>
      </c>
      <c r="AA323" s="4">
        <f>SUM(U323:Z323)</f>
        <v/>
      </c>
      <c r="AB323" s="4">
        <f>N(AA323)*N(K323)/90</f>
        <v/>
      </c>
      <c r="AC323" s="4">
        <f>IFERROR(AB323-VLOOKUP($C323,Assumptions!$A$29:$C$32,3,FALSE),"")</f>
        <v/>
      </c>
      <c r="AD323" s="4">
        <f>IFERROR(AC323/F323,"")</f>
        <v/>
      </c>
      <c r="AE323">
        <f>IF(AND($E323=TRUE,$C323="GKP"),AB323,"")</f>
        <v/>
      </c>
      <c r="AF323">
        <f>IF(AND($E323=TRUE,$C323="DEF"),AB323,"")</f>
        <v/>
      </c>
      <c r="AG323">
        <f>IF(AND($E323=TRUE,$C323="MID"),AB323,"")</f>
        <v/>
      </c>
      <c r="AH323">
        <f>IF(AND($E323=TRUE,$C323="FWD"),AB323,"")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b">
        <v>1</v>
      </c>
      <c r="F324" s="2" t="n">
        <v>5.5</v>
      </c>
      <c r="G324" t="inlineStr">
        <is>
          <t>a</t>
        </is>
      </c>
      <c r="I324" s="2" t="n">
        <v>349</v>
      </c>
      <c r="J324" t="n">
        <v>18</v>
      </c>
      <c r="K324" s="3" t="n">
        <v>349</v>
      </c>
      <c r="L324" s="3" t="n">
        <v>0.29</v>
      </c>
      <c r="M324" s="4" t="n">
        <v>0.05</v>
      </c>
      <c r="N324" t="inlineStr">
        <is>
          <t>adjusted xGOT</t>
        </is>
      </c>
      <c r="O324" s="4" t="n">
        <v>0.972</v>
      </c>
      <c r="P324" s="4" t="n">
        <v>2.8</v>
      </c>
      <c r="Q324" s="4" t="n">
        <v>0.0455</v>
      </c>
      <c r="R324" s="4" t="n">
        <v>0.25</v>
      </c>
      <c r="S324" s="4" t="n">
        <v>0</v>
      </c>
      <c r="T324" s="4" t="n">
        <v>4.126</v>
      </c>
      <c r="U324" s="4">
        <f>IF(T324="",IFERROR(VLOOKUP($C324,Assumptions!$A$4:$F$7,6,FALSE),0),T324)</f>
        <v/>
      </c>
      <c r="V324" s="4">
        <f>N(M324)*IFERROR(VLOOKUP($C324,Assumptions!$A$4:$F$7,2,FALSE),0)</f>
        <v/>
      </c>
      <c r="W324" s="4">
        <f>N(Q324)*IFERROR(VLOOKUP($C324,Assumptions!$A$4:$F$7,3,FALSE),0)*Assumptions!$B$11</f>
        <v/>
      </c>
      <c r="X324" s="4">
        <f>N(L324)*IFERROR(VLOOKUP($C324,Assumptions!$A$4:$F$7,4,FALSE),0)</f>
        <v/>
      </c>
      <c r="Y324" s="4">
        <f>N(R324)*IFERROR(VLOOKUP($C324,Assumptions!$A$4:$F$7,5,FALSE),0)</f>
        <v/>
      </c>
      <c r="Z324" s="4">
        <f>N(S324)</f>
        <v/>
      </c>
      <c r="AA324" s="4">
        <f>SUM(U324:Z324)</f>
        <v/>
      </c>
      <c r="AB324" s="4">
        <f>N(AA324)*N(K324)/90</f>
        <v/>
      </c>
      <c r="AC324" s="4">
        <f>IFERROR(AB324-VLOOKUP($C324,Assumptions!$A$29:$C$32,3,FALSE),"")</f>
        <v/>
      </c>
      <c r="AD324" s="4">
        <f>IFERROR(AC324/F324,"")</f>
        <v/>
      </c>
      <c r="AE324">
        <f>IF(AND($E324=TRUE,$C324="GKP"),AB324,"")</f>
        <v/>
      </c>
      <c r="AF324">
        <f>IF(AND($E324=TRUE,$C324="DEF"),AB324,"")</f>
        <v/>
      </c>
      <c r="AG324">
        <f>IF(AND($E324=TRUE,$C324="MID"),AB324,"")</f>
        <v/>
      </c>
      <c r="AH324">
        <f>IF(AND($E324=TRUE,$C324="FWD"),AB324,"")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b">
        <v>1</v>
      </c>
      <c r="F325" s="2" t="n">
        <v>5</v>
      </c>
      <c r="G325" t="inlineStr">
        <is>
          <t>u</t>
        </is>
      </c>
      <c r="H325" t="inlineStr">
        <is>
          <t>has returned to Getafe CF</t>
        </is>
      </c>
      <c r="I325" s="2" t="n">
        <v>159</v>
      </c>
      <c r="J325" t="n">
        <v>17</v>
      </c>
      <c r="K325" s="3" t="n">
        <v>159</v>
      </c>
      <c r="L325" s="3" t="n">
        <v>0.316</v>
      </c>
      <c r="M325" s="4" t="n">
        <v>0.2745</v>
      </c>
      <c r="N325" t="inlineStr">
        <is>
          <t>adjusted xGOT</t>
        </is>
      </c>
      <c r="O325" s="4" t="n">
        <v>0.989</v>
      </c>
      <c r="P325" s="4" t="n">
        <v>0.5</v>
      </c>
      <c r="Q325" s="4" t="n">
        <v>0.0028</v>
      </c>
      <c r="R325" s="4" t="n"/>
      <c r="S325" s="4" t="n">
        <v>0</v>
      </c>
      <c r="T325" s="4" t="n">
        <v>7.925</v>
      </c>
      <c r="U325" s="4">
        <f>IF(T325="",IFERROR(VLOOKUP($C325,Assumptions!$A$4:$F$7,6,FALSE),0),T325)</f>
        <v/>
      </c>
      <c r="V325" s="4">
        <f>N(M325)*IFERROR(VLOOKUP($C325,Assumptions!$A$4:$F$7,2,FALSE),0)</f>
        <v/>
      </c>
      <c r="W325" s="4">
        <f>N(Q325)*IFERROR(VLOOKUP($C325,Assumptions!$A$4:$F$7,3,FALSE),0)*Assumptions!$B$11</f>
        <v/>
      </c>
      <c r="X325" s="4">
        <f>N(L325)*IFERROR(VLOOKUP($C325,Assumptions!$A$4:$F$7,4,FALSE),0)</f>
        <v/>
      </c>
      <c r="Y325" s="4">
        <f>N(R325)*IFERROR(VLOOKUP($C325,Assumptions!$A$4:$F$7,5,FALSE),0)</f>
        <v/>
      </c>
      <c r="Z325" s="4">
        <f>N(S325)</f>
        <v/>
      </c>
      <c r="AA325" s="4">
        <f>SUM(U325:Z325)</f>
        <v/>
      </c>
      <c r="AB325" s="4">
        <f>N(AA325)*N(K325)/90</f>
        <v/>
      </c>
      <c r="AC325" s="4">
        <f>IFERROR(AB325-VLOOKUP($C325,Assumptions!$A$29:$C$32,3,FALSE),"")</f>
        <v/>
      </c>
      <c r="AD325" s="4">
        <f>IFERROR(AC325/F325,"")</f>
        <v/>
      </c>
      <c r="AE325">
        <f>IF(AND($E325=TRUE,$C325="GKP"),AB325,"")</f>
        <v/>
      </c>
      <c r="AF325">
        <f>IF(AND($E325=TRUE,$C325="DEF"),AB325,"")</f>
        <v/>
      </c>
      <c r="AG325">
        <f>IF(AND($E325=TRUE,$C325="MID"),AB325,"")</f>
        <v/>
      </c>
      <c r="AH325">
        <f>IF(AND($E325=TRUE,$C325="FWD"),AB325,"")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b">
        <v>1</v>
      </c>
      <c r="F326" s="2" t="n">
        <v>5</v>
      </c>
      <c r="G326" t="inlineStr">
        <is>
          <t>a</t>
        </is>
      </c>
      <c r="I326" s="2" t="n">
        <v>244</v>
      </c>
      <c r="J326" t="n">
        <v>17</v>
      </c>
      <c r="K326" s="3" t="n">
        <v>244</v>
      </c>
      <c r="L326" s="3" t="n">
        <v>0.21</v>
      </c>
      <c r="M326" s="4" t="n">
        <v>0.3172</v>
      </c>
      <c r="N326" t="inlineStr">
        <is>
          <t>adjusted xGOT</t>
        </is>
      </c>
      <c r="O326" s="4" t="n">
        <v>0.955</v>
      </c>
      <c r="P326" s="4" t="n">
        <v>0.9</v>
      </c>
      <c r="Q326" s="4" t="n">
        <v>0.0398</v>
      </c>
      <c r="R326" s="4" t="n">
        <v>0</v>
      </c>
      <c r="S326" s="4" t="n">
        <v>0</v>
      </c>
      <c r="T326" s="4" t="n">
        <v>6.27</v>
      </c>
      <c r="U326" s="4">
        <f>IF(T326="",IFERROR(VLOOKUP($C326,Assumptions!$A$4:$F$7,6,FALSE),0),T326)</f>
        <v/>
      </c>
      <c r="V326" s="4">
        <f>N(M326)*IFERROR(VLOOKUP($C326,Assumptions!$A$4:$F$7,2,FALSE),0)</f>
        <v/>
      </c>
      <c r="W326" s="4">
        <f>N(Q326)*IFERROR(VLOOKUP($C326,Assumptions!$A$4:$F$7,3,FALSE),0)*Assumptions!$B$11</f>
        <v/>
      </c>
      <c r="X326" s="4">
        <f>N(L326)*IFERROR(VLOOKUP($C326,Assumptions!$A$4:$F$7,4,FALSE),0)</f>
        <v/>
      </c>
      <c r="Y326" s="4">
        <f>N(R326)*IFERROR(VLOOKUP($C326,Assumptions!$A$4:$F$7,5,FALSE),0)</f>
        <v/>
      </c>
      <c r="Z326" s="4">
        <f>N(S326)</f>
        <v/>
      </c>
      <c r="AA326" s="4">
        <f>SUM(U326:Z326)</f>
        <v/>
      </c>
      <c r="AB326" s="4">
        <f>N(AA326)*N(K326)/90</f>
        <v/>
      </c>
      <c r="AC326" s="4">
        <f>IFERROR(AB326-VLOOKUP($C326,Assumptions!$A$29:$C$32,3,FALSE),"")</f>
        <v/>
      </c>
      <c r="AD326" s="4">
        <f>IFERROR(AC326/F326,"")</f>
        <v/>
      </c>
      <c r="AE326">
        <f>IF(AND($E326=TRUE,$C326="GKP"),AB326,"")</f>
        <v/>
      </c>
      <c r="AF326">
        <f>IF(AND($E326=TRUE,$C326="DEF"),AB326,"")</f>
        <v/>
      </c>
      <c r="AG326">
        <f>IF(AND($E326=TRUE,$C326="MID"),AB326,"")</f>
        <v/>
      </c>
      <c r="AH326">
        <f>IF(AND($E326=TRUE,$C326="FWD"),AB326,"")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b">
        <v>1</v>
      </c>
      <c r="F327" s="2" t="n">
        <v>5.5</v>
      </c>
      <c r="G327" t="inlineStr">
        <is>
          <t>a</t>
        </is>
      </c>
      <c r="I327" s="2" t="n">
        <v>288</v>
      </c>
      <c r="J327" t="n">
        <v>17</v>
      </c>
      <c r="K327" s="3" t="n">
        <v>288</v>
      </c>
      <c r="L327" s="3" t="n">
        <v>0.237</v>
      </c>
      <c r="M327" s="4" t="n">
        <v>0.0572</v>
      </c>
      <c r="N327" t="inlineStr">
        <is>
          <t>adjusted xGOT</t>
        </is>
      </c>
      <c r="O327" s="4" t="n">
        <v>1.017</v>
      </c>
      <c r="P327" s="4" t="n">
        <v>6</v>
      </c>
      <c r="Q327" s="4" t="n">
        <v>0.1925</v>
      </c>
      <c r="R327" s="4" t="n">
        <v>0</v>
      </c>
      <c r="S327" s="4" t="n">
        <v>0</v>
      </c>
      <c r="T327" s="4" t="n">
        <v>4.688</v>
      </c>
      <c r="U327" s="4">
        <f>IF(T327="",IFERROR(VLOOKUP($C327,Assumptions!$A$4:$F$7,6,FALSE),0),T327)</f>
        <v/>
      </c>
      <c r="V327" s="4">
        <f>N(M327)*IFERROR(VLOOKUP($C327,Assumptions!$A$4:$F$7,2,FALSE),0)</f>
        <v/>
      </c>
      <c r="W327" s="4">
        <f>N(Q327)*IFERROR(VLOOKUP($C327,Assumptions!$A$4:$F$7,3,FALSE),0)*Assumptions!$B$11</f>
        <v/>
      </c>
      <c r="X327" s="4">
        <f>N(L327)*IFERROR(VLOOKUP($C327,Assumptions!$A$4:$F$7,4,FALSE),0)</f>
        <v/>
      </c>
      <c r="Y327" s="4">
        <f>N(R327)*IFERROR(VLOOKUP($C327,Assumptions!$A$4:$F$7,5,FALSE),0)</f>
        <v/>
      </c>
      <c r="Z327" s="4">
        <f>N(S327)</f>
        <v/>
      </c>
      <c r="AA327" s="4">
        <f>SUM(U327:Z327)</f>
        <v/>
      </c>
      <c r="AB327" s="4">
        <f>N(AA327)*N(K327)/90</f>
        <v/>
      </c>
      <c r="AC327" s="4">
        <f>IFERROR(AB327-VLOOKUP($C327,Assumptions!$A$29:$C$32,3,FALSE),"")</f>
        <v/>
      </c>
      <c r="AD327" s="4">
        <f>IFERROR(AC327/F327,"")</f>
        <v/>
      </c>
      <c r="AE327">
        <f>IF(AND($E327=TRUE,$C327="GKP"),AB327,"")</f>
        <v/>
      </c>
      <c r="AF327">
        <f>IF(AND($E327=TRUE,$C327="DEF"),AB327,"")</f>
        <v/>
      </c>
      <c r="AG327">
        <f>IF(AND($E327=TRUE,$C327="MID"),AB327,"")</f>
        <v/>
      </c>
      <c r="AH327">
        <f>IF(AND($E327=TRUE,$C327="FWD"),AB327,"")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b">
        <v>1</v>
      </c>
      <c r="F328" s="2" t="n">
        <v>5.5</v>
      </c>
      <c r="G328" t="inlineStr">
        <is>
          <t>d</t>
        </is>
      </c>
      <c r="H328" t="inlineStr">
        <is>
          <t>Knee injury - 75% chance of playing</t>
        </is>
      </c>
      <c r="I328" s="2" t="n">
        <v>132</v>
      </c>
      <c r="J328" t="n">
        <v>16</v>
      </c>
      <c r="K328" s="3" t="n">
        <v>132</v>
      </c>
      <c r="L328" s="3" t="n">
        <v>0.263</v>
      </c>
      <c r="M328" s="4" t="n">
        <v>0.3055</v>
      </c>
      <c r="N328" t="inlineStr">
        <is>
          <t>adjusted xGOT</t>
        </is>
      </c>
      <c r="O328" s="4" t="n">
        <v>1.019</v>
      </c>
      <c r="P328" s="4" t="n">
        <v>0.4</v>
      </c>
      <c r="Q328" s="4" t="n">
        <v>0.1685</v>
      </c>
      <c r="R328" s="4" t="n">
        <v>0</v>
      </c>
      <c r="S328" s="4" t="n">
        <v>0</v>
      </c>
      <c r="T328" s="4" t="n">
        <v>6.136</v>
      </c>
      <c r="U328" s="4">
        <f>IF(T328="",IFERROR(VLOOKUP($C328,Assumptions!$A$4:$F$7,6,FALSE),0),T328)</f>
        <v/>
      </c>
      <c r="V328" s="4">
        <f>N(M328)*IFERROR(VLOOKUP($C328,Assumptions!$A$4:$F$7,2,FALSE),0)</f>
        <v/>
      </c>
      <c r="W328" s="4">
        <f>N(Q328)*IFERROR(VLOOKUP($C328,Assumptions!$A$4:$F$7,3,FALSE),0)*Assumptions!$B$11</f>
        <v/>
      </c>
      <c r="X328" s="4">
        <f>N(L328)*IFERROR(VLOOKUP($C328,Assumptions!$A$4:$F$7,4,FALSE),0)</f>
        <v/>
      </c>
      <c r="Y328" s="4">
        <f>N(R328)*IFERROR(VLOOKUP($C328,Assumptions!$A$4:$F$7,5,FALSE),0)</f>
        <v/>
      </c>
      <c r="Z328" s="4">
        <f>N(S328)</f>
        <v/>
      </c>
      <c r="AA328" s="4">
        <f>SUM(U328:Z328)</f>
        <v/>
      </c>
      <c r="AB328" s="4">
        <f>N(AA328)*N(K328)/90</f>
        <v/>
      </c>
      <c r="AC328" s="4">
        <f>IFERROR(AB328-VLOOKUP($C328,Assumptions!$A$29:$C$32,3,FALSE),"")</f>
        <v/>
      </c>
      <c r="AD328" s="4">
        <f>IFERROR(AC328/F328,"")</f>
        <v/>
      </c>
      <c r="AE328">
        <f>IF(AND($E328=TRUE,$C328="GKP"),AB328,"")</f>
        <v/>
      </c>
      <c r="AF328">
        <f>IF(AND($E328=TRUE,$C328="DEF"),AB328,"")</f>
        <v/>
      </c>
      <c r="AG328">
        <f>IF(AND($E328=TRUE,$C328="MID"),AB328,"")</f>
        <v/>
      </c>
      <c r="AH328">
        <f>IF(AND($E328=TRUE,$C328="FWD"),AB328,"")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b">
        <v>1</v>
      </c>
      <c r="F329" s="2" t="n">
        <v>4.5</v>
      </c>
      <c r="G329" t="inlineStr">
        <is>
          <t>a</t>
        </is>
      </c>
      <c r="I329" s="2" t="n">
        <v>270</v>
      </c>
      <c r="J329" t="n">
        <v>16</v>
      </c>
      <c r="K329" s="3" t="n">
        <v>270</v>
      </c>
      <c r="L329" s="3" t="n">
        <v>0.29</v>
      </c>
      <c r="M329" s="4" t="n">
        <v>0</v>
      </c>
      <c r="N329" t="inlineStr">
        <is>
          <t>blended xG</t>
        </is>
      </c>
      <c r="O329" s="4" t="n">
        <v>1</v>
      </c>
      <c r="P329" s="4" t="n">
        <v>0</v>
      </c>
      <c r="Q329" s="4" t="n">
        <v>0.0033</v>
      </c>
      <c r="R329" s="4" t="n">
        <v>0</v>
      </c>
      <c r="S329" s="4" t="n">
        <v>1</v>
      </c>
      <c r="T329" s="4" t="n">
        <v>2</v>
      </c>
      <c r="U329" s="4">
        <f>IF(T329="",IFERROR(VLOOKUP($C329,Assumptions!$A$4:$F$7,6,FALSE),0),T329)</f>
        <v/>
      </c>
      <c r="V329" s="4">
        <f>N(M329)*IFERROR(VLOOKUP($C329,Assumptions!$A$4:$F$7,2,FALSE),0)</f>
        <v/>
      </c>
      <c r="W329" s="4">
        <f>N(Q329)*IFERROR(VLOOKUP($C329,Assumptions!$A$4:$F$7,3,FALSE),0)*Assumptions!$B$11</f>
        <v/>
      </c>
      <c r="X329" s="4">
        <f>N(L329)*IFERROR(VLOOKUP($C329,Assumptions!$A$4:$F$7,4,FALSE),0)</f>
        <v/>
      </c>
      <c r="Y329" s="4">
        <f>N(R329)*IFERROR(VLOOKUP($C329,Assumptions!$A$4:$F$7,5,FALSE),0)</f>
        <v/>
      </c>
      <c r="Z329" s="4">
        <f>N(S329)</f>
        <v/>
      </c>
      <c r="AA329" s="4">
        <f>SUM(U329:Z329)</f>
        <v/>
      </c>
      <c r="AB329" s="4">
        <f>N(AA329)*N(K329)/90</f>
        <v/>
      </c>
      <c r="AC329" s="4">
        <f>IFERROR(AB329-VLOOKUP($C329,Assumptions!$A$29:$C$32,3,FALSE),"")</f>
        <v/>
      </c>
      <c r="AD329" s="4">
        <f>IFERROR(AC329/F329,"")</f>
        <v/>
      </c>
      <c r="AE329">
        <f>IF(AND($E329=TRUE,$C329="GKP"),AB329,"")</f>
        <v/>
      </c>
      <c r="AF329">
        <f>IF(AND($E329=TRUE,$C329="DEF"),AB329,"")</f>
        <v/>
      </c>
      <c r="AG329">
        <f>IF(AND($E329=TRUE,$C329="MID"),AB329,"")</f>
        <v/>
      </c>
      <c r="AH329">
        <f>IF(AND($E329=TRUE,$C329="FWD"),AB329,"")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b">
        <v>1</v>
      </c>
      <c r="F330" s="2" t="n">
        <v>5.5</v>
      </c>
      <c r="G330" t="inlineStr">
        <is>
          <t>a</t>
        </is>
      </c>
      <c r="I330" s="2" t="n">
        <v>202</v>
      </c>
      <c r="J330" t="n">
        <v>16</v>
      </c>
      <c r="K330" s="3" t="n">
        <v>202</v>
      </c>
      <c r="L330" s="3" t="n">
        <v>0.263</v>
      </c>
      <c r="M330" s="4" t="n">
        <v>0.5133</v>
      </c>
      <c r="N330" t="inlineStr">
        <is>
          <t>adjusted xGOT</t>
        </is>
      </c>
      <c r="O330" s="4" t="n">
        <v>0.952</v>
      </c>
      <c r="P330" s="4" t="n">
        <v>4</v>
      </c>
      <c r="Q330" s="4" t="n">
        <v>0.07340000000000001</v>
      </c>
      <c r="R330" s="4" t="n">
        <v>0</v>
      </c>
      <c r="S330" s="4" t="n">
        <v>0.8911</v>
      </c>
      <c r="T330" s="4" t="n">
        <v>3.564</v>
      </c>
      <c r="U330" s="4">
        <f>IF(T330="",IFERROR(VLOOKUP($C330,Assumptions!$A$4:$F$7,6,FALSE),0),T330)</f>
        <v/>
      </c>
      <c r="V330" s="4">
        <f>N(M330)*IFERROR(VLOOKUP($C330,Assumptions!$A$4:$F$7,2,FALSE),0)</f>
        <v/>
      </c>
      <c r="W330" s="4">
        <f>N(Q330)*IFERROR(VLOOKUP($C330,Assumptions!$A$4:$F$7,3,FALSE),0)*Assumptions!$B$11</f>
        <v/>
      </c>
      <c r="X330" s="4">
        <f>N(L330)*IFERROR(VLOOKUP($C330,Assumptions!$A$4:$F$7,4,FALSE),0)</f>
        <v/>
      </c>
      <c r="Y330" s="4">
        <f>N(R330)*IFERROR(VLOOKUP($C330,Assumptions!$A$4:$F$7,5,FALSE),0)</f>
        <v/>
      </c>
      <c r="Z330" s="4">
        <f>N(S330)</f>
        <v/>
      </c>
      <c r="AA330" s="4">
        <f>SUM(U330:Z330)</f>
        <v/>
      </c>
      <c r="AB330" s="4">
        <f>N(AA330)*N(K330)/90</f>
        <v/>
      </c>
      <c r="AC330" s="4">
        <f>IFERROR(AB330-VLOOKUP($C330,Assumptions!$A$29:$C$32,3,FALSE),"")</f>
        <v/>
      </c>
      <c r="AD330" s="4">
        <f>IFERROR(AC330/F330,"")</f>
        <v/>
      </c>
      <c r="AE330">
        <f>IF(AND($E330=TRUE,$C330="GKP"),AB330,"")</f>
        <v/>
      </c>
      <c r="AF330">
        <f>IF(AND($E330=TRUE,$C330="DEF"),AB330,"")</f>
        <v/>
      </c>
      <c r="AG330">
        <f>IF(AND($E330=TRUE,$C330="MID"),AB330,"")</f>
        <v/>
      </c>
      <c r="AH330">
        <f>IF(AND($E330=TRUE,$C330="FWD"),AB330,"")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b">
        <v>1</v>
      </c>
      <c r="F331" s="2" t="n">
        <v>5.5</v>
      </c>
      <c r="G331" t="inlineStr">
        <is>
          <t>a</t>
        </is>
      </c>
      <c r="I331" s="2" t="n">
        <v>351</v>
      </c>
      <c r="J331" t="n">
        <v>16</v>
      </c>
      <c r="K331" s="3" t="n">
        <v>351</v>
      </c>
      <c r="L331" s="3" t="n">
        <v>0.29</v>
      </c>
      <c r="M331" s="4" t="n">
        <v>0.1821</v>
      </c>
      <c r="N331" t="inlineStr">
        <is>
          <t>adjusted xGOT</t>
        </is>
      </c>
      <c r="O331" s="4" t="n">
        <v>1.109</v>
      </c>
      <c r="P331" s="4" t="n">
        <v>0.8</v>
      </c>
      <c r="Q331" s="4" t="n">
        <v>0.3246</v>
      </c>
      <c r="R331" s="4" t="n">
        <v>0</v>
      </c>
      <c r="S331" s="4" t="n">
        <v>0</v>
      </c>
      <c r="T331" s="4" t="n">
        <v>4.359</v>
      </c>
      <c r="U331" s="4">
        <f>IF(T331="",IFERROR(VLOOKUP($C331,Assumptions!$A$4:$F$7,6,FALSE),0),T331)</f>
        <v/>
      </c>
      <c r="V331" s="4">
        <f>N(M331)*IFERROR(VLOOKUP($C331,Assumptions!$A$4:$F$7,2,FALSE),0)</f>
        <v/>
      </c>
      <c r="W331" s="4">
        <f>N(Q331)*IFERROR(VLOOKUP($C331,Assumptions!$A$4:$F$7,3,FALSE),0)*Assumptions!$B$11</f>
        <v/>
      </c>
      <c r="X331" s="4">
        <f>N(L331)*IFERROR(VLOOKUP($C331,Assumptions!$A$4:$F$7,4,FALSE),0)</f>
        <v/>
      </c>
      <c r="Y331" s="4">
        <f>N(R331)*IFERROR(VLOOKUP($C331,Assumptions!$A$4:$F$7,5,FALSE),0)</f>
        <v/>
      </c>
      <c r="Z331" s="4">
        <f>N(S331)</f>
        <v/>
      </c>
      <c r="AA331" s="4">
        <f>SUM(U331:Z331)</f>
        <v/>
      </c>
      <c r="AB331" s="4">
        <f>N(AA331)*N(K331)/90</f>
        <v/>
      </c>
      <c r="AC331" s="4">
        <f>IFERROR(AB331-VLOOKUP($C331,Assumptions!$A$29:$C$32,3,FALSE),"")</f>
        <v/>
      </c>
      <c r="AD331" s="4">
        <f>IFERROR(AC331/F331,"")</f>
        <v/>
      </c>
      <c r="AE331">
        <f>IF(AND($E331=TRUE,$C331="GKP"),AB331,"")</f>
        <v/>
      </c>
      <c r="AF331">
        <f>IF(AND($E331=TRUE,$C331="DEF"),AB331,"")</f>
        <v/>
      </c>
      <c r="AG331">
        <f>IF(AND($E331=TRUE,$C331="MID"),AB331,"")</f>
        <v/>
      </c>
      <c r="AH331">
        <f>IF(AND($E331=TRUE,$C331="FWD"),AB331,"")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b">
        <v>1</v>
      </c>
      <c r="F332" s="2" t="n">
        <v>4.5</v>
      </c>
      <c r="G332" t="inlineStr">
        <is>
          <t>a</t>
        </is>
      </c>
      <c r="I332" s="2" t="n">
        <v>585</v>
      </c>
      <c r="J332" t="n">
        <v>16</v>
      </c>
      <c r="K332" s="3" t="n">
        <v>585</v>
      </c>
      <c r="L332" s="3" t="n">
        <v>0.237</v>
      </c>
      <c r="M332" s="4" t="n">
        <v>0</v>
      </c>
      <c r="N332" t="inlineStr">
        <is>
          <t>blended xG</t>
        </is>
      </c>
      <c r="O332" s="4" t="n">
        <v>1</v>
      </c>
      <c r="P332" s="4" t="n">
        <v>0</v>
      </c>
      <c r="Q332" s="4" t="n">
        <v>0</v>
      </c>
      <c r="R332" s="4" t="n">
        <v>0</v>
      </c>
      <c r="S332" s="4" t="n">
        <v>0.1538</v>
      </c>
      <c r="T332" s="4" t="n">
        <v>2</v>
      </c>
      <c r="U332" s="4">
        <f>IF(T332="",IFERROR(VLOOKUP($C332,Assumptions!$A$4:$F$7,6,FALSE),0),T332)</f>
        <v/>
      </c>
      <c r="V332" s="4">
        <f>N(M332)*IFERROR(VLOOKUP($C332,Assumptions!$A$4:$F$7,2,FALSE),0)</f>
        <v/>
      </c>
      <c r="W332" s="4">
        <f>N(Q332)*IFERROR(VLOOKUP($C332,Assumptions!$A$4:$F$7,3,FALSE),0)*Assumptions!$B$11</f>
        <v/>
      </c>
      <c r="X332" s="4">
        <f>N(L332)*IFERROR(VLOOKUP($C332,Assumptions!$A$4:$F$7,4,FALSE),0)</f>
        <v/>
      </c>
      <c r="Y332" s="4">
        <f>N(R332)*IFERROR(VLOOKUP($C332,Assumptions!$A$4:$F$7,5,FALSE),0)</f>
        <v/>
      </c>
      <c r="Z332" s="4">
        <f>N(S332)</f>
        <v/>
      </c>
      <c r="AA332" s="4">
        <f>SUM(U332:Z332)</f>
        <v/>
      </c>
      <c r="AB332" s="4">
        <f>N(AA332)*N(K332)/90</f>
        <v/>
      </c>
      <c r="AC332" s="4">
        <f>IFERROR(AB332-VLOOKUP($C332,Assumptions!$A$29:$C$32,3,FALSE),"")</f>
        <v/>
      </c>
      <c r="AD332" s="4">
        <f>IFERROR(AC332/F332,"")</f>
        <v/>
      </c>
      <c r="AE332">
        <f>IF(AND($E332=TRUE,$C332="GKP"),AB332,"")</f>
        <v/>
      </c>
      <c r="AF332">
        <f>IF(AND($E332=TRUE,$C332="DEF"),AB332,"")</f>
        <v/>
      </c>
      <c r="AG332">
        <f>IF(AND($E332=TRUE,$C332="MID"),AB332,"")</f>
        <v/>
      </c>
      <c r="AH332">
        <f>IF(AND($E332=TRUE,$C332="FWD"),AB332,"")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b">
        <v>1</v>
      </c>
      <c r="F333" s="2" t="n">
        <v>5.5</v>
      </c>
      <c r="G333" t="inlineStr">
        <is>
          <t>a</t>
        </is>
      </c>
      <c r="I333" s="2" t="n">
        <v>152</v>
      </c>
      <c r="J333" t="n">
        <v>16</v>
      </c>
      <c r="K333" s="3" t="n">
        <v>152</v>
      </c>
      <c r="L333" s="3" t="n">
        <v>0.5</v>
      </c>
      <c r="M333" s="4" t="n">
        <v>0.6898</v>
      </c>
      <c r="N333" t="inlineStr">
        <is>
          <t>adjusted xGOT</t>
        </is>
      </c>
      <c r="O333" s="4" t="n">
        <v>0.979</v>
      </c>
      <c r="P333" s="4" t="n">
        <v>1.2</v>
      </c>
      <c r="Q333" s="4" t="n">
        <v>0.2764</v>
      </c>
      <c r="R333" s="4" t="n">
        <v>0</v>
      </c>
      <c r="S333" s="4" t="n">
        <v>0</v>
      </c>
      <c r="T333" s="4" t="n">
        <v>4.145</v>
      </c>
      <c r="U333" s="4">
        <f>IF(T333="",IFERROR(VLOOKUP($C333,Assumptions!$A$4:$F$7,6,FALSE),0),T333)</f>
        <v/>
      </c>
      <c r="V333" s="4">
        <f>N(M333)*IFERROR(VLOOKUP($C333,Assumptions!$A$4:$F$7,2,FALSE),0)</f>
        <v/>
      </c>
      <c r="W333" s="4">
        <f>N(Q333)*IFERROR(VLOOKUP($C333,Assumptions!$A$4:$F$7,3,FALSE),0)*Assumptions!$B$11</f>
        <v/>
      </c>
      <c r="X333" s="4">
        <f>N(L333)*IFERROR(VLOOKUP($C333,Assumptions!$A$4:$F$7,4,FALSE),0)</f>
        <v/>
      </c>
      <c r="Y333" s="4">
        <f>N(R333)*IFERROR(VLOOKUP($C333,Assumptions!$A$4:$F$7,5,FALSE),0)</f>
        <v/>
      </c>
      <c r="Z333" s="4">
        <f>N(S333)</f>
        <v/>
      </c>
      <c r="AA333" s="4">
        <f>SUM(U333:Z333)</f>
        <v/>
      </c>
      <c r="AB333" s="4">
        <f>N(AA333)*N(K333)/90</f>
        <v/>
      </c>
      <c r="AC333" s="4">
        <f>IFERROR(AB333-VLOOKUP($C333,Assumptions!$A$29:$C$32,3,FALSE),"")</f>
        <v/>
      </c>
      <c r="AD333" s="4">
        <f>IFERROR(AC333/F333,"")</f>
        <v/>
      </c>
      <c r="AE333">
        <f>IF(AND($E333=TRUE,$C333="GKP"),AB333,"")</f>
        <v/>
      </c>
      <c r="AF333">
        <f>IF(AND($E333=TRUE,$C333="DEF"),AB333,"")</f>
        <v/>
      </c>
      <c r="AG333">
        <f>IF(AND($E333=TRUE,$C333="MID"),AB333,"")</f>
        <v/>
      </c>
      <c r="AH333">
        <f>IF(AND($E333=TRUE,$C333="FWD"),AB333,"")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b">
        <v>1</v>
      </c>
      <c r="F334" s="2" t="n">
        <v>4.5</v>
      </c>
      <c r="G334" t="inlineStr">
        <is>
          <t>a</t>
        </is>
      </c>
      <c r="I334" s="2" t="n">
        <v>89</v>
      </c>
      <c r="J334" t="n">
        <v>15</v>
      </c>
      <c r="K334" s="3" t="n">
        <v>89</v>
      </c>
      <c r="L334" s="3" t="n">
        <v>0.237</v>
      </c>
      <c r="M334" s="4" t="n">
        <v>0.1547</v>
      </c>
      <c r="N334" t="inlineStr">
        <is>
          <t>adjusted xGOT</t>
        </is>
      </c>
      <c r="O334" s="4" t="n">
        <v>1.179</v>
      </c>
      <c r="P334" s="4" t="n">
        <v>2.6</v>
      </c>
      <c r="Q334" s="4" t="n">
        <v>0.4313</v>
      </c>
      <c r="R334" s="4" t="n">
        <v>0</v>
      </c>
      <c r="S334" s="4" t="n">
        <v>2.0225</v>
      </c>
      <c r="T334" s="4" t="n">
        <v>8.09</v>
      </c>
      <c r="U334" s="4">
        <f>IF(T334="",IFERROR(VLOOKUP($C334,Assumptions!$A$4:$F$7,6,FALSE),0),T334)</f>
        <v/>
      </c>
      <c r="V334" s="4">
        <f>N(M334)*IFERROR(VLOOKUP($C334,Assumptions!$A$4:$F$7,2,FALSE),0)</f>
        <v/>
      </c>
      <c r="W334" s="4">
        <f>N(Q334)*IFERROR(VLOOKUP($C334,Assumptions!$A$4:$F$7,3,FALSE),0)*Assumptions!$B$11</f>
        <v/>
      </c>
      <c r="X334" s="4">
        <f>N(L334)*IFERROR(VLOOKUP($C334,Assumptions!$A$4:$F$7,4,FALSE),0)</f>
        <v/>
      </c>
      <c r="Y334" s="4">
        <f>N(R334)*IFERROR(VLOOKUP($C334,Assumptions!$A$4:$F$7,5,FALSE),0)</f>
        <v/>
      </c>
      <c r="Z334" s="4">
        <f>N(S334)</f>
        <v/>
      </c>
      <c r="AA334" s="4">
        <f>SUM(U334:Z334)</f>
        <v/>
      </c>
      <c r="AB334" s="4">
        <f>N(AA334)*N(K334)/90</f>
        <v/>
      </c>
      <c r="AC334" s="4">
        <f>IFERROR(AB334-VLOOKUP($C334,Assumptions!$A$29:$C$32,3,FALSE),"")</f>
        <v/>
      </c>
      <c r="AD334" s="4">
        <f>IFERROR(AC334/F334,"")</f>
        <v/>
      </c>
      <c r="AE334">
        <f>IF(AND($E334=TRUE,$C334="GKP"),AB334,"")</f>
        <v/>
      </c>
      <c r="AF334">
        <f>IF(AND($E334=TRUE,$C334="DEF"),AB334,"")</f>
        <v/>
      </c>
      <c r="AG334">
        <f>IF(AND($E334=TRUE,$C334="MID"),AB334,"")</f>
        <v/>
      </c>
      <c r="AH334">
        <f>IF(AND($E334=TRUE,$C334="FWD"),AB334,"")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b">
        <v>1</v>
      </c>
      <c r="F335" s="2" t="n">
        <v>5</v>
      </c>
      <c r="G335" t="inlineStr">
        <is>
          <t>a</t>
        </is>
      </c>
      <c r="I335" s="2" t="n">
        <v>399</v>
      </c>
      <c r="J335" t="n">
        <v>14</v>
      </c>
      <c r="K335" s="3" t="n">
        <v>399</v>
      </c>
      <c r="L335" s="3" t="n">
        <v>0.29</v>
      </c>
      <c r="M335" s="4" t="n">
        <v>0.1791</v>
      </c>
      <c r="N335" t="inlineStr">
        <is>
          <t>adjusted xGOT</t>
        </is>
      </c>
      <c r="O335" s="4" t="n">
        <v>0.913</v>
      </c>
      <c r="P335" s="4" t="n">
        <v>0.9</v>
      </c>
      <c r="Q335" s="4" t="n">
        <v>0.0561</v>
      </c>
      <c r="R335" s="4" t="n">
        <v>0</v>
      </c>
      <c r="S335" s="4" t="n">
        <v>0</v>
      </c>
      <c r="T335" s="4" t="n">
        <v>3.383</v>
      </c>
      <c r="U335" s="4">
        <f>IF(T335="",IFERROR(VLOOKUP($C335,Assumptions!$A$4:$F$7,6,FALSE),0),T335)</f>
        <v/>
      </c>
      <c r="V335" s="4">
        <f>N(M335)*IFERROR(VLOOKUP($C335,Assumptions!$A$4:$F$7,2,FALSE),0)</f>
        <v/>
      </c>
      <c r="W335" s="4">
        <f>N(Q335)*IFERROR(VLOOKUP($C335,Assumptions!$A$4:$F$7,3,FALSE),0)*Assumptions!$B$11</f>
        <v/>
      </c>
      <c r="X335" s="4">
        <f>N(L335)*IFERROR(VLOOKUP($C335,Assumptions!$A$4:$F$7,4,FALSE),0)</f>
        <v/>
      </c>
      <c r="Y335" s="4">
        <f>N(R335)*IFERROR(VLOOKUP($C335,Assumptions!$A$4:$F$7,5,FALSE),0)</f>
        <v/>
      </c>
      <c r="Z335" s="4">
        <f>N(S335)</f>
        <v/>
      </c>
      <c r="AA335" s="4">
        <f>SUM(U335:Z335)</f>
        <v/>
      </c>
      <c r="AB335" s="4">
        <f>N(AA335)*N(K335)/90</f>
        <v/>
      </c>
      <c r="AC335" s="4">
        <f>IFERROR(AB335-VLOOKUP($C335,Assumptions!$A$29:$C$32,3,FALSE),"")</f>
        <v/>
      </c>
      <c r="AD335" s="4">
        <f>IFERROR(AC335/F335,"")</f>
        <v/>
      </c>
      <c r="AE335">
        <f>IF(AND($E335=TRUE,$C335="GKP"),AB335,"")</f>
        <v/>
      </c>
      <c r="AF335">
        <f>IF(AND($E335=TRUE,$C335="DEF"),AB335,"")</f>
        <v/>
      </c>
      <c r="AG335">
        <f>IF(AND($E335=TRUE,$C335="MID"),AB335,"")</f>
        <v/>
      </c>
      <c r="AH335">
        <f>IF(AND($E335=TRUE,$C335="FWD"),AB335,"")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b">
        <v>1</v>
      </c>
      <c r="F336" s="2" t="n">
        <v>4.5</v>
      </c>
      <c r="G336" t="inlineStr">
        <is>
          <t>a</t>
        </is>
      </c>
      <c r="I336" s="2" t="n">
        <v>318</v>
      </c>
      <c r="J336" t="n">
        <v>14</v>
      </c>
      <c r="K336" s="3" t="n">
        <v>318</v>
      </c>
      <c r="L336" s="3" t="n">
        <v>0.263</v>
      </c>
      <c r="M336" s="4" t="n">
        <v>0.0028</v>
      </c>
      <c r="N336" t="inlineStr">
        <is>
          <t>adjusted xGOT</t>
        </is>
      </c>
      <c r="O336" s="4" t="n">
        <v>1.034</v>
      </c>
      <c r="P336" s="4" t="n">
        <v>5.8</v>
      </c>
      <c r="Q336" s="4" t="n">
        <v>0.008500000000000001</v>
      </c>
      <c r="R336" s="4" t="n">
        <v>0.5</v>
      </c>
      <c r="S336" s="4" t="n">
        <v>0.5659999999999999</v>
      </c>
      <c r="T336" s="4" t="n">
        <v>2.264</v>
      </c>
      <c r="U336" s="4">
        <f>IF(T336="",IFERROR(VLOOKUP($C336,Assumptions!$A$4:$F$7,6,FALSE),0),T336)</f>
        <v/>
      </c>
      <c r="V336" s="4">
        <f>N(M336)*IFERROR(VLOOKUP($C336,Assumptions!$A$4:$F$7,2,FALSE),0)</f>
        <v/>
      </c>
      <c r="W336" s="4">
        <f>N(Q336)*IFERROR(VLOOKUP($C336,Assumptions!$A$4:$F$7,3,FALSE),0)*Assumptions!$B$11</f>
        <v/>
      </c>
      <c r="X336" s="4">
        <f>N(L336)*IFERROR(VLOOKUP($C336,Assumptions!$A$4:$F$7,4,FALSE),0)</f>
        <v/>
      </c>
      <c r="Y336" s="4">
        <f>N(R336)*IFERROR(VLOOKUP($C336,Assumptions!$A$4:$F$7,5,FALSE),0)</f>
        <v/>
      </c>
      <c r="Z336" s="4">
        <f>N(S336)</f>
        <v/>
      </c>
      <c r="AA336" s="4">
        <f>SUM(U336:Z336)</f>
        <v/>
      </c>
      <c r="AB336" s="4">
        <f>N(AA336)*N(K336)/90</f>
        <v/>
      </c>
      <c r="AC336" s="4">
        <f>IFERROR(AB336-VLOOKUP($C336,Assumptions!$A$29:$C$32,3,FALSE),"")</f>
        <v/>
      </c>
      <c r="AD336" s="4">
        <f>IFERROR(AC336/F336,"")</f>
        <v/>
      </c>
      <c r="AE336">
        <f>IF(AND($E336=TRUE,$C336="GKP"),AB336,"")</f>
        <v/>
      </c>
      <c r="AF336">
        <f>IF(AND($E336=TRUE,$C336="DEF"),AB336,"")</f>
        <v/>
      </c>
      <c r="AG336">
        <f>IF(AND($E336=TRUE,$C336="MID"),AB336,"")</f>
        <v/>
      </c>
      <c r="AH336">
        <f>IF(AND($E336=TRUE,$C336="FWD"),AB336,"")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b">
        <v>1</v>
      </c>
      <c r="F337" s="2" t="n">
        <v>5</v>
      </c>
      <c r="G337" t="inlineStr">
        <is>
          <t>a</t>
        </is>
      </c>
      <c r="I337" s="2" t="n">
        <v>265</v>
      </c>
      <c r="J337" t="n">
        <v>13</v>
      </c>
      <c r="K337" s="3" t="n">
        <v>265</v>
      </c>
      <c r="L337" s="3" t="n">
        <v>0.237</v>
      </c>
      <c r="M337" s="4" t="n">
        <v>0.4442</v>
      </c>
      <c r="N337" t="inlineStr">
        <is>
          <t>adjusted xGOT</t>
        </is>
      </c>
      <c r="O337" s="4" t="n">
        <v>0.849</v>
      </c>
      <c r="P337" s="4" t="n">
        <v>1.5</v>
      </c>
      <c r="Q337" s="4" t="n">
        <v>0.1781</v>
      </c>
      <c r="R337" s="4" t="n">
        <v>0</v>
      </c>
      <c r="S337" s="4" t="n">
        <v>0</v>
      </c>
      <c r="T337" s="4" t="n">
        <v>3.736</v>
      </c>
      <c r="U337" s="4">
        <f>IF(T337="",IFERROR(VLOOKUP($C337,Assumptions!$A$4:$F$7,6,FALSE),0),T337)</f>
        <v/>
      </c>
      <c r="V337" s="4">
        <f>N(M337)*IFERROR(VLOOKUP($C337,Assumptions!$A$4:$F$7,2,FALSE),0)</f>
        <v/>
      </c>
      <c r="W337" s="4">
        <f>N(Q337)*IFERROR(VLOOKUP($C337,Assumptions!$A$4:$F$7,3,FALSE),0)*Assumptions!$B$11</f>
        <v/>
      </c>
      <c r="X337" s="4">
        <f>N(L337)*IFERROR(VLOOKUP($C337,Assumptions!$A$4:$F$7,4,FALSE),0)</f>
        <v/>
      </c>
      <c r="Y337" s="4">
        <f>N(R337)*IFERROR(VLOOKUP($C337,Assumptions!$A$4:$F$7,5,FALSE),0)</f>
        <v/>
      </c>
      <c r="Z337" s="4">
        <f>N(S337)</f>
        <v/>
      </c>
      <c r="AA337" s="4">
        <f>SUM(U337:Z337)</f>
        <v/>
      </c>
      <c r="AB337" s="4">
        <f>N(AA337)*N(K337)/90</f>
        <v/>
      </c>
      <c r="AC337" s="4">
        <f>IFERROR(AB337-VLOOKUP($C337,Assumptions!$A$29:$C$32,3,FALSE),"")</f>
        <v/>
      </c>
      <c r="AD337" s="4">
        <f>IFERROR(AC337/F337,"")</f>
        <v/>
      </c>
      <c r="AE337">
        <f>IF(AND($E337=TRUE,$C337="GKP"),AB337,"")</f>
        <v/>
      </c>
      <c r="AF337">
        <f>IF(AND($E337=TRUE,$C337="DEF"),AB337,"")</f>
        <v/>
      </c>
      <c r="AG337">
        <f>IF(AND($E337=TRUE,$C337="MID"),AB337,"")</f>
        <v/>
      </c>
      <c r="AH337">
        <f>IF(AND($E337=TRUE,$C337="FWD"),AB337,"")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b">
        <v>1</v>
      </c>
      <c r="F338" s="2" t="n">
        <v>4.5</v>
      </c>
      <c r="G338" t="inlineStr">
        <is>
          <t>a</t>
        </is>
      </c>
      <c r="I338" s="2" t="n">
        <v>514</v>
      </c>
      <c r="J338" t="n">
        <v>13</v>
      </c>
      <c r="K338" s="3" t="n">
        <v>514</v>
      </c>
      <c r="L338" s="3" t="n">
        <v>0.237</v>
      </c>
      <c r="M338" s="4" t="n">
        <v>0.0462</v>
      </c>
      <c r="N338" t="inlineStr">
        <is>
          <t>adjusted xGOT</t>
        </is>
      </c>
      <c r="O338" s="4" t="n">
        <v>0.979</v>
      </c>
      <c r="P338" s="4" t="n">
        <v>0.3</v>
      </c>
      <c r="Q338" s="4" t="n">
        <v>0.0122</v>
      </c>
      <c r="R338" s="4" t="n">
        <v>0.167</v>
      </c>
      <c r="S338" s="4" t="n">
        <v>0</v>
      </c>
      <c r="T338" s="4" t="n">
        <v>2.276</v>
      </c>
      <c r="U338" s="4">
        <f>IF(T338="",IFERROR(VLOOKUP($C338,Assumptions!$A$4:$F$7,6,FALSE),0),T338)</f>
        <v/>
      </c>
      <c r="V338" s="4">
        <f>N(M338)*IFERROR(VLOOKUP($C338,Assumptions!$A$4:$F$7,2,FALSE),0)</f>
        <v/>
      </c>
      <c r="W338" s="4">
        <f>N(Q338)*IFERROR(VLOOKUP($C338,Assumptions!$A$4:$F$7,3,FALSE),0)*Assumptions!$B$11</f>
        <v/>
      </c>
      <c r="X338" s="4">
        <f>N(L338)*IFERROR(VLOOKUP($C338,Assumptions!$A$4:$F$7,4,FALSE),0)</f>
        <v/>
      </c>
      <c r="Y338" s="4">
        <f>N(R338)*IFERROR(VLOOKUP($C338,Assumptions!$A$4:$F$7,5,FALSE),0)</f>
        <v/>
      </c>
      <c r="Z338" s="4">
        <f>N(S338)</f>
        <v/>
      </c>
      <c r="AA338" s="4">
        <f>SUM(U338:Z338)</f>
        <v/>
      </c>
      <c r="AB338" s="4">
        <f>N(AA338)*N(K338)/90</f>
        <v/>
      </c>
      <c r="AC338" s="4">
        <f>IFERROR(AB338-VLOOKUP($C338,Assumptions!$A$29:$C$32,3,FALSE),"")</f>
        <v/>
      </c>
      <c r="AD338" s="4">
        <f>IFERROR(AC338/F338,"")</f>
        <v/>
      </c>
      <c r="AE338">
        <f>IF(AND($E338=TRUE,$C338="GKP"),AB338,"")</f>
        <v/>
      </c>
      <c r="AF338">
        <f>IF(AND($E338=TRUE,$C338="DEF"),AB338,"")</f>
        <v/>
      </c>
      <c r="AG338">
        <f>IF(AND($E338=TRUE,$C338="MID"),AB338,"")</f>
        <v/>
      </c>
      <c r="AH338">
        <f>IF(AND($E338=TRUE,$C338="FWD"),AB338,"")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b">
        <v>1</v>
      </c>
      <c r="F339" s="2" t="n">
        <v>5</v>
      </c>
      <c r="G339" t="inlineStr">
        <is>
          <t>a</t>
        </is>
      </c>
      <c r="I339" s="2" t="n">
        <v>374</v>
      </c>
      <c r="J339" t="n">
        <v>13</v>
      </c>
      <c r="K339" s="3" t="n">
        <v>374</v>
      </c>
      <c r="L339" s="3" t="n">
        <v>0.237</v>
      </c>
      <c r="M339" s="4" t="n">
        <v>0.0484</v>
      </c>
      <c r="N339" t="inlineStr">
        <is>
          <t>adjusted xGOT</t>
        </is>
      </c>
      <c r="O339" s="4" t="n">
        <v>0.957</v>
      </c>
      <c r="P339" s="4" t="n">
        <v>0.9</v>
      </c>
      <c r="Q339" s="4" t="n">
        <v>0.1161</v>
      </c>
      <c r="R339" s="4" t="n">
        <v>0</v>
      </c>
      <c r="S339" s="4" t="n">
        <v>0</v>
      </c>
      <c r="T339" s="4" t="n">
        <v>3.128</v>
      </c>
      <c r="U339" s="4">
        <f>IF(T339="",IFERROR(VLOOKUP($C339,Assumptions!$A$4:$F$7,6,FALSE),0),T339)</f>
        <v/>
      </c>
      <c r="V339" s="4">
        <f>N(M339)*IFERROR(VLOOKUP($C339,Assumptions!$A$4:$F$7,2,FALSE),0)</f>
        <v/>
      </c>
      <c r="W339" s="4">
        <f>N(Q339)*IFERROR(VLOOKUP($C339,Assumptions!$A$4:$F$7,3,FALSE),0)*Assumptions!$B$11</f>
        <v/>
      </c>
      <c r="X339" s="4">
        <f>N(L339)*IFERROR(VLOOKUP($C339,Assumptions!$A$4:$F$7,4,FALSE),0)</f>
        <v/>
      </c>
      <c r="Y339" s="4">
        <f>N(R339)*IFERROR(VLOOKUP($C339,Assumptions!$A$4:$F$7,5,FALSE),0)</f>
        <v/>
      </c>
      <c r="Z339" s="4">
        <f>N(S339)</f>
        <v/>
      </c>
      <c r="AA339" s="4">
        <f>SUM(U339:Z339)</f>
        <v/>
      </c>
      <c r="AB339" s="4">
        <f>N(AA339)*N(K339)/90</f>
        <v/>
      </c>
      <c r="AC339" s="4">
        <f>IFERROR(AB339-VLOOKUP($C339,Assumptions!$A$29:$C$32,3,FALSE),"")</f>
        <v/>
      </c>
      <c r="AD339" s="4">
        <f>IFERROR(AC339/F339,"")</f>
        <v/>
      </c>
      <c r="AE339">
        <f>IF(AND($E339=TRUE,$C339="GKP"),AB339,"")</f>
        <v/>
      </c>
      <c r="AF339">
        <f>IF(AND($E339=TRUE,$C339="DEF"),AB339,"")</f>
        <v/>
      </c>
      <c r="AG339">
        <f>IF(AND($E339=TRUE,$C339="MID"),AB339,"")</f>
        <v/>
      </c>
      <c r="AH339">
        <f>IF(AND($E339=TRUE,$C339="FWD"),AB339,"")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b">
        <v>1</v>
      </c>
      <c r="F340" s="2" t="n">
        <v>5</v>
      </c>
      <c r="G340" t="inlineStr">
        <is>
          <t>a</t>
        </is>
      </c>
      <c r="I340" s="2" t="n">
        <v>401</v>
      </c>
      <c r="J340" t="n">
        <v>13</v>
      </c>
      <c r="K340" s="3" t="n">
        <v>401</v>
      </c>
      <c r="L340" s="3" t="n">
        <v>0.29</v>
      </c>
      <c r="M340" s="4" t="n">
        <v>0.1674</v>
      </c>
      <c r="N340" t="inlineStr">
        <is>
          <t>adjusted xGOT</t>
        </is>
      </c>
      <c r="O340" s="4" t="n">
        <v>0.969</v>
      </c>
      <c r="P340" s="4" t="n">
        <v>0.8</v>
      </c>
      <c r="Q340" s="4" t="n">
        <v>0.0194</v>
      </c>
      <c r="R340" s="4" t="n">
        <v>0</v>
      </c>
      <c r="S340" s="4" t="n">
        <v>0</v>
      </c>
      <c r="T340" s="4" t="n">
        <v>2.918</v>
      </c>
      <c r="U340" s="4">
        <f>IF(T340="",IFERROR(VLOOKUP($C340,Assumptions!$A$4:$F$7,6,FALSE),0),T340)</f>
        <v/>
      </c>
      <c r="V340" s="4">
        <f>N(M340)*IFERROR(VLOOKUP($C340,Assumptions!$A$4:$F$7,2,FALSE),0)</f>
        <v/>
      </c>
      <c r="W340" s="4">
        <f>N(Q340)*IFERROR(VLOOKUP($C340,Assumptions!$A$4:$F$7,3,FALSE),0)*Assumptions!$B$11</f>
        <v/>
      </c>
      <c r="X340" s="4">
        <f>N(L340)*IFERROR(VLOOKUP($C340,Assumptions!$A$4:$F$7,4,FALSE),0)</f>
        <v/>
      </c>
      <c r="Y340" s="4">
        <f>N(R340)*IFERROR(VLOOKUP($C340,Assumptions!$A$4:$F$7,5,FALSE),0)</f>
        <v/>
      </c>
      <c r="Z340" s="4">
        <f>N(S340)</f>
        <v/>
      </c>
      <c r="AA340" s="4">
        <f>SUM(U340:Z340)</f>
        <v/>
      </c>
      <c r="AB340" s="4">
        <f>N(AA340)*N(K340)/90</f>
        <v/>
      </c>
      <c r="AC340" s="4">
        <f>IFERROR(AB340-VLOOKUP($C340,Assumptions!$A$29:$C$32,3,FALSE),"")</f>
        <v/>
      </c>
      <c r="AD340" s="4">
        <f>IFERROR(AC340/F340,"")</f>
        <v/>
      </c>
      <c r="AE340">
        <f>IF(AND($E340=TRUE,$C340="GKP"),AB340,"")</f>
        <v/>
      </c>
      <c r="AF340">
        <f>IF(AND($E340=TRUE,$C340="DEF"),AB340,"")</f>
        <v/>
      </c>
      <c r="AG340">
        <f>IF(AND($E340=TRUE,$C340="MID"),AB340,"")</f>
        <v/>
      </c>
      <c r="AH340">
        <f>IF(AND($E340=TRUE,$C340="FWD"),AB340,"")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b">
        <v>1</v>
      </c>
      <c r="F341" s="2" t="n">
        <v>5</v>
      </c>
      <c r="G341" t="inlineStr">
        <is>
          <t>a</t>
        </is>
      </c>
      <c r="I341" s="2" t="n">
        <v>100</v>
      </c>
      <c r="J341" t="n">
        <v>13</v>
      </c>
      <c r="K341" s="3" t="n">
        <v>100</v>
      </c>
      <c r="L341" s="3" t="n">
        <v>0.263</v>
      </c>
      <c r="M341" s="4" t="n">
        <v>0.63</v>
      </c>
      <c r="N341" t="inlineStr">
        <is>
          <t>adjusted xGOT</t>
        </is>
      </c>
      <c r="O341" s="4" t="n">
        <v>1</v>
      </c>
      <c r="P341" s="4" t="n">
        <v>4.3</v>
      </c>
      <c r="Q341" s="4" t="n">
        <v>0.0135</v>
      </c>
      <c r="R341" s="4" t="n">
        <v>0</v>
      </c>
      <c r="S341" s="4" t="n">
        <v>0.9</v>
      </c>
      <c r="T341" s="4" t="n">
        <v>6.3</v>
      </c>
      <c r="U341" s="4">
        <f>IF(T341="",IFERROR(VLOOKUP($C341,Assumptions!$A$4:$F$7,6,FALSE),0),T341)</f>
        <v/>
      </c>
      <c r="V341" s="4">
        <f>N(M341)*IFERROR(VLOOKUP($C341,Assumptions!$A$4:$F$7,2,FALSE),0)</f>
        <v/>
      </c>
      <c r="W341" s="4">
        <f>N(Q341)*IFERROR(VLOOKUP($C341,Assumptions!$A$4:$F$7,3,FALSE),0)*Assumptions!$B$11</f>
        <v/>
      </c>
      <c r="X341" s="4">
        <f>N(L341)*IFERROR(VLOOKUP($C341,Assumptions!$A$4:$F$7,4,FALSE),0)</f>
        <v/>
      </c>
      <c r="Y341" s="4">
        <f>N(R341)*IFERROR(VLOOKUP($C341,Assumptions!$A$4:$F$7,5,FALSE),0)</f>
        <v/>
      </c>
      <c r="Z341" s="4">
        <f>N(S341)</f>
        <v/>
      </c>
      <c r="AA341" s="4">
        <f>SUM(U341:Z341)</f>
        <v/>
      </c>
      <c r="AB341" s="4">
        <f>N(AA341)*N(K341)/90</f>
        <v/>
      </c>
      <c r="AC341" s="4">
        <f>IFERROR(AB341-VLOOKUP($C341,Assumptions!$A$29:$C$32,3,FALSE),"")</f>
        <v/>
      </c>
      <c r="AD341" s="4">
        <f>IFERROR(AC341/F341,"")</f>
        <v/>
      </c>
      <c r="AE341">
        <f>IF(AND($E341=TRUE,$C341="GKP"),AB341,"")</f>
        <v/>
      </c>
      <c r="AF341">
        <f>IF(AND($E341=TRUE,$C341="DEF"),AB341,"")</f>
        <v/>
      </c>
      <c r="AG341">
        <f>IF(AND($E341=TRUE,$C341="MID"),AB341,"")</f>
        <v/>
      </c>
      <c r="AH341">
        <f>IF(AND($E341=TRUE,$C341="FWD"),AB341,"")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b">
        <v>1</v>
      </c>
      <c r="F342" s="2" t="n">
        <v>5.5</v>
      </c>
      <c r="G342" t="inlineStr">
        <is>
          <t>a</t>
        </is>
      </c>
      <c r="I342" s="2" t="n">
        <v>118</v>
      </c>
      <c r="J342" t="n">
        <v>13</v>
      </c>
      <c r="K342" s="3" t="n">
        <v>118</v>
      </c>
      <c r="L342" s="3" t="n">
        <v>0.5</v>
      </c>
      <c r="M342" s="4" t="n">
        <v>0.6079</v>
      </c>
      <c r="N342" t="inlineStr">
        <is>
          <t>adjusted xGOT</t>
        </is>
      </c>
      <c r="O342" s="4" t="n">
        <v>1.122</v>
      </c>
      <c r="P342" s="4" t="n">
        <v>3</v>
      </c>
      <c r="Q342" s="4" t="n">
        <v>0.0645</v>
      </c>
      <c r="R342" s="4" t="n"/>
      <c r="S342" s="4" t="n">
        <v>0</v>
      </c>
      <c r="T342" s="4" t="n">
        <v>7.627</v>
      </c>
      <c r="U342" s="4">
        <f>IF(T342="",IFERROR(VLOOKUP($C342,Assumptions!$A$4:$F$7,6,FALSE),0),T342)</f>
        <v/>
      </c>
      <c r="V342" s="4">
        <f>N(M342)*IFERROR(VLOOKUP($C342,Assumptions!$A$4:$F$7,2,FALSE),0)</f>
        <v/>
      </c>
      <c r="W342" s="4">
        <f>N(Q342)*IFERROR(VLOOKUP($C342,Assumptions!$A$4:$F$7,3,FALSE),0)*Assumptions!$B$11</f>
        <v/>
      </c>
      <c r="X342" s="4">
        <f>N(L342)*IFERROR(VLOOKUP($C342,Assumptions!$A$4:$F$7,4,FALSE),0)</f>
        <v/>
      </c>
      <c r="Y342" s="4">
        <f>N(R342)*IFERROR(VLOOKUP($C342,Assumptions!$A$4:$F$7,5,FALSE),0)</f>
        <v/>
      </c>
      <c r="Z342" s="4">
        <f>N(S342)</f>
        <v/>
      </c>
      <c r="AA342" s="4">
        <f>SUM(U342:Z342)</f>
        <v/>
      </c>
      <c r="AB342" s="4">
        <f>N(AA342)*N(K342)/90</f>
        <v/>
      </c>
      <c r="AC342" s="4">
        <f>IFERROR(AB342-VLOOKUP($C342,Assumptions!$A$29:$C$32,3,FALSE),"")</f>
        <v/>
      </c>
      <c r="AD342" s="4">
        <f>IFERROR(AC342/F342,"")</f>
        <v/>
      </c>
      <c r="AE342">
        <f>IF(AND($E342=TRUE,$C342="GKP"),AB342,"")</f>
        <v/>
      </c>
      <c r="AF342">
        <f>IF(AND($E342=TRUE,$C342="DEF"),AB342,"")</f>
        <v/>
      </c>
      <c r="AG342">
        <f>IF(AND($E342=TRUE,$C342="MID"),AB342,"")</f>
        <v/>
      </c>
      <c r="AH342">
        <f>IF(AND($E342=TRUE,$C342="FWD"),AB342,"")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b">
        <v>1</v>
      </c>
      <c r="F343" s="2" t="n">
        <v>5</v>
      </c>
      <c r="G343" t="inlineStr">
        <is>
          <t>a</t>
        </is>
      </c>
      <c r="I343" s="2" t="n">
        <v>360</v>
      </c>
      <c r="J343" t="n">
        <v>13</v>
      </c>
      <c r="K343" s="3" t="n">
        <v>360</v>
      </c>
      <c r="L343" s="3" t="n">
        <v>0.21</v>
      </c>
      <c r="M343" s="4" t="n">
        <v>0</v>
      </c>
      <c r="N343" t="inlineStr">
        <is>
          <t>blended xG</t>
        </is>
      </c>
      <c r="O343" s="4" t="n">
        <v>1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2</v>
      </c>
      <c r="U343" s="4">
        <f>IF(T343="",IFERROR(VLOOKUP($C343,Assumptions!$A$4:$F$7,6,FALSE),0),T343)</f>
        <v/>
      </c>
      <c r="V343" s="4">
        <f>N(M343)*IFERROR(VLOOKUP($C343,Assumptions!$A$4:$F$7,2,FALSE),0)</f>
        <v/>
      </c>
      <c r="W343" s="4">
        <f>N(Q343)*IFERROR(VLOOKUP($C343,Assumptions!$A$4:$F$7,3,FALSE),0)*Assumptions!$B$11</f>
        <v/>
      </c>
      <c r="X343" s="4">
        <f>N(L343)*IFERROR(VLOOKUP($C343,Assumptions!$A$4:$F$7,4,FALSE),0)</f>
        <v/>
      </c>
      <c r="Y343" s="4">
        <f>N(R343)*IFERROR(VLOOKUP($C343,Assumptions!$A$4:$F$7,5,FALSE),0)</f>
        <v/>
      </c>
      <c r="Z343" s="4">
        <f>N(S343)</f>
        <v/>
      </c>
      <c r="AA343" s="4">
        <f>SUM(U343:Z343)</f>
        <v/>
      </c>
      <c r="AB343" s="4">
        <f>N(AA343)*N(K343)/90</f>
        <v/>
      </c>
      <c r="AC343" s="4">
        <f>IFERROR(AB343-VLOOKUP($C343,Assumptions!$A$29:$C$32,3,FALSE),"")</f>
        <v/>
      </c>
      <c r="AD343" s="4">
        <f>IFERROR(AC343/F343,"")</f>
        <v/>
      </c>
      <c r="AE343">
        <f>IF(AND($E343=TRUE,$C343="GKP"),AB343,"")</f>
        <v/>
      </c>
      <c r="AF343">
        <f>IF(AND($E343=TRUE,$C343="DEF"),AB343,"")</f>
        <v/>
      </c>
      <c r="AG343">
        <f>IF(AND($E343=TRUE,$C343="MID"),AB343,"")</f>
        <v/>
      </c>
      <c r="AH343">
        <f>IF(AND($E343=TRUE,$C343="FWD"),AB343,"")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b">
        <v>1</v>
      </c>
      <c r="F344" s="2" t="n">
        <v>5</v>
      </c>
      <c r="G344" t="inlineStr">
        <is>
          <t>u</t>
        </is>
      </c>
      <c r="H344" t="inlineStr">
        <is>
          <t>Has joined New England Revolution permanently</t>
        </is>
      </c>
      <c r="I344" s="2" t="n">
        <v>262</v>
      </c>
      <c r="J344" t="n">
        <v>12</v>
      </c>
      <c r="K344" s="3" t="n">
        <v>262</v>
      </c>
      <c r="L344" s="3" t="n">
        <v>0.21</v>
      </c>
      <c r="M344" s="4" t="n">
        <v>0.0814</v>
      </c>
      <c r="N344" t="inlineStr">
        <is>
          <t>adjusted xGOT</t>
        </is>
      </c>
      <c r="O344" s="4" t="n">
        <v>0.845</v>
      </c>
      <c r="P344" s="4" t="n">
        <v>12.9</v>
      </c>
      <c r="Q344" s="4" t="n">
        <v>0.09760000000000001</v>
      </c>
      <c r="R344" s="4" t="n">
        <v>0</v>
      </c>
      <c r="S344" s="4" t="n">
        <v>0</v>
      </c>
      <c r="T344" s="4" t="n">
        <v>4.122</v>
      </c>
      <c r="U344" s="4">
        <f>IF(T344="",IFERROR(VLOOKUP($C344,Assumptions!$A$4:$F$7,6,FALSE),0),T344)</f>
        <v/>
      </c>
      <c r="V344" s="4">
        <f>N(M344)*IFERROR(VLOOKUP($C344,Assumptions!$A$4:$F$7,2,FALSE),0)</f>
        <v/>
      </c>
      <c r="W344" s="4">
        <f>N(Q344)*IFERROR(VLOOKUP($C344,Assumptions!$A$4:$F$7,3,FALSE),0)*Assumptions!$B$11</f>
        <v/>
      </c>
      <c r="X344" s="4">
        <f>N(L344)*IFERROR(VLOOKUP($C344,Assumptions!$A$4:$F$7,4,FALSE),0)</f>
        <v/>
      </c>
      <c r="Y344" s="4">
        <f>N(R344)*IFERROR(VLOOKUP($C344,Assumptions!$A$4:$F$7,5,FALSE),0)</f>
        <v/>
      </c>
      <c r="Z344" s="4">
        <f>N(S344)</f>
        <v/>
      </c>
      <c r="AA344" s="4">
        <f>SUM(U344:Z344)</f>
        <v/>
      </c>
      <c r="AB344" s="4">
        <f>N(AA344)*N(K344)/90</f>
        <v/>
      </c>
      <c r="AC344" s="4">
        <f>IFERROR(AB344-VLOOKUP($C344,Assumptions!$A$29:$C$32,3,FALSE),"")</f>
        <v/>
      </c>
      <c r="AD344" s="4">
        <f>IFERROR(AC344/F344,"")</f>
        <v/>
      </c>
      <c r="AE344">
        <f>IF(AND($E344=TRUE,$C344="GKP"),AB344,"")</f>
        <v/>
      </c>
      <c r="AF344">
        <f>IF(AND($E344=TRUE,$C344="DEF"),AB344,"")</f>
        <v/>
      </c>
      <c r="AG344">
        <f>IF(AND($E344=TRUE,$C344="MID"),AB344,"")</f>
        <v/>
      </c>
      <c r="AH344">
        <f>IF(AND($E344=TRUE,$C344="FWD"),AB344,"")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b">
        <v>1</v>
      </c>
      <c r="F345" s="2" t="n">
        <v>5</v>
      </c>
      <c r="G345" t="inlineStr">
        <is>
          <t>a</t>
        </is>
      </c>
      <c r="I345" s="2" t="n">
        <v>170</v>
      </c>
      <c r="J345" t="n">
        <v>12</v>
      </c>
      <c r="K345" s="3" t="n">
        <v>170</v>
      </c>
      <c r="L345" s="3" t="n">
        <v>0.263</v>
      </c>
      <c r="M345" s="4" t="n">
        <v>0.0222</v>
      </c>
      <c r="N345" t="inlineStr">
        <is>
          <t>adjusted xGOT</t>
        </is>
      </c>
      <c r="O345" s="4" t="n">
        <v>1.041</v>
      </c>
      <c r="P345" s="4" t="n">
        <v>0.6</v>
      </c>
      <c r="Q345" s="4" t="n">
        <v>0.05</v>
      </c>
      <c r="R345" s="4" t="n">
        <v>0</v>
      </c>
      <c r="S345" s="4" t="n">
        <v>0</v>
      </c>
      <c r="T345" s="4" t="n">
        <v>4.765</v>
      </c>
      <c r="U345" s="4">
        <f>IF(T345="",IFERROR(VLOOKUP($C345,Assumptions!$A$4:$F$7,6,FALSE),0),T345)</f>
        <v/>
      </c>
      <c r="V345" s="4">
        <f>N(M345)*IFERROR(VLOOKUP($C345,Assumptions!$A$4:$F$7,2,FALSE),0)</f>
        <v/>
      </c>
      <c r="W345" s="4">
        <f>N(Q345)*IFERROR(VLOOKUP($C345,Assumptions!$A$4:$F$7,3,FALSE),0)*Assumptions!$B$11</f>
        <v/>
      </c>
      <c r="X345" s="4">
        <f>N(L345)*IFERROR(VLOOKUP($C345,Assumptions!$A$4:$F$7,4,FALSE),0)</f>
        <v/>
      </c>
      <c r="Y345" s="4">
        <f>N(R345)*IFERROR(VLOOKUP($C345,Assumptions!$A$4:$F$7,5,FALSE),0)</f>
        <v/>
      </c>
      <c r="Z345" s="4">
        <f>N(S345)</f>
        <v/>
      </c>
      <c r="AA345" s="4">
        <f>SUM(U345:Z345)</f>
        <v/>
      </c>
      <c r="AB345" s="4">
        <f>N(AA345)*N(K345)/90</f>
        <v/>
      </c>
      <c r="AC345" s="4">
        <f>IFERROR(AB345-VLOOKUP($C345,Assumptions!$A$29:$C$32,3,FALSE),"")</f>
        <v/>
      </c>
      <c r="AD345" s="4">
        <f>IFERROR(AC345/F345,"")</f>
        <v/>
      </c>
      <c r="AE345">
        <f>IF(AND($E345=TRUE,$C345="GKP"),AB345,"")</f>
        <v/>
      </c>
      <c r="AF345">
        <f>IF(AND($E345=TRUE,$C345="DEF"),AB345,"")</f>
        <v/>
      </c>
      <c r="AG345">
        <f>IF(AND($E345=TRUE,$C345="MID"),AB345,"")</f>
        <v/>
      </c>
      <c r="AH345">
        <f>IF(AND($E345=TRUE,$C345="FWD"),AB345,"")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b">
        <v>1</v>
      </c>
      <c r="F346" s="2" t="n">
        <v>5</v>
      </c>
      <c r="G346" t="inlineStr">
        <is>
          <t>a</t>
        </is>
      </c>
      <c r="I346" s="2" t="n">
        <v>88</v>
      </c>
      <c r="J346" t="n">
        <v>12</v>
      </c>
      <c r="K346" s="3" t="n">
        <v>88</v>
      </c>
      <c r="L346" s="3" t="n"/>
      <c r="M346" s="4" t="n">
        <v>0</v>
      </c>
      <c r="N346" t="inlineStr">
        <is>
          <t>adjusted xGOT</t>
        </is>
      </c>
      <c r="O346" s="4" t="n">
        <v>0.908</v>
      </c>
      <c r="P346" s="4" t="n">
        <v>3.1</v>
      </c>
      <c r="Q346" s="4" t="n">
        <v>0.3736</v>
      </c>
      <c r="R346" s="4" t="n"/>
      <c r="S346" s="4" t="n">
        <v>0</v>
      </c>
      <c r="T346" s="4" t="n">
        <v>6.136</v>
      </c>
      <c r="U346" s="4">
        <f>IF(T346="",IFERROR(VLOOKUP($C346,Assumptions!$A$4:$F$7,6,FALSE),0),T346)</f>
        <v/>
      </c>
      <c r="V346" s="4">
        <f>N(M346)*IFERROR(VLOOKUP($C346,Assumptions!$A$4:$F$7,2,FALSE),0)</f>
        <v/>
      </c>
      <c r="W346" s="4">
        <f>N(Q346)*IFERROR(VLOOKUP($C346,Assumptions!$A$4:$F$7,3,FALSE),0)*Assumptions!$B$11</f>
        <v/>
      </c>
      <c r="X346" s="4">
        <f>N(L346)*IFERROR(VLOOKUP($C346,Assumptions!$A$4:$F$7,4,FALSE),0)</f>
        <v/>
      </c>
      <c r="Y346" s="4">
        <f>N(R346)*IFERROR(VLOOKUP($C346,Assumptions!$A$4:$F$7,5,FALSE),0)</f>
        <v/>
      </c>
      <c r="Z346" s="4">
        <f>N(S346)</f>
        <v/>
      </c>
      <c r="AA346" s="4">
        <f>SUM(U346:Z346)</f>
        <v/>
      </c>
      <c r="AB346" s="4">
        <f>N(AA346)*N(K346)/90</f>
        <v/>
      </c>
      <c r="AC346" s="4">
        <f>IFERROR(AB346-VLOOKUP($C346,Assumptions!$A$29:$C$32,3,FALSE),"")</f>
        <v/>
      </c>
      <c r="AD346" s="4">
        <f>IFERROR(AC346/F346,"")</f>
        <v/>
      </c>
      <c r="AE346">
        <f>IF(AND($E346=TRUE,$C346="GKP"),AB346,"")</f>
        <v/>
      </c>
      <c r="AF346">
        <f>IF(AND($E346=TRUE,$C346="DEF"),AB346,"")</f>
        <v/>
      </c>
      <c r="AG346">
        <f>IF(AND($E346=TRUE,$C346="MID"),AB346,"")</f>
        <v/>
      </c>
      <c r="AH346">
        <f>IF(AND($E346=TRUE,$C346="FWD"),AB346,"")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b">
        <v>1</v>
      </c>
      <c r="F347" s="2" t="n">
        <v>4.5</v>
      </c>
      <c r="G347" t="inlineStr">
        <is>
          <t>u</t>
        </is>
      </c>
      <c r="H347" t="inlineStr">
        <is>
          <t>Has joined Celta Vigo on loan for the rest of the season</t>
        </is>
      </c>
      <c r="I347" s="2" t="n">
        <v>540</v>
      </c>
      <c r="J347" t="n">
        <v>11</v>
      </c>
      <c r="K347" s="3" t="n">
        <v>540</v>
      </c>
      <c r="L347" s="3" t="n">
        <v>0.21</v>
      </c>
      <c r="M347" s="4" t="n">
        <v>0</v>
      </c>
      <c r="N347" t="inlineStr">
        <is>
          <t>blended xG</t>
        </is>
      </c>
      <c r="O347" s="4" t="n">
        <v>1</v>
      </c>
      <c r="P347" s="4" t="n">
        <v>0</v>
      </c>
      <c r="Q347" s="4" t="n">
        <v>0.0287</v>
      </c>
      <c r="R347" s="4" t="n">
        <v>0</v>
      </c>
      <c r="S347" s="4" t="n">
        <v>0</v>
      </c>
      <c r="T347" s="4" t="n">
        <v>2</v>
      </c>
      <c r="U347" s="4">
        <f>IF(T347="",IFERROR(VLOOKUP($C347,Assumptions!$A$4:$F$7,6,FALSE),0),T347)</f>
        <v/>
      </c>
      <c r="V347" s="4">
        <f>N(M347)*IFERROR(VLOOKUP($C347,Assumptions!$A$4:$F$7,2,FALSE),0)</f>
        <v/>
      </c>
      <c r="W347" s="4">
        <f>N(Q347)*IFERROR(VLOOKUP($C347,Assumptions!$A$4:$F$7,3,FALSE),0)*Assumptions!$B$11</f>
        <v/>
      </c>
      <c r="X347" s="4">
        <f>N(L347)*IFERROR(VLOOKUP($C347,Assumptions!$A$4:$F$7,4,FALSE),0)</f>
        <v/>
      </c>
      <c r="Y347" s="4">
        <f>N(R347)*IFERROR(VLOOKUP($C347,Assumptions!$A$4:$F$7,5,FALSE),0)</f>
        <v/>
      </c>
      <c r="Z347" s="4">
        <f>N(S347)</f>
        <v/>
      </c>
      <c r="AA347" s="4">
        <f>SUM(U347:Z347)</f>
        <v/>
      </c>
      <c r="AB347" s="4">
        <f>N(AA347)*N(K347)/90</f>
        <v/>
      </c>
      <c r="AC347" s="4">
        <f>IFERROR(AB347-VLOOKUP($C347,Assumptions!$A$29:$C$32,3,FALSE),"")</f>
        <v/>
      </c>
      <c r="AD347" s="4">
        <f>IFERROR(AC347/F347,"")</f>
        <v/>
      </c>
      <c r="AE347">
        <f>IF(AND($E347=TRUE,$C347="GKP"),AB347,"")</f>
        <v/>
      </c>
      <c r="AF347">
        <f>IF(AND($E347=TRUE,$C347="DEF"),AB347,"")</f>
        <v/>
      </c>
      <c r="AG347">
        <f>IF(AND($E347=TRUE,$C347="MID"),AB347,"")</f>
        <v/>
      </c>
      <c r="AH347">
        <f>IF(AND($E347=TRUE,$C347="FWD"),AB347,"")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b">
        <v>1</v>
      </c>
      <c r="F348" s="2" t="n">
        <v>5</v>
      </c>
      <c r="G348" t="inlineStr">
        <is>
          <t>a</t>
        </is>
      </c>
      <c r="I348" s="2" t="n">
        <v>105</v>
      </c>
      <c r="J348" t="n">
        <v>11</v>
      </c>
      <c r="K348" s="3" t="n">
        <v>105</v>
      </c>
      <c r="L348" s="3" t="n">
        <v>0.29</v>
      </c>
      <c r="M348" s="4" t="n">
        <v>0.2186</v>
      </c>
      <c r="N348" t="inlineStr">
        <is>
          <t>adjusted xGOT</t>
        </is>
      </c>
      <c r="O348" s="4" t="n">
        <v>0.981</v>
      </c>
      <c r="P348" s="4" t="n">
        <v>0.3</v>
      </c>
      <c r="Q348" s="4" t="n">
        <v>0.2516</v>
      </c>
      <c r="R348" s="4" t="n"/>
      <c r="S348" s="4" t="n">
        <v>0</v>
      </c>
      <c r="T348" s="4" t="n">
        <v>6.857</v>
      </c>
      <c r="U348" s="4">
        <f>IF(T348="",IFERROR(VLOOKUP($C348,Assumptions!$A$4:$F$7,6,FALSE),0),T348)</f>
        <v/>
      </c>
      <c r="V348" s="4">
        <f>N(M348)*IFERROR(VLOOKUP($C348,Assumptions!$A$4:$F$7,2,FALSE),0)</f>
        <v/>
      </c>
      <c r="W348" s="4">
        <f>N(Q348)*IFERROR(VLOOKUP($C348,Assumptions!$A$4:$F$7,3,FALSE),0)*Assumptions!$B$11</f>
        <v/>
      </c>
      <c r="X348" s="4">
        <f>N(L348)*IFERROR(VLOOKUP($C348,Assumptions!$A$4:$F$7,4,FALSE),0)</f>
        <v/>
      </c>
      <c r="Y348" s="4">
        <f>N(R348)*IFERROR(VLOOKUP($C348,Assumptions!$A$4:$F$7,5,FALSE),0)</f>
        <v/>
      </c>
      <c r="Z348" s="4">
        <f>N(S348)</f>
        <v/>
      </c>
      <c r="AA348" s="4">
        <f>SUM(U348:Z348)</f>
        <v/>
      </c>
      <c r="AB348" s="4">
        <f>N(AA348)*N(K348)/90</f>
        <v/>
      </c>
      <c r="AC348" s="4">
        <f>IFERROR(AB348-VLOOKUP($C348,Assumptions!$A$29:$C$32,3,FALSE),"")</f>
        <v/>
      </c>
      <c r="AD348" s="4">
        <f>IFERROR(AC348/F348,"")</f>
        <v/>
      </c>
      <c r="AE348">
        <f>IF(AND($E348=TRUE,$C348="GKP"),AB348,"")</f>
        <v/>
      </c>
      <c r="AF348">
        <f>IF(AND($E348=TRUE,$C348="DEF"),AB348,"")</f>
        <v/>
      </c>
      <c r="AG348">
        <f>IF(AND($E348=TRUE,$C348="MID"),AB348,"")</f>
        <v/>
      </c>
      <c r="AH348">
        <f>IF(AND($E348=TRUE,$C348="FWD"),AB348,"")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b">
        <v>1</v>
      </c>
      <c r="F349" s="2" t="n">
        <v>4.5</v>
      </c>
      <c r="G349" t="inlineStr">
        <is>
          <t>a</t>
        </is>
      </c>
      <c r="I349" s="2" t="n">
        <v>437</v>
      </c>
      <c r="J349" t="n">
        <v>11</v>
      </c>
      <c r="K349" s="3" t="n">
        <v>437</v>
      </c>
      <c r="L349" s="3" t="n">
        <v>0.237</v>
      </c>
      <c r="M349" s="4" t="n">
        <v>0</v>
      </c>
      <c r="N349" t="inlineStr">
        <is>
          <t>blended xG</t>
        </is>
      </c>
      <c r="O349" s="4" t="n">
        <v>1</v>
      </c>
      <c r="P349" s="4" t="n">
        <v>0</v>
      </c>
      <c r="Q349" s="4" t="n">
        <v>0</v>
      </c>
      <c r="R349" s="4" t="n">
        <v>0</v>
      </c>
      <c r="S349" s="4" t="n">
        <v>0</v>
      </c>
      <c r="T349" s="4" t="n">
        <v>2.059</v>
      </c>
      <c r="U349" s="4">
        <f>IF(T349="",IFERROR(VLOOKUP($C349,Assumptions!$A$4:$F$7,6,FALSE),0),T349)</f>
        <v/>
      </c>
      <c r="V349" s="4">
        <f>N(M349)*IFERROR(VLOOKUP($C349,Assumptions!$A$4:$F$7,2,FALSE),0)</f>
        <v/>
      </c>
      <c r="W349" s="4">
        <f>N(Q349)*IFERROR(VLOOKUP($C349,Assumptions!$A$4:$F$7,3,FALSE),0)*Assumptions!$B$11</f>
        <v/>
      </c>
      <c r="X349" s="4">
        <f>N(L349)*IFERROR(VLOOKUP($C349,Assumptions!$A$4:$F$7,4,FALSE),0)</f>
        <v/>
      </c>
      <c r="Y349" s="4">
        <f>N(R349)*IFERROR(VLOOKUP($C349,Assumptions!$A$4:$F$7,5,FALSE),0)</f>
        <v/>
      </c>
      <c r="Z349" s="4">
        <f>N(S349)</f>
        <v/>
      </c>
      <c r="AA349" s="4">
        <f>SUM(U349:Z349)</f>
        <v/>
      </c>
      <c r="AB349" s="4">
        <f>N(AA349)*N(K349)/90</f>
        <v/>
      </c>
      <c r="AC349" s="4">
        <f>IFERROR(AB349-VLOOKUP($C349,Assumptions!$A$29:$C$32,3,FALSE),"")</f>
        <v/>
      </c>
      <c r="AD349" s="4">
        <f>IFERROR(AC349/F349,"")</f>
        <v/>
      </c>
      <c r="AE349">
        <f>IF(AND($E349=TRUE,$C349="GKP"),AB349,"")</f>
        <v/>
      </c>
      <c r="AF349">
        <f>IF(AND($E349=TRUE,$C349="DEF"),AB349,"")</f>
        <v/>
      </c>
      <c r="AG349">
        <f>IF(AND($E349=TRUE,$C349="MID"),AB349,"")</f>
        <v/>
      </c>
      <c r="AH349">
        <f>IF(AND($E349=TRUE,$C349="FWD"),AB349,"")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b">
        <v>1</v>
      </c>
      <c r="F350" s="2" t="n">
        <v>4.5</v>
      </c>
      <c r="G350" t="inlineStr">
        <is>
          <t>a</t>
        </is>
      </c>
      <c r="I350" s="2" t="n">
        <v>353</v>
      </c>
      <c r="J350" t="n">
        <v>11</v>
      </c>
      <c r="K350" s="3" t="n">
        <v>353</v>
      </c>
      <c r="L350" s="3" t="n">
        <v>0.237</v>
      </c>
      <c r="M350" s="4" t="n">
        <v>0</v>
      </c>
      <c r="N350" t="inlineStr">
        <is>
          <t>blended xG</t>
        </is>
      </c>
      <c r="O350" s="4" t="n">
        <v>1</v>
      </c>
      <c r="P350" s="4" t="n">
        <v>0</v>
      </c>
      <c r="Q350" s="4" t="n">
        <v>0.0648</v>
      </c>
      <c r="R350" s="4" t="n">
        <v>0.333</v>
      </c>
      <c r="S350" s="4" t="n">
        <v>0</v>
      </c>
      <c r="T350" s="4" t="n">
        <v>2.55</v>
      </c>
      <c r="U350" s="4">
        <f>IF(T350="",IFERROR(VLOOKUP($C350,Assumptions!$A$4:$F$7,6,FALSE),0),T350)</f>
        <v/>
      </c>
      <c r="V350" s="4">
        <f>N(M350)*IFERROR(VLOOKUP($C350,Assumptions!$A$4:$F$7,2,FALSE),0)</f>
        <v/>
      </c>
      <c r="W350" s="4">
        <f>N(Q350)*IFERROR(VLOOKUP($C350,Assumptions!$A$4:$F$7,3,FALSE),0)*Assumptions!$B$11</f>
        <v/>
      </c>
      <c r="X350" s="4">
        <f>N(L350)*IFERROR(VLOOKUP($C350,Assumptions!$A$4:$F$7,4,FALSE),0)</f>
        <v/>
      </c>
      <c r="Y350" s="4">
        <f>N(R350)*IFERROR(VLOOKUP($C350,Assumptions!$A$4:$F$7,5,FALSE),0)</f>
        <v/>
      </c>
      <c r="Z350" s="4">
        <f>N(S350)</f>
        <v/>
      </c>
      <c r="AA350" s="4">
        <f>SUM(U350:Z350)</f>
        <v/>
      </c>
      <c r="AB350" s="4">
        <f>N(AA350)*N(K350)/90</f>
        <v/>
      </c>
      <c r="AC350" s="4">
        <f>IFERROR(AB350-VLOOKUP($C350,Assumptions!$A$29:$C$32,3,FALSE),"")</f>
        <v/>
      </c>
      <c r="AD350" s="4">
        <f>IFERROR(AC350/F350,"")</f>
        <v/>
      </c>
      <c r="AE350">
        <f>IF(AND($E350=TRUE,$C350="GKP"),AB350,"")</f>
        <v/>
      </c>
      <c r="AF350">
        <f>IF(AND($E350=TRUE,$C350="DEF"),AB350,"")</f>
        <v/>
      </c>
      <c r="AG350">
        <f>IF(AND($E350=TRUE,$C350="MID"),AB350,"")</f>
        <v/>
      </c>
      <c r="AH350">
        <f>IF(AND($E350=TRUE,$C350="FWD"),AB350,"")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b">
        <v>1</v>
      </c>
      <c r="F351" s="2" t="n">
        <v>4</v>
      </c>
      <c r="G351" t="inlineStr">
        <is>
          <t>a</t>
        </is>
      </c>
      <c r="I351" s="2" t="n">
        <v>136</v>
      </c>
      <c r="J351" t="n">
        <v>10</v>
      </c>
      <c r="K351" s="3" t="n">
        <v>136</v>
      </c>
      <c r="L351" s="3" t="n">
        <v>0.237</v>
      </c>
      <c r="M351" s="4" t="n">
        <v>0.3051</v>
      </c>
      <c r="N351" t="inlineStr">
        <is>
          <t>adjusted xGOT</t>
        </is>
      </c>
      <c r="O351" s="4" t="n">
        <v>0.9409999999999999</v>
      </c>
      <c r="P351" s="4" t="n">
        <v>4.1</v>
      </c>
      <c r="Q351" s="4" t="n">
        <v>0.0313</v>
      </c>
      <c r="R351" s="4" t="n">
        <v>0</v>
      </c>
      <c r="S351" s="4" t="n">
        <v>0.6618000000000001</v>
      </c>
      <c r="T351" s="4" t="n">
        <v>2.647</v>
      </c>
      <c r="U351" s="4">
        <f>IF(T351="",IFERROR(VLOOKUP($C351,Assumptions!$A$4:$F$7,6,FALSE),0),T351)</f>
        <v/>
      </c>
      <c r="V351" s="4">
        <f>N(M351)*IFERROR(VLOOKUP($C351,Assumptions!$A$4:$F$7,2,FALSE),0)</f>
        <v/>
      </c>
      <c r="W351" s="4">
        <f>N(Q351)*IFERROR(VLOOKUP($C351,Assumptions!$A$4:$F$7,3,FALSE),0)*Assumptions!$B$11</f>
        <v/>
      </c>
      <c r="X351" s="4">
        <f>N(L351)*IFERROR(VLOOKUP($C351,Assumptions!$A$4:$F$7,4,FALSE),0)</f>
        <v/>
      </c>
      <c r="Y351" s="4">
        <f>N(R351)*IFERROR(VLOOKUP($C351,Assumptions!$A$4:$F$7,5,FALSE),0)</f>
        <v/>
      </c>
      <c r="Z351" s="4">
        <f>N(S351)</f>
        <v/>
      </c>
      <c r="AA351" s="4">
        <f>SUM(U351:Z351)</f>
        <v/>
      </c>
      <c r="AB351" s="4">
        <f>N(AA351)*N(K351)/90</f>
        <v/>
      </c>
      <c r="AC351" s="4">
        <f>IFERROR(AB351-VLOOKUP($C351,Assumptions!$A$29:$C$32,3,FALSE),"")</f>
        <v/>
      </c>
      <c r="AD351" s="4">
        <f>IFERROR(AC351/F351,"")</f>
        <v/>
      </c>
      <c r="AE351">
        <f>IF(AND($E351=TRUE,$C351="GKP"),AB351,"")</f>
        <v/>
      </c>
      <c r="AF351">
        <f>IF(AND($E351=TRUE,$C351="DEF"),AB351,"")</f>
        <v/>
      </c>
      <c r="AG351">
        <f>IF(AND($E351=TRUE,$C351="MID"),AB351,"")</f>
        <v/>
      </c>
      <c r="AH351">
        <f>IF(AND($E351=TRUE,$C351="FWD"),AB351,"")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b">
        <v>1</v>
      </c>
      <c r="F352" s="2" t="n">
        <v>4.5</v>
      </c>
      <c r="G352" t="inlineStr">
        <is>
          <t>a</t>
        </is>
      </c>
      <c r="I352" s="2" t="n">
        <v>193</v>
      </c>
      <c r="J352" t="n">
        <v>10</v>
      </c>
      <c r="K352" s="3" t="n">
        <v>193</v>
      </c>
      <c r="L352" s="3" t="n">
        <v>0.263</v>
      </c>
      <c r="M352" s="4" t="n">
        <v>0</v>
      </c>
      <c r="N352" t="inlineStr">
        <is>
          <t>blended xG</t>
        </is>
      </c>
      <c r="O352" s="4" t="n">
        <v>1</v>
      </c>
      <c r="P352" s="4" t="n">
        <v>0</v>
      </c>
      <c r="Q352" s="4" t="n">
        <v>0.0023</v>
      </c>
      <c r="R352" s="4" t="n">
        <v>0.5</v>
      </c>
      <c r="S352" s="4" t="n">
        <v>0</v>
      </c>
      <c r="T352" s="4" t="n">
        <v>3.264</v>
      </c>
      <c r="U352" s="4">
        <f>IF(T352="",IFERROR(VLOOKUP($C352,Assumptions!$A$4:$F$7,6,FALSE),0),T352)</f>
        <v/>
      </c>
      <c r="V352" s="4">
        <f>N(M352)*IFERROR(VLOOKUP($C352,Assumptions!$A$4:$F$7,2,FALSE),0)</f>
        <v/>
      </c>
      <c r="W352" s="4">
        <f>N(Q352)*IFERROR(VLOOKUP($C352,Assumptions!$A$4:$F$7,3,FALSE),0)*Assumptions!$B$11</f>
        <v/>
      </c>
      <c r="X352" s="4">
        <f>N(L352)*IFERROR(VLOOKUP($C352,Assumptions!$A$4:$F$7,4,FALSE),0)</f>
        <v/>
      </c>
      <c r="Y352" s="4">
        <f>N(R352)*IFERROR(VLOOKUP($C352,Assumptions!$A$4:$F$7,5,FALSE),0)</f>
        <v/>
      </c>
      <c r="Z352" s="4">
        <f>N(S352)</f>
        <v/>
      </c>
      <c r="AA352" s="4">
        <f>SUM(U352:Z352)</f>
        <v/>
      </c>
      <c r="AB352" s="4">
        <f>N(AA352)*N(K352)/90</f>
        <v/>
      </c>
      <c r="AC352" s="4">
        <f>IFERROR(AB352-VLOOKUP($C352,Assumptions!$A$29:$C$32,3,FALSE),"")</f>
        <v/>
      </c>
      <c r="AD352" s="4">
        <f>IFERROR(AC352/F352,"")</f>
        <v/>
      </c>
      <c r="AE352">
        <f>IF(AND($E352=TRUE,$C352="GKP"),AB352,"")</f>
        <v/>
      </c>
      <c r="AF352">
        <f>IF(AND($E352=TRUE,$C352="DEF"),AB352,"")</f>
        <v/>
      </c>
      <c r="AG352">
        <f>IF(AND($E352=TRUE,$C352="MID"),AB352,"")</f>
        <v/>
      </c>
      <c r="AH352">
        <f>IF(AND($E352=TRUE,$C352="FWD"),AB352,"")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b">
        <v>1</v>
      </c>
      <c r="F353" s="2" t="n">
        <v>5.5</v>
      </c>
      <c r="G353" t="inlineStr">
        <is>
          <t>a</t>
        </is>
      </c>
      <c r="I353" s="2" t="n">
        <v>125</v>
      </c>
      <c r="J353" t="n">
        <v>9</v>
      </c>
      <c r="K353" s="3" t="n">
        <v>125</v>
      </c>
      <c r="L353" s="3" t="n">
        <v>0.421</v>
      </c>
      <c r="M353" s="4" t="n">
        <v>0.08210000000000001</v>
      </c>
      <c r="N353" t="inlineStr">
        <is>
          <t>adjusted xGOT</t>
        </is>
      </c>
      <c r="O353" s="4" t="n">
        <v>0.88</v>
      </c>
      <c r="P353" s="4" t="n">
        <v>5.1</v>
      </c>
      <c r="Q353" s="4" t="n">
        <v>0.3051</v>
      </c>
      <c r="R353" s="4" t="n">
        <v>0</v>
      </c>
      <c r="S353" s="4" t="n">
        <v>0</v>
      </c>
      <c r="T353" s="4" t="n">
        <v>4.32</v>
      </c>
      <c r="U353" s="4">
        <f>IF(T353="",IFERROR(VLOOKUP($C353,Assumptions!$A$4:$F$7,6,FALSE),0),T353)</f>
        <v/>
      </c>
      <c r="V353" s="4">
        <f>N(M353)*IFERROR(VLOOKUP($C353,Assumptions!$A$4:$F$7,2,FALSE),0)</f>
        <v/>
      </c>
      <c r="W353" s="4">
        <f>N(Q353)*IFERROR(VLOOKUP($C353,Assumptions!$A$4:$F$7,3,FALSE),0)*Assumptions!$B$11</f>
        <v/>
      </c>
      <c r="X353" s="4">
        <f>N(L353)*IFERROR(VLOOKUP($C353,Assumptions!$A$4:$F$7,4,FALSE),0)</f>
        <v/>
      </c>
      <c r="Y353" s="4">
        <f>N(R353)*IFERROR(VLOOKUP($C353,Assumptions!$A$4:$F$7,5,FALSE),0)</f>
        <v/>
      </c>
      <c r="Z353" s="4">
        <f>N(S353)</f>
        <v/>
      </c>
      <c r="AA353" s="4">
        <f>SUM(U353:Z353)</f>
        <v/>
      </c>
      <c r="AB353" s="4">
        <f>N(AA353)*N(K353)/90</f>
        <v/>
      </c>
      <c r="AC353" s="4">
        <f>IFERROR(AB353-VLOOKUP($C353,Assumptions!$A$29:$C$32,3,FALSE),"")</f>
        <v/>
      </c>
      <c r="AD353" s="4">
        <f>IFERROR(AC353/F353,"")</f>
        <v/>
      </c>
      <c r="AE353">
        <f>IF(AND($E353=TRUE,$C353="GKP"),AB353,"")</f>
        <v/>
      </c>
      <c r="AF353">
        <f>IF(AND($E353=TRUE,$C353="DEF"),AB353,"")</f>
        <v/>
      </c>
      <c r="AG353">
        <f>IF(AND($E353=TRUE,$C353="MID"),AB353,"")</f>
        <v/>
      </c>
      <c r="AH353">
        <f>IF(AND($E353=TRUE,$C353="FWD"),AB353,"")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b">
        <v>1</v>
      </c>
      <c r="F354" s="2" t="n">
        <v>5.5</v>
      </c>
      <c r="G354" t="inlineStr">
        <is>
          <t>a</t>
        </is>
      </c>
      <c r="I354" s="2" t="n">
        <v>89</v>
      </c>
      <c r="J354" t="n">
        <v>9</v>
      </c>
      <c r="K354" s="3" t="n">
        <v>89</v>
      </c>
      <c r="L354" s="3" t="n">
        <v>0.237</v>
      </c>
      <c r="M354" s="4" t="n">
        <v>0.4267</v>
      </c>
      <c r="N354" t="inlineStr">
        <is>
          <t>adjusted xGOT</t>
        </is>
      </c>
      <c r="O354" s="4" t="n">
        <v>0.96</v>
      </c>
      <c r="P354" s="4" t="n">
        <v>0.4</v>
      </c>
      <c r="Q354" s="4" t="n">
        <v>0.0159</v>
      </c>
      <c r="R354" s="4" t="n"/>
      <c r="S354" s="4" t="n">
        <v>0</v>
      </c>
      <c r="T354" s="4" t="n">
        <v>9.101000000000001</v>
      </c>
      <c r="U354" s="4">
        <f>IF(T354="",IFERROR(VLOOKUP($C354,Assumptions!$A$4:$F$7,6,FALSE),0),T354)</f>
        <v/>
      </c>
      <c r="V354" s="4">
        <f>N(M354)*IFERROR(VLOOKUP($C354,Assumptions!$A$4:$F$7,2,FALSE),0)</f>
        <v/>
      </c>
      <c r="W354" s="4">
        <f>N(Q354)*IFERROR(VLOOKUP($C354,Assumptions!$A$4:$F$7,3,FALSE),0)*Assumptions!$B$11</f>
        <v/>
      </c>
      <c r="X354" s="4">
        <f>N(L354)*IFERROR(VLOOKUP($C354,Assumptions!$A$4:$F$7,4,FALSE),0)</f>
        <v/>
      </c>
      <c r="Y354" s="4">
        <f>N(R354)*IFERROR(VLOOKUP($C354,Assumptions!$A$4:$F$7,5,FALSE),0)</f>
        <v/>
      </c>
      <c r="Z354" s="4">
        <f>N(S354)</f>
        <v/>
      </c>
      <c r="AA354" s="4">
        <f>SUM(U354:Z354)</f>
        <v/>
      </c>
      <c r="AB354" s="4">
        <f>N(AA354)*N(K354)/90</f>
        <v/>
      </c>
      <c r="AC354" s="4">
        <f>IFERROR(AB354-VLOOKUP($C354,Assumptions!$A$29:$C$32,3,FALSE),"")</f>
        <v/>
      </c>
      <c r="AD354" s="4">
        <f>IFERROR(AC354/F354,"")</f>
        <v/>
      </c>
      <c r="AE354">
        <f>IF(AND($E354=TRUE,$C354="GKP"),AB354,"")</f>
        <v/>
      </c>
      <c r="AF354">
        <f>IF(AND($E354=TRUE,$C354="DEF"),AB354,"")</f>
        <v/>
      </c>
      <c r="AG354">
        <f>IF(AND($E354=TRUE,$C354="MID"),AB354,"")</f>
        <v/>
      </c>
      <c r="AH354">
        <f>IF(AND($E354=TRUE,$C354="FWD"),AB354,"")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b">
        <v>1</v>
      </c>
      <c r="F355" s="2" t="n">
        <v>5</v>
      </c>
      <c r="G355" t="inlineStr">
        <is>
          <t>u</t>
        </is>
      </c>
      <c r="H355" t="inlineStr">
        <is>
          <t>Has joined RC Strasbourg on loan for the rest of the season</t>
        </is>
      </c>
      <c r="I355" s="2" t="n">
        <v>378</v>
      </c>
      <c r="J355" t="n">
        <v>9</v>
      </c>
      <c r="K355" s="3" t="n">
        <v>378</v>
      </c>
      <c r="L355" s="3" t="n">
        <v>0.237</v>
      </c>
      <c r="M355" s="4" t="n">
        <v>0</v>
      </c>
      <c r="N355" t="inlineStr">
        <is>
          <t>blended xG</t>
        </is>
      </c>
      <c r="O355" s="4" t="n">
        <v>1</v>
      </c>
      <c r="P355" s="4" t="n">
        <v>0</v>
      </c>
      <c r="Q355" s="4" t="n">
        <v>0</v>
      </c>
      <c r="R355" s="4" t="n">
        <v>0</v>
      </c>
      <c r="S355" s="4" t="n">
        <v>0</v>
      </c>
      <c r="T355" s="4" t="n">
        <v>2.143</v>
      </c>
      <c r="U355" s="4">
        <f>IF(T355="",IFERROR(VLOOKUP($C355,Assumptions!$A$4:$F$7,6,FALSE),0),T355)</f>
        <v/>
      </c>
      <c r="V355" s="4">
        <f>N(M355)*IFERROR(VLOOKUP($C355,Assumptions!$A$4:$F$7,2,FALSE),0)</f>
        <v/>
      </c>
      <c r="W355" s="4">
        <f>N(Q355)*IFERROR(VLOOKUP($C355,Assumptions!$A$4:$F$7,3,FALSE),0)*Assumptions!$B$11</f>
        <v/>
      </c>
      <c r="X355" s="4">
        <f>N(L355)*IFERROR(VLOOKUP($C355,Assumptions!$A$4:$F$7,4,FALSE),0)</f>
        <v/>
      </c>
      <c r="Y355" s="4">
        <f>N(R355)*IFERROR(VLOOKUP($C355,Assumptions!$A$4:$F$7,5,FALSE),0)</f>
        <v/>
      </c>
      <c r="Z355" s="4">
        <f>N(S355)</f>
        <v/>
      </c>
      <c r="AA355" s="4">
        <f>SUM(U355:Z355)</f>
        <v/>
      </c>
      <c r="AB355" s="4">
        <f>N(AA355)*N(K355)/90</f>
        <v/>
      </c>
      <c r="AC355" s="4">
        <f>IFERROR(AB355-VLOOKUP($C355,Assumptions!$A$29:$C$32,3,FALSE),"")</f>
        <v/>
      </c>
      <c r="AD355" s="4">
        <f>IFERROR(AC355/F355,"")</f>
        <v/>
      </c>
      <c r="AE355">
        <f>IF(AND($E355=TRUE,$C355="GKP"),AB355,"")</f>
        <v/>
      </c>
      <c r="AF355">
        <f>IF(AND($E355=TRUE,$C355="DEF"),AB355,"")</f>
        <v/>
      </c>
      <c r="AG355">
        <f>IF(AND($E355=TRUE,$C355="MID"),AB355,"")</f>
        <v/>
      </c>
      <c r="AH355">
        <f>IF(AND($E355=TRUE,$C355="FWD"),AB355,"")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b">
        <v>1</v>
      </c>
      <c r="F356" s="2" t="n">
        <v>5</v>
      </c>
      <c r="G356" t="inlineStr">
        <is>
          <t>a</t>
        </is>
      </c>
      <c r="I356" s="2" t="n">
        <v>225</v>
      </c>
      <c r="J356" t="n">
        <v>8</v>
      </c>
      <c r="K356" s="3" t="n">
        <v>225</v>
      </c>
      <c r="L356" s="3" t="n">
        <v>0.237</v>
      </c>
      <c r="M356" s="4" t="n">
        <v>0</v>
      </c>
      <c r="N356" t="inlineStr">
        <is>
          <t>adjusted xGOT</t>
        </is>
      </c>
      <c r="O356" s="4" t="n">
        <v>0.951</v>
      </c>
      <c r="P356" s="4" t="n">
        <v>4.6</v>
      </c>
      <c r="Q356" s="4" t="n">
        <v>0.024</v>
      </c>
      <c r="R356" s="4" t="n">
        <v>1</v>
      </c>
      <c r="S356" s="4" t="n">
        <v>0</v>
      </c>
      <c r="T356" s="4" t="n">
        <v>2</v>
      </c>
      <c r="U356" s="4">
        <f>IF(T356="",IFERROR(VLOOKUP($C356,Assumptions!$A$4:$F$7,6,FALSE),0),T356)</f>
        <v/>
      </c>
      <c r="V356" s="4">
        <f>N(M356)*IFERROR(VLOOKUP($C356,Assumptions!$A$4:$F$7,2,FALSE),0)</f>
        <v/>
      </c>
      <c r="W356" s="4">
        <f>N(Q356)*IFERROR(VLOOKUP($C356,Assumptions!$A$4:$F$7,3,FALSE),0)*Assumptions!$B$11</f>
        <v/>
      </c>
      <c r="X356" s="4">
        <f>N(L356)*IFERROR(VLOOKUP($C356,Assumptions!$A$4:$F$7,4,FALSE),0)</f>
        <v/>
      </c>
      <c r="Y356" s="4">
        <f>N(R356)*IFERROR(VLOOKUP($C356,Assumptions!$A$4:$F$7,5,FALSE),0)</f>
        <v/>
      </c>
      <c r="Z356" s="4">
        <f>N(S356)</f>
        <v/>
      </c>
      <c r="AA356" s="4">
        <f>SUM(U356:Z356)</f>
        <v/>
      </c>
      <c r="AB356" s="4">
        <f>N(AA356)*N(K356)/90</f>
        <v/>
      </c>
      <c r="AC356" s="4">
        <f>IFERROR(AB356-VLOOKUP($C356,Assumptions!$A$29:$C$32,3,FALSE),"")</f>
        <v/>
      </c>
      <c r="AD356" s="4">
        <f>IFERROR(AC356/F356,"")</f>
        <v/>
      </c>
      <c r="AE356">
        <f>IF(AND($E356=TRUE,$C356="GKP"),AB356,"")</f>
        <v/>
      </c>
      <c r="AF356">
        <f>IF(AND($E356=TRUE,$C356="DEF"),AB356,"")</f>
        <v/>
      </c>
      <c r="AG356">
        <f>IF(AND($E356=TRUE,$C356="MID"),AB356,"")</f>
        <v/>
      </c>
      <c r="AH356">
        <f>IF(AND($E356=TRUE,$C356="FWD"),AB356,"")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b">
        <v>1</v>
      </c>
      <c r="F357" s="2" t="n">
        <v>5</v>
      </c>
      <c r="G357" t="inlineStr">
        <is>
          <t>a</t>
        </is>
      </c>
      <c r="I357" s="2" t="n">
        <v>135</v>
      </c>
      <c r="J357" t="n">
        <v>8</v>
      </c>
      <c r="K357" s="3" t="n">
        <v>135</v>
      </c>
      <c r="L357" s="3" t="n">
        <v>0.29</v>
      </c>
      <c r="M357" s="4" t="n">
        <v>0.0727</v>
      </c>
      <c r="N357" t="inlineStr">
        <is>
          <t>adjusted xGOT</t>
        </is>
      </c>
      <c r="O357" s="4" t="n">
        <v>0.986</v>
      </c>
      <c r="P357" s="4" t="n">
        <v>0.1</v>
      </c>
      <c r="Q357" s="4" t="n">
        <v>0.2291</v>
      </c>
      <c r="R357" s="4" t="n">
        <v>0</v>
      </c>
      <c r="S357" s="4" t="n">
        <v>0</v>
      </c>
      <c r="T357" s="4" t="n">
        <v>6</v>
      </c>
      <c r="U357" s="4">
        <f>IF(T357="",IFERROR(VLOOKUP($C357,Assumptions!$A$4:$F$7,6,FALSE),0),T357)</f>
        <v/>
      </c>
      <c r="V357" s="4">
        <f>N(M357)*IFERROR(VLOOKUP($C357,Assumptions!$A$4:$F$7,2,FALSE),0)</f>
        <v/>
      </c>
      <c r="W357" s="4">
        <f>N(Q357)*IFERROR(VLOOKUP($C357,Assumptions!$A$4:$F$7,3,FALSE),0)*Assumptions!$B$11</f>
        <v/>
      </c>
      <c r="X357" s="4">
        <f>N(L357)*IFERROR(VLOOKUP($C357,Assumptions!$A$4:$F$7,4,FALSE),0)</f>
        <v/>
      </c>
      <c r="Y357" s="4">
        <f>N(R357)*IFERROR(VLOOKUP($C357,Assumptions!$A$4:$F$7,5,FALSE),0)</f>
        <v/>
      </c>
      <c r="Z357" s="4">
        <f>N(S357)</f>
        <v/>
      </c>
      <c r="AA357" s="4">
        <f>SUM(U357:Z357)</f>
        <v/>
      </c>
      <c r="AB357" s="4">
        <f>N(AA357)*N(K357)/90</f>
        <v/>
      </c>
      <c r="AC357" s="4">
        <f>IFERROR(AB357-VLOOKUP($C357,Assumptions!$A$29:$C$32,3,FALSE),"")</f>
        <v/>
      </c>
      <c r="AD357" s="4">
        <f>IFERROR(AC357/F357,"")</f>
        <v/>
      </c>
      <c r="AE357">
        <f>IF(AND($E357=TRUE,$C357="GKP"),AB357,"")</f>
        <v/>
      </c>
      <c r="AF357">
        <f>IF(AND($E357=TRUE,$C357="DEF"),AB357,"")</f>
        <v/>
      </c>
      <c r="AG357">
        <f>IF(AND($E357=TRUE,$C357="MID"),AB357,"")</f>
        <v/>
      </c>
      <c r="AH357">
        <f>IF(AND($E357=TRUE,$C357="FWD"),AB357,"")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b">
        <v>1</v>
      </c>
      <c r="F358" s="2" t="n">
        <v>5.5</v>
      </c>
      <c r="G358" t="inlineStr">
        <is>
          <t>a</t>
        </is>
      </c>
      <c r="I358" s="2" t="n">
        <v>165</v>
      </c>
      <c r="J358" t="n">
        <v>8</v>
      </c>
      <c r="K358" s="3" t="n">
        <v>165</v>
      </c>
      <c r="L358" s="3" t="n">
        <v>0.5</v>
      </c>
      <c r="M358" s="4" t="n">
        <v>0.1293</v>
      </c>
      <c r="N358" t="inlineStr">
        <is>
          <t>adjusted xGOT</t>
        </is>
      </c>
      <c r="O358" s="4" t="n">
        <v>1.03</v>
      </c>
      <c r="P358" s="4" t="n">
        <v>1.4</v>
      </c>
      <c r="Q358" s="4" t="n">
        <v>0.035</v>
      </c>
      <c r="R358" s="4" t="n"/>
      <c r="S358" s="4" t="n">
        <v>0</v>
      </c>
      <c r="T358" s="4" t="n">
        <v>3.818</v>
      </c>
      <c r="U358" s="4">
        <f>IF(T358="",IFERROR(VLOOKUP($C358,Assumptions!$A$4:$F$7,6,FALSE),0),T358)</f>
        <v/>
      </c>
      <c r="V358" s="4">
        <f>N(M358)*IFERROR(VLOOKUP($C358,Assumptions!$A$4:$F$7,2,FALSE),0)</f>
        <v/>
      </c>
      <c r="W358" s="4">
        <f>N(Q358)*IFERROR(VLOOKUP($C358,Assumptions!$A$4:$F$7,3,FALSE),0)*Assumptions!$B$11</f>
        <v/>
      </c>
      <c r="X358" s="4">
        <f>N(L358)*IFERROR(VLOOKUP($C358,Assumptions!$A$4:$F$7,4,FALSE),0)</f>
        <v/>
      </c>
      <c r="Y358" s="4">
        <f>N(R358)*IFERROR(VLOOKUP($C358,Assumptions!$A$4:$F$7,5,FALSE),0)</f>
        <v/>
      </c>
      <c r="Z358" s="4">
        <f>N(S358)</f>
        <v/>
      </c>
      <c r="AA358" s="4">
        <f>SUM(U358:Z358)</f>
        <v/>
      </c>
      <c r="AB358" s="4">
        <f>N(AA358)*N(K358)/90</f>
        <v/>
      </c>
      <c r="AC358" s="4">
        <f>IFERROR(AB358-VLOOKUP($C358,Assumptions!$A$29:$C$32,3,FALSE),"")</f>
        <v/>
      </c>
      <c r="AD358" s="4">
        <f>IFERROR(AC358/F358,"")</f>
        <v/>
      </c>
      <c r="AE358">
        <f>IF(AND($E358=TRUE,$C358="GKP"),AB358,"")</f>
        <v/>
      </c>
      <c r="AF358">
        <f>IF(AND($E358=TRUE,$C358="DEF"),AB358,"")</f>
        <v/>
      </c>
      <c r="AG358">
        <f>IF(AND($E358=TRUE,$C358="MID"),AB358,"")</f>
        <v/>
      </c>
      <c r="AH358">
        <f>IF(AND($E358=TRUE,$C358="FWD"),AB358,"")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b">
        <v>1</v>
      </c>
      <c r="F359" s="2" t="n">
        <v>4.5</v>
      </c>
      <c r="G359" t="inlineStr">
        <is>
          <t>a</t>
        </is>
      </c>
      <c r="I359" s="2" t="n">
        <v>90</v>
      </c>
      <c r="J359" t="n">
        <v>7</v>
      </c>
      <c r="K359" s="3" t="n">
        <v>90</v>
      </c>
      <c r="L359" s="3" t="n">
        <v>0.316</v>
      </c>
      <c r="M359" s="4" t="n">
        <v>0</v>
      </c>
      <c r="N359" t="inlineStr">
        <is>
          <t>blended xG</t>
        </is>
      </c>
      <c r="O359" s="4" t="n">
        <v>1</v>
      </c>
      <c r="P359" s="4" t="n">
        <v>0</v>
      </c>
      <c r="Q359" s="4" t="n">
        <v>0</v>
      </c>
      <c r="R359" s="4" t="n">
        <v>0</v>
      </c>
      <c r="S359" s="4" t="n">
        <v>1</v>
      </c>
      <c r="T359" s="4" t="n">
        <v>2</v>
      </c>
      <c r="U359" s="4">
        <f>IF(T359="",IFERROR(VLOOKUP($C359,Assumptions!$A$4:$F$7,6,FALSE),0),T359)</f>
        <v/>
      </c>
      <c r="V359" s="4">
        <f>N(M359)*IFERROR(VLOOKUP($C359,Assumptions!$A$4:$F$7,2,FALSE),0)</f>
        <v/>
      </c>
      <c r="W359" s="4">
        <f>N(Q359)*IFERROR(VLOOKUP($C359,Assumptions!$A$4:$F$7,3,FALSE),0)*Assumptions!$B$11</f>
        <v/>
      </c>
      <c r="X359" s="4">
        <f>N(L359)*IFERROR(VLOOKUP($C359,Assumptions!$A$4:$F$7,4,FALSE),0)</f>
        <v/>
      </c>
      <c r="Y359" s="4">
        <f>N(R359)*IFERROR(VLOOKUP($C359,Assumptions!$A$4:$F$7,5,FALSE),0)</f>
        <v/>
      </c>
      <c r="Z359" s="4">
        <f>N(S359)</f>
        <v/>
      </c>
      <c r="AA359" s="4">
        <f>SUM(U359:Z359)</f>
        <v/>
      </c>
      <c r="AB359" s="4">
        <f>N(AA359)*N(K359)/90</f>
        <v/>
      </c>
      <c r="AC359" s="4">
        <f>IFERROR(AB359-VLOOKUP($C359,Assumptions!$A$29:$C$32,3,FALSE),"")</f>
        <v/>
      </c>
      <c r="AD359" s="4">
        <f>IFERROR(AC359/F359,"")</f>
        <v/>
      </c>
      <c r="AE359">
        <f>IF(AND($E359=TRUE,$C359="GKP"),AB359,"")</f>
        <v/>
      </c>
      <c r="AF359">
        <f>IF(AND($E359=TRUE,$C359="DEF"),AB359,"")</f>
        <v/>
      </c>
      <c r="AG359">
        <f>IF(AND($E359=TRUE,$C359="MID"),AB359,"")</f>
        <v/>
      </c>
      <c r="AH359">
        <f>IF(AND($E359=TRUE,$C359="FWD"),AB359,"")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b">
        <v>1</v>
      </c>
      <c r="F360" s="2" t="n">
        <v>5</v>
      </c>
      <c r="G360" t="inlineStr">
        <is>
          <t>a</t>
        </is>
      </c>
      <c r="I360" s="2" t="n">
        <v>101</v>
      </c>
      <c r="J360" t="n">
        <v>7</v>
      </c>
      <c r="K360" s="3" t="n">
        <v>101</v>
      </c>
      <c r="L360" s="3" t="n">
        <v>0.29</v>
      </c>
      <c r="M360" s="4" t="n">
        <v>0.0659</v>
      </c>
      <c r="N360" t="inlineStr">
        <is>
          <t>adjusted xGOT</t>
        </is>
      </c>
      <c r="O360" s="4" t="n">
        <v>0.928</v>
      </c>
      <c r="P360" s="4" t="n">
        <v>9.6</v>
      </c>
      <c r="Q360" s="4" t="n">
        <v>0.0178</v>
      </c>
      <c r="R360" s="4" t="n">
        <v>0</v>
      </c>
      <c r="S360" s="4" t="n">
        <v>0</v>
      </c>
      <c r="T360" s="4" t="n">
        <v>6.238</v>
      </c>
      <c r="U360" s="4">
        <f>IF(T360="",IFERROR(VLOOKUP($C360,Assumptions!$A$4:$F$7,6,FALSE),0),T360)</f>
        <v/>
      </c>
      <c r="V360" s="4">
        <f>N(M360)*IFERROR(VLOOKUP($C360,Assumptions!$A$4:$F$7,2,FALSE),0)</f>
        <v/>
      </c>
      <c r="W360" s="4">
        <f>N(Q360)*IFERROR(VLOOKUP($C360,Assumptions!$A$4:$F$7,3,FALSE),0)*Assumptions!$B$11</f>
        <v/>
      </c>
      <c r="X360" s="4">
        <f>N(L360)*IFERROR(VLOOKUP($C360,Assumptions!$A$4:$F$7,4,FALSE),0)</f>
        <v/>
      </c>
      <c r="Y360" s="4">
        <f>N(R360)*IFERROR(VLOOKUP($C360,Assumptions!$A$4:$F$7,5,FALSE),0)</f>
        <v/>
      </c>
      <c r="Z360" s="4">
        <f>N(S360)</f>
        <v/>
      </c>
      <c r="AA360" s="4">
        <f>SUM(U360:Z360)</f>
        <v/>
      </c>
      <c r="AB360" s="4">
        <f>N(AA360)*N(K360)/90</f>
        <v/>
      </c>
      <c r="AC360" s="4">
        <f>IFERROR(AB360-VLOOKUP($C360,Assumptions!$A$29:$C$32,3,FALSE),"")</f>
        <v/>
      </c>
      <c r="AD360" s="4">
        <f>IFERROR(AC360/F360,"")</f>
        <v/>
      </c>
      <c r="AE360">
        <f>IF(AND($E360=TRUE,$C360="GKP"),AB360,"")</f>
        <v/>
      </c>
      <c r="AF360">
        <f>IF(AND($E360=TRUE,$C360="DEF"),AB360,"")</f>
        <v/>
      </c>
      <c r="AG360">
        <f>IF(AND($E360=TRUE,$C360="MID"),AB360,"")</f>
        <v/>
      </c>
      <c r="AH360">
        <f>IF(AND($E360=TRUE,$C360="FWD"),AB360,"")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b">
        <v>1</v>
      </c>
      <c r="F361" s="2" t="n">
        <v>4.5</v>
      </c>
      <c r="G361" t="inlineStr">
        <is>
          <t>a</t>
        </is>
      </c>
      <c r="I361" s="2" t="n">
        <v>470</v>
      </c>
      <c r="J361" t="n">
        <v>7</v>
      </c>
      <c r="K361" s="3" t="n">
        <v>470</v>
      </c>
      <c r="L361" s="3" t="n">
        <v>0.237</v>
      </c>
      <c r="M361" s="4" t="n">
        <v>0</v>
      </c>
      <c r="N361" t="inlineStr">
        <is>
          <t>adjusted xGOT</t>
        </is>
      </c>
      <c r="O361" s="4" t="n">
        <v>0.913</v>
      </c>
      <c r="P361" s="4" t="n">
        <v>1.5</v>
      </c>
      <c r="Q361" s="4" t="n">
        <v>0.0057</v>
      </c>
      <c r="R361" s="4" t="n">
        <v>0.167</v>
      </c>
      <c r="S361" s="4" t="n">
        <v>0</v>
      </c>
      <c r="T361" s="4" t="n">
        <v>2.106</v>
      </c>
      <c r="U361" s="4">
        <f>IF(T361="",IFERROR(VLOOKUP($C361,Assumptions!$A$4:$F$7,6,FALSE),0),T361)</f>
        <v/>
      </c>
      <c r="V361" s="4">
        <f>N(M361)*IFERROR(VLOOKUP($C361,Assumptions!$A$4:$F$7,2,FALSE),0)</f>
        <v/>
      </c>
      <c r="W361" s="4">
        <f>N(Q361)*IFERROR(VLOOKUP($C361,Assumptions!$A$4:$F$7,3,FALSE),0)*Assumptions!$B$11</f>
        <v/>
      </c>
      <c r="X361" s="4">
        <f>N(L361)*IFERROR(VLOOKUP($C361,Assumptions!$A$4:$F$7,4,FALSE),0)</f>
        <v/>
      </c>
      <c r="Y361" s="4">
        <f>N(R361)*IFERROR(VLOOKUP($C361,Assumptions!$A$4:$F$7,5,FALSE),0)</f>
        <v/>
      </c>
      <c r="Z361" s="4">
        <f>N(S361)</f>
        <v/>
      </c>
      <c r="AA361" s="4">
        <f>SUM(U361:Z361)</f>
        <v/>
      </c>
      <c r="AB361" s="4">
        <f>N(AA361)*N(K361)/90</f>
        <v/>
      </c>
      <c r="AC361" s="4">
        <f>IFERROR(AB361-VLOOKUP($C361,Assumptions!$A$29:$C$32,3,FALSE),"")</f>
        <v/>
      </c>
      <c r="AD361" s="4">
        <f>IFERROR(AC361/F361,"")</f>
        <v/>
      </c>
      <c r="AE361">
        <f>IF(AND($E361=TRUE,$C361="GKP"),AB361,"")</f>
        <v/>
      </c>
      <c r="AF361">
        <f>IF(AND($E361=TRUE,$C361="DEF"),AB361,"")</f>
        <v/>
      </c>
      <c r="AG361">
        <f>IF(AND($E361=TRUE,$C361="MID"),AB361,"")</f>
        <v/>
      </c>
      <c r="AH361">
        <f>IF(AND($E361=TRUE,$C361="FWD"),AB361,"")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b">
        <v>1</v>
      </c>
      <c r="F362" s="2" t="n">
        <v>4.5</v>
      </c>
      <c r="G362" t="inlineStr">
        <is>
          <t>a</t>
        </is>
      </c>
      <c r="I362" s="2" t="n">
        <v>103</v>
      </c>
      <c r="J362" t="n">
        <v>6</v>
      </c>
      <c r="K362" s="3" t="n">
        <v>103</v>
      </c>
      <c r="L362" s="3" t="n">
        <v>0.263</v>
      </c>
      <c r="M362" s="4" t="n">
        <v>0</v>
      </c>
      <c r="N362" t="inlineStr">
        <is>
          <t>adjusted xGOT</t>
        </is>
      </c>
      <c r="O362" s="4" t="n">
        <v>0.964</v>
      </c>
      <c r="P362" s="4" t="n">
        <v>0.3</v>
      </c>
      <c r="Q362" s="4" t="n">
        <v>0.007900000000000001</v>
      </c>
      <c r="R362" s="4" t="n">
        <v>1</v>
      </c>
      <c r="S362" s="4" t="n">
        <v>0</v>
      </c>
      <c r="T362" s="4" t="n">
        <v>4.369</v>
      </c>
      <c r="U362" s="4">
        <f>IF(T362="",IFERROR(VLOOKUP($C362,Assumptions!$A$4:$F$7,6,FALSE),0),T362)</f>
        <v/>
      </c>
      <c r="V362" s="4">
        <f>N(M362)*IFERROR(VLOOKUP($C362,Assumptions!$A$4:$F$7,2,FALSE),0)</f>
        <v/>
      </c>
      <c r="W362" s="4">
        <f>N(Q362)*IFERROR(VLOOKUP($C362,Assumptions!$A$4:$F$7,3,FALSE),0)*Assumptions!$B$11</f>
        <v/>
      </c>
      <c r="X362" s="4">
        <f>N(L362)*IFERROR(VLOOKUP($C362,Assumptions!$A$4:$F$7,4,FALSE),0)</f>
        <v/>
      </c>
      <c r="Y362" s="4">
        <f>N(R362)*IFERROR(VLOOKUP($C362,Assumptions!$A$4:$F$7,5,FALSE),0)</f>
        <v/>
      </c>
      <c r="Z362" s="4">
        <f>N(S362)</f>
        <v/>
      </c>
      <c r="AA362" s="4">
        <f>SUM(U362:Z362)</f>
        <v/>
      </c>
      <c r="AB362" s="4">
        <f>N(AA362)*N(K362)/90</f>
        <v/>
      </c>
      <c r="AC362" s="4">
        <f>IFERROR(AB362-VLOOKUP($C362,Assumptions!$A$29:$C$32,3,FALSE),"")</f>
        <v/>
      </c>
      <c r="AD362" s="4">
        <f>IFERROR(AC362/F362,"")</f>
        <v/>
      </c>
      <c r="AE362">
        <f>IF(AND($E362=TRUE,$C362="GKP"),AB362,"")</f>
        <v/>
      </c>
      <c r="AF362">
        <f>IF(AND($E362=TRUE,$C362="DEF"),AB362,"")</f>
        <v/>
      </c>
      <c r="AG362">
        <f>IF(AND($E362=TRUE,$C362="MID"),AB362,"")</f>
        <v/>
      </c>
      <c r="AH362">
        <f>IF(AND($E362=TRUE,$C362="FWD"),AB362,"")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b">
        <v>1</v>
      </c>
      <c r="F363" s="2" t="n">
        <v>4</v>
      </c>
      <c r="G363" t="inlineStr">
        <is>
          <t>a</t>
        </is>
      </c>
      <c r="I363" s="2" t="n">
        <v>212</v>
      </c>
      <c r="J363" t="n">
        <v>6</v>
      </c>
      <c r="K363" s="3" t="n">
        <v>212</v>
      </c>
      <c r="L363" s="3" t="n">
        <v>0.263</v>
      </c>
      <c r="M363" s="4" t="n">
        <v>0</v>
      </c>
      <c r="N363" t="inlineStr">
        <is>
          <t>blended xG</t>
        </is>
      </c>
      <c r="O363" s="4" t="n">
        <v>1</v>
      </c>
      <c r="P363" s="4" t="n">
        <v>0</v>
      </c>
      <c r="Q363" s="4" t="n">
        <v>0</v>
      </c>
      <c r="R363" s="4" t="n">
        <v>0</v>
      </c>
      <c r="S363" s="4" t="n">
        <v>0</v>
      </c>
      <c r="T363" s="4" t="n">
        <v>2.123</v>
      </c>
      <c r="U363" s="4">
        <f>IF(T363="",IFERROR(VLOOKUP($C363,Assumptions!$A$4:$F$7,6,FALSE),0),T363)</f>
        <v/>
      </c>
      <c r="V363" s="4">
        <f>N(M363)*IFERROR(VLOOKUP($C363,Assumptions!$A$4:$F$7,2,FALSE),0)</f>
        <v/>
      </c>
      <c r="W363" s="4">
        <f>N(Q363)*IFERROR(VLOOKUP($C363,Assumptions!$A$4:$F$7,3,FALSE),0)*Assumptions!$B$11</f>
        <v/>
      </c>
      <c r="X363" s="4">
        <f>N(L363)*IFERROR(VLOOKUP($C363,Assumptions!$A$4:$F$7,4,FALSE),0)</f>
        <v/>
      </c>
      <c r="Y363" s="4">
        <f>N(R363)*IFERROR(VLOOKUP($C363,Assumptions!$A$4:$F$7,5,FALSE),0)</f>
        <v/>
      </c>
      <c r="Z363" s="4">
        <f>N(S363)</f>
        <v/>
      </c>
      <c r="AA363" s="4">
        <f>SUM(U363:Z363)</f>
        <v/>
      </c>
      <c r="AB363" s="4">
        <f>N(AA363)*N(K363)/90</f>
        <v/>
      </c>
      <c r="AC363" s="4">
        <f>IFERROR(AB363-VLOOKUP($C363,Assumptions!$A$29:$C$32,3,FALSE),"")</f>
        <v/>
      </c>
      <c r="AD363" s="4">
        <f>IFERROR(AC363/F363,"")</f>
        <v/>
      </c>
      <c r="AE363">
        <f>IF(AND($E363=TRUE,$C363="GKP"),AB363,"")</f>
        <v/>
      </c>
      <c r="AF363">
        <f>IF(AND($E363=TRUE,$C363="DEF"),AB363,"")</f>
        <v/>
      </c>
      <c r="AG363">
        <f>IF(AND($E363=TRUE,$C363="MID"),AB363,"")</f>
        <v/>
      </c>
      <c r="AH363">
        <f>IF(AND($E363=TRUE,$C363="FWD"),AB363,"")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b">
        <v>1</v>
      </c>
      <c r="F364" s="2" t="n">
        <v>5</v>
      </c>
      <c r="G364" t="inlineStr">
        <is>
          <t>a</t>
        </is>
      </c>
      <c r="I364" s="2" t="n">
        <v>21</v>
      </c>
      <c r="J364" t="n">
        <v>6</v>
      </c>
      <c r="K364" s="3" t="n">
        <v>21</v>
      </c>
      <c r="L364" s="3" t="n">
        <v>0.263</v>
      </c>
      <c r="M364" s="4" t="n">
        <v>1.5171</v>
      </c>
      <c r="N364" t="inlineStr">
        <is>
          <t>adjusted xGOT</t>
        </is>
      </c>
      <c r="O364" s="4" t="n">
        <v>0.956</v>
      </c>
      <c r="P364" s="4" t="n">
        <v>0.4</v>
      </c>
      <c r="Q364" s="4" t="n">
        <v>0.0857</v>
      </c>
      <c r="R364" s="4" t="n"/>
      <c r="S364" s="4" t="n">
        <v>0</v>
      </c>
      <c r="T364" s="4" t="n">
        <v>25.714</v>
      </c>
      <c r="U364" s="4">
        <f>IF(T364="",IFERROR(VLOOKUP($C364,Assumptions!$A$4:$F$7,6,FALSE),0),T364)</f>
        <v/>
      </c>
      <c r="V364" s="4">
        <f>N(M364)*IFERROR(VLOOKUP($C364,Assumptions!$A$4:$F$7,2,FALSE),0)</f>
        <v/>
      </c>
      <c r="W364" s="4">
        <f>N(Q364)*IFERROR(VLOOKUP($C364,Assumptions!$A$4:$F$7,3,FALSE),0)*Assumptions!$B$11</f>
        <v/>
      </c>
      <c r="X364" s="4">
        <f>N(L364)*IFERROR(VLOOKUP($C364,Assumptions!$A$4:$F$7,4,FALSE),0)</f>
        <v/>
      </c>
      <c r="Y364" s="4">
        <f>N(R364)*IFERROR(VLOOKUP($C364,Assumptions!$A$4:$F$7,5,FALSE),0)</f>
        <v/>
      </c>
      <c r="Z364" s="4">
        <f>N(S364)</f>
        <v/>
      </c>
      <c r="AA364" s="4">
        <f>SUM(U364:Z364)</f>
        <v/>
      </c>
      <c r="AB364" s="4">
        <f>N(AA364)*N(K364)/90</f>
        <v/>
      </c>
      <c r="AC364" s="4">
        <f>IFERROR(AB364-VLOOKUP($C364,Assumptions!$A$29:$C$32,3,FALSE),"")</f>
        <v/>
      </c>
      <c r="AD364" s="4">
        <f>IFERROR(AC364/F364,"")</f>
        <v/>
      </c>
      <c r="AE364">
        <f>IF(AND($E364=TRUE,$C364="GKP"),AB364,"")</f>
        <v/>
      </c>
      <c r="AF364">
        <f>IF(AND($E364=TRUE,$C364="DEF"),AB364,"")</f>
        <v/>
      </c>
      <c r="AG364">
        <f>IF(AND($E364=TRUE,$C364="MID"),AB364,"")</f>
        <v/>
      </c>
      <c r="AH364">
        <f>IF(AND($E364=TRUE,$C364="FWD"),AB364,"")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b">
        <v>1</v>
      </c>
      <c r="F365" s="2" t="n">
        <v>4.5</v>
      </c>
      <c r="G365" t="inlineStr">
        <is>
          <t>a</t>
        </is>
      </c>
      <c r="I365" s="2" t="n">
        <v>99</v>
      </c>
      <c r="J365" t="n">
        <v>6</v>
      </c>
      <c r="K365" s="3" t="n">
        <v>99</v>
      </c>
      <c r="L365" s="3" t="n">
        <v>0.316</v>
      </c>
      <c r="M365" s="4" t="n">
        <v>0.0364</v>
      </c>
      <c r="N365" t="inlineStr">
        <is>
          <t>adjusted xGOT</t>
        </is>
      </c>
      <c r="O365" s="4" t="n">
        <v>0.995</v>
      </c>
      <c r="P365" s="4" t="n">
        <v>0</v>
      </c>
      <c r="Q365" s="4" t="n">
        <v>0.0665</v>
      </c>
      <c r="R365" s="4" t="n"/>
      <c r="S365" s="4" t="n">
        <v>0</v>
      </c>
      <c r="T365" s="4" t="n">
        <v>6.364</v>
      </c>
      <c r="U365" s="4">
        <f>IF(T365="",IFERROR(VLOOKUP($C365,Assumptions!$A$4:$F$7,6,FALSE),0),T365)</f>
        <v/>
      </c>
      <c r="V365" s="4">
        <f>N(M365)*IFERROR(VLOOKUP($C365,Assumptions!$A$4:$F$7,2,FALSE),0)</f>
        <v/>
      </c>
      <c r="W365" s="4">
        <f>N(Q365)*IFERROR(VLOOKUP($C365,Assumptions!$A$4:$F$7,3,FALSE),0)*Assumptions!$B$11</f>
        <v/>
      </c>
      <c r="X365" s="4">
        <f>N(L365)*IFERROR(VLOOKUP($C365,Assumptions!$A$4:$F$7,4,FALSE),0)</f>
        <v/>
      </c>
      <c r="Y365" s="4">
        <f>N(R365)*IFERROR(VLOOKUP($C365,Assumptions!$A$4:$F$7,5,FALSE),0)</f>
        <v/>
      </c>
      <c r="Z365" s="4">
        <f>N(S365)</f>
        <v/>
      </c>
      <c r="AA365" s="4">
        <f>SUM(U365:Z365)</f>
        <v/>
      </c>
      <c r="AB365" s="4">
        <f>N(AA365)*N(K365)/90</f>
        <v/>
      </c>
      <c r="AC365" s="4">
        <f>IFERROR(AB365-VLOOKUP($C365,Assumptions!$A$29:$C$32,3,FALSE),"")</f>
        <v/>
      </c>
      <c r="AD365" s="4">
        <f>IFERROR(AC365/F365,"")</f>
        <v/>
      </c>
      <c r="AE365">
        <f>IF(AND($E365=TRUE,$C365="GKP"),AB365,"")</f>
        <v/>
      </c>
      <c r="AF365">
        <f>IF(AND($E365=TRUE,$C365="DEF"),AB365,"")</f>
        <v/>
      </c>
      <c r="AG365">
        <f>IF(AND($E365=TRUE,$C365="MID"),AB365,"")</f>
        <v/>
      </c>
      <c r="AH365">
        <f>IF(AND($E365=TRUE,$C365="FWD"),AB365,"")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b">
        <v>1</v>
      </c>
      <c r="F366" s="2" t="n">
        <v>4.5</v>
      </c>
      <c r="G366" t="inlineStr">
        <is>
          <t>a</t>
        </is>
      </c>
      <c r="I366" s="2" t="n">
        <v>49</v>
      </c>
      <c r="J366" t="n">
        <v>6</v>
      </c>
      <c r="K366" s="3" t="n">
        <v>49</v>
      </c>
      <c r="L366" s="3" t="n">
        <v>0.237</v>
      </c>
      <c r="M366" s="4" t="n">
        <v>0</v>
      </c>
      <c r="N366" t="inlineStr">
        <is>
          <t>blended xG</t>
        </is>
      </c>
      <c r="O366" s="4" t="n">
        <v>1</v>
      </c>
      <c r="P366" s="4" t="n">
        <v>0</v>
      </c>
      <c r="Q366" s="4" t="n">
        <v>0.1396</v>
      </c>
      <c r="R366" s="4" t="n"/>
      <c r="S366" s="4" t="n">
        <v>0</v>
      </c>
      <c r="T366" s="4" t="n">
        <v>12.857</v>
      </c>
      <c r="U366" s="4">
        <f>IF(T366="",IFERROR(VLOOKUP($C366,Assumptions!$A$4:$F$7,6,FALSE),0),T366)</f>
        <v/>
      </c>
      <c r="V366" s="4">
        <f>N(M366)*IFERROR(VLOOKUP($C366,Assumptions!$A$4:$F$7,2,FALSE),0)</f>
        <v/>
      </c>
      <c r="W366" s="4">
        <f>N(Q366)*IFERROR(VLOOKUP($C366,Assumptions!$A$4:$F$7,3,FALSE),0)*Assumptions!$B$11</f>
        <v/>
      </c>
      <c r="X366" s="4">
        <f>N(L366)*IFERROR(VLOOKUP($C366,Assumptions!$A$4:$F$7,4,FALSE),0)</f>
        <v/>
      </c>
      <c r="Y366" s="4">
        <f>N(R366)*IFERROR(VLOOKUP($C366,Assumptions!$A$4:$F$7,5,FALSE),0)</f>
        <v/>
      </c>
      <c r="Z366" s="4">
        <f>N(S366)</f>
        <v/>
      </c>
      <c r="AA366" s="4">
        <f>SUM(U366:Z366)</f>
        <v/>
      </c>
      <c r="AB366" s="4">
        <f>N(AA366)*N(K366)/90</f>
        <v/>
      </c>
      <c r="AC366" s="4">
        <f>IFERROR(AB366-VLOOKUP($C366,Assumptions!$A$29:$C$32,3,FALSE),"")</f>
        <v/>
      </c>
      <c r="AD366" s="4">
        <f>IFERROR(AC366/F366,"")</f>
        <v/>
      </c>
      <c r="AE366">
        <f>IF(AND($E366=TRUE,$C366="GKP"),AB366,"")</f>
        <v/>
      </c>
      <c r="AF366">
        <f>IF(AND($E366=TRUE,$C366="DEF"),AB366,"")</f>
        <v/>
      </c>
      <c r="AG366">
        <f>IF(AND($E366=TRUE,$C366="MID"),AB366,"")</f>
        <v/>
      </c>
      <c r="AH366">
        <f>IF(AND($E366=TRUE,$C366="FWD"),AB366,"")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b">
        <v>1</v>
      </c>
      <c r="F367" s="2" t="n">
        <v>4</v>
      </c>
      <c r="G367" t="inlineStr">
        <is>
          <t>a</t>
        </is>
      </c>
      <c r="I367" s="2" t="n">
        <v>83</v>
      </c>
      <c r="J367" t="n">
        <v>5</v>
      </c>
      <c r="K367" s="3" t="n">
        <v>83</v>
      </c>
      <c r="L367" s="3" t="n">
        <v>0.237</v>
      </c>
      <c r="M367" s="4" t="n">
        <v>0</v>
      </c>
      <c r="N367" t="inlineStr">
        <is>
          <t>adjusted xGOT</t>
        </is>
      </c>
      <c r="O367" s="4" t="n">
        <v>0.995</v>
      </c>
      <c r="P367" s="4" t="n">
        <v>0</v>
      </c>
      <c r="Q367" s="4" t="n">
        <v>0.0054</v>
      </c>
      <c r="R367" s="4" t="n">
        <v>0</v>
      </c>
      <c r="S367" s="4" t="n">
        <v>0</v>
      </c>
      <c r="T367" s="4" t="n">
        <v>6.506</v>
      </c>
      <c r="U367" s="4">
        <f>IF(T367="",IFERROR(VLOOKUP($C367,Assumptions!$A$4:$F$7,6,FALSE),0),T367)</f>
        <v/>
      </c>
      <c r="V367" s="4">
        <f>N(M367)*IFERROR(VLOOKUP($C367,Assumptions!$A$4:$F$7,2,FALSE),0)</f>
        <v/>
      </c>
      <c r="W367" s="4">
        <f>N(Q367)*IFERROR(VLOOKUP($C367,Assumptions!$A$4:$F$7,3,FALSE),0)*Assumptions!$B$11</f>
        <v/>
      </c>
      <c r="X367" s="4">
        <f>N(L367)*IFERROR(VLOOKUP($C367,Assumptions!$A$4:$F$7,4,FALSE),0)</f>
        <v/>
      </c>
      <c r="Y367" s="4">
        <f>N(R367)*IFERROR(VLOOKUP($C367,Assumptions!$A$4:$F$7,5,FALSE),0)</f>
        <v/>
      </c>
      <c r="Z367" s="4">
        <f>N(S367)</f>
        <v/>
      </c>
      <c r="AA367" s="4">
        <f>SUM(U367:Z367)</f>
        <v/>
      </c>
      <c r="AB367" s="4">
        <f>N(AA367)*N(K367)/90</f>
        <v/>
      </c>
      <c r="AC367" s="4">
        <f>IFERROR(AB367-VLOOKUP($C367,Assumptions!$A$29:$C$32,3,FALSE),"")</f>
        <v/>
      </c>
      <c r="AD367" s="4">
        <f>IFERROR(AC367/F367,"")</f>
        <v/>
      </c>
      <c r="AE367">
        <f>IF(AND($E367=TRUE,$C367="GKP"),AB367,"")</f>
        <v/>
      </c>
      <c r="AF367">
        <f>IF(AND($E367=TRUE,$C367="DEF"),AB367,"")</f>
        <v/>
      </c>
      <c r="AG367">
        <f>IF(AND($E367=TRUE,$C367="MID"),AB367,"")</f>
        <v/>
      </c>
      <c r="AH367">
        <f>IF(AND($E367=TRUE,$C367="FWD"),AB367,"")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b">
        <v>1</v>
      </c>
      <c r="F368" s="2" t="n">
        <v>5</v>
      </c>
      <c r="G368" t="inlineStr">
        <is>
          <t>a</t>
        </is>
      </c>
      <c r="I368" s="2" t="n">
        <v>135</v>
      </c>
      <c r="J368" t="n">
        <v>5</v>
      </c>
      <c r="K368" s="3" t="n">
        <v>135</v>
      </c>
      <c r="L368" s="3" t="n">
        <v>0.421</v>
      </c>
      <c r="M368" s="4" t="n">
        <v>0.174</v>
      </c>
      <c r="N368" t="inlineStr">
        <is>
          <t>adjusted xGOT</t>
        </is>
      </c>
      <c r="O368" s="4" t="n">
        <v>1.005</v>
      </c>
      <c r="P368" s="4" t="n">
        <v>0.3</v>
      </c>
      <c r="Q368" s="4" t="n">
        <v>0.0307</v>
      </c>
      <c r="R368" s="4" t="n">
        <v>0.5</v>
      </c>
      <c r="S368" s="4" t="n">
        <v>0</v>
      </c>
      <c r="T368" s="4" t="n">
        <v>2</v>
      </c>
      <c r="U368" s="4">
        <f>IF(T368="",IFERROR(VLOOKUP($C368,Assumptions!$A$4:$F$7,6,FALSE),0),T368)</f>
        <v/>
      </c>
      <c r="V368" s="4">
        <f>N(M368)*IFERROR(VLOOKUP($C368,Assumptions!$A$4:$F$7,2,FALSE),0)</f>
        <v/>
      </c>
      <c r="W368" s="4">
        <f>N(Q368)*IFERROR(VLOOKUP($C368,Assumptions!$A$4:$F$7,3,FALSE),0)*Assumptions!$B$11</f>
        <v/>
      </c>
      <c r="X368" s="4">
        <f>N(L368)*IFERROR(VLOOKUP($C368,Assumptions!$A$4:$F$7,4,FALSE),0)</f>
        <v/>
      </c>
      <c r="Y368" s="4">
        <f>N(R368)*IFERROR(VLOOKUP($C368,Assumptions!$A$4:$F$7,5,FALSE),0)</f>
        <v/>
      </c>
      <c r="Z368" s="4">
        <f>N(S368)</f>
        <v/>
      </c>
      <c r="AA368" s="4">
        <f>SUM(U368:Z368)</f>
        <v/>
      </c>
      <c r="AB368" s="4">
        <f>N(AA368)*N(K368)/90</f>
        <v/>
      </c>
      <c r="AC368" s="4">
        <f>IFERROR(AB368-VLOOKUP($C368,Assumptions!$A$29:$C$32,3,FALSE),"")</f>
        <v/>
      </c>
      <c r="AD368" s="4">
        <f>IFERROR(AC368/F368,"")</f>
        <v/>
      </c>
      <c r="AE368">
        <f>IF(AND($E368=TRUE,$C368="GKP"),AB368,"")</f>
        <v/>
      </c>
      <c r="AF368">
        <f>IF(AND($E368=TRUE,$C368="DEF"),AB368,"")</f>
        <v/>
      </c>
      <c r="AG368">
        <f>IF(AND($E368=TRUE,$C368="MID"),AB368,"")</f>
        <v/>
      </c>
      <c r="AH368">
        <f>IF(AND($E368=TRUE,$C368="FWD"),AB368,"")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b">
        <v>1</v>
      </c>
      <c r="F369" s="2" t="n">
        <v>5.5</v>
      </c>
      <c r="G369" t="inlineStr">
        <is>
          <t>a</t>
        </is>
      </c>
      <c r="I369" s="2" t="n">
        <v>110</v>
      </c>
      <c r="J369" t="n">
        <v>5</v>
      </c>
      <c r="K369" s="3" t="n">
        <v>110</v>
      </c>
      <c r="L369" s="3" t="n">
        <v>0.263</v>
      </c>
      <c r="M369" s="4" t="n">
        <v>0.2324</v>
      </c>
      <c r="N369" t="inlineStr">
        <is>
          <t>adjusted xGOT</t>
        </is>
      </c>
      <c r="O369" s="4" t="n">
        <v>0.979</v>
      </c>
      <c r="P369" s="4" t="n">
        <v>6.9</v>
      </c>
      <c r="Q369" s="4" t="n">
        <v>0.0711</v>
      </c>
      <c r="R369" s="4" t="n">
        <v>0</v>
      </c>
      <c r="S369" s="4" t="n">
        <v>0</v>
      </c>
      <c r="T369" s="4" t="n">
        <v>4.091</v>
      </c>
      <c r="U369" s="4">
        <f>IF(T369="",IFERROR(VLOOKUP($C369,Assumptions!$A$4:$F$7,6,FALSE),0),T369)</f>
        <v/>
      </c>
      <c r="V369" s="4">
        <f>N(M369)*IFERROR(VLOOKUP($C369,Assumptions!$A$4:$F$7,2,FALSE),0)</f>
        <v/>
      </c>
      <c r="W369" s="4">
        <f>N(Q369)*IFERROR(VLOOKUP($C369,Assumptions!$A$4:$F$7,3,FALSE),0)*Assumptions!$B$11</f>
        <v/>
      </c>
      <c r="X369" s="4">
        <f>N(L369)*IFERROR(VLOOKUP($C369,Assumptions!$A$4:$F$7,4,FALSE),0)</f>
        <v/>
      </c>
      <c r="Y369" s="4">
        <f>N(R369)*IFERROR(VLOOKUP($C369,Assumptions!$A$4:$F$7,5,FALSE),0)</f>
        <v/>
      </c>
      <c r="Z369" s="4">
        <f>N(S369)</f>
        <v/>
      </c>
      <c r="AA369" s="4">
        <f>SUM(U369:Z369)</f>
        <v/>
      </c>
      <c r="AB369" s="4">
        <f>N(AA369)*N(K369)/90</f>
        <v/>
      </c>
      <c r="AC369" s="4">
        <f>IFERROR(AB369-VLOOKUP($C369,Assumptions!$A$29:$C$32,3,FALSE),"")</f>
        <v/>
      </c>
      <c r="AD369" s="4">
        <f>IFERROR(AC369/F369,"")</f>
        <v/>
      </c>
      <c r="AE369">
        <f>IF(AND($E369=TRUE,$C369="GKP"),AB369,"")</f>
        <v/>
      </c>
      <c r="AF369">
        <f>IF(AND($E369=TRUE,$C369="DEF"),AB369,"")</f>
        <v/>
      </c>
      <c r="AG369">
        <f>IF(AND($E369=TRUE,$C369="MID"),AB369,"")</f>
        <v/>
      </c>
      <c r="AH369">
        <f>IF(AND($E369=TRUE,$C369="FWD"),AB369,"")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b">
        <v>1</v>
      </c>
      <c r="F370" s="2" t="n">
        <v>5</v>
      </c>
      <c r="G370" t="inlineStr">
        <is>
          <t>u</t>
        </is>
      </c>
      <c r="H370" t="inlineStr">
        <is>
          <t>Has joined Leicester City on loan for the rest of the season</t>
        </is>
      </c>
      <c r="I370" s="2" t="n">
        <v>57</v>
      </c>
      <c r="J370" t="n">
        <v>5</v>
      </c>
      <c r="K370" s="3" t="n">
        <v>57</v>
      </c>
      <c r="L370" s="3" t="n">
        <v>0.263</v>
      </c>
      <c r="M370" s="4" t="n">
        <v>0.06469999999999999</v>
      </c>
      <c r="N370" t="inlineStr">
        <is>
          <t>adjusted xGOT</t>
        </is>
      </c>
      <c r="O370" s="4" t="n">
        <v>1.02</v>
      </c>
      <c r="P370" s="4" t="n">
        <v>0</v>
      </c>
      <c r="Q370" s="4" t="n">
        <v>0.0237</v>
      </c>
      <c r="R370" s="4" t="n"/>
      <c r="S370" s="4" t="n">
        <v>0</v>
      </c>
      <c r="T370" s="4" t="n">
        <v>9.474</v>
      </c>
      <c r="U370" s="4">
        <f>IF(T370="",IFERROR(VLOOKUP($C370,Assumptions!$A$4:$F$7,6,FALSE),0),T370)</f>
        <v/>
      </c>
      <c r="V370" s="4">
        <f>N(M370)*IFERROR(VLOOKUP($C370,Assumptions!$A$4:$F$7,2,FALSE),0)</f>
        <v/>
      </c>
      <c r="W370" s="4">
        <f>N(Q370)*IFERROR(VLOOKUP($C370,Assumptions!$A$4:$F$7,3,FALSE),0)*Assumptions!$B$11</f>
        <v/>
      </c>
      <c r="X370" s="4">
        <f>N(L370)*IFERROR(VLOOKUP($C370,Assumptions!$A$4:$F$7,4,FALSE),0)</f>
        <v/>
      </c>
      <c r="Y370" s="4">
        <f>N(R370)*IFERROR(VLOOKUP($C370,Assumptions!$A$4:$F$7,5,FALSE),0)</f>
        <v/>
      </c>
      <c r="Z370" s="4">
        <f>N(S370)</f>
        <v/>
      </c>
      <c r="AA370" s="4">
        <f>SUM(U370:Z370)</f>
        <v/>
      </c>
      <c r="AB370" s="4">
        <f>N(AA370)*N(K370)/90</f>
        <v/>
      </c>
      <c r="AC370" s="4">
        <f>IFERROR(AB370-VLOOKUP($C370,Assumptions!$A$29:$C$32,3,FALSE),"")</f>
        <v/>
      </c>
      <c r="AD370" s="4">
        <f>IFERROR(AC370/F370,"")</f>
        <v/>
      </c>
      <c r="AE370">
        <f>IF(AND($E370=TRUE,$C370="GKP"),AB370,"")</f>
        <v/>
      </c>
      <c r="AF370">
        <f>IF(AND($E370=TRUE,$C370="DEF"),AB370,"")</f>
        <v/>
      </c>
      <c r="AG370">
        <f>IF(AND($E370=TRUE,$C370="MID"),AB370,"")</f>
        <v/>
      </c>
      <c r="AH370">
        <f>IF(AND($E370=TRUE,$C370="FWD"),AB370,"")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b">
        <v>1</v>
      </c>
      <c r="F371" s="2" t="n">
        <v>4.5</v>
      </c>
      <c r="G371" t="inlineStr">
        <is>
          <t>a</t>
        </is>
      </c>
      <c r="I371" s="2" t="n">
        <v>92</v>
      </c>
      <c r="J371" t="n">
        <v>4</v>
      </c>
      <c r="K371" s="3" t="n">
        <v>92</v>
      </c>
      <c r="L371" s="3" t="n">
        <v>0.263</v>
      </c>
      <c r="M371" s="4" t="n">
        <v>0</v>
      </c>
      <c r="N371" t="inlineStr">
        <is>
          <t>blended xG</t>
        </is>
      </c>
      <c r="O371" s="4" t="n">
        <v>1</v>
      </c>
      <c r="P371" s="4" t="n">
        <v>0</v>
      </c>
      <c r="Q371" s="4" t="n">
        <v>0.0147</v>
      </c>
      <c r="R371" s="4" t="n">
        <v>0</v>
      </c>
      <c r="S371" s="4" t="n">
        <v>0</v>
      </c>
      <c r="T371" s="4" t="n">
        <v>3.913</v>
      </c>
      <c r="U371" s="4">
        <f>IF(T371="",IFERROR(VLOOKUP($C371,Assumptions!$A$4:$F$7,6,FALSE),0),T371)</f>
        <v/>
      </c>
      <c r="V371" s="4">
        <f>N(M371)*IFERROR(VLOOKUP($C371,Assumptions!$A$4:$F$7,2,FALSE),0)</f>
        <v/>
      </c>
      <c r="W371" s="4">
        <f>N(Q371)*IFERROR(VLOOKUP($C371,Assumptions!$A$4:$F$7,3,FALSE),0)*Assumptions!$B$11</f>
        <v/>
      </c>
      <c r="X371" s="4">
        <f>N(L371)*IFERROR(VLOOKUP($C371,Assumptions!$A$4:$F$7,4,FALSE),0)</f>
        <v/>
      </c>
      <c r="Y371" s="4">
        <f>N(R371)*IFERROR(VLOOKUP($C371,Assumptions!$A$4:$F$7,5,FALSE),0)</f>
        <v/>
      </c>
      <c r="Z371" s="4">
        <f>N(S371)</f>
        <v/>
      </c>
      <c r="AA371" s="4">
        <f>SUM(U371:Z371)</f>
        <v/>
      </c>
      <c r="AB371" s="4">
        <f>N(AA371)*N(K371)/90</f>
        <v/>
      </c>
      <c r="AC371" s="4">
        <f>IFERROR(AB371-VLOOKUP($C371,Assumptions!$A$29:$C$32,3,FALSE),"")</f>
        <v/>
      </c>
      <c r="AD371" s="4">
        <f>IFERROR(AC371/F371,"")</f>
        <v/>
      </c>
      <c r="AE371">
        <f>IF(AND($E371=TRUE,$C371="GKP"),AB371,"")</f>
        <v/>
      </c>
      <c r="AF371">
        <f>IF(AND($E371=TRUE,$C371="DEF"),AB371,"")</f>
        <v/>
      </c>
      <c r="AG371">
        <f>IF(AND($E371=TRUE,$C371="MID"),AB371,"")</f>
        <v/>
      </c>
      <c r="AH371">
        <f>IF(AND($E371=TRUE,$C371="FWD"),AB371,"")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b">
        <v>1</v>
      </c>
      <c r="F372" s="2" t="n">
        <v>5</v>
      </c>
      <c r="G372" t="inlineStr">
        <is>
          <t>a</t>
        </is>
      </c>
      <c r="I372" s="2" t="n">
        <v>40</v>
      </c>
      <c r="J372" t="n">
        <v>4</v>
      </c>
      <c r="K372" s="3" t="n">
        <v>40</v>
      </c>
      <c r="L372" s="3" t="n">
        <v>0.316</v>
      </c>
      <c r="M372" s="4" t="n">
        <v>0</v>
      </c>
      <c r="N372" t="inlineStr">
        <is>
          <t>adjusted xGOT</t>
        </is>
      </c>
      <c r="O372" s="4" t="n">
        <v>1.082</v>
      </c>
      <c r="P372" s="4" t="n">
        <v>0.3</v>
      </c>
      <c r="Q372" s="4" t="n">
        <v>0.045</v>
      </c>
      <c r="R372" s="4" t="n"/>
      <c r="S372" s="4" t="n">
        <v>0</v>
      </c>
      <c r="T372" s="4" t="n">
        <v>9</v>
      </c>
      <c r="U372" s="4">
        <f>IF(T372="",IFERROR(VLOOKUP($C372,Assumptions!$A$4:$F$7,6,FALSE),0),T372)</f>
        <v/>
      </c>
      <c r="V372" s="4">
        <f>N(M372)*IFERROR(VLOOKUP($C372,Assumptions!$A$4:$F$7,2,FALSE),0)</f>
        <v/>
      </c>
      <c r="W372" s="4">
        <f>N(Q372)*IFERROR(VLOOKUP($C372,Assumptions!$A$4:$F$7,3,FALSE),0)*Assumptions!$B$11</f>
        <v/>
      </c>
      <c r="X372" s="4">
        <f>N(L372)*IFERROR(VLOOKUP($C372,Assumptions!$A$4:$F$7,4,FALSE),0)</f>
        <v/>
      </c>
      <c r="Y372" s="4">
        <f>N(R372)*IFERROR(VLOOKUP($C372,Assumptions!$A$4:$F$7,5,FALSE),0)</f>
        <v/>
      </c>
      <c r="Z372" s="4">
        <f>N(S372)</f>
        <v/>
      </c>
      <c r="AA372" s="4">
        <f>SUM(U372:Z372)</f>
        <v/>
      </c>
      <c r="AB372" s="4">
        <f>N(AA372)*N(K372)/90</f>
        <v/>
      </c>
      <c r="AC372" s="4">
        <f>IFERROR(AB372-VLOOKUP($C372,Assumptions!$A$29:$C$32,3,FALSE),"")</f>
        <v/>
      </c>
      <c r="AD372" s="4">
        <f>IFERROR(AC372/F372,"")</f>
        <v/>
      </c>
      <c r="AE372">
        <f>IF(AND($E372=TRUE,$C372="GKP"),AB372,"")</f>
        <v/>
      </c>
      <c r="AF372">
        <f>IF(AND($E372=TRUE,$C372="DEF"),AB372,"")</f>
        <v/>
      </c>
      <c r="AG372">
        <f>IF(AND($E372=TRUE,$C372="MID"),AB372,"")</f>
        <v/>
      </c>
      <c r="AH372">
        <f>IF(AND($E372=TRUE,$C372="FWD"),AB372,"")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b">
        <v>1</v>
      </c>
      <c r="F373" s="2" t="n">
        <v>5</v>
      </c>
      <c r="G373" t="inlineStr">
        <is>
          <t>a</t>
        </is>
      </c>
      <c r="I373" s="2" t="n">
        <v>47</v>
      </c>
      <c r="J373" t="n">
        <v>3</v>
      </c>
      <c r="K373" s="3" t="n">
        <v>47</v>
      </c>
      <c r="L373" s="3" t="n">
        <v>0.237</v>
      </c>
      <c r="M373" s="4" t="n">
        <v>0.09569999999999999</v>
      </c>
      <c r="N373" t="inlineStr">
        <is>
          <t>adjusted xGOT</t>
        </is>
      </c>
      <c r="O373" s="4" t="n">
        <v>0.994</v>
      </c>
      <c r="P373" s="4" t="n">
        <v>0</v>
      </c>
      <c r="Q373" s="4" t="n">
        <v>0.0479</v>
      </c>
      <c r="R373" s="4" t="n"/>
      <c r="S373" s="4" t="n">
        <v>0</v>
      </c>
      <c r="T373" s="4" t="n">
        <v>5.745</v>
      </c>
      <c r="U373" s="4">
        <f>IF(T373="",IFERROR(VLOOKUP($C373,Assumptions!$A$4:$F$7,6,FALSE),0),T373)</f>
        <v/>
      </c>
      <c r="V373" s="4">
        <f>N(M373)*IFERROR(VLOOKUP($C373,Assumptions!$A$4:$F$7,2,FALSE),0)</f>
        <v/>
      </c>
      <c r="W373" s="4">
        <f>N(Q373)*IFERROR(VLOOKUP($C373,Assumptions!$A$4:$F$7,3,FALSE),0)*Assumptions!$B$11</f>
        <v/>
      </c>
      <c r="X373" s="4">
        <f>N(L373)*IFERROR(VLOOKUP($C373,Assumptions!$A$4:$F$7,4,FALSE),0)</f>
        <v/>
      </c>
      <c r="Y373" s="4">
        <f>N(R373)*IFERROR(VLOOKUP($C373,Assumptions!$A$4:$F$7,5,FALSE),0)</f>
        <v/>
      </c>
      <c r="Z373" s="4">
        <f>N(S373)</f>
        <v/>
      </c>
      <c r="AA373" s="4">
        <f>SUM(U373:Z373)</f>
        <v/>
      </c>
      <c r="AB373" s="4">
        <f>N(AA373)*N(K373)/90</f>
        <v/>
      </c>
      <c r="AC373" s="4">
        <f>IFERROR(AB373-VLOOKUP($C373,Assumptions!$A$29:$C$32,3,FALSE),"")</f>
        <v/>
      </c>
      <c r="AD373" s="4">
        <f>IFERROR(AC373/F373,"")</f>
        <v/>
      </c>
      <c r="AE373">
        <f>IF(AND($E373=TRUE,$C373="GKP"),AB373,"")</f>
        <v/>
      </c>
      <c r="AF373">
        <f>IF(AND($E373=TRUE,$C373="DEF"),AB373,"")</f>
        <v/>
      </c>
      <c r="AG373">
        <f>IF(AND($E373=TRUE,$C373="MID"),AB373,"")</f>
        <v/>
      </c>
      <c r="AH373">
        <f>IF(AND($E373=TRUE,$C373="FWD"),AB373,"")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b">
        <v>1</v>
      </c>
      <c r="F374" s="2" t="n">
        <v>4</v>
      </c>
      <c r="G374" t="inlineStr">
        <is>
          <t>a</t>
        </is>
      </c>
      <c r="I374" s="2" t="n">
        <v>142</v>
      </c>
      <c r="J374" t="n">
        <v>3</v>
      </c>
      <c r="K374" s="3" t="n">
        <v>142</v>
      </c>
      <c r="L374" s="3" t="n">
        <v>0.237</v>
      </c>
      <c r="M374" s="4" t="n">
        <v>0.0127</v>
      </c>
      <c r="N374" t="inlineStr">
        <is>
          <t>adjusted xGOT</t>
        </is>
      </c>
      <c r="O374" s="4" t="n">
        <v>1.022</v>
      </c>
      <c r="P374" s="4" t="n">
        <v>0</v>
      </c>
      <c r="Q374" s="4" t="n">
        <v>0.0736</v>
      </c>
      <c r="R374" s="4" t="n">
        <v>0</v>
      </c>
      <c r="S374" s="4" t="n">
        <v>0</v>
      </c>
      <c r="T374" s="4" t="n">
        <v>2.535</v>
      </c>
      <c r="U374" s="4">
        <f>IF(T374="",IFERROR(VLOOKUP($C374,Assumptions!$A$4:$F$7,6,FALSE),0),T374)</f>
        <v/>
      </c>
      <c r="V374" s="4">
        <f>N(M374)*IFERROR(VLOOKUP($C374,Assumptions!$A$4:$F$7,2,FALSE),0)</f>
        <v/>
      </c>
      <c r="W374" s="4">
        <f>N(Q374)*IFERROR(VLOOKUP($C374,Assumptions!$A$4:$F$7,3,FALSE),0)*Assumptions!$B$11</f>
        <v/>
      </c>
      <c r="X374" s="4">
        <f>N(L374)*IFERROR(VLOOKUP($C374,Assumptions!$A$4:$F$7,4,FALSE),0)</f>
        <v/>
      </c>
      <c r="Y374" s="4">
        <f>N(R374)*IFERROR(VLOOKUP($C374,Assumptions!$A$4:$F$7,5,FALSE),0)</f>
        <v/>
      </c>
      <c r="Z374" s="4">
        <f>N(S374)</f>
        <v/>
      </c>
      <c r="AA374" s="4">
        <f>SUM(U374:Z374)</f>
        <v/>
      </c>
      <c r="AB374" s="4">
        <f>N(AA374)*N(K374)/90</f>
        <v/>
      </c>
      <c r="AC374" s="4">
        <f>IFERROR(AB374-VLOOKUP($C374,Assumptions!$A$29:$C$32,3,FALSE),"")</f>
        <v/>
      </c>
      <c r="AD374" s="4">
        <f>IFERROR(AC374/F374,"")</f>
        <v/>
      </c>
      <c r="AE374">
        <f>IF(AND($E374=TRUE,$C374="GKP"),AB374,"")</f>
        <v/>
      </c>
      <c r="AF374">
        <f>IF(AND($E374=TRUE,$C374="DEF"),AB374,"")</f>
        <v/>
      </c>
      <c r="AG374">
        <f>IF(AND($E374=TRUE,$C374="MID"),AB374,"")</f>
        <v/>
      </c>
      <c r="AH374">
        <f>IF(AND($E374=TRUE,$C374="FWD"),AB374,"")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b">
        <v>1</v>
      </c>
      <c r="F375" s="2" t="n">
        <v>5</v>
      </c>
      <c r="G375" t="inlineStr">
        <is>
          <t>u</t>
        </is>
      </c>
      <c r="H375" t="inlineStr">
        <is>
          <t>Has joined Elche on loan for the rest of the season</t>
        </is>
      </c>
      <c r="I375" s="2" t="n">
        <v>81</v>
      </c>
      <c r="J375" t="n">
        <v>3</v>
      </c>
      <c r="K375" s="3" t="n">
        <v>81</v>
      </c>
      <c r="L375" s="3" t="n">
        <v>0.263</v>
      </c>
      <c r="M375" s="4" t="n">
        <v>0.0678</v>
      </c>
      <c r="N375" t="inlineStr">
        <is>
          <t>adjusted xGOT</t>
        </is>
      </c>
      <c r="O375" s="4" t="n">
        <v>1.012</v>
      </c>
      <c r="P375" s="4" t="n">
        <v>7.7</v>
      </c>
      <c r="Q375" s="4" t="n">
        <v>0.3226</v>
      </c>
      <c r="R375" s="4" t="n">
        <v>0</v>
      </c>
      <c r="S375" s="4" t="n">
        <v>0</v>
      </c>
      <c r="T375" s="4" t="n">
        <v>4.444</v>
      </c>
      <c r="U375" s="4">
        <f>IF(T375="",IFERROR(VLOOKUP($C375,Assumptions!$A$4:$F$7,6,FALSE),0),T375)</f>
        <v/>
      </c>
      <c r="V375" s="4">
        <f>N(M375)*IFERROR(VLOOKUP($C375,Assumptions!$A$4:$F$7,2,FALSE),0)</f>
        <v/>
      </c>
      <c r="W375" s="4">
        <f>N(Q375)*IFERROR(VLOOKUP($C375,Assumptions!$A$4:$F$7,3,FALSE),0)*Assumptions!$B$11</f>
        <v/>
      </c>
      <c r="X375" s="4">
        <f>N(L375)*IFERROR(VLOOKUP($C375,Assumptions!$A$4:$F$7,4,FALSE),0)</f>
        <v/>
      </c>
      <c r="Y375" s="4">
        <f>N(R375)*IFERROR(VLOOKUP($C375,Assumptions!$A$4:$F$7,5,FALSE),0)</f>
        <v/>
      </c>
      <c r="Z375" s="4">
        <f>N(S375)</f>
        <v/>
      </c>
      <c r="AA375" s="4">
        <f>SUM(U375:Z375)</f>
        <v/>
      </c>
      <c r="AB375" s="4">
        <f>N(AA375)*N(K375)/90</f>
        <v/>
      </c>
      <c r="AC375" s="4">
        <f>IFERROR(AB375-VLOOKUP($C375,Assumptions!$A$29:$C$32,3,FALSE),"")</f>
        <v/>
      </c>
      <c r="AD375" s="4">
        <f>IFERROR(AC375/F375,"")</f>
        <v/>
      </c>
      <c r="AE375">
        <f>IF(AND($E375=TRUE,$C375="GKP"),AB375,"")</f>
        <v/>
      </c>
      <c r="AF375">
        <f>IF(AND($E375=TRUE,$C375="DEF"),AB375,"")</f>
        <v/>
      </c>
      <c r="AG375">
        <f>IF(AND($E375=TRUE,$C375="MID"),AB375,"")</f>
        <v/>
      </c>
      <c r="AH375">
        <f>IF(AND($E375=TRUE,$C375="FWD"),AB375,"")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b">
        <v>1</v>
      </c>
      <c r="F376" s="2" t="n">
        <v>6.5</v>
      </c>
      <c r="G376" t="inlineStr">
        <is>
          <t>a</t>
        </is>
      </c>
      <c r="I376" s="2" t="n">
        <v>34</v>
      </c>
      <c r="J376" t="n">
        <v>3</v>
      </c>
      <c r="K376" s="3" t="n">
        <v>34</v>
      </c>
      <c r="L376" s="3" t="n">
        <v>0.237</v>
      </c>
      <c r="M376" s="4" t="n">
        <v>0.5903</v>
      </c>
      <c r="N376" t="inlineStr">
        <is>
          <t>adjusted xGOT</t>
        </is>
      </c>
      <c r="O376" s="4" t="n">
        <v>1.06</v>
      </c>
      <c r="P376" s="4" t="n">
        <v>20.8</v>
      </c>
      <c r="Q376" s="4" t="n">
        <v>0.0794</v>
      </c>
      <c r="R376" s="4" t="n"/>
      <c r="S376" s="4" t="n">
        <v>0</v>
      </c>
      <c r="T376" s="4" t="n">
        <v>7.941</v>
      </c>
      <c r="U376" s="4">
        <f>IF(T376="",IFERROR(VLOOKUP($C376,Assumptions!$A$4:$F$7,6,FALSE),0),T376)</f>
        <v/>
      </c>
      <c r="V376" s="4">
        <f>N(M376)*IFERROR(VLOOKUP($C376,Assumptions!$A$4:$F$7,2,FALSE),0)</f>
        <v/>
      </c>
      <c r="W376" s="4">
        <f>N(Q376)*IFERROR(VLOOKUP($C376,Assumptions!$A$4:$F$7,3,FALSE),0)*Assumptions!$B$11</f>
        <v/>
      </c>
      <c r="X376" s="4">
        <f>N(L376)*IFERROR(VLOOKUP($C376,Assumptions!$A$4:$F$7,4,FALSE),0)</f>
        <v/>
      </c>
      <c r="Y376" s="4">
        <f>N(R376)*IFERROR(VLOOKUP($C376,Assumptions!$A$4:$F$7,5,FALSE),0)</f>
        <v/>
      </c>
      <c r="Z376" s="4">
        <f>N(S376)</f>
        <v/>
      </c>
      <c r="AA376" s="4">
        <f>SUM(U376:Z376)</f>
        <v/>
      </c>
      <c r="AB376" s="4">
        <f>N(AA376)*N(K376)/90</f>
        <v/>
      </c>
      <c r="AC376" s="4">
        <f>IFERROR(AB376-VLOOKUP($C376,Assumptions!$A$29:$C$32,3,FALSE),"")</f>
        <v/>
      </c>
      <c r="AD376" s="4">
        <f>IFERROR(AC376/F376,"")</f>
        <v/>
      </c>
      <c r="AE376">
        <f>IF(AND($E376=TRUE,$C376="GKP"),AB376,"")</f>
        <v/>
      </c>
      <c r="AF376">
        <f>IF(AND($E376=TRUE,$C376="DEF"),AB376,"")</f>
        <v/>
      </c>
      <c r="AG376">
        <f>IF(AND($E376=TRUE,$C376="MID"),AB376,"")</f>
        <v/>
      </c>
      <c r="AH376">
        <f>IF(AND($E376=TRUE,$C376="FWD"),AB376,"")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b">
        <v>1</v>
      </c>
      <c r="F377" s="2" t="n">
        <v>5</v>
      </c>
      <c r="G377" t="inlineStr">
        <is>
          <t>a</t>
        </is>
      </c>
      <c r="I377" s="2" t="n">
        <v>40</v>
      </c>
      <c r="J377" t="n">
        <v>3</v>
      </c>
      <c r="K377" s="3" t="n">
        <v>40</v>
      </c>
      <c r="L377" s="3" t="n">
        <v>0.21</v>
      </c>
      <c r="M377" s="4" t="n">
        <v>0.2228</v>
      </c>
      <c r="N377" t="inlineStr">
        <is>
          <t>adjusted xGOT</t>
        </is>
      </c>
      <c r="O377" s="4" t="n">
        <v>0.988</v>
      </c>
      <c r="P377" s="4" t="n">
        <v>0.1</v>
      </c>
      <c r="Q377" s="4" t="n">
        <v>0.0112</v>
      </c>
      <c r="R377" s="4" t="n"/>
      <c r="S377" s="4" t="n">
        <v>0</v>
      </c>
      <c r="T377" s="4" t="n">
        <v>6.75</v>
      </c>
      <c r="U377" s="4">
        <f>IF(T377="",IFERROR(VLOOKUP($C377,Assumptions!$A$4:$F$7,6,FALSE),0),T377)</f>
        <v/>
      </c>
      <c r="V377" s="4">
        <f>N(M377)*IFERROR(VLOOKUP($C377,Assumptions!$A$4:$F$7,2,FALSE),0)</f>
        <v/>
      </c>
      <c r="W377" s="4">
        <f>N(Q377)*IFERROR(VLOOKUP($C377,Assumptions!$A$4:$F$7,3,FALSE),0)*Assumptions!$B$11</f>
        <v/>
      </c>
      <c r="X377" s="4">
        <f>N(L377)*IFERROR(VLOOKUP($C377,Assumptions!$A$4:$F$7,4,FALSE),0)</f>
        <v/>
      </c>
      <c r="Y377" s="4">
        <f>N(R377)*IFERROR(VLOOKUP($C377,Assumptions!$A$4:$F$7,5,FALSE),0)</f>
        <v/>
      </c>
      <c r="Z377" s="4">
        <f>N(S377)</f>
        <v/>
      </c>
      <c r="AA377" s="4">
        <f>SUM(U377:Z377)</f>
        <v/>
      </c>
      <c r="AB377" s="4">
        <f>N(AA377)*N(K377)/90</f>
        <v/>
      </c>
      <c r="AC377" s="4">
        <f>IFERROR(AB377-VLOOKUP($C377,Assumptions!$A$29:$C$32,3,FALSE),"")</f>
        <v/>
      </c>
      <c r="AD377" s="4">
        <f>IFERROR(AC377/F377,"")</f>
        <v/>
      </c>
      <c r="AE377">
        <f>IF(AND($E377=TRUE,$C377="GKP"),AB377,"")</f>
        <v/>
      </c>
      <c r="AF377">
        <f>IF(AND($E377=TRUE,$C377="DEF"),AB377,"")</f>
        <v/>
      </c>
      <c r="AG377">
        <f>IF(AND($E377=TRUE,$C377="MID"),AB377,"")</f>
        <v/>
      </c>
      <c r="AH377">
        <f>IF(AND($E377=TRUE,$C377="FWD"),AB377,"")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b">
        <v>1</v>
      </c>
      <c r="F378" s="2" t="n">
        <v>5</v>
      </c>
      <c r="G378" t="inlineStr">
        <is>
          <t>a</t>
        </is>
      </c>
      <c r="I378" s="2" t="n">
        <v>107</v>
      </c>
      <c r="J378" t="n">
        <v>3</v>
      </c>
      <c r="K378" s="3" t="n">
        <v>107</v>
      </c>
      <c r="L378" s="3" t="n">
        <v>0.21</v>
      </c>
      <c r="M378" s="4" t="n">
        <v>0.0252</v>
      </c>
      <c r="N378" t="inlineStr">
        <is>
          <t>adjusted xGOT</t>
        </is>
      </c>
      <c r="O378" s="4" t="n">
        <v>0.996</v>
      </c>
      <c r="P378" s="4" t="n">
        <v>0</v>
      </c>
      <c r="Q378" s="4" t="n">
        <v>0.0567</v>
      </c>
      <c r="R378" s="4" t="n"/>
      <c r="S378" s="4" t="n">
        <v>0</v>
      </c>
      <c r="T378" s="4" t="n">
        <v>2.523</v>
      </c>
      <c r="U378" s="4">
        <f>IF(T378="",IFERROR(VLOOKUP($C378,Assumptions!$A$4:$F$7,6,FALSE),0),T378)</f>
        <v/>
      </c>
      <c r="V378" s="4">
        <f>N(M378)*IFERROR(VLOOKUP($C378,Assumptions!$A$4:$F$7,2,FALSE),0)</f>
        <v/>
      </c>
      <c r="W378" s="4">
        <f>N(Q378)*IFERROR(VLOOKUP($C378,Assumptions!$A$4:$F$7,3,FALSE),0)*Assumptions!$B$11</f>
        <v/>
      </c>
      <c r="X378" s="4">
        <f>N(L378)*IFERROR(VLOOKUP($C378,Assumptions!$A$4:$F$7,4,FALSE),0)</f>
        <v/>
      </c>
      <c r="Y378" s="4">
        <f>N(R378)*IFERROR(VLOOKUP($C378,Assumptions!$A$4:$F$7,5,FALSE),0)</f>
        <v/>
      </c>
      <c r="Z378" s="4">
        <f>N(S378)</f>
        <v/>
      </c>
      <c r="AA378" s="4">
        <f>SUM(U378:Z378)</f>
        <v/>
      </c>
      <c r="AB378" s="4">
        <f>N(AA378)*N(K378)/90</f>
        <v/>
      </c>
      <c r="AC378" s="4">
        <f>IFERROR(AB378-VLOOKUP($C378,Assumptions!$A$29:$C$32,3,FALSE),"")</f>
        <v/>
      </c>
      <c r="AD378" s="4">
        <f>IFERROR(AC378/F378,"")</f>
        <v/>
      </c>
      <c r="AE378">
        <f>IF(AND($E378=TRUE,$C378="GKP"),AB378,"")</f>
        <v/>
      </c>
      <c r="AF378">
        <f>IF(AND($E378=TRUE,$C378="DEF"),AB378,"")</f>
        <v/>
      </c>
      <c r="AG378">
        <f>IF(AND($E378=TRUE,$C378="MID"),AB378,"")</f>
        <v/>
      </c>
      <c r="AH378">
        <f>IF(AND($E378=TRUE,$C378="FWD"),AB378,"")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b">
        <v>1</v>
      </c>
      <c r="F379" s="2" t="n">
        <v>4</v>
      </c>
      <c r="G379" t="inlineStr">
        <is>
          <t>a</t>
        </is>
      </c>
      <c r="I379" s="2" t="n">
        <v>34</v>
      </c>
      <c r="J379" t="n">
        <v>3</v>
      </c>
      <c r="K379" s="3" t="n">
        <v>34</v>
      </c>
      <c r="L379" s="3" t="n">
        <v>0.29</v>
      </c>
      <c r="M379" s="4" t="n">
        <v>0</v>
      </c>
      <c r="N379" t="inlineStr">
        <is>
          <t>blended xG</t>
        </is>
      </c>
      <c r="O379" s="4" t="n">
        <v>1</v>
      </c>
      <c r="P379" s="4" t="n">
        <v>0</v>
      </c>
      <c r="Q379" s="4" t="n">
        <v>0</v>
      </c>
      <c r="R379" s="4" t="n"/>
      <c r="S379" s="4" t="n">
        <v>0</v>
      </c>
      <c r="T379" s="4" t="n">
        <v>7.941</v>
      </c>
      <c r="U379" s="4">
        <f>IF(T379="",IFERROR(VLOOKUP($C379,Assumptions!$A$4:$F$7,6,FALSE),0),T379)</f>
        <v/>
      </c>
      <c r="V379" s="4">
        <f>N(M379)*IFERROR(VLOOKUP($C379,Assumptions!$A$4:$F$7,2,FALSE),0)</f>
        <v/>
      </c>
      <c r="W379" s="4">
        <f>N(Q379)*IFERROR(VLOOKUP($C379,Assumptions!$A$4:$F$7,3,FALSE),0)*Assumptions!$B$11</f>
        <v/>
      </c>
      <c r="X379" s="4">
        <f>N(L379)*IFERROR(VLOOKUP($C379,Assumptions!$A$4:$F$7,4,FALSE),0)</f>
        <v/>
      </c>
      <c r="Y379" s="4">
        <f>N(R379)*IFERROR(VLOOKUP($C379,Assumptions!$A$4:$F$7,5,FALSE),0)</f>
        <v/>
      </c>
      <c r="Z379" s="4">
        <f>N(S379)</f>
        <v/>
      </c>
      <c r="AA379" s="4">
        <f>SUM(U379:Z379)</f>
        <v/>
      </c>
      <c r="AB379" s="4">
        <f>N(AA379)*N(K379)/90</f>
        <v/>
      </c>
      <c r="AC379" s="4">
        <f>IFERROR(AB379-VLOOKUP($C379,Assumptions!$A$29:$C$32,3,FALSE),"")</f>
        <v/>
      </c>
      <c r="AD379" s="4">
        <f>IFERROR(AC379/F379,"")</f>
        <v/>
      </c>
      <c r="AE379">
        <f>IF(AND($E379=TRUE,$C379="GKP"),AB379,"")</f>
        <v/>
      </c>
      <c r="AF379">
        <f>IF(AND($E379=TRUE,$C379="DEF"),AB379,"")</f>
        <v/>
      </c>
      <c r="AG379">
        <f>IF(AND($E379=TRUE,$C379="MID"),AB379,"")</f>
        <v/>
      </c>
      <c r="AH379">
        <f>IF(AND($E379=TRUE,$C379="FWD"),AB379,"")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b">
        <v>1</v>
      </c>
      <c r="F380" s="2" t="n">
        <v>4.5</v>
      </c>
      <c r="G380" t="inlineStr">
        <is>
          <t>a</t>
        </is>
      </c>
      <c r="I380" s="2" t="n">
        <v>100</v>
      </c>
      <c r="J380" t="n">
        <v>3</v>
      </c>
      <c r="K380" s="3" t="n">
        <v>100</v>
      </c>
      <c r="L380" s="3" t="n">
        <v>0.237</v>
      </c>
      <c r="M380" s="4" t="n">
        <v>0.3015</v>
      </c>
      <c r="N380" t="inlineStr">
        <is>
          <t>adjusted xGOT</t>
        </is>
      </c>
      <c r="O380" s="4" t="n">
        <v>0.958</v>
      </c>
      <c r="P380" s="4" t="n">
        <v>0.4</v>
      </c>
      <c r="Q380" s="4" t="n">
        <v>0</v>
      </c>
      <c r="R380" s="4" t="n">
        <v>0</v>
      </c>
      <c r="S380" s="4" t="n">
        <v>0</v>
      </c>
      <c r="T380" s="4" t="n">
        <v>3.6</v>
      </c>
      <c r="U380" s="4">
        <f>IF(T380="",IFERROR(VLOOKUP($C380,Assumptions!$A$4:$F$7,6,FALSE),0),T380)</f>
        <v/>
      </c>
      <c r="V380" s="4">
        <f>N(M380)*IFERROR(VLOOKUP($C380,Assumptions!$A$4:$F$7,2,FALSE),0)</f>
        <v/>
      </c>
      <c r="W380" s="4">
        <f>N(Q380)*IFERROR(VLOOKUP($C380,Assumptions!$A$4:$F$7,3,FALSE),0)*Assumptions!$B$11</f>
        <v/>
      </c>
      <c r="X380" s="4">
        <f>N(L380)*IFERROR(VLOOKUP($C380,Assumptions!$A$4:$F$7,4,FALSE),0)</f>
        <v/>
      </c>
      <c r="Y380" s="4">
        <f>N(R380)*IFERROR(VLOOKUP($C380,Assumptions!$A$4:$F$7,5,FALSE),0)</f>
        <v/>
      </c>
      <c r="Z380" s="4">
        <f>N(S380)</f>
        <v/>
      </c>
      <c r="AA380" s="4">
        <f>SUM(U380:Z380)</f>
        <v/>
      </c>
      <c r="AB380" s="4">
        <f>N(AA380)*N(K380)/90</f>
        <v/>
      </c>
      <c r="AC380" s="4">
        <f>IFERROR(AB380-VLOOKUP($C380,Assumptions!$A$29:$C$32,3,FALSE),"")</f>
        <v/>
      </c>
      <c r="AD380" s="4">
        <f>IFERROR(AC380/F380,"")</f>
        <v/>
      </c>
      <c r="AE380">
        <f>IF(AND($E380=TRUE,$C380="GKP"),AB380,"")</f>
        <v/>
      </c>
      <c r="AF380">
        <f>IF(AND($E380=TRUE,$C380="DEF"),AB380,"")</f>
        <v/>
      </c>
      <c r="AG380">
        <f>IF(AND($E380=TRUE,$C380="MID"),AB380,"")</f>
        <v/>
      </c>
      <c r="AH380">
        <f>IF(AND($E380=TRUE,$C380="FWD"),AB380,"")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b">
        <v>1</v>
      </c>
      <c r="F381" s="2" t="n">
        <v>4</v>
      </c>
      <c r="G381" t="inlineStr">
        <is>
          <t>a</t>
        </is>
      </c>
      <c r="I381" s="2" t="n">
        <v>165</v>
      </c>
      <c r="J381" t="n">
        <v>3</v>
      </c>
      <c r="K381" s="3" t="n">
        <v>165</v>
      </c>
      <c r="L381" s="3" t="n">
        <v>0.237</v>
      </c>
      <c r="M381" s="4" t="n">
        <v>0</v>
      </c>
      <c r="N381" t="inlineStr">
        <is>
          <t>blended xG</t>
        </is>
      </c>
      <c r="O381" s="4" t="n">
        <v>1</v>
      </c>
      <c r="P381" s="4" t="n">
        <v>0</v>
      </c>
      <c r="Q381" s="4" t="n">
        <v>0.0027</v>
      </c>
      <c r="R381" s="4" t="n">
        <v>0</v>
      </c>
      <c r="S381" s="4" t="n">
        <v>0</v>
      </c>
      <c r="T381" s="4" t="n">
        <v>2.182</v>
      </c>
      <c r="U381" s="4">
        <f>IF(T381="",IFERROR(VLOOKUP($C381,Assumptions!$A$4:$F$7,6,FALSE),0),T381)</f>
        <v/>
      </c>
      <c r="V381" s="4">
        <f>N(M381)*IFERROR(VLOOKUP($C381,Assumptions!$A$4:$F$7,2,FALSE),0)</f>
        <v/>
      </c>
      <c r="W381" s="4">
        <f>N(Q381)*IFERROR(VLOOKUP($C381,Assumptions!$A$4:$F$7,3,FALSE),0)*Assumptions!$B$11</f>
        <v/>
      </c>
      <c r="X381" s="4">
        <f>N(L381)*IFERROR(VLOOKUP($C381,Assumptions!$A$4:$F$7,4,FALSE),0)</f>
        <v/>
      </c>
      <c r="Y381" s="4">
        <f>N(R381)*IFERROR(VLOOKUP($C381,Assumptions!$A$4:$F$7,5,FALSE),0)</f>
        <v/>
      </c>
      <c r="Z381" s="4">
        <f>N(S381)</f>
        <v/>
      </c>
      <c r="AA381" s="4">
        <f>SUM(U381:Z381)</f>
        <v/>
      </c>
      <c r="AB381" s="4">
        <f>N(AA381)*N(K381)/90</f>
        <v/>
      </c>
      <c r="AC381" s="4">
        <f>IFERROR(AB381-VLOOKUP($C381,Assumptions!$A$29:$C$32,3,FALSE),"")</f>
        <v/>
      </c>
      <c r="AD381" s="4">
        <f>IFERROR(AC381/F381,"")</f>
        <v/>
      </c>
      <c r="AE381">
        <f>IF(AND($E381=TRUE,$C381="GKP"),AB381,"")</f>
        <v/>
      </c>
      <c r="AF381">
        <f>IF(AND($E381=TRUE,$C381="DEF"),AB381,"")</f>
        <v/>
      </c>
      <c r="AG381">
        <f>IF(AND($E381=TRUE,$C381="MID"),AB381,"")</f>
        <v/>
      </c>
      <c r="AH381">
        <f>IF(AND($E381=TRUE,$C381="FWD"),AB381,"")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b">
        <v>1</v>
      </c>
      <c r="F382" s="2" t="n">
        <v>4</v>
      </c>
      <c r="G382" t="inlineStr">
        <is>
          <t>u</t>
        </is>
      </c>
      <c r="H382" t="inlineStr">
        <is>
          <t>Has joined FC Kaiserslautern on loan for the rest of the season</t>
        </is>
      </c>
      <c r="I382" s="2" t="n">
        <v>7</v>
      </c>
      <c r="J382" t="n">
        <v>2</v>
      </c>
      <c r="K382" s="3" t="n">
        <v>7</v>
      </c>
      <c r="L382" s="3" t="n">
        <v>0.21</v>
      </c>
      <c r="M382" s="4" t="n">
        <v>0</v>
      </c>
      <c r="N382" t="inlineStr">
        <is>
          <t>blended xG</t>
        </is>
      </c>
      <c r="O382" s="4" t="n">
        <v>1</v>
      </c>
      <c r="P382" s="4" t="n">
        <v>0</v>
      </c>
      <c r="Q382" s="4" t="n">
        <v>0</v>
      </c>
      <c r="R382" s="4" t="n"/>
      <c r="S382" s="4" t="n">
        <v>0</v>
      </c>
      <c r="T382" s="4" t="n">
        <v>25.714</v>
      </c>
      <c r="U382" s="4">
        <f>IF(T382="",IFERROR(VLOOKUP($C382,Assumptions!$A$4:$F$7,6,FALSE),0),T382)</f>
        <v/>
      </c>
      <c r="V382" s="4">
        <f>N(M382)*IFERROR(VLOOKUP($C382,Assumptions!$A$4:$F$7,2,FALSE),0)</f>
        <v/>
      </c>
      <c r="W382" s="4">
        <f>N(Q382)*IFERROR(VLOOKUP($C382,Assumptions!$A$4:$F$7,3,FALSE),0)*Assumptions!$B$11</f>
        <v/>
      </c>
      <c r="X382" s="4">
        <f>N(L382)*IFERROR(VLOOKUP($C382,Assumptions!$A$4:$F$7,4,FALSE),0)</f>
        <v/>
      </c>
      <c r="Y382" s="4">
        <f>N(R382)*IFERROR(VLOOKUP($C382,Assumptions!$A$4:$F$7,5,FALSE),0)</f>
        <v/>
      </c>
      <c r="Z382" s="4">
        <f>N(S382)</f>
        <v/>
      </c>
      <c r="AA382" s="4">
        <f>SUM(U382:Z382)</f>
        <v/>
      </c>
      <c r="AB382" s="4">
        <f>N(AA382)*N(K382)/90</f>
        <v/>
      </c>
      <c r="AC382" s="4">
        <f>IFERROR(AB382-VLOOKUP($C382,Assumptions!$A$29:$C$32,3,FALSE),"")</f>
        <v/>
      </c>
      <c r="AD382" s="4">
        <f>IFERROR(AC382/F382,"")</f>
        <v/>
      </c>
      <c r="AE382">
        <f>IF(AND($E382=TRUE,$C382="GKP"),AB382,"")</f>
        <v/>
      </c>
      <c r="AF382">
        <f>IF(AND($E382=TRUE,$C382="DEF"),AB382,"")</f>
        <v/>
      </c>
      <c r="AG382">
        <f>IF(AND($E382=TRUE,$C382="MID"),AB382,"")</f>
        <v/>
      </c>
      <c r="AH382">
        <f>IF(AND($E382=TRUE,$C382="FWD"),AB382,"")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b">
        <v>1</v>
      </c>
      <c r="F383" s="2" t="n">
        <v>4.5</v>
      </c>
      <c r="G383" t="inlineStr">
        <is>
          <t>a</t>
        </is>
      </c>
      <c r="I383" s="2" t="n">
        <v>7</v>
      </c>
      <c r="J383" t="n">
        <v>2</v>
      </c>
      <c r="K383" s="3" t="n">
        <v>7</v>
      </c>
      <c r="L383" s="3" t="n">
        <v>0.316</v>
      </c>
      <c r="M383" s="4" t="n">
        <v>0</v>
      </c>
      <c r="N383" t="inlineStr">
        <is>
          <t>blended xG</t>
        </is>
      </c>
      <c r="O383" s="4" t="n">
        <v>1</v>
      </c>
      <c r="P383" s="4" t="n">
        <v>0</v>
      </c>
      <c r="Q383" s="4" t="n">
        <v>0</v>
      </c>
      <c r="R383" s="4" t="n"/>
      <c r="S383" s="4" t="n">
        <v>0</v>
      </c>
      <c r="T383" s="4" t="n">
        <v>25.714</v>
      </c>
      <c r="U383" s="4">
        <f>IF(T383="",IFERROR(VLOOKUP($C383,Assumptions!$A$4:$F$7,6,FALSE),0),T383)</f>
        <v/>
      </c>
      <c r="V383" s="4">
        <f>N(M383)*IFERROR(VLOOKUP($C383,Assumptions!$A$4:$F$7,2,FALSE),0)</f>
        <v/>
      </c>
      <c r="W383" s="4">
        <f>N(Q383)*IFERROR(VLOOKUP($C383,Assumptions!$A$4:$F$7,3,FALSE),0)*Assumptions!$B$11</f>
        <v/>
      </c>
      <c r="X383" s="4">
        <f>N(L383)*IFERROR(VLOOKUP($C383,Assumptions!$A$4:$F$7,4,FALSE),0)</f>
        <v/>
      </c>
      <c r="Y383" s="4">
        <f>N(R383)*IFERROR(VLOOKUP($C383,Assumptions!$A$4:$F$7,5,FALSE),0)</f>
        <v/>
      </c>
      <c r="Z383" s="4">
        <f>N(S383)</f>
        <v/>
      </c>
      <c r="AA383" s="4">
        <f>SUM(U383:Z383)</f>
        <v/>
      </c>
      <c r="AB383" s="4">
        <f>N(AA383)*N(K383)/90</f>
        <v/>
      </c>
      <c r="AC383" s="4">
        <f>IFERROR(AB383-VLOOKUP($C383,Assumptions!$A$29:$C$32,3,FALSE),"")</f>
        <v/>
      </c>
      <c r="AD383" s="4">
        <f>IFERROR(AC383/F383,"")</f>
        <v/>
      </c>
      <c r="AE383">
        <f>IF(AND($E383=TRUE,$C383="GKP"),AB383,"")</f>
        <v/>
      </c>
      <c r="AF383">
        <f>IF(AND($E383=TRUE,$C383="DEF"),AB383,"")</f>
        <v/>
      </c>
      <c r="AG383">
        <f>IF(AND($E383=TRUE,$C383="MID"),AB383,"")</f>
        <v/>
      </c>
      <c r="AH383">
        <f>IF(AND($E383=TRUE,$C383="FWD"),AB383,"")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b">
        <v>1</v>
      </c>
      <c r="F384" s="2" t="n">
        <v>5</v>
      </c>
      <c r="G384" t="inlineStr">
        <is>
          <t>a</t>
        </is>
      </c>
      <c r="I384" s="2" t="n">
        <v>90</v>
      </c>
      <c r="J384" t="n">
        <v>2</v>
      </c>
      <c r="K384" s="3" t="n">
        <v>90</v>
      </c>
      <c r="L384" s="3" t="n">
        <v>0.5</v>
      </c>
      <c r="M384" s="4" t="n">
        <v>0</v>
      </c>
      <c r="N384" t="inlineStr">
        <is>
          <t>adjusted xGOT</t>
        </is>
      </c>
      <c r="O384" s="4" t="n">
        <v>0.993</v>
      </c>
      <c r="P384" s="4" t="n">
        <v>0.1</v>
      </c>
      <c r="Q384" s="4" t="n">
        <v>0</v>
      </c>
      <c r="R384" s="4" t="n">
        <v>0</v>
      </c>
      <c r="S384" s="4" t="n">
        <v>0</v>
      </c>
      <c r="T384" s="4" t="n">
        <v>2</v>
      </c>
      <c r="U384" s="4">
        <f>IF(T384="",IFERROR(VLOOKUP($C384,Assumptions!$A$4:$F$7,6,FALSE),0),T384)</f>
        <v/>
      </c>
      <c r="V384" s="4">
        <f>N(M384)*IFERROR(VLOOKUP($C384,Assumptions!$A$4:$F$7,2,FALSE),0)</f>
        <v/>
      </c>
      <c r="W384" s="4">
        <f>N(Q384)*IFERROR(VLOOKUP($C384,Assumptions!$A$4:$F$7,3,FALSE),0)*Assumptions!$B$11</f>
        <v/>
      </c>
      <c r="X384" s="4">
        <f>N(L384)*IFERROR(VLOOKUP($C384,Assumptions!$A$4:$F$7,4,FALSE),0)</f>
        <v/>
      </c>
      <c r="Y384" s="4">
        <f>N(R384)*IFERROR(VLOOKUP($C384,Assumptions!$A$4:$F$7,5,FALSE),0)</f>
        <v/>
      </c>
      <c r="Z384" s="4">
        <f>N(S384)</f>
        <v/>
      </c>
      <c r="AA384" s="4">
        <f>SUM(U384:Z384)</f>
        <v/>
      </c>
      <c r="AB384" s="4">
        <f>N(AA384)*N(K384)/90</f>
        <v/>
      </c>
      <c r="AC384" s="4">
        <f>IFERROR(AB384-VLOOKUP($C384,Assumptions!$A$29:$C$32,3,FALSE),"")</f>
        <v/>
      </c>
      <c r="AD384" s="4">
        <f>IFERROR(AC384/F384,"")</f>
        <v/>
      </c>
      <c r="AE384">
        <f>IF(AND($E384=TRUE,$C384="GKP"),AB384,"")</f>
        <v/>
      </c>
      <c r="AF384">
        <f>IF(AND($E384=TRUE,$C384="DEF"),AB384,"")</f>
        <v/>
      </c>
      <c r="AG384">
        <f>IF(AND($E384=TRUE,$C384="MID"),AB384,"")</f>
        <v/>
      </c>
      <c r="AH384">
        <f>IF(AND($E384=TRUE,$C384="FWD"),AB384,"")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b">
        <v>1</v>
      </c>
      <c r="F385" s="2" t="n">
        <v>4.5</v>
      </c>
      <c r="G385" t="inlineStr">
        <is>
          <t>a</t>
        </is>
      </c>
      <c r="I385" s="2" t="n">
        <v>25</v>
      </c>
      <c r="J385" t="n">
        <v>2</v>
      </c>
      <c r="K385" s="3" t="n">
        <v>25</v>
      </c>
      <c r="L385" s="3" t="n">
        <v>0.421</v>
      </c>
      <c r="M385" s="4" t="n">
        <v>0</v>
      </c>
      <c r="N385" t="inlineStr">
        <is>
          <t>blended xG</t>
        </is>
      </c>
      <c r="O385" s="4" t="n">
        <v>1</v>
      </c>
      <c r="P385" s="4" t="n">
        <v>0</v>
      </c>
      <c r="Q385" s="4" t="n">
        <v>0.7591</v>
      </c>
      <c r="R385" s="4" t="n"/>
      <c r="S385" s="4" t="n">
        <v>0</v>
      </c>
      <c r="T385" s="4" t="n">
        <v>7.2</v>
      </c>
      <c r="U385" s="4">
        <f>IF(T385="",IFERROR(VLOOKUP($C385,Assumptions!$A$4:$F$7,6,FALSE),0),T385)</f>
        <v/>
      </c>
      <c r="V385" s="4">
        <f>N(M385)*IFERROR(VLOOKUP($C385,Assumptions!$A$4:$F$7,2,FALSE),0)</f>
        <v/>
      </c>
      <c r="W385" s="4">
        <f>N(Q385)*IFERROR(VLOOKUP($C385,Assumptions!$A$4:$F$7,3,FALSE),0)*Assumptions!$B$11</f>
        <v/>
      </c>
      <c r="X385" s="4">
        <f>N(L385)*IFERROR(VLOOKUP($C385,Assumptions!$A$4:$F$7,4,FALSE),0)</f>
        <v/>
      </c>
      <c r="Y385" s="4">
        <f>N(R385)*IFERROR(VLOOKUP($C385,Assumptions!$A$4:$F$7,5,FALSE),0)</f>
        <v/>
      </c>
      <c r="Z385" s="4">
        <f>N(S385)</f>
        <v/>
      </c>
      <c r="AA385" s="4">
        <f>SUM(U385:Z385)</f>
        <v/>
      </c>
      <c r="AB385" s="4">
        <f>N(AA385)*N(K385)/90</f>
        <v/>
      </c>
      <c r="AC385" s="4">
        <f>IFERROR(AB385-VLOOKUP($C385,Assumptions!$A$29:$C$32,3,FALSE),"")</f>
        <v/>
      </c>
      <c r="AD385" s="4">
        <f>IFERROR(AC385/F385,"")</f>
        <v/>
      </c>
      <c r="AE385">
        <f>IF(AND($E385=TRUE,$C385="GKP"),AB385,"")</f>
        <v/>
      </c>
      <c r="AF385">
        <f>IF(AND($E385=TRUE,$C385="DEF"),AB385,"")</f>
        <v/>
      </c>
      <c r="AG385">
        <f>IF(AND($E385=TRUE,$C385="MID"),AB385,"")</f>
        <v/>
      </c>
      <c r="AH385">
        <f>IF(AND($E385=TRUE,$C385="FWD"),AB385,"")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b">
        <v>1</v>
      </c>
      <c r="F386" s="2" t="n">
        <v>5</v>
      </c>
      <c r="G386" t="inlineStr">
        <is>
          <t>a</t>
        </is>
      </c>
      <c r="I386" s="2" t="n">
        <v>2</v>
      </c>
      <c r="J386" t="n">
        <v>2</v>
      </c>
      <c r="K386" s="3" t="n">
        <v>2</v>
      </c>
      <c r="L386" s="3" t="n">
        <v>0.263</v>
      </c>
      <c r="M386" s="4" t="n">
        <v>3.87</v>
      </c>
      <c r="N386" t="inlineStr">
        <is>
          <t>adjusted xGOT</t>
        </is>
      </c>
      <c r="O386" s="4" t="n">
        <v>1.077</v>
      </c>
      <c r="P386" s="4" t="n">
        <v>1.7</v>
      </c>
      <c r="Q386" s="4" t="n">
        <v>0</v>
      </c>
      <c r="R386" s="4" t="n"/>
      <c r="S386" s="4" t="n">
        <v>0</v>
      </c>
      <c r="T386" s="4" t="n">
        <v>90</v>
      </c>
      <c r="U386" s="4">
        <f>IF(T386="",IFERROR(VLOOKUP($C386,Assumptions!$A$4:$F$7,6,FALSE),0),T386)</f>
        <v/>
      </c>
      <c r="V386" s="4">
        <f>N(M386)*IFERROR(VLOOKUP($C386,Assumptions!$A$4:$F$7,2,FALSE),0)</f>
        <v/>
      </c>
      <c r="W386" s="4">
        <f>N(Q386)*IFERROR(VLOOKUP($C386,Assumptions!$A$4:$F$7,3,FALSE),0)*Assumptions!$B$11</f>
        <v/>
      </c>
      <c r="X386" s="4">
        <f>N(L386)*IFERROR(VLOOKUP($C386,Assumptions!$A$4:$F$7,4,FALSE),0)</f>
        <v/>
      </c>
      <c r="Y386" s="4">
        <f>N(R386)*IFERROR(VLOOKUP($C386,Assumptions!$A$4:$F$7,5,FALSE),0)</f>
        <v/>
      </c>
      <c r="Z386" s="4">
        <f>N(S386)</f>
        <v/>
      </c>
      <c r="AA386" s="4">
        <f>SUM(U386:Z386)</f>
        <v/>
      </c>
      <c r="AB386" s="4">
        <f>N(AA386)*N(K386)/90</f>
        <v/>
      </c>
      <c r="AC386" s="4">
        <f>IFERROR(AB386-VLOOKUP($C386,Assumptions!$A$29:$C$32,3,FALSE),"")</f>
        <v/>
      </c>
      <c r="AD386" s="4">
        <f>IFERROR(AC386/F386,"")</f>
        <v/>
      </c>
      <c r="AE386">
        <f>IF(AND($E386=TRUE,$C386="GKP"),AB386,"")</f>
        <v/>
      </c>
      <c r="AF386">
        <f>IF(AND($E386=TRUE,$C386="DEF"),AB386,"")</f>
        <v/>
      </c>
      <c r="AG386">
        <f>IF(AND($E386=TRUE,$C386="MID"),AB386,"")</f>
        <v/>
      </c>
      <c r="AH386">
        <f>IF(AND($E386=TRUE,$C386="FWD"),AB386,"")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b">
        <v>1</v>
      </c>
      <c r="F387" s="2" t="n">
        <v>4.5</v>
      </c>
      <c r="G387" t="inlineStr">
        <is>
          <t>a</t>
        </is>
      </c>
      <c r="I387" s="2" t="n">
        <v>17</v>
      </c>
      <c r="J387" t="n">
        <v>2</v>
      </c>
      <c r="K387" s="3" t="n">
        <v>17</v>
      </c>
      <c r="L387" s="3" t="n">
        <v>0.21</v>
      </c>
      <c r="M387" s="4" t="n">
        <v>0</v>
      </c>
      <c r="N387" t="inlineStr">
        <is>
          <t>blended xG</t>
        </is>
      </c>
      <c r="O387" s="4" t="n">
        <v>1</v>
      </c>
      <c r="P387" s="4" t="n">
        <v>0</v>
      </c>
      <c r="Q387" s="4" t="n">
        <v>0.0265</v>
      </c>
      <c r="R387" s="4" t="n"/>
      <c r="S387" s="4" t="n">
        <v>0</v>
      </c>
      <c r="T387" s="4" t="n">
        <v>10.588</v>
      </c>
      <c r="U387" s="4">
        <f>IF(T387="",IFERROR(VLOOKUP($C387,Assumptions!$A$4:$F$7,6,FALSE),0),T387)</f>
        <v/>
      </c>
      <c r="V387" s="4">
        <f>N(M387)*IFERROR(VLOOKUP($C387,Assumptions!$A$4:$F$7,2,FALSE),0)</f>
        <v/>
      </c>
      <c r="W387" s="4">
        <f>N(Q387)*IFERROR(VLOOKUP($C387,Assumptions!$A$4:$F$7,3,FALSE),0)*Assumptions!$B$11</f>
        <v/>
      </c>
      <c r="X387" s="4">
        <f>N(L387)*IFERROR(VLOOKUP($C387,Assumptions!$A$4:$F$7,4,FALSE),0)</f>
        <v/>
      </c>
      <c r="Y387" s="4">
        <f>N(R387)*IFERROR(VLOOKUP($C387,Assumptions!$A$4:$F$7,5,FALSE),0)</f>
        <v/>
      </c>
      <c r="Z387" s="4">
        <f>N(S387)</f>
        <v/>
      </c>
      <c r="AA387" s="4">
        <f>SUM(U387:Z387)</f>
        <v/>
      </c>
      <c r="AB387" s="4">
        <f>N(AA387)*N(K387)/90</f>
        <v/>
      </c>
      <c r="AC387" s="4">
        <f>IFERROR(AB387-VLOOKUP($C387,Assumptions!$A$29:$C$32,3,FALSE),"")</f>
        <v/>
      </c>
      <c r="AD387" s="4">
        <f>IFERROR(AC387/F387,"")</f>
        <v/>
      </c>
      <c r="AE387">
        <f>IF(AND($E387=TRUE,$C387="GKP"),AB387,"")</f>
        <v/>
      </c>
      <c r="AF387">
        <f>IF(AND($E387=TRUE,$C387="DEF"),AB387,"")</f>
        <v/>
      </c>
      <c r="AG387">
        <f>IF(AND($E387=TRUE,$C387="MID"),AB387,"")</f>
        <v/>
      </c>
      <c r="AH387">
        <f>IF(AND($E387=TRUE,$C387="FWD"),AB387,"")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b">
        <v>1</v>
      </c>
      <c r="F388" s="2" t="n">
        <v>4.5</v>
      </c>
      <c r="G388" t="inlineStr">
        <is>
          <t>a</t>
        </is>
      </c>
      <c r="I388" s="2" t="n">
        <v>133</v>
      </c>
      <c r="J388" t="n">
        <v>2</v>
      </c>
      <c r="K388" s="3" t="n">
        <v>133</v>
      </c>
      <c r="L388" s="3" t="n">
        <v>0.29</v>
      </c>
      <c r="M388" s="4" t="n">
        <v>0</v>
      </c>
      <c r="N388" t="inlineStr">
        <is>
          <t>blended xG</t>
        </is>
      </c>
      <c r="O388" s="4" t="n">
        <v>1</v>
      </c>
      <c r="P388" s="4" t="n">
        <v>0</v>
      </c>
      <c r="Q388" s="4" t="n">
        <v>0.0034</v>
      </c>
      <c r="R388" s="4" t="n">
        <v>0</v>
      </c>
      <c r="S388" s="4" t="n">
        <v>0</v>
      </c>
      <c r="T388" s="4" t="n">
        <v>2.03</v>
      </c>
      <c r="U388" s="4">
        <f>IF(T388="",IFERROR(VLOOKUP($C388,Assumptions!$A$4:$F$7,6,FALSE),0),T388)</f>
        <v/>
      </c>
      <c r="V388" s="4">
        <f>N(M388)*IFERROR(VLOOKUP($C388,Assumptions!$A$4:$F$7,2,FALSE),0)</f>
        <v/>
      </c>
      <c r="W388" s="4">
        <f>N(Q388)*IFERROR(VLOOKUP($C388,Assumptions!$A$4:$F$7,3,FALSE),0)*Assumptions!$B$11</f>
        <v/>
      </c>
      <c r="X388" s="4">
        <f>N(L388)*IFERROR(VLOOKUP($C388,Assumptions!$A$4:$F$7,4,FALSE),0)</f>
        <v/>
      </c>
      <c r="Y388" s="4">
        <f>N(R388)*IFERROR(VLOOKUP($C388,Assumptions!$A$4:$F$7,5,FALSE),0)</f>
        <v/>
      </c>
      <c r="Z388" s="4">
        <f>N(S388)</f>
        <v/>
      </c>
      <c r="AA388" s="4">
        <f>SUM(U388:Z388)</f>
        <v/>
      </c>
      <c r="AB388" s="4">
        <f>N(AA388)*N(K388)/90</f>
        <v/>
      </c>
      <c r="AC388" s="4">
        <f>IFERROR(AB388-VLOOKUP($C388,Assumptions!$A$29:$C$32,3,FALSE),"")</f>
        <v/>
      </c>
      <c r="AD388" s="4">
        <f>IFERROR(AC388/F388,"")</f>
        <v/>
      </c>
      <c r="AE388">
        <f>IF(AND($E388=TRUE,$C388="GKP"),AB388,"")</f>
        <v/>
      </c>
      <c r="AF388">
        <f>IF(AND($E388=TRUE,$C388="DEF"),AB388,"")</f>
        <v/>
      </c>
      <c r="AG388">
        <f>IF(AND($E388=TRUE,$C388="MID"),AB388,"")</f>
        <v/>
      </c>
      <c r="AH388">
        <f>IF(AND($E388=TRUE,$C388="FWD"),AB388,"")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b">
        <v>1</v>
      </c>
      <c r="F389" s="2" t="n">
        <v>4.5</v>
      </c>
      <c r="G389" t="inlineStr">
        <is>
          <t>a</t>
        </is>
      </c>
      <c r="I389" s="2" t="n">
        <v>25</v>
      </c>
      <c r="J389" t="n">
        <v>2</v>
      </c>
      <c r="K389" s="3" t="n">
        <v>25</v>
      </c>
      <c r="L389" s="3" t="n">
        <v>0.237</v>
      </c>
      <c r="M389" s="4" t="n">
        <v>0.144</v>
      </c>
      <c r="N389" t="inlineStr">
        <is>
          <t>adjusted xGOT</t>
        </is>
      </c>
      <c r="O389" s="4" t="n">
        <v>0.995</v>
      </c>
      <c r="P389" s="4" t="n">
        <v>0</v>
      </c>
      <c r="Q389" s="4" t="n">
        <v>0.018</v>
      </c>
      <c r="R389" s="4" t="n"/>
      <c r="S389" s="4" t="n">
        <v>0</v>
      </c>
      <c r="T389" s="4" t="n">
        <v>7.2</v>
      </c>
      <c r="U389" s="4">
        <f>IF(T389="",IFERROR(VLOOKUP($C389,Assumptions!$A$4:$F$7,6,FALSE),0),T389)</f>
        <v/>
      </c>
      <c r="V389" s="4">
        <f>N(M389)*IFERROR(VLOOKUP($C389,Assumptions!$A$4:$F$7,2,FALSE),0)</f>
        <v/>
      </c>
      <c r="W389" s="4">
        <f>N(Q389)*IFERROR(VLOOKUP($C389,Assumptions!$A$4:$F$7,3,FALSE),0)*Assumptions!$B$11</f>
        <v/>
      </c>
      <c r="X389" s="4">
        <f>N(L389)*IFERROR(VLOOKUP($C389,Assumptions!$A$4:$F$7,4,FALSE),0)</f>
        <v/>
      </c>
      <c r="Y389" s="4">
        <f>N(R389)*IFERROR(VLOOKUP($C389,Assumptions!$A$4:$F$7,5,FALSE),0)</f>
        <v/>
      </c>
      <c r="Z389" s="4">
        <f>N(S389)</f>
        <v/>
      </c>
      <c r="AA389" s="4">
        <f>SUM(U389:Z389)</f>
        <v/>
      </c>
      <c r="AB389" s="4">
        <f>N(AA389)*N(K389)/90</f>
        <v/>
      </c>
      <c r="AC389" s="4">
        <f>IFERROR(AB389-VLOOKUP($C389,Assumptions!$A$29:$C$32,3,FALSE),"")</f>
        <v/>
      </c>
      <c r="AD389" s="4">
        <f>IFERROR(AC389/F389,"")</f>
        <v/>
      </c>
      <c r="AE389">
        <f>IF(AND($E389=TRUE,$C389="GKP"),AB389,"")</f>
        <v/>
      </c>
      <c r="AF389">
        <f>IF(AND($E389=TRUE,$C389="DEF"),AB389,"")</f>
        <v/>
      </c>
      <c r="AG389">
        <f>IF(AND($E389=TRUE,$C389="MID"),AB389,"")</f>
        <v/>
      </c>
      <c r="AH389">
        <f>IF(AND($E389=TRUE,$C389="FWD"),AB389,"")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b">
        <v>1</v>
      </c>
      <c r="F390" s="2" t="n">
        <v>4.5</v>
      </c>
      <c r="G390" t="inlineStr">
        <is>
          <t>a</t>
        </is>
      </c>
      <c r="I390" s="2" t="n">
        <v>7</v>
      </c>
      <c r="J390" t="n">
        <v>2</v>
      </c>
      <c r="K390" s="3" t="n">
        <v>7</v>
      </c>
      <c r="L390" s="3" t="n">
        <v>0.237</v>
      </c>
      <c r="M390" s="4" t="n">
        <v>0</v>
      </c>
      <c r="N390" t="inlineStr">
        <is>
          <t>adjusted xGOT</t>
        </is>
      </c>
      <c r="O390" s="4" t="n">
        <v>0.995</v>
      </c>
      <c r="P390" s="4" t="n">
        <v>0</v>
      </c>
      <c r="Q390" s="4" t="n">
        <v>0.0643</v>
      </c>
      <c r="R390" s="4" t="n"/>
      <c r="S390" s="4" t="n">
        <v>0</v>
      </c>
      <c r="T390" s="4" t="n">
        <v>25.714</v>
      </c>
      <c r="U390" s="4">
        <f>IF(T390="",IFERROR(VLOOKUP($C390,Assumptions!$A$4:$F$7,6,FALSE),0),T390)</f>
        <v/>
      </c>
      <c r="V390" s="4">
        <f>N(M390)*IFERROR(VLOOKUP($C390,Assumptions!$A$4:$F$7,2,FALSE),0)</f>
        <v/>
      </c>
      <c r="W390" s="4">
        <f>N(Q390)*IFERROR(VLOOKUP($C390,Assumptions!$A$4:$F$7,3,FALSE),0)*Assumptions!$B$11</f>
        <v/>
      </c>
      <c r="X390" s="4">
        <f>N(L390)*IFERROR(VLOOKUP($C390,Assumptions!$A$4:$F$7,4,FALSE),0)</f>
        <v/>
      </c>
      <c r="Y390" s="4">
        <f>N(R390)*IFERROR(VLOOKUP($C390,Assumptions!$A$4:$F$7,5,FALSE),0)</f>
        <v/>
      </c>
      <c r="Z390" s="4">
        <f>N(S390)</f>
        <v/>
      </c>
      <c r="AA390" s="4">
        <f>SUM(U390:Z390)</f>
        <v/>
      </c>
      <c r="AB390" s="4">
        <f>N(AA390)*N(K390)/90</f>
        <v/>
      </c>
      <c r="AC390" s="4">
        <f>IFERROR(AB390-VLOOKUP($C390,Assumptions!$A$29:$C$32,3,FALSE),"")</f>
        <v/>
      </c>
      <c r="AD390" s="4">
        <f>IFERROR(AC390/F390,"")</f>
        <v/>
      </c>
      <c r="AE390">
        <f>IF(AND($E390=TRUE,$C390="GKP"),AB390,"")</f>
        <v/>
      </c>
      <c r="AF390">
        <f>IF(AND($E390=TRUE,$C390="DEF"),AB390,"")</f>
        <v/>
      </c>
      <c r="AG390">
        <f>IF(AND($E390=TRUE,$C390="MID"),AB390,"")</f>
        <v/>
      </c>
      <c r="AH390">
        <f>IF(AND($E390=TRUE,$C390="FWD"),AB390,"")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b">
        <v>1</v>
      </c>
      <c r="F391" s="2" t="n">
        <v>4.5</v>
      </c>
      <c r="G391" t="inlineStr">
        <is>
          <t>u</t>
        </is>
      </c>
      <c r="H391" t="inlineStr">
        <is>
          <t>Has joined Bristol City on loan for the rest of the season</t>
        </is>
      </c>
      <c r="I391" s="2" t="n">
        <v>90</v>
      </c>
      <c r="J391" t="n">
        <v>2</v>
      </c>
      <c r="K391" s="3" t="n">
        <v>90</v>
      </c>
      <c r="L391" s="3" t="n">
        <v>0.316</v>
      </c>
      <c r="M391" s="4" t="n">
        <v>0.02</v>
      </c>
      <c r="N391" t="inlineStr">
        <is>
          <t>adjusted xGOT</t>
        </is>
      </c>
      <c r="O391" s="4" t="n">
        <v>0.998</v>
      </c>
      <c r="P391" s="4" t="n">
        <v>0</v>
      </c>
      <c r="Q391" s="4" t="n">
        <v>0.229</v>
      </c>
      <c r="R391" s="4" t="n">
        <v>0</v>
      </c>
      <c r="S391" s="4" t="n">
        <v>0</v>
      </c>
      <c r="T391" s="4" t="n">
        <v>2</v>
      </c>
      <c r="U391" s="4">
        <f>IF(T391="",IFERROR(VLOOKUP($C391,Assumptions!$A$4:$F$7,6,FALSE),0),T391)</f>
        <v/>
      </c>
      <c r="V391" s="4">
        <f>N(M391)*IFERROR(VLOOKUP($C391,Assumptions!$A$4:$F$7,2,FALSE),0)</f>
        <v/>
      </c>
      <c r="W391" s="4">
        <f>N(Q391)*IFERROR(VLOOKUP($C391,Assumptions!$A$4:$F$7,3,FALSE),0)*Assumptions!$B$11</f>
        <v/>
      </c>
      <c r="X391" s="4">
        <f>N(L391)*IFERROR(VLOOKUP($C391,Assumptions!$A$4:$F$7,4,FALSE),0)</f>
        <v/>
      </c>
      <c r="Y391" s="4">
        <f>N(R391)*IFERROR(VLOOKUP($C391,Assumptions!$A$4:$F$7,5,FALSE),0)</f>
        <v/>
      </c>
      <c r="Z391" s="4">
        <f>N(S391)</f>
        <v/>
      </c>
      <c r="AA391" s="4">
        <f>SUM(U391:Z391)</f>
        <v/>
      </c>
      <c r="AB391" s="4">
        <f>N(AA391)*N(K391)/90</f>
        <v/>
      </c>
      <c r="AC391" s="4">
        <f>IFERROR(AB391-VLOOKUP($C391,Assumptions!$A$29:$C$32,3,FALSE),"")</f>
        <v/>
      </c>
      <c r="AD391" s="4">
        <f>IFERROR(AC391/F391,"")</f>
        <v/>
      </c>
      <c r="AE391">
        <f>IF(AND($E391=TRUE,$C391="GKP"),AB391,"")</f>
        <v/>
      </c>
      <c r="AF391">
        <f>IF(AND($E391=TRUE,$C391="DEF"),AB391,"")</f>
        <v/>
      </c>
      <c r="AG391">
        <f>IF(AND($E391=TRUE,$C391="MID"),AB391,"")</f>
        <v/>
      </c>
      <c r="AH391">
        <f>IF(AND($E391=TRUE,$C391="FWD"),AB391,"")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b">
        <v>1</v>
      </c>
      <c r="F392" s="2" t="n">
        <v>4</v>
      </c>
      <c r="G392" t="inlineStr">
        <is>
          <t>a</t>
        </is>
      </c>
      <c r="I392" s="2" t="n">
        <v>1</v>
      </c>
      <c r="J392" t="n">
        <v>1</v>
      </c>
      <c r="K392" s="3" t="n">
        <v>1</v>
      </c>
      <c r="L392" s="3" t="n">
        <v>0.237</v>
      </c>
      <c r="M392" s="4" t="n">
        <v>0</v>
      </c>
      <c r="N392" t="inlineStr">
        <is>
          <t>blended xG</t>
        </is>
      </c>
      <c r="O392" s="4" t="n">
        <v>1</v>
      </c>
      <c r="P392" s="4" t="n">
        <v>0</v>
      </c>
      <c r="Q392" s="4" t="n">
        <v>0</v>
      </c>
      <c r="R392" s="4" t="n"/>
      <c r="S392" s="4" t="n">
        <v>0</v>
      </c>
      <c r="T392" s="4" t="n">
        <v>90</v>
      </c>
      <c r="U392" s="4">
        <f>IF(T392="",IFERROR(VLOOKUP($C392,Assumptions!$A$4:$F$7,6,FALSE),0),T392)</f>
        <v/>
      </c>
      <c r="V392" s="4">
        <f>N(M392)*IFERROR(VLOOKUP($C392,Assumptions!$A$4:$F$7,2,FALSE),0)</f>
        <v/>
      </c>
      <c r="W392" s="4">
        <f>N(Q392)*IFERROR(VLOOKUP($C392,Assumptions!$A$4:$F$7,3,FALSE),0)*Assumptions!$B$11</f>
        <v/>
      </c>
      <c r="X392" s="4">
        <f>N(L392)*IFERROR(VLOOKUP($C392,Assumptions!$A$4:$F$7,4,FALSE),0)</f>
        <v/>
      </c>
      <c r="Y392" s="4">
        <f>N(R392)*IFERROR(VLOOKUP($C392,Assumptions!$A$4:$F$7,5,FALSE),0)</f>
        <v/>
      </c>
      <c r="Z392" s="4">
        <f>N(S392)</f>
        <v/>
      </c>
      <c r="AA392" s="4">
        <f>SUM(U392:Z392)</f>
        <v/>
      </c>
      <c r="AB392" s="4">
        <f>N(AA392)*N(K392)/90</f>
        <v/>
      </c>
      <c r="AC392" s="4">
        <f>IFERROR(AB392-VLOOKUP($C392,Assumptions!$A$29:$C$32,3,FALSE),"")</f>
        <v/>
      </c>
      <c r="AD392" s="4">
        <f>IFERROR(AC392/F392,"")</f>
        <v/>
      </c>
      <c r="AE392">
        <f>IF(AND($E392=TRUE,$C392="GKP"),AB392,"")</f>
        <v/>
      </c>
      <c r="AF392">
        <f>IF(AND($E392=TRUE,$C392="DEF"),AB392,"")</f>
        <v/>
      </c>
      <c r="AG392">
        <f>IF(AND($E392=TRUE,$C392="MID"),AB392,"")</f>
        <v/>
      </c>
      <c r="AH392">
        <f>IF(AND($E392=TRUE,$C392="FWD"),AB392,"")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b">
        <v>1</v>
      </c>
      <c r="F393" s="2" t="n">
        <v>4.5</v>
      </c>
      <c r="G393" t="inlineStr">
        <is>
          <t>a</t>
        </is>
      </c>
      <c r="I393" s="2" t="n">
        <v>1</v>
      </c>
      <c r="J393" t="n">
        <v>1</v>
      </c>
      <c r="K393" s="3" t="n">
        <v>1</v>
      </c>
      <c r="L393" s="3" t="n">
        <v>0.263</v>
      </c>
      <c r="M393" s="4" t="n">
        <v>0</v>
      </c>
      <c r="N393" t="inlineStr">
        <is>
          <t>blended xG</t>
        </is>
      </c>
      <c r="O393" s="4" t="n">
        <v>1</v>
      </c>
      <c r="P393" s="4" t="n">
        <v>0</v>
      </c>
      <c r="Q393" s="4" t="n">
        <v>0</v>
      </c>
      <c r="R393" s="4" t="n"/>
      <c r="S393" s="4" t="n">
        <v>0</v>
      </c>
      <c r="T393" s="4" t="n">
        <v>90</v>
      </c>
      <c r="U393" s="4">
        <f>IF(T393="",IFERROR(VLOOKUP($C393,Assumptions!$A$4:$F$7,6,FALSE),0),T393)</f>
        <v/>
      </c>
      <c r="V393" s="4">
        <f>N(M393)*IFERROR(VLOOKUP($C393,Assumptions!$A$4:$F$7,2,FALSE),0)</f>
        <v/>
      </c>
      <c r="W393" s="4">
        <f>N(Q393)*IFERROR(VLOOKUP($C393,Assumptions!$A$4:$F$7,3,FALSE),0)*Assumptions!$B$11</f>
        <v/>
      </c>
      <c r="X393" s="4">
        <f>N(L393)*IFERROR(VLOOKUP($C393,Assumptions!$A$4:$F$7,4,FALSE),0)</f>
        <v/>
      </c>
      <c r="Y393" s="4">
        <f>N(R393)*IFERROR(VLOOKUP($C393,Assumptions!$A$4:$F$7,5,FALSE),0)</f>
        <v/>
      </c>
      <c r="Z393" s="4">
        <f>N(S393)</f>
        <v/>
      </c>
      <c r="AA393" s="4">
        <f>SUM(U393:Z393)</f>
        <v/>
      </c>
      <c r="AB393" s="4">
        <f>N(AA393)*N(K393)/90</f>
        <v/>
      </c>
      <c r="AC393" s="4">
        <f>IFERROR(AB393-VLOOKUP($C393,Assumptions!$A$29:$C$32,3,FALSE),"")</f>
        <v/>
      </c>
      <c r="AD393" s="4">
        <f>IFERROR(AC393/F393,"")</f>
        <v/>
      </c>
      <c r="AE393">
        <f>IF(AND($E393=TRUE,$C393="GKP"),AB393,"")</f>
        <v/>
      </c>
      <c r="AF393">
        <f>IF(AND($E393=TRUE,$C393="DEF"),AB393,"")</f>
        <v/>
      </c>
      <c r="AG393">
        <f>IF(AND($E393=TRUE,$C393="MID"),AB393,"")</f>
        <v/>
      </c>
      <c r="AH393">
        <f>IF(AND($E393=TRUE,$C393="FWD"),AB393,"")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b">
        <v>1</v>
      </c>
      <c r="F394" s="2" t="n">
        <v>4.5</v>
      </c>
      <c r="G394" t="inlineStr">
        <is>
          <t>a</t>
        </is>
      </c>
      <c r="I394" s="2" t="n">
        <v>16</v>
      </c>
      <c r="J394" t="n">
        <v>1</v>
      </c>
      <c r="K394" s="3" t="n">
        <v>16</v>
      </c>
      <c r="L394" s="3" t="n">
        <v>0.237</v>
      </c>
      <c r="M394" s="4" t="n">
        <v>0</v>
      </c>
      <c r="N394" t="inlineStr">
        <is>
          <t>blended xG</t>
        </is>
      </c>
      <c r="O394" s="4" t="n">
        <v>1</v>
      </c>
      <c r="P394" s="4" t="n">
        <v>0</v>
      </c>
      <c r="Q394" s="4" t="n">
        <v>0</v>
      </c>
      <c r="R394" s="4" t="n"/>
      <c r="S394" s="4" t="n">
        <v>0</v>
      </c>
      <c r="T394" s="4" t="n">
        <v>5.625</v>
      </c>
      <c r="U394" s="4">
        <f>IF(T394="",IFERROR(VLOOKUP($C394,Assumptions!$A$4:$F$7,6,FALSE),0),T394)</f>
        <v/>
      </c>
      <c r="V394" s="4">
        <f>N(M394)*IFERROR(VLOOKUP($C394,Assumptions!$A$4:$F$7,2,FALSE),0)</f>
        <v/>
      </c>
      <c r="W394" s="4">
        <f>N(Q394)*IFERROR(VLOOKUP($C394,Assumptions!$A$4:$F$7,3,FALSE),0)*Assumptions!$B$11</f>
        <v/>
      </c>
      <c r="X394" s="4">
        <f>N(L394)*IFERROR(VLOOKUP($C394,Assumptions!$A$4:$F$7,4,FALSE),0)</f>
        <v/>
      </c>
      <c r="Y394" s="4">
        <f>N(R394)*IFERROR(VLOOKUP($C394,Assumptions!$A$4:$F$7,5,FALSE),0)</f>
        <v/>
      </c>
      <c r="Z394" s="4">
        <f>N(S394)</f>
        <v/>
      </c>
      <c r="AA394" s="4">
        <f>SUM(U394:Z394)</f>
        <v/>
      </c>
      <c r="AB394" s="4">
        <f>N(AA394)*N(K394)/90</f>
        <v/>
      </c>
      <c r="AC394" s="4">
        <f>IFERROR(AB394-VLOOKUP($C394,Assumptions!$A$29:$C$32,3,FALSE),"")</f>
        <v/>
      </c>
      <c r="AD394" s="4">
        <f>IFERROR(AC394/F394,"")</f>
        <v/>
      </c>
      <c r="AE394">
        <f>IF(AND($E394=TRUE,$C394="GKP"),AB394,"")</f>
        <v/>
      </c>
      <c r="AF394">
        <f>IF(AND($E394=TRUE,$C394="DEF"),AB394,"")</f>
        <v/>
      </c>
      <c r="AG394">
        <f>IF(AND($E394=TRUE,$C394="MID"),AB394,"")</f>
        <v/>
      </c>
      <c r="AH394">
        <f>IF(AND($E394=TRUE,$C394="FWD"),AB394,"")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b">
        <v>1</v>
      </c>
      <c r="F395" s="2" t="n">
        <v>4.5</v>
      </c>
      <c r="G395" t="inlineStr">
        <is>
          <t>a</t>
        </is>
      </c>
      <c r="I395" s="2" t="n">
        <v>13</v>
      </c>
      <c r="J395" t="n">
        <v>1</v>
      </c>
      <c r="K395" s="3" t="n">
        <v>13</v>
      </c>
      <c r="L395" s="3" t="n">
        <v>0.21</v>
      </c>
      <c r="M395" s="4" t="n">
        <v>0.2077</v>
      </c>
      <c r="N395" t="inlineStr">
        <is>
          <t>adjusted xGOT</t>
        </is>
      </c>
      <c r="O395" s="4" t="n">
        <v>0.996</v>
      </c>
      <c r="P395" s="4" t="n">
        <v>0</v>
      </c>
      <c r="Q395" s="4" t="n">
        <v>0</v>
      </c>
      <c r="R395" s="4" t="n"/>
      <c r="S395" s="4" t="n">
        <v>0</v>
      </c>
      <c r="T395" s="4" t="n">
        <v>6.923</v>
      </c>
      <c r="U395" s="4">
        <f>IF(T395="",IFERROR(VLOOKUP($C395,Assumptions!$A$4:$F$7,6,FALSE),0),T395)</f>
        <v/>
      </c>
      <c r="V395" s="4">
        <f>N(M395)*IFERROR(VLOOKUP($C395,Assumptions!$A$4:$F$7,2,FALSE),0)</f>
        <v/>
      </c>
      <c r="W395" s="4">
        <f>N(Q395)*IFERROR(VLOOKUP($C395,Assumptions!$A$4:$F$7,3,FALSE),0)*Assumptions!$B$11</f>
        <v/>
      </c>
      <c r="X395" s="4">
        <f>N(L395)*IFERROR(VLOOKUP($C395,Assumptions!$A$4:$F$7,4,FALSE),0)</f>
        <v/>
      </c>
      <c r="Y395" s="4">
        <f>N(R395)*IFERROR(VLOOKUP($C395,Assumptions!$A$4:$F$7,5,FALSE),0)</f>
        <v/>
      </c>
      <c r="Z395" s="4">
        <f>N(S395)</f>
        <v/>
      </c>
      <c r="AA395" s="4">
        <f>SUM(U395:Z395)</f>
        <v/>
      </c>
      <c r="AB395" s="4">
        <f>N(AA395)*N(K395)/90</f>
        <v/>
      </c>
      <c r="AC395" s="4">
        <f>IFERROR(AB395-VLOOKUP($C395,Assumptions!$A$29:$C$32,3,FALSE),"")</f>
        <v/>
      </c>
      <c r="AD395" s="4">
        <f>IFERROR(AC395/F395,"")</f>
        <v/>
      </c>
      <c r="AE395">
        <f>IF(AND($E395=TRUE,$C395="GKP"),AB395,"")</f>
        <v/>
      </c>
      <c r="AF395">
        <f>IF(AND($E395=TRUE,$C395="DEF"),AB395,"")</f>
        <v/>
      </c>
      <c r="AG395">
        <f>IF(AND($E395=TRUE,$C395="MID"),AB395,"")</f>
        <v/>
      </c>
      <c r="AH395">
        <f>IF(AND($E395=TRUE,$C395="FWD"),AB395,"")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b">
        <v>1</v>
      </c>
      <c r="F396" s="2" t="n">
        <v>4.5</v>
      </c>
      <c r="G396" t="inlineStr">
        <is>
          <t>a</t>
        </is>
      </c>
      <c r="I396" s="2" t="n">
        <v>1</v>
      </c>
      <c r="J396" t="n">
        <v>1</v>
      </c>
      <c r="K396" s="3" t="n">
        <v>1</v>
      </c>
      <c r="L396" s="3" t="n">
        <v>0.263</v>
      </c>
      <c r="M396" s="4" t="n">
        <v>0</v>
      </c>
      <c r="N396" t="inlineStr">
        <is>
          <t>blended xG</t>
        </is>
      </c>
      <c r="O396" s="4" t="n">
        <v>1</v>
      </c>
      <c r="P396" s="4" t="n">
        <v>0</v>
      </c>
      <c r="Q396" s="4" t="n">
        <v>0</v>
      </c>
      <c r="R396" s="4" t="n"/>
      <c r="S396" s="4" t="n">
        <v>0</v>
      </c>
      <c r="T396" s="4" t="n">
        <v>90</v>
      </c>
      <c r="U396" s="4">
        <f>IF(T396="",IFERROR(VLOOKUP($C396,Assumptions!$A$4:$F$7,6,FALSE),0),T396)</f>
        <v/>
      </c>
      <c r="V396" s="4">
        <f>N(M396)*IFERROR(VLOOKUP($C396,Assumptions!$A$4:$F$7,2,FALSE),0)</f>
        <v/>
      </c>
      <c r="W396" s="4">
        <f>N(Q396)*IFERROR(VLOOKUP($C396,Assumptions!$A$4:$F$7,3,FALSE),0)*Assumptions!$B$11</f>
        <v/>
      </c>
      <c r="X396" s="4">
        <f>N(L396)*IFERROR(VLOOKUP($C396,Assumptions!$A$4:$F$7,4,FALSE),0)</f>
        <v/>
      </c>
      <c r="Y396" s="4">
        <f>N(R396)*IFERROR(VLOOKUP($C396,Assumptions!$A$4:$F$7,5,FALSE),0)</f>
        <v/>
      </c>
      <c r="Z396" s="4">
        <f>N(S396)</f>
        <v/>
      </c>
      <c r="AA396" s="4">
        <f>SUM(U396:Z396)</f>
        <v/>
      </c>
      <c r="AB396" s="4">
        <f>N(AA396)*N(K396)/90</f>
        <v/>
      </c>
      <c r="AC396" s="4">
        <f>IFERROR(AB396-VLOOKUP($C396,Assumptions!$A$29:$C$32,3,FALSE),"")</f>
        <v/>
      </c>
      <c r="AD396" s="4">
        <f>IFERROR(AC396/F396,"")</f>
        <v/>
      </c>
      <c r="AE396">
        <f>IF(AND($E396=TRUE,$C396="GKP"),AB396,"")</f>
        <v/>
      </c>
      <c r="AF396">
        <f>IF(AND($E396=TRUE,$C396="DEF"),AB396,"")</f>
        <v/>
      </c>
      <c r="AG396">
        <f>IF(AND($E396=TRUE,$C396="MID"),AB396,"")</f>
        <v/>
      </c>
      <c r="AH396">
        <f>IF(AND($E396=TRUE,$C396="FWD"),AB396,"")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b">
        <v>1</v>
      </c>
      <c r="F397" s="2" t="n">
        <v>4.5</v>
      </c>
      <c r="G397" t="inlineStr">
        <is>
          <t>a</t>
        </is>
      </c>
      <c r="I397" s="2" t="n">
        <v>1</v>
      </c>
      <c r="J397" t="n">
        <v>1</v>
      </c>
      <c r="K397" s="3" t="n">
        <v>1</v>
      </c>
      <c r="L397" s="3" t="n">
        <v>0.237</v>
      </c>
      <c r="M397" s="4" t="n">
        <v>0</v>
      </c>
      <c r="N397" t="inlineStr">
        <is>
          <t>adjusted xGOT</t>
        </is>
      </c>
      <c r="O397" s="4" t="n">
        <v>1.017</v>
      </c>
      <c r="P397" s="4" t="n">
        <v>0.1</v>
      </c>
      <c r="Q397" s="4" t="n">
        <v>0</v>
      </c>
      <c r="R397" s="4" t="n"/>
      <c r="S397" s="4" t="n">
        <v>0</v>
      </c>
      <c r="T397" s="4" t="n">
        <v>90</v>
      </c>
      <c r="U397" s="4">
        <f>IF(T397="",IFERROR(VLOOKUP($C397,Assumptions!$A$4:$F$7,6,FALSE),0),T397)</f>
        <v/>
      </c>
      <c r="V397" s="4">
        <f>N(M397)*IFERROR(VLOOKUP($C397,Assumptions!$A$4:$F$7,2,FALSE),0)</f>
        <v/>
      </c>
      <c r="W397" s="4">
        <f>N(Q397)*IFERROR(VLOOKUP($C397,Assumptions!$A$4:$F$7,3,FALSE),0)*Assumptions!$B$11</f>
        <v/>
      </c>
      <c r="X397" s="4">
        <f>N(L397)*IFERROR(VLOOKUP($C397,Assumptions!$A$4:$F$7,4,FALSE),0)</f>
        <v/>
      </c>
      <c r="Y397" s="4">
        <f>N(R397)*IFERROR(VLOOKUP($C397,Assumptions!$A$4:$F$7,5,FALSE),0)</f>
        <v/>
      </c>
      <c r="Z397" s="4">
        <f>N(S397)</f>
        <v/>
      </c>
      <c r="AA397" s="4">
        <f>SUM(U397:Z397)</f>
        <v/>
      </c>
      <c r="AB397" s="4">
        <f>N(AA397)*N(K397)/90</f>
        <v/>
      </c>
      <c r="AC397" s="4">
        <f>IFERROR(AB397-VLOOKUP($C397,Assumptions!$A$29:$C$32,3,FALSE),"")</f>
        <v/>
      </c>
      <c r="AD397" s="4">
        <f>IFERROR(AC397/F397,"")</f>
        <v/>
      </c>
      <c r="AE397">
        <f>IF(AND($E397=TRUE,$C397="GKP"),AB397,"")</f>
        <v/>
      </c>
      <c r="AF397">
        <f>IF(AND($E397=TRUE,$C397="DEF"),AB397,"")</f>
        <v/>
      </c>
      <c r="AG397">
        <f>IF(AND($E397=TRUE,$C397="MID"),AB397,"")</f>
        <v/>
      </c>
      <c r="AH397">
        <f>IF(AND($E397=TRUE,$C397="FWD"),AB397,"")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b">
        <v>1</v>
      </c>
      <c r="F398" s="2" t="n">
        <v>4.5</v>
      </c>
      <c r="G398" t="inlineStr">
        <is>
          <t>a</t>
        </is>
      </c>
      <c r="I398" s="2" t="n">
        <v>15</v>
      </c>
      <c r="J398" t="n">
        <v>1</v>
      </c>
      <c r="K398" s="3" t="n">
        <v>15</v>
      </c>
      <c r="L398" s="3" t="n">
        <v>0.21</v>
      </c>
      <c r="M398" s="4" t="n">
        <v>0</v>
      </c>
      <c r="N398" t="inlineStr">
        <is>
          <t>blended xG</t>
        </is>
      </c>
      <c r="O398" s="4" t="n">
        <v>1</v>
      </c>
      <c r="P398" s="4" t="n">
        <v>0</v>
      </c>
      <c r="Q398" s="4" t="n">
        <v>0.1394</v>
      </c>
      <c r="R398" s="4" t="n"/>
      <c r="S398" s="4" t="n">
        <v>0</v>
      </c>
      <c r="T398" s="4" t="n">
        <v>6</v>
      </c>
      <c r="U398" s="4">
        <f>IF(T398="",IFERROR(VLOOKUP($C398,Assumptions!$A$4:$F$7,6,FALSE),0),T398)</f>
        <v/>
      </c>
      <c r="V398" s="4">
        <f>N(M398)*IFERROR(VLOOKUP($C398,Assumptions!$A$4:$F$7,2,FALSE),0)</f>
        <v/>
      </c>
      <c r="W398" s="4">
        <f>N(Q398)*IFERROR(VLOOKUP($C398,Assumptions!$A$4:$F$7,3,FALSE),0)*Assumptions!$B$11</f>
        <v/>
      </c>
      <c r="X398" s="4">
        <f>N(L398)*IFERROR(VLOOKUP($C398,Assumptions!$A$4:$F$7,4,FALSE),0)</f>
        <v/>
      </c>
      <c r="Y398" s="4">
        <f>N(R398)*IFERROR(VLOOKUP($C398,Assumptions!$A$4:$F$7,5,FALSE),0)</f>
        <v/>
      </c>
      <c r="Z398" s="4">
        <f>N(S398)</f>
        <v/>
      </c>
      <c r="AA398" s="4">
        <f>SUM(U398:Z398)</f>
        <v/>
      </c>
      <c r="AB398" s="4">
        <f>N(AA398)*N(K398)/90</f>
        <v/>
      </c>
      <c r="AC398" s="4">
        <f>IFERROR(AB398-VLOOKUP($C398,Assumptions!$A$29:$C$32,3,FALSE),"")</f>
        <v/>
      </c>
      <c r="AD398" s="4">
        <f>IFERROR(AC398/F398,"")</f>
        <v/>
      </c>
      <c r="AE398">
        <f>IF(AND($E398=TRUE,$C398="GKP"),AB398,"")</f>
        <v/>
      </c>
      <c r="AF398">
        <f>IF(AND($E398=TRUE,$C398="DEF"),AB398,"")</f>
        <v/>
      </c>
      <c r="AG398">
        <f>IF(AND($E398=TRUE,$C398="MID"),AB398,"")</f>
        <v/>
      </c>
      <c r="AH398">
        <f>IF(AND($E398=TRUE,$C398="FWD"),AB398,"")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b">
        <v>1</v>
      </c>
      <c r="F399" s="2" t="n">
        <v>5</v>
      </c>
      <c r="G399" t="inlineStr">
        <is>
          <t>a</t>
        </is>
      </c>
      <c r="I399" s="2" t="n">
        <v>38</v>
      </c>
      <c r="J399" t="n">
        <v>1</v>
      </c>
      <c r="K399" s="3" t="n">
        <v>38</v>
      </c>
      <c r="L399" s="3" t="n">
        <v>0.29</v>
      </c>
      <c r="M399" s="4" t="n">
        <v>0</v>
      </c>
      <c r="N399" t="inlineStr">
        <is>
          <t>blended xG</t>
        </is>
      </c>
      <c r="O399" s="4" t="n">
        <v>1</v>
      </c>
      <c r="P399" s="4" t="n">
        <v>0</v>
      </c>
      <c r="Q399" s="4" t="n">
        <v>0.0474</v>
      </c>
      <c r="R399" s="4" t="n">
        <v>0</v>
      </c>
      <c r="S399" s="4" t="n">
        <v>0</v>
      </c>
      <c r="T399" s="4" t="n">
        <v>2.368</v>
      </c>
      <c r="U399" s="4">
        <f>IF(T399="",IFERROR(VLOOKUP($C399,Assumptions!$A$4:$F$7,6,FALSE),0),T399)</f>
        <v/>
      </c>
      <c r="V399" s="4">
        <f>N(M399)*IFERROR(VLOOKUP($C399,Assumptions!$A$4:$F$7,2,FALSE),0)</f>
        <v/>
      </c>
      <c r="W399" s="4">
        <f>N(Q399)*IFERROR(VLOOKUP($C399,Assumptions!$A$4:$F$7,3,FALSE),0)*Assumptions!$B$11</f>
        <v/>
      </c>
      <c r="X399" s="4">
        <f>N(L399)*IFERROR(VLOOKUP($C399,Assumptions!$A$4:$F$7,4,FALSE),0)</f>
        <v/>
      </c>
      <c r="Y399" s="4">
        <f>N(R399)*IFERROR(VLOOKUP($C399,Assumptions!$A$4:$F$7,5,FALSE),0)</f>
        <v/>
      </c>
      <c r="Z399" s="4">
        <f>N(S399)</f>
        <v/>
      </c>
      <c r="AA399" s="4">
        <f>SUM(U399:Z399)</f>
        <v/>
      </c>
      <c r="AB399" s="4">
        <f>N(AA399)*N(K399)/90</f>
        <v/>
      </c>
      <c r="AC399" s="4">
        <f>IFERROR(AB399-VLOOKUP($C399,Assumptions!$A$29:$C$32,3,FALSE),"")</f>
        <v/>
      </c>
      <c r="AD399" s="4">
        <f>IFERROR(AC399/F399,"")</f>
        <v/>
      </c>
      <c r="AE399">
        <f>IF(AND($E399=TRUE,$C399="GKP"),AB399,"")</f>
        <v/>
      </c>
      <c r="AF399">
        <f>IF(AND($E399=TRUE,$C399="DEF"),AB399,"")</f>
        <v/>
      </c>
      <c r="AG399">
        <f>IF(AND($E399=TRUE,$C399="MID"),AB399,"")</f>
        <v/>
      </c>
      <c r="AH399">
        <f>IF(AND($E399=TRUE,$C399="FWD"),AB399,"")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b">
        <v>1</v>
      </c>
      <c r="F400" s="2" t="n">
        <v>4</v>
      </c>
      <c r="G400" t="inlineStr">
        <is>
          <t>a</t>
        </is>
      </c>
      <c r="I400" s="2" t="n">
        <v>1</v>
      </c>
      <c r="J400" t="n">
        <v>1</v>
      </c>
      <c r="K400" s="3" t="n">
        <v>1</v>
      </c>
      <c r="L400" s="3" t="n">
        <v>0.237</v>
      </c>
      <c r="M400" s="4" t="n">
        <v>0</v>
      </c>
      <c r="N400" t="inlineStr">
        <is>
          <t>blended xG</t>
        </is>
      </c>
      <c r="O400" s="4" t="n">
        <v>1</v>
      </c>
      <c r="P400" s="4" t="n">
        <v>0</v>
      </c>
      <c r="Q400" s="4" t="n">
        <v>0</v>
      </c>
      <c r="R400" s="4" t="n"/>
      <c r="S400" s="4" t="n">
        <v>0</v>
      </c>
      <c r="T400" s="4" t="n">
        <v>90</v>
      </c>
      <c r="U400" s="4">
        <f>IF(T400="",IFERROR(VLOOKUP($C400,Assumptions!$A$4:$F$7,6,FALSE),0),T400)</f>
        <v/>
      </c>
      <c r="V400" s="4">
        <f>N(M400)*IFERROR(VLOOKUP($C400,Assumptions!$A$4:$F$7,2,FALSE),0)</f>
        <v/>
      </c>
      <c r="W400" s="4">
        <f>N(Q400)*IFERROR(VLOOKUP($C400,Assumptions!$A$4:$F$7,3,FALSE),0)*Assumptions!$B$11</f>
        <v/>
      </c>
      <c r="X400" s="4">
        <f>N(L400)*IFERROR(VLOOKUP($C400,Assumptions!$A$4:$F$7,4,FALSE),0)</f>
        <v/>
      </c>
      <c r="Y400" s="4">
        <f>N(R400)*IFERROR(VLOOKUP($C400,Assumptions!$A$4:$F$7,5,FALSE),0)</f>
        <v/>
      </c>
      <c r="Z400" s="4">
        <f>N(S400)</f>
        <v/>
      </c>
      <c r="AA400" s="4">
        <f>SUM(U400:Z400)</f>
        <v/>
      </c>
      <c r="AB400" s="4">
        <f>N(AA400)*N(K400)/90</f>
        <v/>
      </c>
      <c r="AC400" s="4">
        <f>IFERROR(AB400-VLOOKUP($C400,Assumptions!$A$29:$C$32,3,FALSE),"")</f>
        <v/>
      </c>
      <c r="AD400" s="4">
        <f>IFERROR(AC400/F400,"")</f>
        <v/>
      </c>
      <c r="AE400">
        <f>IF(AND($E400=TRUE,$C400="GKP"),AB400,"")</f>
        <v/>
      </c>
      <c r="AF400">
        <f>IF(AND($E400=TRUE,$C400="DEF"),AB400,"")</f>
        <v/>
      </c>
      <c r="AG400">
        <f>IF(AND($E400=TRUE,$C400="MID"),AB400,"")</f>
        <v/>
      </c>
      <c r="AH400">
        <f>IF(AND($E400=TRUE,$C400="FWD"),AB400,"")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b">
        <v>1</v>
      </c>
      <c r="F401" s="2" t="n">
        <v>4</v>
      </c>
      <c r="G401" t="inlineStr">
        <is>
          <t>u</t>
        </is>
      </c>
      <c r="H401" t="inlineStr">
        <is>
          <t>Has joined Konyaspor permanently</t>
        </is>
      </c>
      <c r="I401" s="2" t="n">
        <v>125</v>
      </c>
      <c r="J401" t="n">
        <v>1</v>
      </c>
      <c r="K401" s="3" t="n">
        <v>125</v>
      </c>
      <c r="L401" s="3" t="n">
        <v>0.29</v>
      </c>
      <c r="M401" s="4" t="n">
        <v>0.0497</v>
      </c>
      <c r="N401" t="inlineStr">
        <is>
          <t>adjusted xGOT</t>
        </is>
      </c>
      <c r="O401" s="4" t="n">
        <v>0.991</v>
      </c>
      <c r="P401" s="4" t="n">
        <v>0.1</v>
      </c>
      <c r="Q401" s="4" t="n">
        <v>0.0497</v>
      </c>
      <c r="R401" s="4" t="n">
        <v>0</v>
      </c>
      <c r="S401" s="4" t="n">
        <v>0</v>
      </c>
      <c r="T401" s="4" t="n">
        <v>2.16</v>
      </c>
      <c r="U401" s="4">
        <f>IF(T401="",IFERROR(VLOOKUP($C401,Assumptions!$A$4:$F$7,6,FALSE),0),T401)</f>
        <v/>
      </c>
      <c r="V401" s="4">
        <f>N(M401)*IFERROR(VLOOKUP($C401,Assumptions!$A$4:$F$7,2,FALSE),0)</f>
        <v/>
      </c>
      <c r="W401" s="4">
        <f>N(Q401)*IFERROR(VLOOKUP($C401,Assumptions!$A$4:$F$7,3,FALSE),0)*Assumptions!$B$11</f>
        <v/>
      </c>
      <c r="X401" s="4">
        <f>N(L401)*IFERROR(VLOOKUP($C401,Assumptions!$A$4:$F$7,4,FALSE),0)</f>
        <v/>
      </c>
      <c r="Y401" s="4">
        <f>N(R401)*IFERROR(VLOOKUP($C401,Assumptions!$A$4:$F$7,5,FALSE),0)</f>
        <v/>
      </c>
      <c r="Z401" s="4">
        <f>N(S401)</f>
        <v/>
      </c>
      <c r="AA401" s="4">
        <f>SUM(U401:Z401)</f>
        <v/>
      </c>
      <c r="AB401" s="4">
        <f>N(AA401)*N(K401)/90</f>
        <v/>
      </c>
      <c r="AC401" s="4">
        <f>IFERROR(AB401-VLOOKUP($C401,Assumptions!$A$29:$C$32,3,FALSE),"")</f>
        <v/>
      </c>
      <c r="AD401" s="4">
        <f>IFERROR(AC401/F401,"")</f>
        <v/>
      </c>
      <c r="AE401">
        <f>IF(AND($E401=TRUE,$C401="GKP"),AB401,"")</f>
        <v/>
      </c>
      <c r="AF401">
        <f>IF(AND($E401=TRUE,$C401="DEF"),AB401,"")</f>
        <v/>
      </c>
      <c r="AG401">
        <f>IF(AND($E401=TRUE,$C401="MID"),AB401,"")</f>
        <v/>
      </c>
      <c r="AH401">
        <f>IF(AND($E401=TRUE,$C401="FWD"),AB401,"")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b">
        <v>1</v>
      </c>
      <c r="F402" s="2" t="n">
        <v>4.5</v>
      </c>
      <c r="G402" t="inlineStr">
        <is>
          <t>a</t>
        </is>
      </c>
      <c r="I402" s="2" t="n">
        <v>14</v>
      </c>
      <c r="J402" t="n">
        <v>1</v>
      </c>
      <c r="K402" s="3" t="n">
        <v>14</v>
      </c>
      <c r="L402" s="3" t="n">
        <v>0.237</v>
      </c>
      <c r="M402" s="4" t="n">
        <v>0</v>
      </c>
      <c r="N402" t="inlineStr">
        <is>
          <t>blended xG</t>
        </is>
      </c>
      <c r="O402" s="4" t="n">
        <v>1</v>
      </c>
      <c r="P402" s="4" t="n">
        <v>0</v>
      </c>
      <c r="Q402" s="4" t="n">
        <v>0.0321</v>
      </c>
      <c r="R402" s="4" t="n"/>
      <c r="S402" s="4" t="n">
        <v>0</v>
      </c>
      <c r="T402" s="4" t="n">
        <v>6.429</v>
      </c>
      <c r="U402" s="4">
        <f>IF(T402="",IFERROR(VLOOKUP($C402,Assumptions!$A$4:$F$7,6,FALSE),0),T402)</f>
        <v/>
      </c>
      <c r="V402" s="4">
        <f>N(M402)*IFERROR(VLOOKUP($C402,Assumptions!$A$4:$F$7,2,FALSE),0)</f>
        <v/>
      </c>
      <c r="W402" s="4">
        <f>N(Q402)*IFERROR(VLOOKUP($C402,Assumptions!$A$4:$F$7,3,FALSE),0)*Assumptions!$B$11</f>
        <v/>
      </c>
      <c r="X402" s="4">
        <f>N(L402)*IFERROR(VLOOKUP($C402,Assumptions!$A$4:$F$7,4,FALSE),0)</f>
        <v/>
      </c>
      <c r="Y402" s="4">
        <f>N(R402)*IFERROR(VLOOKUP($C402,Assumptions!$A$4:$F$7,5,FALSE),0)</f>
        <v/>
      </c>
      <c r="Z402" s="4">
        <f>N(S402)</f>
        <v/>
      </c>
      <c r="AA402" s="4">
        <f>SUM(U402:Z402)</f>
        <v/>
      </c>
      <c r="AB402" s="4">
        <f>N(AA402)*N(K402)/90</f>
        <v/>
      </c>
      <c r="AC402" s="4">
        <f>IFERROR(AB402-VLOOKUP($C402,Assumptions!$A$29:$C$32,3,FALSE),"")</f>
        <v/>
      </c>
      <c r="AD402" s="4">
        <f>IFERROR(AC402/F402,"")</f>
        <v/>
      </c>
      <c r="AE402">
        <f>IF(AND($E402=TRUE,$C402="GKP"),AB402,"")</f>
        <v/>
      </c>
      <c r="AF402">
        <f>IF(AND($E402=TRUE,$C402="DEF"),AB402,"")</f>
        <v/>
      </c>
      <c r="AG402">
        <f>IF(AND($E402=TRUE,$C402="MID"),AB402,"")</f>
        <v/>
      </c>
      <c r="AH402">
        <f>IF(AND($E402=TRUE,$C402="FWD"),AB402,"")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b">
        <v>1</v>
      </c>
      <c r="F403" s="2" t="n">
        <v>4.5</v>
      </c>
      <c r="G403" t="inlineStr">
        <is>
          <t>a</t>
        </is>
      </c>
      <c r="I403" s="2" t="n">
        <v>26</v>
      </c>
      <c r="J403" t="n">
        <v>1</v>
      </c>
      <c r="K403" s="3" t="n">
        <v>26</v>
      </c>
      <c r="L403" s="3" t="n">
        <v>0.237</v>
      </c>
      <c r="M403" s="4" t="n">
        <v>0</v>
      </c>
      <c r="N403" t="inlineStr">
        <is>
          <t>blended xG</t>
        </is>
      </c>
      <c r="O403" s="4" t="n">
        <v>1</v>
      </c>
      <c r="P403" s="4" t="n">
        <v>0</v>
      </c>
      <c r="Q403" s="4" t="n">
        <v>0.0173</v>
      </c>
      <c r="R403" s="4" t="n"/>
      <c r="S403" s="4" t="n">
        <v>0</v>
      </c>
      <c r="T403" s="4" t="n">
        <v>10.385</v>
      </c>
      <c r="U403" s="4">
        <f>IF(T403="",IFERROR(VLOOKUP($C403,Assumptions!$A$4:$F$7,6,FALSE),0),T403)</f>
        <v/>
      </c>
      <c r="V403" s="4">
        <f>N(M403)*IFERROR(VLOOKUP($C403,Assumptions!$A$4:$F$7,2,FALSE),0)</f>
        <v/>
      </c>
      <c r="W403" s="4">
        <f>N(Q403)*IFERROR(VLOOKUP($C403,Assumptions!$A$4:$F$7,3,FALSE),0)*Assumptions!$B$11</f>
        <v/>
      </c>
      <c r="X403" s="4">
        <f>N(L403)*IFERROR(VLOOKUP($C403,Assumptions!$A$4:$F$7,4,FALSE),0)</f>
        <v/>
      </c>
      <c r="Y403" s="4">
        <f>N(R403)*IFERROR(VLOOKUP($C403,Assumptions!$A$4:$F$7,5,FALSE),0)</f>
        <v/>
      </c>
      <c r="Z403" s="4">
        <f>N(S403)</f>
        <v/>
      </c>
      <c r="AA403" s="4">
        <f>SUM(U403:Z403)</f>
        <v/>
      </c>
      <c r="AB403" s="4">
        <f>N(AA403)*N(K403)/90</f>
        <v/>
      </c>
      <c r="AC403" s="4">
        <f>IFERROR(AB403-VLOOKUP($C403,Assumptions!$A$29:$C$32,3,FALSE),"")</f>
        <v/>
      </c>
      <c r="AD403" s="4">
        <f>IFERROR(AC403/F403,"")</f>
        <v/>
      </c>
      <c r="AE403">
        <f>IF(AND($E403=TRUE,$C403="GKP"),AB403,"")</f>
        <v/>
      </c>
      <c r="AF403">
        <f>IF(AND($E403=TRUE,$C403="DEF"),AB403,"")</f>
        <v/>
      </c>
      <c r="AG403">
        <f>IF(AND($E403=TRUE,$C403="MID"),AB403,"")</f>
        <v/>
      </c>
      <c r="AH403">
        <f>IF(AND($E403=TRUE,$C403="FWD"),AB403,"")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b">
        <v>1</v>
      </c>
      <c r="F404" s="2" t="n">
        <v>4.5</v>
      </c>
      <c r="G404" t="inlineStr">
        <is>
          <t>a</t>
        </is>
      </c>
      <c r="I404" s="2" t="n">
        <v>90</v>
      </c>
      <c r="J404" t="n">
        <v>1</v>
      </c>
      <c r="K404" s="3" t="n">
        <v>90</v>
      </c>
      <c r="L404" s="3" t="n">
        <v>0.263</v>
      </c>
      <c r="M404" s="4" t="n">
        <v>0</v>
      </c>
      <c r="N404" t="inlineStr">
        <is>
          <t>blended xG</t>
        </is>
      </c>
      <c r="O404" s="4" t="n">
        <v>1</v>
      </c>
      <c r="P404" s="4" t="n">
        <v>0</v>
      </c>
      <c r="Q404" s="4" t="n">
        <v>0</v>
      </c>
      <c r="R404" s="4" t="n">
        <v>0</v>
      </c>
      <c r="S404" s="4" t="n">
        <v>0</v>
      </c>
      <c r="T404" s="4" t="n">
        <v>2</v>
      </c>
      <c r="U404" s="4">
        <f>IF(T404="",IFERROR(VLOOKUP($C404,Assumptions!$A$4:$F$7,6,FALSE),0),T404)</f>
        <v/>
      </c>
      <c r="V404" s="4">
        <f>N(M404)*IFERROR(VLOOKUP($C404,Assumptions!$A$4:$F$7,2,FALSE),0)</f>
        <v/>
      </c>
      <c r="W404" s="4">
        <f>N(Q404)*IFERROR(VLOOKUP($C404,Assumptions!$A$4:$F$7,3,FALSE),0)*Assumptions!$B$11</f>
        <v/>
      </c>
      <c r="X404" s="4">
        <f>N(L404)*IFERROR(VLOOKUP($C404,Assumptions!$A$4:$F$7,4,FALSE),0)</f>
        <v/>
      </c>
      <c r="Y404" s="4">
        <f>N(R404)*IFERROR(VLOOKUP($C404,Assumptions!$A$4:$F$7,5,FALSE),0)</f>
        <v/>
      </c>
      <c r="Z404" s="4">
        <f>N(S404)</f>
        <v/>
      </c>
      <c r="AA404" s="4">
        <f>SUM(U404:Z404)</f>
        <v/>
      </c>
      <c r="AB404" s="4">
        <f>N(AA404)*N(K404)/90</f>
        <v/>
      </c>
      <c r="AC404" s="4">
        <f>IFERROR(AB404-VLOOKUP($C404,Assumptions!$A$29:$C$32,3,FALSE),"")</f>
        <v/>
      </c>
      <c r="AD404" s="4">
        <f>IFERROR(AC404/F404,"")</f>
        <v/>
      </c>
      <c r="AE404">
        <f>IF(AND($E404=TRUE,$C404="GKP"),AB404,"")</f>
        <v/>
      </c>
      <c r="AF404">
        <f>IF(AND($E404=TRUE,$C404="DEF"),AB404,"")</f>
        <v/>
      </c>
      <c r="AG404">
        <f>IF(AND($E404=TRUE,$C404="MID"),AB404,"")</f>
        <v/>
      </c>
      <c r="AH404">
        <f>IF(AND($E404=TRUE,$C404="FWD"),AB404,"")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b">
        <v>1</v>
      </c>
      <c r="F405" s="2" t="n">
        <v>5</v>
      </c>
      <c r="G405" t="inlineStr">
        <is>
          <t>d</t>
        </is>
      </c>
      <c r="H405" t="inlineStr">
        <is>
          <t>Knee injury - 75% chance of playing</t>
        </is>
      </c>
      <c r="I405" s="2" t="n">
        <v>45</v>
      </c>
      <c r="J405" t="n">
        <v>1</v>
      </c>
      <c r="K405" s="3" t="n">
        <v>45</v>
      </c>
      <c r="L405" s="3" t="n">
        <v>0.263</v>
      </c>
      <c r="M405" s="4" t="n">
        <v>0</v>
      </c>
      <c r="N405" t="inlineStr">
        <is>
          <t>blended xG</t>
        </is>
      </c>
      <c r="O405" s="4" t="n">
        <v>1</v>
      </c>
      <c r="P405" s="4" t="n">
        <v>0</v>
      </c>
      <c r="Q405" s="4" t="n">
        <v>0.01</v>
      </c>
      <c r="R405" s="4" t="n">
        <v>0</v>
      </c>
      <c r="S405" s="4" t="n">
        <v>0</v>
      </c>
      <c r="T405" s="4" t="n">
        <v>2</v>
      </c>
      <c r="U405" s="4">
        <f>IF(T405="",IFERROR(VLOOKUP($C405,Assumptions!$A$4:$F$7,6,FALSE),0),T405)</f>
        <v/>
      </c>
      <c r="V405" s="4">
        <f>N(M405)*IFERROR(VLOOKUP($C405,Assumptions!$A$4:$F$7,2,FALSE),0)</f>
        <v/>
      </c>
      <c r="W405" s="4">
        <f>N(Q405)*IFERROR(VLOOKUP($C405,Assumptions!$A$4:$F$7,3,FALSE),0)*Assumptions!$B$11</f>
        <v/>
      </c>
      <c r="X405" s="4">
        <f>N(L405)*IFERROR(VLOOKUP($C405,Assumptions!$A$4:$F$7,4,FALSE),0)</f>
        <v/>
      </c>
      <c r="Y405" s="4">
        <f>N(R405)*IFERROR(VLOOKUP($C405,Assumptions!$A$4:$F$7,5,FALSE),0)</f>
        <v/>
      </c>
      <c r="Z405" s="4">
        <f>N(S405)</f>
        <v/>
      </c>
      <c r="AA405" s="4">
        <f>SUM(U405:Z405)</f>
        <v/>
      </c>
      <c r="AB405" s="4">
        <f>N(AA405)*N(K405)/90</f>
        <v/>
      </c>
      <c r="AC405" s="4">
        <f>IFERROR(AB405-VLOOKUP($C405,Assumptions!$A$29:$C$32,3,FALSE),"")</f>
        <v/>
      </c>
      <c r="AD405" s="4">
        <f>IFERROR(AC405/F405,"")</f>
        <v/>
      </c>
      <c r="AE405">
        <f>IF(AND($E405=TRUE,$C405="GKP"),AB405,"")</f>
        <v/>
      </c>
      <c r="AF405">
        <f>IF(AND($E405=TRUE,$C405="DEF"),AB405,"")</f>
        <v/>
      </c>
      <c r="AG405">
        <f>IF(AND($E405=TRUE,$C405="MID"),AB405,"")</f>
        <v/>
      </c>
      <c r="AH405">
        <f>IF(AND($E405=TRUE,$C405="FWD"),AB405,"")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b">
        <v>1</v>
      </c>
      <c r="F406" s="2" t="n">
        <v>4</v>
      </c>
      <c r="G406" t="inlineStr">
        <is>
          <t>a</t>
        </is>
      </c>
      <c r="I406" s="2" t="n">
        <v>2</v>
      </c>
      <c r="J406" t="n">
        <v>1</v>
      </c>
      <c r="K406" s="3" t="n">
        <v>2</v>
      </c>
      <c r="L406" s="3" t="n">
        <v>0.21</v>
      </c>
      <c r="M406" s="4" t="n">
        <v>0</v>
      </c>
      <c r="N406" t="inlineStr">
        <is>
          <t>blended xG</t>
        </is>
      </c>
      <c r="O406" s="4" t="n">
        <v>1</v>
      </c>
      <c r="P406" s="4" t="n">
        <v>0</v>
      </c>
      <c r="Q406" s="4" t="n">
        <v>0</v>
      </c>
      <c r="R406" s="4" t="n"/>
      <c r="S406" s="4" t="n">
        <v>0</v>
      </c>
      <c r="T406" s="4" t="n">
        <v>45</v>
      </c>
      <c r="U406" s="4">
        <f>IF(T406="",IFERROR(VLOOKUP($C406,Assumptions!$A$4:$F$7,6,FALSE),0),T406)</f>
        <v/>
      </c>
      <c r="V406" s="4">
        <f>N(M406)*IFERROR(VLOOKUP($C406,Assumptions!$A$4:$F$7,2,FALSE),0)</f>
        <v/>
      </c>
      <c r="W406" s="4">
        <f>N(Q406)*IFERROR(VLOOKUP($C406,Assumptions!$A$4:$F$7,3,FALSE),0)*Assumptions!$B$11</f>
        <v/>
      </c>
      <c r="X406" s="4">
        <f>N(L406)*IFERROR(VLOOKUP($C406,Assumptions!$A$4:$F$7,4,FALSE),0)</f>
        <v/>
      </c>
      <c r="Y406" s="4">
        <f>N(R406)*IFERROR(VLOOKUP($C406,Assumptions!$A$4:$F$7,5,FALSE),0)</f>
        <v/>
      </c>
      <c r="Z406" s="4">
        <f>N(S406)</f>
        <v/>
      </c>
      <c r="AA406" s="4">
        <f>SUM(U406:Z406)</f>
        <v/>
      </c>
      <c r="AB406" s="4">
        <f>N(AA406)*N(K406)/90</f>
        <v/>
      </c>
      <c r="AC406" s="4">
        <f>IFERROR(AB406-VLOOKUP($C406,Assumptions!$A$29:$C$32,3,FALSE),"")</f>
        <v/>
      </c>
      <c r="AD406" s="4">
        <f>IFERROR(AC406/F406,"")</f>
        <v/>
      </c>
      <c r="AE406">
        <f>IF(AND($E406=TRUE,$C406="GKP"),AB406,"")</f>
        <v/>
      </c>
      <c r="AF406">
        <f>IF(AND($E406=TRUE,$C406="DEF"),AB406,"")</f>
        <v/>
      </c>
      <c r="AG406">
        <f>IF(AND($E406=TRUE,$C406="MID"),AB406,"")</f>
        <v/>
      </c>
      <c r="AH406">
        <f>IF(AND($E406=TRUE,$C406="FWD"),AB406,"")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b">
        <v>1</v>
      </c>
      <c r="F407" s="2" t="n">
        <v>5</v>
      </c>
      <c r="G407" t="inlineStr">
        <is>
          <t>a</t>
        </is>
      </c>
      <c r="I407" s="2" t="n">
        <v>0</v>
      </c>
      <c r="J407" t="n">
        <v>0</v>
      </c>
      <c r="K407" s="3" t="n">
        <v>0</v>
      </c>
      <c r="L407" s="3" t="n">
        <v>0.5</v>
      </c>
      <c r="M407" s="4" t="n"/>
      <c r="N407" t="inlineStr"/>
      <c r="O407" s="4" t="n"/>
      <c r="P407" s="4" t="n"/>
      <c r="Q407" s="4" t="n"/>
      <c r="R407" s="4" t="n">
        <v>0</v>
      </c>
      <c r="S407" s="4" t="n"/>
      <c r="T407" s="4" t="n"/>
      <c r="U407" s="4">
        <f>IF(T407="",IFERROR(VLOOKUP($C407,Assumptions!$A$4:$F$7,6,FALSE),0),T407)</f>
        <v/>
      </c>
      <c r="V407" s="4">
        <f>N(M407)*IFERROR(VLOOKUP($C407,Assumptions!$A$4:$F$7,2,FALSE),0)</f>
        <v/>
      </c>
      <c r="W407" s="4">
        <f>N(Q407)*IFERROR(VLOOKUP($C407,Assumptions!$A$4:$F$7,3,FALSE),0)*Assumptions!$B$11</f>
        <v/>
      </c>
      <c r="X407" s="4">
        <f>N(L407)*IFERROR(VLOOKUP($C407,Assumptions!$A$4:$F$7,4,FALSE),0)</f>
        <v/>
      </c>
      <c r="Y407" s="4">
        <f>N(R407)*IFERROR(VLOOKUP($C407,Assumptions!$A$4:$F$7,5,FALSE),0)</f>
        <v/>
      </c>
      <c r="Z407" s="4">
        <f>N(S407)</f>
        <v/>
      </c>
      <c r="AA407" s="4">
        <f>SUM(U407:Z407)</f>
        <v/>
      </c>
      <c r="AB407" s="4">
        <f>N(AA407)*N(K407)/90</f>
        <v/>
      </c>
      <c r="AC407" s="4">
        <f>IFERROR(AB407-VLOOKUP($C407,Assumptions!$A$29:$C$32,3,FALSE),"")</f>
        <v/>
      </c>
      <c r="AD407" s="4">
        <f>IFERROR(AC407/F407,"")</f>
        <v/>
      </c>
      <c r="AE407">
        <f>IF(AND($E407=TRUE,$C407="GKP"),AB407,"")</f>
        <v/>
      </c>
      <c r="AF407">
        <f>IF(AND($E407=TRUE,$C407="DEF"),AB407,"")</f>
        <v/>
      </c>
      <c r="AG407">
        <f>IF(AND($E407=TRUE,$C407="MID"),AB407,"")</f>
        <v/>
      </c>
      <c r="AH407">
        <f>IF(AND($E407=TRUE,$C407="FWD"),AB407,"")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b">
        <v>1</v>
      </c>
      <c r="F408" s="2" t="n">
        <v>4.5</v>
      </c>
      <c r="G408" t="inlineStr">
        <is>
          <t>i</t>
        </is>
      </c>
      <c r="H408" t="inlineStr">
        <is>
          <t>Thigh injury - Unknown return date</t>
        </is>
      </c>
      <c r="I408" s="2" t="n">
        <v>0</v>
      </c>
      <c r="J408" t="n">
        <v>0</v>
      </c>
      <c r="K408" s="3" t="n">
        <v>0</v>
      </c>
      <c r="L408" s="3" t="n">
        <v>0.29</v>
      </c>
      <c r="M408" s="4" t="n"/>
      <c r="N408" t="inlineStr"/>
      <c r="O408" s="4" t="n"/>
      <c r="P408" s="4" t="n"/>
      <c r="Q408" s="4" t="n"/>
      <c r="R408" s="4" t="n"/>
      <c r="S408" s="4" t="n"/>
      <c r="T408" s="4" t="n"/>
      <c r="U408" s="4">
        <f>IF(T408="",IFERROR(VLOOKUP($C408,Assumptions!$A$4:$F$7,6,FALSE),0),T408)</f>
        <v/>
      </c>
      <c r="V408" s="4">
        <f>N(M408)*IFERROR(VLOOKUP($C408,Assumptions!$A$4:$F$7,2,FALSE),0)</f>
        <v/>
      </c>
      <c r="W408" s="4">
        <f>N(Q408)*IFERROR(VLOOKUP($C408,Assumptions!$A$4:$F$7,3,FALSE),0)*Assumptions!$B$11</f>
        <v/>
      </c>
      <c r="X408" s="4">
        <f>N(L408)*IFERROR(VLOOKUP($C408,Assumptions!$A$4:$F$7,4,FALSE),0)</f>
        <v/>
      </c>
      <c r="Y408" s="4">
        <f>N(R408)*IFERROR(VLOOKUP($C408,Assumptions!$A$4:$F$7,5,FALSE),0)</f>
        <v/>
      </c>
      <c r="Z408" s="4">
        <f>N(S408)</f>
        <v/>
      </c>
      <c r="AA408" s="4">
        <f>SUM(U408:Z408)</f>
        <v/>
      </c>
      <c r="AB408" s="4">
        <f>N(AA408)*N(K408)/90</f>
        <v/>
      </c>
      <c r="AC408" s="4">
        <f>IFERROR(AB408-VLOOKUP($C408,Assumptions!$A$29:$C$32,3,FALSE),"")</f>
        <v/>
      </c>
      <c r="AD408" s="4">
        <f>IFERROR(AC408/F408,"")</f>
        <v/>
      </c>
      <c r="AE408">
        <f>IF(AND($E408=TRUE,$C408="GKP"),AB408,"")</f>
        <v/>
      </c>
      <c r="AF408">
        <f>IF(AND($E408=TRUE,$C408="DEF"),AB408,"")</f>
        <v/>
      </c>
      <c r="AG408">
        <f>IF(AND($E408=TRUE,$C408="MID"),AB408,"")</f>
        <v/>
      </c>
      <c r="AH408">
        <f>IF(AND($E408=TRUE,$C408="FWD"),AB408,"")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b">
        <v>1</v>
      </c>
      <c r="F409" s="2" t="n">
        <v>4.5</v>
      </c>
      <c r="G409" t="inlineStr">
        <is>
          <t>a</t>
        </is>
      </c>
      <c r="I409" s="2" t="n">
        <v>0</v>
      </c>
      <c r="J409" t="n">
        <v>0</v>
      </c>
      <c r="K409" s="3" t="n">
        <v>0</v>
      </c>
      <c r="L409" s="3" t="n"/>
      <c r="M409" s="4" t="n"/>
      <c r="N409" t="inlineStr"/>
      <c r="O409" s="4" t="n"/>
      <c r="P409" s="4" t="n"/>
      <c r="Q409" s="4" t="n"/>
      <c r="R409" s="4" t="n">
        <v>0</v>
      </c>
      <c r="S409" s="4" t="n"/>
      <c r="T409" s="4" t="n"/>
      <c r="U409" s="4">
        <f>IF(T409="",IFERROR(VLOOKUP($C409,Assumptions!$A$4:$F$7,6,FALSE),0),T409)</f>
        <v/>
      </c>
      <c r="V409" s="4">
        <f>N(M409)*IFERROR(VLOOKUP($C409,Assumptions!$A$4:$F$7,2,FALSE),0)</f>
        <v/>
      </c>
      <c r="W409" s="4">
        <f>N(Q409)*IFERROR(VLOOKUP($C409,Assumptions!$A$4:$F$7,3,FALSE),0)*Assumptions!$B$11</f>
        <v/>
      </c>
      <c r="X409" s="4">
        <f>N(L409)*IFERROR(VLOOKUP($C409,Assumptions!$A$4:$F$7,4,FALSE),0)</f>
        <v/>
      </c>
      <c r="Y409" s="4">
        <f>N(R409)*IFERROR(VLOOKUP($C409,Assumptions!$A$4:$F$7,5,FALSE),0)</f>
        <v/>
      </c>
      <c r="Z409" s="4">
        <f>N(S409)</f>
        <v/>
      </c>
      <c r="AA409" s="4">
        <f>SUM(U409:Z409)</f>
        <v/>
      </c>
      <c r="AB409" s="4">
        <f>N(AA409)*N(K409)/90</f>
        <v/>
      </c>
      <c r="AC409" s="4">
        <f>IFERROR(AB409-VLOOKUP($C409,Assumptions!$A$29:$C$32,3,FALSE),"")</f>
        <v/>
      </c>
      <c r="AD409" s="4">
        <f>IFERROR(AC409/F409,"")</f>
        <v/>
      </c>
      <c r="AE409">
        <f>IF(AND($E409=TRUE,$C409="GKP"),AB409,"")</f>
        <v/>
      </c>
      <c r="AF409">
        <f>IF(AND($E409=TRUE,$C409="DEF"),AB409,"")</f>
        <v/>
      </c>
      <c r="AG409">
        <f>IF(AND($E409=TRUE,$C409="MID"),AB409,"")</f>
        <v/>
      </c>
      <c r="AH409">
        <f>IF(AND($E409=TRUE,$C409="FWD"),AB409,"")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b">
        <v>1</v>
      </c>
      <c r="F410" s="2" t="n">
        <v>4</v>
      </c>
      <c r="G410" t="inlineStr">
        <is>
          <t>a</t>
        </is>
      </c>
      <c r="I410" s="2" t="n">
        <v>0</v>
      </c>
      <c r="J410" t="n">
        <v>0</v>
      </c>
      <c r="K410" s="3" t="n">
        <v>0</v>
      </c>
      <c r="L410" s="3" t="n">
        <v>0.21</v>
      </c>
      <c r="M410" s="4" t="n"/>
      <c r="N410" t="inlineStr"/>
      <c r="O410" s="4" t="n"/>
      <c r="P410" s="4" t="n"/>
      <c r="Q410" s="4" t="n"/>
      <c r="R410" s="4" t="n">
        <v>0</v>
      </c>
      <c r="S410" s="4" t="n"/>
      <c r="T410" s="4" t="n"/>
      <c r="U410" s="4">
        <f>IF(T410="",IFERROR(VLOOKUP($C410,Assumptions!$A$4:$F$7,6,FALSE),0),T410)</f>
        <v/>
      </c>
      <c r="V410" s="4">
        <f>N(M410)*IFERROR(VLOOKUP($C410,Assumptions!$A$4:$F$7,2,FALSE),0)</f>
        <v/>
      </c>
      <c r="W410" s="4">
        <f>N(Q410)*IFERROR(VLOOKUP($C410,Assumptions!$A$4:$F$7,3,FALSE),0)*Assumptions!$B$11</f>
        <v/>
      </c>
      <c r="X410" s="4">
        <f>N(L410)*IFERROR(VLOOKUP($C410,Assumptions!$A$4:$F$7,4,FALSE),0)</f>
        <v/>
      </c>
      <c r="Y410" s="4">
        <f>N(R410)*IFERROR(VLOOKUP($C410,Assumptions!$A$4:$F$7,5,FALSE),0)</f>
        <v/>
      </c>
      <c r="Z410" s="4">
        <f>N(S410)</f>
        <v/>
      </c>
      <c r="AA410" s="4">
        <f>SUM(U410:Z410)</f>
        <v/>
      </c>
      <c r="AB410" s="4">
        <f>N(AA410)*N(K410)/90</f>
        <v/>
      </c>
      <c r="AC410" s="4">
        <f>IFERROR(AB410-VLOOKUP($C410,Assumptions!$A$29:$C$32,3,FALSE),"")</f>
        <v/>
      </c>
      <c r="AD410" s="4">
        <f>IFERROR(AC410/F410,"")</f>
        <v/>
      </c>
      <c r="AE410">
        <f>IF(AND($E410=TRUE,$C410="GKP"),AB410,"")</f>
        <v/>
      </c>
      <c r="AF410">
        <f>IF(AND($E410=TRUE,$C410="DEF"),AB410,"")</f>
        <v/>
      </c>
      <c r="AG410">
        <f>IF(AND($E410=TRUE,$C410="MID"),AB410,"")</f>
        <v/>
      </c>
      <c r="AH410">
        <f>IF(AND($E410=TRUE,$C410="FWD"),AB410,"")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b">
        <v>1</v>
      </c>
      <c r="F411" s="2" t="n">
        <v>4</v>
      </c>
      <c r="G411" t="inlineStr">
        <is>
          <t>u</t>
        </is>
      </c>
      <c r="H411" t="inlineStr">
        <is>
          <t>Has joined Wrexham permanently</t>
        </is>
      </c>
      <c r="I411" s="2" t="n">
        <v>0</v>
      </c>
      <c r="J411" t="n">
        <v>0</v>
      </c>
      <c r="K411" s="3" t="n">
        <v>0</v>
      </c>
      <c r="L411" s="3" t="n">
        <v>0.29</v>
      </c>
      <c r="M411" s="4" t="n"/>
      <c r="N411" t="inlineStr"/>
      <c r="O411" s="4" t="n"/>
      <c r="P411" s="4" t="n"/>
      <c r="Q411" s="4" t="n"/>
      <c r="R411" s="4" t="n">
        <v>0</v>
      </c>
      <c r="S411" s="4" t="n"/>
      <c r="T411" s="4" t="n"/>
      <c r="U411" s="4">
        <f>IF(T411="",IFERROR(VLOOKUP($C411,Assumptions!$A$4:$F$7,6,FALSE),0),T411)</f>
        <v/>
      </c>
      <c r="V411" s="4">
        <f>N(M411)*IFERROR(VLOOKUP($C411,Assumptions!$A$4:$F$7,2,FALSE),0)</f>
        <v/>
      </c>
      <c r="W411" s="4">
        <f>N(Q411)*IFERROR(VLOOKUP($C411,Assumptions!$A$4:$F$7,3,FALSE),0)*Assumptions!$B$11</f>
        <v/>
      </c>
      <c r="X411" s="4">
        <f>N(L411)*IFERROR(VLOOKUP($C411,Assumptions!$A$4:$F$7,4,FALSE),0)</f>
        <v/>
      </c>
      <c r="Y411" s="4">
        <f>N(R411)*IFERROR(VLOOKUP($C411,Assumptions!$A$4:$F$7,5,FALSE),0)</f>
        <v/>
      </c>
      <c r="Z411" s="4">
        <f>N(S411)</f>
        <v/>
      </c>
      <c r="AA411" s="4">
        <f>SUM(U411:Z411)</f>
        <v/>
      </c>
      <c r="AB411" s="4">
        <f>N(AA411)*N(K411)/90</f>
        <v/>
      </c>
      <c r="AC411" s="4">
        <f>IFERROR(AB411-VLOOKUP($C411,Assumptions!$A$29:$C$32,3,FALSE),"")</f>
        <v/>
      </c>
      <c r="AD411" s="4">
        <f>IFERROR(AC411/F411,"")</f>
        <v/>
      </c>
      <c r="AE411">
        <f>IF(AND($E411=TRUE,$C411="GKP"),AB411,"")</f>
        <v/>
      </c>
      <c r="AF411">
        <f>IF(AND($E411=TRUE,$C411="DEF"),AB411,"")</f>
        <v/>
      </c>
      <c r="AG411">
        <f>IF(AND($E411=TRUE,$C411="MID"),AB411,"")</f>
        <v/>
      </c>
      <c r="AH411">
        <f>IF(AND($E411=TRUE,$C411="FWD"),AB411,"")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b">
        <v>1</v>
      </c>
      <c r="F412" s="2" t="n">
        <v>5</v>
      </c>
      <c r="G412" t="inlineStr">
        <is>
          <t>a</t>
        </is>
      </c>
      <c r="I412" s="2" t="n">
        <v>0</v>
      </c>
      <c r="J412" t="n">
        <v>0</v>
      </c>
      <c r="K412" s="3" t="n">
        <v>0</v>
      </c>
      <c r="L412" s="3" t="n">
        <v>0.29</v>
      </c>
      <c r="M412" s="4" t="n"/>
      <c r="N412" t="inlineStr"/>
      <c r="O412" s="4" t="n"/>
      <c r="P412" s="4" t="n"/>
      <c r="Q412" s="4" t="n"/>
      <c r="R412" s="4" t="n">
        <v>0</v>
      </c>
      <c r="S412" s="4" t="n"/>
      <c r="T412" s="4" t="n"/>
      <c r="U412" s="4">
        <f>IF(T412="",IFERROR(VLOOKUP($C412,Assumptions!$A$4:$F$7,6,FALSE),0),T412)</f>
        <v/>
      </c>
      <c r="V412" s="4">
        <f>N(M412)*IFERROR(VLOOKUP($C412,Assumptions!$A$4:$F$7,2,FALSE),0)</f>
        <v/>
      </c>
      <c r="W412" s="4">
        <f>N(Q412)*IFERROR(VLOOKUP($C412,Assumptions!$A$4:$F$7,3,FALSE),0)*Assumptions!$B$11</f>
        <v/>
      </c>
      <c r="X412" s="4">
        <f>N(L412)*IFERROR(VLOOKUP($C412,Assumptions!$A$4:$F$7,4,FALSE),0)</f>
        <v/>
      </c>
      <c r="Y412" s="4">
        <f>N(R412)*IFERROR(VLOOKUP($C412,Assumptions!$A$4:$F$7,5,FALSE),0)</f>
        <v/>
      </c>
      <c r="Z412" s="4">
        <f>N(S412)</f>
        <v/>
      </c>
      <c r="AA412" s="4">
        <f>SUM(U412:Z412)</f>
        <v/>
      </c>
      <c r="AB412" s="4">
        <f>N(AA412)*N(K412)/90</f>
        <v/>
      </c>
      <c r="AC412" s="4">
        <f>IFERROR(AB412-VLOOKUP($C412,Assumptions!$A$29:$C$32,3,FALSE),"")</f>
        <v/>
      </c>
      <c r="AD412" s="4">
        <f>IFERROR(AC412/F412,"")</f>
        <v/>
      </c>
      <c r="AE412">
        <f>IF(AND($E412=TRUE,$C412="GKP"),AB412,"")</f>
        <v/>
      </c>
      <c r="AF412">
        <f>IF(AND($E412=TRUE,$C412="DEF"),AB412,"")</f>
        <v/>
      </c>
      <c r="AG412">
        <f>IF(AND($E412=TRUE,$C412="MID"),AB412,"")</f>
        <v/>
      </c>
      <c r="AH412">
        <f>IF(AND($E412=TRUE,$C412="FWD"),AB412,"")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b">
        <v>1</v>
      </c>
      <c r="F413" s="2" t="n">
        <v>5</v>
      </c>
      <c r="G413" t="inlineStr">
        <is>
          <t>a</t>
        </is>
      </c>
      <c r="I413" s="2" t="n">
        <v>0</v>
      </c>
      <c r="J413" t="n">
        <v>0</v>
      </c>
      <c r="K413" s="3" t="n">
        <v>0</v>
      </c>
      <c r="L413" s="3" t="n">
        <v>0.263</v>
      </c>
      <c r="M413" s="4" t="n"/>
      <c r="N413" t="inlineStr"/>
      <c r="O413" s="4" t="n"/>
      <c r="P413" s="4" t="n"/>
      <c r="Q413" s="4" t="n"/>
      <c r="R413" s="4" t="n"/>
      <c r="S413" s="4" t="n"/>
      <c r="T413" s="4" t="n"/>
      <c r="U413" s="4">
        <f>IF(T413="",IFERROR(VLOOKUP($C413,Assumptions!$A$4:$F$7,6,FALSE),0),T413)</f>
        <v/>
      </c>
      <c r="V413" s="4">
        <f>N(M413)*IFERROR(VLOOKUP($C413,Assumptions!$A$4:$F$7,2,FALSE),0)</f>
        <v/>
      </c>
      <c r="W413" s="4">
        <f>N(Q413)*IFERROR(VLOOKUP($C413,Assumptions!$A$4:$F$7,3,FALSE),0)*Assumptions!$B$11</f>
        <v/>
      </c>
      <c r="X413" s="4">
        <f>N(L413)*IFERROR(VLOOKUP($C413,Assumptions!$A$4:$F$7,4,FALSE),0)</f>
        <v/>
      </c>
      <c r="Y413" s="4">
        <f>N(R413)*IFERROR(VLOOKUP($C413,Assumptions!$A$4:$F$7,5,FALSE),0)</f>
        <v/>
      </c>
      <c r="Z413" s="4">
        <f>N(S413)</f>
        <v/>
      </c>
      <c r="AA413" s="4">
        <f>SUM(U413:Z413)</f>
        <v/>
      </c>
      <c r="AB413" s="4">
        <f>N(AA413)*N(K413)/90</f>
        <v/>
      </c>
      <c r="AC413" s="4">
        <f>IFERROR(AB413-VLOOKUP($C413,Assumptions!$A$29:$C$32,3,FALSE),"")</f>
        <v/>
      </c>
      <c r="AD413" s="4">
        <f>IFERROR(AC413/F413,"")</f>
        <v/>
      </c>
      <c r="AE413">
        <f>IF(AND($E413=TRUE,$C413="GKP"),AB413,"")</f>
        <v/>
      </c>
      <c r="AF413">
        <f>IF(AND($E413=TRUE,$C413="DEF"),AB413,"")</f>
        <v/>
      </c>
      <c r="AG413">
        <f>IF(AND($E413=TRUE,$C413="MID"),AB413,"")</f>
        <v/>
      </c>
      <c r="AH413">
        <f>IF(AND($E413=TRUE,$C413="FWD"),AB413,"")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b">
        <v>1</v>
      </c>
      <c r="F414" s="2" t="n">
        <v>4</v>
      </c>
      <c r="G414" t="inlineStr">
        <is>
          <t>a</t>
        </is>
      </c>
      <c r="I414" s="2" t="n">
        <v>0</v>
      </c>
      <c r="J414" t="n">
        <v>0</v>
      </c>
      <c r="K414" s="3" t="n">
        <v>0</v>
      </c>
      <c r="L414" s="3" t="n">
        <v>0.237</v>
      </c>
      <c r="M414" s="4" t="n"/>
      <c r="N414" t="inlineStr"/>
      <c r="O414" s="4" t="n"/>
      <c r="P414" s="4" t="n"/>
      <c r="Q414" s="4" t="n"/>
      <c r="R414" s="4" t="n">
        <v>0</v>
      </c>
      <c r="S414" s="4" t="n"/>
      <c r="T414" s="4" t="n"/>
      <c r="U414" s="4">
        <f>IF(T414="",IFERROR(VLOOKUP($C414,Assumptions!$A$4:$F$7,6,FALSE),0),T414)</f>
        <v/>
      </c>
      <c r="V414" s="4">
        <f>N(M414)*IFERROR(VLOOKUP($C414,Assumptions!$A$4:$F$7,2,FALSE),0)</f>
        <v/>
      </c>
      <c r="W414" s="4">
        <f>N(Q414)*IFERROR(VLOOKUP($C414,Assumptions!$A$4:$F$7,3,FALSE),0)*Assumptions!$B$11</f>
        <v/>
      </c>
      <c r="X414" s="4">
        <f>N(L414)*IFERROR(VLOOKUP($C414,Assumptions!$A$4:$F$7,4,FALSE),0)</f>
        <v/>
      </c>
      <c r="Y414" s="4">
        <f>N(R414)*IFERROR(VLOOKUP($C414,Assumptions!$A$4:$F$7,5,FALSE),0)</f>
        <v/>
      </c>
      <c r="Z414" s="4">
        <f>N(S414)</f>
        <v/>
      </c>
      <c r="AA414" s="4">
        <f>SUM(U414:Z414)</f>
        <v/>
      </c>
      <c r="AB414" s="4">
        <f>N(AA414)*N(K414)/90</f>
        <v/>
      </c>
      <c r="AC414" s="4">
        <f>IFERROR(AB414-VLOOKUP($C414,Assumptions!$A$29:$C$32,3,FALSE),"")</f>
        <v/>
      </c>
      <c r="AD414" s="4">
        <f>IFERROR(AC414/F414,"")</f>
        <v/>
      </c>
      <c r="AE414">
        <f>IF(AND($E414=TRUE,$C414="GKP"),AB414,"")</f>
        <v/>
      </c>
      <c r="AF414">
        <f>IF(AND($E414=TRUE,$C414="DEF"),AB414,"")</f>
        <v/>
      </c>
      <c r="AG414">
        <f>IF(AND($E414=TRUE,$C414="MID"),AB414,"")</f>
        <v/>
      </c>
      <c r="AH414">
        <f>IF(AND($E414=TRUE,$C414="FWD"),AB414,"")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b">
        <v>1</v>
      </c>
      <c r="F415" s="2" t="n">
        <v>5</v>
      </c>
      <c r="G415" t="inlineStr">
        <is>
          <t>a</t>
        </is>
      </c>
      <c r="I415" s="2" t="n">
        <v>0</v>
      </c>
      <c r="J415" t="n">
        <v>0</v>
      </c>
      <c r="K415" s="3" t="n">
        <v>0</v>
      </c>
      <c r="L415" s="3" t="n">
        <v>0.263</v>
      </c>
      <c r="M415" s="4" t="n"/>
      <c r="N415" t="inlineStr"/>
      <c r="O415" s="4" t="n"/>
      <c r="P415" s="4" t="n"/>
      <c r="Q415" s="4" t="n"/>
      <c r="R415" s="4" t="n"/>
      <c r="S415" s="4" t="n"/>
      <c r="T415" s="4" t="n"/>
      <c r="U415" s="4">
        <f>IF(T415="",IFERROR(VLOOKUP($C415,Assumptions!$A$4:$F$7,6,FALSE),0),T415)</f>
        <v/>
      </c>
      <c r="V415" s="4">
        <f>N(M415)*IFERROR(VLOOKUP($C415,Assumptions!$A$4:$F$7,2,FALSE),0)</f>
        <v/>
      </c>
      <c r="W415" s="4">
        <f>N(Q415)*IFERROR(VLOOKUP($C415,Assumptions!$A$4:$F$7,3,FALSE),0)*Assumptions!$B$11</f>
        <v/>
      </c>
      <c r="X415" s="4">
        <f>N(L415)*IFERROR(VLOOKUP($C415,Assumptions!$A$4:$F$7,4,FALSE),0)</f>
        <v/>
      </c>
      <c r="Y415" s="4">
        <f>N(R415)*IFERROR(VLOOKUP($C415,Assumptions!$A$4:$F$7,5,FALSE),0)</f>
        <v/>
      </c>
      <c r="Z415" s="4">
        <f>N(S415)</f>
        <v/>
      </c>
      <c r="AA415" s="4">
        <f>SUM(U415:Z415)</f>
        <v/>
      </c>
      <c r="AB415" s="4">
        <f>N(AA415)*N(K415)/90</f>
        <v/>
      </c>
      <c r="AC415" s="4">
        <f>IFERROR(AB415-VLOOKUP($C415,Assumptions!$A$29:$C$32,3,FALSE),"")</f>
        <v/>
      </c>
      <c r="AD415" s="4">
        <f>IFERROR(AC415/F415,"")</f>
        <v/>
      </c>
      <c r="AE415">
        <f>IF(AND($E415=TRUE,$C415="GKP"),AB415,"")</f>
        <v/>
      </c>
      <c r="AF415">
        <f>IF(AND($E415=TRUE,$C415="DEF"),AB415,"")</f>
        <v/>
      </c>
      <c r="AG415">
        <f>IF(AND($E415=TRUE,$C415="MID"),AB415,"")</f>
        <v/>
      </c>
      <c r="AH415">
        <f>IF(AND($E415=TRUE,$C415="FWD"),AB415,"")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b">
        <v>1</v>
      </c>
      <c r="F416" s="2" t="n">
        <v>4</v>
      </c>
      <c r="G416" t="inlineStr">
        <is>
          <t>a</t>
        </is>
      </c>
      <c r="I416" s="2" t="n">
        <v>0</v>
      </c>
      <c r="J416" t="n">
        <v>0</v>
      </c>
      <c r="K416" s="3" t="n">
        <v>0</v>
      </c>
      <c r="L416" s="3" t="n">
        <v>0.237</v>
      </c>
      <c r="M416" s="4" t="n"/>
      <c r="N416" t="inlineStr"/>
      <c r="O416" s="4" t="n"/>
      <c r="P416" s="4" t="n"/>
      <c r="Q416" s="4" t="n"/>
      <c r="R416" s="4" t="n"/>
      <c r="S416" s="4" t="n"/>
      <c r="T416" s="4" t="n"/>
      <c r="U416" s="4">
        <f>IF(T416="",IFERROR(VLOOKUP($C416,Assumptions!$A$4:$F$7,6,FALSE),0),T416)</f>
        <v/>
      </c>
      <c r="V416" s="4">
        <f>N(M416)*IFERROR(VLOOKUP($C416,Assumptions!$A$4:$F$7,2,FALSE),0)</f>
        <v/>
      </c>
      <c r="W416" s="4">
        <f>N(Q416)*IFERROR(VLOOKUP($C416,Assumptions!$A$4:$F$7,3,FALSE),0)*Assumptions!$B$11</f>
        <v/>
      </c>
      <c r="X416" s="4">
        <f>N(L416)*IFERROR(VLOOKUP($C416,Assumptions!$A$4:$F$7,4,FALSE),0)</f>
        <v/>
      </c>
      <c r="Y416" s="4">
        <f>N(R416)*IFERROR(VLOOKUP($C416,Assumptions!$A$4:$F$7,5,FALSE),0)</f>
        <v/>
      </c>
      <c r="Z416" s="4">
        <f>N(S416)</f>
        <v/>
      </c>
      <c r="AA416" s="4">
        <f>SUM(U416:Z416)</f>
        <v/>
      </c>
      <c r="AB416" s="4">
        <f>N(AA416)*N(K416)/90</f>
        <v/>
      </c>
      <c r="AC416" s="4">
        <f>IFERROR(AB416-VLOOKUP($C416,Assumptions!$A$29:$C$32,3,FALSE),"")</f>
        <v/>
      </c>
      <c r="AD416" s="4">
        <f>IFERROR(AC416/F416,"")</f>
        <v/>
      </c>
      <c r="AE416">
        <f>IF(AND($E416=TRUE,$C416="GKP"),AB416,"")</f>
        <v/>
      </c>
      <c r="AF416">
        <f>IF(AND($E416=TRUE,$C416="DEF"),AB416,"")</f>
        <v/>
      </c>
      <c r="AG416">
        <f>IF(AND($E416=TRUE,$C416="MID"),AB416,"")</f>
        <v/>
      </c>
      <c r="AH416">
        <f>IF(AND($E416=TRUE,$C416="FWD"),AB416,"")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b">
        <v>1</v>
      </c>
      <c r="F417" s="2" t="n">
        <v>7</v>
      </c>
      <c r="G417" t="inlineStr">
        <is>
          <t>a</t>
        </is>
      </c>
      <c r="I417" s="2" t="n">
        <v>0</v>
      </c>
      <c r="J417" t="n">
        <v>0</v>
      </c>
      <c r="K417" s="3" t="n">
        <v>0</v>
      </c>
      <c r="L417" s="3" t="n">
        <v>0.21</v>
      </c>
      <c r="M417" s="4" t="n"/>
      <c r="N417" t="inlineStr"/>
      <c r="O417" s="4" t="n"/>
      <c r="P417" s="4" t="n"/>
      <c r="Q417" s="4" t="n"/>
      <c r="R417" s="4" t="n"/>
      <c r="S417" s="4" t="n"/>
      <c r="T417" s="4" t="n"/>
      <c r="U417" s="4">
        <f>IF(T417="",IFERROR(VLOOKUP($C417,Assumptions!$A$4:$F$7,6,FALSE),0),T417)</f>
        <v/>
      </c>
      <c r="V417" s="4">
        <f>N(M417)*IFERROR(VLOOKUP($C417,Assumptions!$A$4:$F$7,2,FALSE),0)</f>
        <v/>
      </c>
      <c r="W417" s="4">
        <f>N(Q417)*IFERROR(VLOOKUP($C417,Assumptions!$A$4:$F$7,3,FALSE),0)*Assumptions!$B$11</f>
        <v/>
      </c>
      <c r="X417" s="4">
        <f>N(L417)*IFERROR(VLOOKUP($C417,Assumptions!$A$4:$F$7,4,FALSE),0)</f>
        <v/>
      </c>
      <c r="Y417" s="4">
        <f>N(R417)*IFERROR(VLOOKUP($C417,Assumptions!$A$4:$F$7,5,FALSE),0)</f>
        <v/>
      </c>
      <c r="Z417" s="4">
        <f>N(S417)</f>
        <v/>
      </c>
      <c r="AA417" s="4">
        <f>SUM(U417:Z417)</f>
        <v/>
      </c>
      <c r="AB417" s="4">
        <f>N(AA417)*N(K417)/90</f>
        <v/>
      </c>
      <c r="AC417" s="4">
        <f>IFERROR(AB417-VLOOKUP($C417,Assumptions!$A$29:$C$32,3,FALSE),"")</f>
        <v/>
      </c>
      <c r="AD417" s="4">
        <f>IFERROR(AC417/F417,"")</f>
        <v/>
      </c>
      <c r="AE417">
        <f>IF(AND($E417=TRUE,$C417="GKP"),AB417,"")</f>
        <v/>
      </c>
      <c r="AF417">
        <f>IF(AND($E417=TRUE,$C417="DEF"),AB417,"")</f>
        <v/>
      </c>
      <c r="AG417">
        <f>IF(AND($E417=TRUE,$C417="MID"),AB417,"")</f>
        <v/>
      </c>
      <c r="AH417">
        <f>IF(AND($E417=TRUE,$C417="FWD"),AB417,"")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b">
        <v>1</v>
      </c>
      <c r="F418" s="2" t="n">
        <v>4.5</v>
      </c>
      <c r="G418" t="inlineStr">
        <is>
          <t>a</t>
        </is>
      </c>
      <c r="I418" s="2" t="n">
        <v>0</v>
      </c>
      <c r="J418" t="n">
        <v>0</v>
      </c>
      <c r="K418" s="3" t="n">
        <v>0</v>
      </c>
      <c r="L418" s="3" t="n">
        <v>0.421</v>
      </c>
      <c r="M418" s="4" t="n"/>
      <c r="N418" t="inlineStr"/>
      <c r="O418" s="4" t="n"/>
      <c r="P418" s="4" t="n"/>
      <c r="Q418" s="4" t="n"/>
      <c r="R418" s="4" t="n"/>
      <c r="S418" s="4" t="n"/>
      <c r="T418" s="4" t="n"/>
      <c r="U418" s="4">
        <f>IF(T418="",IFERROR(VLOOKUP($C418,Assumptions!$A$4:$F$7,6,FALSE),0),T418)</f>
        <v/>
      </c>
      <c r="V418" s="4">
        <f>N(M418)*IFERROR(VLOOKUP($C418,Assumptions!$A$4:$F$7,2,FALSE),0)</f>
        <v/>
      </c>
      <c r="W418" s="4">
        <f>N(Q418)*IFERROR(VLOOKUP($C418,Assumptions!$A$4:$F$7,3,FALSE),0)*Assumptions!$B$11</f>
        <v/>
      </c>
      <c r="X418" s="4">
        <f>N(L418)*IFERROR(VLOOKUP($C418,Assumptions!$A$4:$F$7,4,FALSE),0)</f>
        <v/>
      </c>
      <c r="Y418" s="4">
        <f>N(R418)*IFERROR(VLOOKUP($C418,Assumptions!$A$4:$F$7,5,FALSE),0)</f>
        <v/>
      </c>
      <c r="Z418" s="4">
        <f>N(S418)</f>
        <v/>
      </c>
      <c r="AA418" s="4">
        <f>SUM(U418:Z418)</f>
        <v/>
      </c>
      <c r="AB418" s="4">
        <f>N(AA418)*N(K418)/90</f>
        <v/>
      </c>
      <c r="AC418" s="4">
        <f>IFERROR(AB418-VLOOKUP($C418,Assumptions!$A$29:$C$32,3,FALSE),"")</f>
        <v/>
      </c>
      <c r="AD418" s="4">
        <f>IFERROR(AC418/F418,"")</f>
        <v/>
      </c>
      <c r="AE418">
        <f>IF(AND($E418=TRUE,$C418="GKP"),AB418,"")</f>
        <v/>
      </c>
      <c r="AF418">
        <f>IF(AND($E418=TRUE,$C418="DEF"),AB418,"")</f>
        <v/>
      </c>
      <c r="AG418">
        <f>IF(AND($E418=TRUE,$C418="MID"),AB418,"")</f>
        <v/>
      </c>
      <c r="AH418">
        <f>IF(AND($E418=TRUE,$C418="FWD"),AB418,"")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b">
        <v>1</v>
      </c>
      <c r="F419" s="2" t="n">
        <v>4.5</v>
      </c>
      <c r="G419" t="inlineStr">
        <is>
          <t>a</t>
        </is>
      </c>
      <c r="I419" s="2" t="n">
        <v>0</v>
      </c>
      <c r="J419" t="n">
        <v>0</v>
      </c>
      <c r="K419" s="3" t="n">
        <v>0</v>
      </c>
      <c r="L419" s="3" t="n">
        <v>0.237</v>
      </c>
      <c r="M419" s="4" t="n"/>
      <c r="N419" t="inlineStr"/>
      <c r="O419" s="4" t="n"/>
      <c r="P419" s="4" t="n"/>
      <c r="Q419" s="4" t="n"/>
      <c r="R419" s="4" t="n">
        <v>0</v>
      </c>
      <c r="S419" s="4" t="n"/>
      <c r="T419" s="4" t="n"/>
      <c r="U419" s="4">
        <f>IF(T419="",IFERROR(VLOOKUP($C419,Assumptions!$A$4:$F$7,6,FALSE),0),T419)</f>
        <v/>
      </c>
      <c r="V419" s="4">
        <f>N(M419)*IFERROR(VLOOKUP($C419,Assumptions!$A$4:$F$7,2,FALSE),0)</f>
        <v/>
      </c>
      <c r="W419" s="4">
        <f>N(Q419)*IFERROR(VLOOKUP($C419,Assumptions!$A$4:$F$7,3,FALSE),0)*Assumptions!$B$11</f>
        <v/>
      </c>
      <c r="X419" s="4">
        <f>N(L419)*IFERROR(VLOOKUP($C419,Assumptions!$A$4:$F$7,4,FALSE),0)</f>
        <v/>
      </c>
      <c r="Y419" s="4">
        <f>N(R419)*IFERROR(VLOOKUP($C419,Assumptions!$A$4:$F$7,5,FALSE),0)</f>
        <v/>
      </c>
      <c r="Z419" s="4">
        <f>N(S419)</f>
        <v/>
      </c>
      <c r="AA419" s="4">
        <f>SUM(U419:Z419)</f>
        <v/>
      </c>
      <c r="AB419" s="4">
        <f>N(AA419)*N(K419)/90</f>
        <v/>
      </c>
      <c r="AC419" s="4">
        <f>IFERROR(AB419-VLOOKUP($C419,Assumptions!$A$29:$C$32,3,FALSE),"")</f>
        <v/>
      </c>
      <c r="AD419" s="4">
        <f>IFERROR(AC419/F419,"")</f>
        <v/>
      </c>
      <c r="AE419">
        <f>IF(AND($E419=TRUE,$C419="GKP"),AB419,"")</f>
        <v/>
      </c>
      <c r="AF419">
        <f>IF(AND($E419=TRUE,$C419="DEF"),AB419,"")</f>
        <v/>
      </c>
      <c r="AG419">
        <f>IF(AND($E419=TRUE,$C419="MID"),AB419,"")</f>
        <v/>
      </c>
      <c r="AH419">
        <f>IF(AND($E419=TRUE,$C419="FWD"),AB419,"")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b">
        <v>1</v>
      </c>
      <c r="F420" s="2" t="n">
        <v>4</v>
      </c>
      <c r="G420" t="inlineStr">
        <is>
          <t>a</t>
        </is>
      </c>
      <c r="I420" s="2" t="n">
        <v>0</v>
      </c>
      <c r="J420" t="n">
        <v>0</v>
      </c>
      <c r="K420" s="3" t="n">
        <v>0</v>
      </c>
      <c r="L420" s="3" t="n">
        <v>0.316</v>
      </c>
      <c r="M420" s="4" t="n"/>
      <c r="N420" t="inlineStr"/>
      <c r="O420" s="4" t="n"/>
      <c r="P420" s="4" t="n"/>
      <c r="Q420" s="4" t="n"/>
      <c r="R420" s="4" t="n">
        <v>0</v>
      </c>
      <c r="S420" s="4" t="n"/>
      <c r="T420" s="4" t="n"/>
      <c r="U420" s="4">
        <f>IF(T420="",IFERROR(VLOOKUP($C420,Assumptions!$A$4:$F$7,6,FALSE),0),T420)</f>
        <v/>
      </c>
      <c r="V420" s="4">
        <f>N(M420)*IFERROR(VLOOKUP($C420,Assumptions!$A$4:$F$7,2,FALSE),0)</f>
        <v/>
      </c>
      <c r="W420" s="4">
        <f>N(Q420)*IFERROR(VLOOKUP($C420,Assumptions!$A$4:$F$7,3,FALSE),0)*Assumptions!$B$11</f>
        <v/>
      </c>
      <c r="X420" s="4">
        <f>N(L420)*IFERROR(VLOOKUP($C420,Assumptions!$A$4:$F$7,4,FALSE),0)</f>
        <v/>
      </c>
      <c r="Y420" s="4">
        <f>N(R420)*IFERROR(VLOOKUP($C420,Assumptions!$A$4:$F$7,5,FALSE),0)</f>
        <v/>
      </c>
      <c r="Z420" s="4">
        <f>N(S420)</f>
        <v/>
      </c>
      <c r="AA420" s="4">
        <f>SUM(U420:Z420)</f>
        <v/>
      </c>
      <c r="AB420" s="4">
        <f>N(AA420)*N(K420)/90</f>
        <v/>
      </c>
      <c r="AC420" s="4">
        <f>IFERROR(AB420-VLOOKUP($C420,Assumptions!$A$29:$C$32,3,FALSE),"")</f>
        <v/>
      </c>
      <c r="AD420" s="4">
        <f>IFERROR(AC420/F420,"")</f>
        <v/>
      </c>
      <c r="AE420">
        <f>IF(AND($E420=TRUE,$C420="GKP"),AB420,"")</f>
        <v/>
      </c>
      <c r="AF420">
        <f>IF(AND($E420=TRUE,$C420="DEF"),AB420,"")</f>
        <v/>
      </c>
      <c r="AG420">
        <f>IF(AND($E420=TRUE,$C420="MID"),AB420,"")</f>
        <v/>
      </c>
      <c r="AH420">
        <f>IF(AND($E420=TRUE,$C420="FWD"),AB420,"")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b">
        <v>1</v>
      </c>
      <c r="F421" s="2" t="n">
        <v>4.5</v>
      </c>
      <c r="G421" t="inlineStr">
        <is>
          <t>a</t>
        </is>
      </c>
      <c r="I421" s="2" t="n">
        <v>0</v>
      </c>
      <c r="J421" t="n">
        <v>0</v>
      </c>
      <c r="K421" s="3" t="n">
        <v>0</v>
      </c>
      <c r="L421" s="3" t="n">
        <v>0.237</v>
      </c>
      <c r="M421" s="4" t="n"/>
      <c r="N421" t="inlineStr"/>
      <c r="O421" s="4" t="n"/>
      <c r="P421" s="4" t="n"/>
      <c r="Q421" s="4" t="n"/>
      <c r="R421" s="4" t="n"/>
      <c r="S421" s="4" t="n"/>
      <c r="T421" s="4" t="n"/>
      <c r="U421" s="4">
        <f>IF(T421="",IFERROR(VLOOKUP($C421,Assumptions!$A$4:$F$7,6,FALSE),0),T421)</f>
        <v/>
      </c>
      <c r="V421" s="4">
        <f>N(M421)*IFERROR(VLOOKUP($C421,Assumptions!$A$4:$F$7,2,FALSE),0)</f>
        <v/>
      </c>
      <c r="W421" s="4">
        <f>N(Q421)*IFERROR(VLOOKUP($C421,Assumptions!$A$4:$F$7,3,FALSE),0)*Assumptions!$B$11</f>
        <v/>
      </c>
      <c r="X421" s="4">
        <f>N(L421)*IFERROR(VLOOKUP($C421,Assumptions!$A$4:$F$7,4,FALSE),0)</f>
        <v/>
      </c>
      <c r="Y421" s="4">
        <f>N(R421)*IFERROR(VLOOKUP($C421,Assumptions!$A$4:$F$7,5,FALSE),0)</f>
        <v/>
      </c>
      <c r="Z421" s="4">
        <f>N(S421)</f>
        <v/>
      </c>
      <c r="AA421" s="4">
        <f>SUM(U421:Z421)</f>
        <v/>
      </c>
      <c r="AB421" s="4">
        <f>N(AA421)*N(K421)/90</f>
        <v/>
      </c>
      <c r="AC421" s="4">
        <f>IFERROR(AB421-VLOOKUP($C421,Assumptions!$A$29:$C$32,3,FALSE),"")</f>
        <v/>
      </c>
      <c r="AD421" s="4">
        <f>IFERROR(AC421/F421,"")</f>
        <v/>
      </c>
      <c r="AE421">
        <f>IF(AND($E421=TRUE,$C421="GKP"),AB421,"")</f>
        <v/>
      </c>
      <c r="AF421">
        <f>IF(AND($E421=TRUE,$C421="DEF"),AB421,"")</f>
        <v/>
      </c>
      <c r="AG421">
        <f>IF(AND($E421=TRUE,$C421="MID"),AB421,"")</f>
        <v/>
      </c>
      <c r="AH421">
        <f>IF(AND($E421=TRUE,$C421="FWD"),AB421,"")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b">
        <v>1</v>
      </c>
      <c r="F422" s="2" t="n">
        <v>4</v>
      </c>
      <c r="G422" t="inlineStr">
        <is>
          <t>a</t>
        </is>
      </c>
      <c r="I422" s="2" t="n">
        <v>0</v>
      </c>
      <c r="J422" t="n">
        <v>0</v>
      </c>
      <c r="K422" s="3" t="n">
        <v>0</v>
      </c>
      <c r="L422" s="3" t="n">
        <v>0.29</v>
      </c>
      <c r="M422" s="4" t="n"/>
      <c r="N422" t="inlineStr"/>
      <c r="O422" s="4" t="n"/>
      <c r="P422" s="4" t="n"/>
      <c r="Q422" s="4" t="n"/>
      <c r="R422" s="4" t="n">
        <v>0</v>
      </c>
      <c r="S422" s="4" t="n"/>
      <c r="T422" s="4" t="n"/>
      <c r="U422" s="4">
        <f>IF(T422="",IFERROR(VLOOKUP($C422,Assumptions!$A$4:$F$7,6,FALSE),0),T422)</f>
        <v/>
      </c>
      <c r="V422" s="4">
        <f>N(M422)*IFERROR(VLOOKUP($C422,Assumptions!$A$4:$F$7,2,FALSE),0)</f>
        <v/>
      </c>
      <c r="W422" s="4">
        <f>N(Q422)*IFERROR(VLOOKUP($C422,Assumptions!$A$4:$F$7,3,FALSE),0)*Assumptions!$B$11</f>
        <v/>
      </c>
      <c r="X422" s="4">
        <f>N(L422)*IFERROR(VLOOKUP($C422,Assumptions!$A$4:$F$7,4,FALSE),0)</f>
        <v/>
      </c>
      <c r="Y422" s="4">
        <f>N(R422)*IFERROR(VLOOKUP($C422,Assumptions!$A$4:$F$7,5,FALSE),0)</f>
        <v/>
      </c>
      <c r="Z422" s="4">
        <f>N(S422)</f>
        <v/>
      </c>
      <c r="AA422" s="4">
        <f>SUM(U422:Z422)</f>
        <v/>
      </c>
      <c r="AB422" s="4">
        <f>N(AA422)*N(K422)/90</f>
        <v/>
      </c>
      <c r="AC422" s="4">
        <f>IFERROR(AB422-VLOOKUP($C422,Assumptions!$A$29:$C$32,3,FALSE),"")</f>
        <v/>
      </c>
      <c r="AD422" s="4">
        <f>IFERROR(AC422/F422,"")</f>
        <v/>
      </c>
      <c r="AE422">
        <f>IF(AND($E422=TRUE,$C422="GKP"),AB422,"")</f>
        <v/>
      </c>
      <c r="AF422">
        <f>IF(AND($E422=TRUE,$C422="DEF"),AB422,"")</f>
        <v/>
      </c>
      <c r="AG422">
        <f>IF(AND($E422=TRUE,$C422="MID"),AB422,"")</f>
        <v/>
      </c>
      <c r="AH422">
        <f>IF(AND($E422=TRUE,$C422="FWD"),AB422,"")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b">
        <v>1</v>
      </c>
      <c r="F423" s="2" t="n">
        <v>4</v>
      </c>
      <c r="G423" t="inlineStr">
        <is>
          <t>a</t>
        </is>
      </c>
      <c r="I423" s="2" t="n">
        <v>0</v>
      </c>
      <c r="J423" t="n">
        <v>0</v>
      </c>
      <c r="K423" s="3" t="n">
        <v>0</v>
      </c>
      <c r="L423" s="3" t="n"/>
      <c r="M423" s="4" t="n"/>
      <c r="N423" t="inlineStr"/>
      <c r="O423" s="4" t="n"/>
      <c r="P423" s="4" t="n"/>
      <c r="Q423" s="4" t="n"/>
      <c r="R423" s="4" t="n"/>
      <c r="S423" s="4" t="n"/>
      <c r="T423" s="4" t="n"/>
      <c r="U423" s="4">
        <f>IF(T423="",IFERROR(VLOOKUP($C423,Assumptions!$A$4:$F$7,6,FALSE),0),T423)</f>
        <v/>
      </c>
      <c r="V423" s="4">
        <f>N(M423)*IFERROR(VLOOKUP($C423,Assumptions!$A$4:$F$7,2,FALSE),0)</f>
        <v/>
      </c>
      <c r="W423" s="4">
        <f>N(Q423)*IFERROR(VLOOKUP($C423,Assumptions!$A$4:$F$7,3,FALSE),0)*Assumptions!$B$11</f>
        <v/>
      </c>
      <c r="X423" s="4">
        <f>N(L423)*IFERROR(VLOOKUP($C423,Assumptions!$A$4:$F$7,4,FALSE),0)</f>
        <v/>
      </c>
      <c r="Y423" s="4">
        <f>N(R423)*IFERROR(VLOOKUP($C423,Assumptions!$A$4:$F$7,5,FALSE),0)</f>
        <v/>
      </c>
      <c r="Z423" s="4">
        <f>N(S423)</f>
        <v/>
      </c>
      <c r="AA423" s="4">
        <f>SUM(U423:Z423)</f>
        <v/>
      </c>
      <c r="AB423" s="4">
        <f>N(AA423)*N(K423)/90</f>
        <v/>
      </c>
      <c r="AC423" s="4">
        <f>IFERROR(AB423-VLOOKUP($C423,Assumptions!$A$29:$C$32,3,FALSE),"")</f>
        <v/>
      </c>
      <c r="AD423" s="4">
        <f>IFERROR(AC423/F423,"")</f>
        <v/>
      </c>
      <c r="AE423">
        <f>IF(AND($E423=TRUE,$C423="GKP"),AB423,"")</f>
        <v/>
      </c>
      <c r="AF423">
        <f>IF(AND($E423=TRUE,$C423="DEF"),AB423,"")</f>
        <v/>
      </c>
      <c r="AG423">
        <f>IF(AND($E423=TRUE,$C423="MID"),AB423,"")</f>
        <v/>
      </c>
      <c r="AH423">
        <f>IF(AND($E423=TRUE,$C423="FWD"),AB423,"")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b">
        <v>1</v>
      </c>
      <c r="F424" s="2" t="n">
        <v>5</v>
      </c>
      <c r="G424" t="inlineStr">
        <is>
          <t>a</t>
        </is>
      </c>
      <c r="I424" s="2" t="n">
        <v>0</v>
      </c>
      <c r="J424" t="n">
        <v>0</v>
      </c>
      <c r="K424" s="3" t="n">
        <v>0</v>
      </c>
      <c r="L424" s="3" t="n">
        <v>0.421</v>
      </c>
      <c r="M424" s="4" t="n"/>
      <c r="N424" t="inlineStr"/>
      <c r="O424" s="4" t="n"/>
      <c r="P424" s="4" t="n"/>
      <c r="Q424" s="4" t="n"/>
      <c r="R424" s="4" t="n"/>
      <c r="S424" s="4" t="n"/>
      <c r="T424" s="4" t="n"/>
      <c r="U424" s="4">
        <f>IF(T424="",IFERROR(VLOOKUP($C424,Assumptions!$A$4:$F$7,6,FALSE),0),T424)</f>
        <v/>
      </c>
      <c r="V424" s="4">
        <f>N(M424)*IFERROR(VLOOKUP($C424,Assumptions!$A$4:$F$7,2,FALSE),0)</f>
        <v/>
      </c>
      <c r="W424" s="4">
        <f>N(Q424)*IFERROR(VLOOKUP($C424,Assumptions!$A$4:$F$7,3,FALSE),0)*Assumptions!$B$11</f>
        <v/>
      </c>
      <c r="X424" s="4">
        <f>N(L424)*IFERROR(VLOOKUP($C424,Assumptions!$A$4:$F$7,4,FALSE),0)</f>
        <v/>
      </c>
      <c r="Y424" s="4">
        <f>N(R424)*IFERROR(VLOOKUP($C424,Assumptions!$A$4:$F$7,5,FALSE),0)</f>
        <v/>
      </c>
      <c r="Z424" s="4">
        <f>N(S424)</f>
        <v/>
      </c>
      <c r="AA424" s="4">
        <f>SUM(U424:Z424)</f>
        <v/>
      </c>
      <c r="AB424" s="4">
        <f>N(AA424)*N(K424)/90</f>
        <v/>
      </c>
      <c r="AC424" s="4">
        <f>IFERROR(AB424-VLOOKUP($C424,Assumptions!$A$29:$C$32,3,FALSE),"")</f>
        <v/>
      </c>
      <c r="AD424" s="4">
        <f>IFERROR(AC424/F424,"")</f>
        <v/>
      </c>
      <c r="AE424">
        <f>IF(AND($E424=TRUE,$C424="GKP"),AB424,"")</f>
        <v/>
      </c>
      <c r="AF424">
        <f>IF(AND($E424=TRUE,$C424="DEF"),AB424,"")</f>
        <v/>
      </c>
      <c r="AG424">
        <f>IF(AND($E424=TRUE,$C424="MID"),AB424,"")</f>
        <v/>
      </c>
      <c r="AH424">
        <f>IF(AND($E424=TRUE,$C424="FWD"),AB424,"")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b">
        <v>1</v>
      </c>
      <c r="F425" s="2" t="n">
        <v>4.5</v>
      </c>
      <c r="G425" t="inlineStr">
        <is>
          <t>a</t>
        </is>
      </c>
      <c r="I425" s="2" t="n">
        <v>0</v>
      </c>
      <c r="J425" t="n">
        <v>0</v>
      </c>
      <c r="K425" s="3" t="n">
        <v>0</v>
      </c>
      <c r="L425" s="3" t="n">
        <v>0.29</v>
      </c>
      <c r="M425" s="4" t="n"/>
      <c r="N425" t="inlineStr"/>
      <c r="O425" s="4" t="n"/>
      <c r="P425" s="4" t="n"/>
      <c r="Q425" s="4" t="n"/>
      <c r="R425" s="4" t="n">
        <v>0</v>
      </c>
      <c r="S425" s="4" t="n"/>
      <c r="T425" s="4" t="n"/>
      <c r="U425" s="4">
        <f>IF(T425="",IFERROR(VLOOKUP($C425,Assumptions!$A$4:$F$7,6,FALSE),0),T425)</f>
        <v/>
      </c>
      <c r="V425" s="4">
        <f>N(M425)*IFERROR(VLOOKUP($C425,Assumptions!$A$4:$F$7,2,FALSE),0)</f>
        <v/>
      </c>
      <c r="W425" s="4">
        <f>N(Q425)*IFERROR(VLOOKUP($C425,Assumptions!$A$4:$F$7,3,FALSE),0)*Assumptions!$B$11</f>
        <v/>
      </c>
      <c r="X425" s="4">
        <f>N(L425)*IFERROR(VLOOKUP($C425,Assumptions!$A$4:$F$7,4,FALSE),0)</f>
        <v/>
      </c>
      <c r="Y425" s="4">
        <f>N(R425)*IFERROR(VLOOKUP($C425,Assumptions!$A$4:$F$7,5,FALSE),0)</f>
        <v/>
      </c>
      <c r="Z425" s="4">
        <f>N(S425)</f>
        <v/>
      </c>
      <c r="AA425" s="4">
        <f>SUM(U425:Z425)</f>
        <v/>
      </c>
      <c r="AB425" s="4">
        <f>N(AA425)*N(K425)/90</f>
        <v/>
      </c>
      <c r="AC425" s="4">
        <f>IFERROR(AB425-VLOOKUP($C425,Assumptions!$A$29:$C$32,3,FALSE),"")</f>
        <v/>
      </c>
      <c r="AD425" s="4">
        <f>IFERROR(AC425/F425,"")</f>
        <v/>
      </c>
      <c r="AE425">
        <f>IF(AND($E425=TRUE,$C425="GKP"),AB425,"")</f>
        <v/>
      </c>
      <c r="AF425">
        <f>IF(AND($E425=TRUE,$C425="DEF"),AB425,"")</f>
        <v/>
      </c>
      <c r="AG425">
        <f>IF(AND($E425=TRUE,$C425="MID"),AB425,"")</f>
        <v/>
      </c>
      <c r="AH425">
        <f>IF(AND($E425=TRUE,$C425="FWD"),AB425,"")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b">
        <v>1</v>
      </c>
      <c r="F426" s="2" t="n">
        <v>4.5</v>
      </c>
      <c r="G426" t="inlineStr">
        <is>
          <t>a</t>
        </is>
      </c>
      <c r="I426" s="2" t="n">
        <v>0</v>
      </c>
      <c r="J426" t="n">
        <v>0</v>
      </c>
      <c r="K426" s="3" t="n">
        <v>0</v>
      </c>
      <c r="L426" s="3" t="n">
        <v>0.421</v>
      </c>
      <c r="M426" s="4" t="n"/>
      <c r="N426" t="inlineStr"/>
      <c r="O426" s="4" t="n"/>
      <c r="P426" s="4" t="n"/>
      <c r="Q426" s="4" t="n"/>
      <c r="R426" s="4" t="n">
        <v>0</v>
      </c>
      <c r="S426" s="4" t="n"/>
      <c r="T426" s="4" t="n"/>
      <c r="U426" s="4">
        <f>IF(T426="",IFERROR(VLOOKUP($C426,Assumptions!$A$4:$F$7,6,FALSE),0),T426)</f>
        <v/>
      </c>
      <c r="V426" s="4">
        <f>N(M426)*IFERROR(VLOOKUP($C426,Assumptions!$A$4:$F$7,2,FALSE),0)</f>
        <v/>
      </c>
      <c r="W426" s="4">
        <f>N(Q426)*IFERROR(VLOOKUP($C426,Assumptions!$A$4:$F$7,3,FALSE),0)*Assumptions!$B$11</f>
        <v/>
      </c>
      <c r="X426" s="4">
        <f>N(L426)*IFERROR(VLOOKUP($C426,Assumptions!$A$4:$F$7,4,FALSE),0)</f>
        <v/>
      </c>
      <c r="Y426" s="4">
        <f>N(R426)*IFERROR(VLOOKUP($C426,Assumptions!$A$4:$F$7,5,FALSE),0)</f>
        <v/>
      </c>
      <c r="Z426" s="4">
        <f>N(S426)</f>
        <v/>
      </c>
      <c r="AA426" s="4">
        <f>SUM(U426:Z426)</f>
        <v/>
      </c>
      <c r="AB426" s="4">
        <f>N(AA426)*N(K426)/90</f>
        <v/>
      </c>
      <c r="AC426" s="4">
        <f>IFERROR(AB426-VLOOKUP($C426,Assumptions!$A$29:$C$32,3,FALSE),"")</f>
        <v/>
      </c>
      <c r="AD426" s="4">
        <f>IFERROR(AC426/F426,"")</f>
        <v/>
      </c>
      <c r="AE426">
        <f>IF(AND($E426=TRUE,$C426="GKP"),AB426,"")</f>
        <v/>
      </c>
      <c r="AF426">
        <f>IF(AND($E426=TRUE,$C426="DEF"),AB426,"")</f>
        <v/>
      </c>
      <c r="AG426">
        <f>IF(AND($E426=TRUE,$C426="MID"),AB426,"")</f>
        <v/>
      </c>
      <c r="AH426">
        <f>IF(AND($E426=TRUE,$C426="FWD"),AB426,"")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b">
        <v>1</v>
      </c>
      <c r="F427" s="2" t="n">
        <v>4</v>
      </c>
      <c r="G427" t="inlineStr">
        <is>
          <t>i</t>
        </is>
      </c>
      <c r="H427" t="inlineStr">
        <is>
          <t>Knee injury - Unknown return date</t>
        </is>
      </c>
      <c r="I427" s="2" t="n">
        <v>0</v>
      </c>
      <c r="J427" t="n">
        <v>0</v>
      </c>
      <c r="K427" s="3" t="n">
        <v>0</v>
      </c>
      <c r="L427" s="3" t="n">
        <v>0.263</v>
      </c>
      <c r="M427" s="4" t="n"/>
      <c r="N427" t="inlineStr"/>
      <c r="O427" s="4" t="n"/>
      <c r="P427" s="4" t="n"/>
      <c r="Q427" s="4" t="n"/>
      <c r="R427" s="4" t="n"/>
      <c r="S427" s="4" t="n"/>
      <c r="T427" s="4" t="n"/>
      <c r="U427" s="4">
        <f>IF(T427="",IFERROR(VLOOKUP($C427,Assumptions!$A$4:$F$7,6,FALSE),0),T427)</f>
        <v/>
      </c>
      <c r="V427" s="4">
        <f>N(M427)*IFERROR(VLOOKUP($C427,Assumptions!$A$4:$F$7,2,FALSE),0)</f>
        <v/>
      </c>
      <c r="W427" s="4">
        <f>N(Q427)*IFERROR(VLOOKUP($C427,Assumptions!$A$4:$F$7,3,FALSE),0)*Assumptions!$B$11</f>
        <v/>
      </c>
      <c r="X427" s="4">
        <f>N(L427)*IFERROR(VLOOKUP($C427,Assumptions!$A$4:$F$7,4,FALSE),0)</f>
        <v/>
      </c>
      <c r="Y427" s="4">
        <f>N(R427)*IFERROR(VLOOKUP($C427,Assumptions!$A$4:$F$7,5,FALSE),0)</f>
        <v/>
      </c>
      <c r="Z427" s="4">
        <f>N(S427)</f>
        <v/>
      </c>
      <c r="AA427" s="4">
        <f>SUM(U427:Z427)</f>
        <v/>
      </c>
      <c r="AB427" s="4">
        <f>N(AA427)*N(K427)/90</f>
        <v/>
      </c>
      <c r="AC427" s="4">
        <f>IFERROR(AB427-VLOOKUP($C427,Assumptions!$A$29:$C$32,3,FALSE),"")</f>
        <v/>
      </c>
      <c r="AD427" s="4">
        <f>IFERROR(AC427/F427,"")</f>
        <v/>
      </c>
      <c r="AE427">
        <f>IF(AND($E427=TRUE,$C427="GKP"),AB427,"")</f>
        <v/>
      </c>
      <c r="AF427">
        <f>IF(AND($E427=TRUE,$C427="DEF"),AB427,"")</f>
        <v/>
      </c>
      <c r="AG427">
        <f>IF(AND($E427=TRUE,$C427="MID"),AB427,"")</f>
        <v/>
      </c>
      <c r="AH427">
        <f>IF(AND($E427=TRUE,$C427="FWD"),AB427,"")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b">
        <v>1</v>
      </c>
      <c r="F428" s="2" t="n">
        <v>4</v>
      </c>
      <c r="G428" t="inlineStr">
        <is>
          <t>a</t>
        </is>
      </c>
      <c r="I428" s="2" t="n">
        <v>0</v>
      </c>
      <c r="J428" t="n">
        <v>0</v>
      </c>
      <c r="K428" s="3" t="n">
        <v>0</v>
      </c>
      <c r="L428" s="3" t="n">
        <v>0.237</v>
      </c>
      <c r="M428" s="4" t="n"/>
      <c r="N428" t="inlineStr"/>
      <c r="O428" s="4" t="n"/>
      <c r="P428" s="4" t="n"/>
      <c r="Q428" s="4" t="n"/>
      <c r="R428" s="4" t="n">
        <v>0</v>
      </c>
      <c r="S428" s="4" t="n"/>
      <c r="T428" s="4" t="n"/>
      <c r="U428" s="4">
        <f>IF(T428="",IFERROR(VLOOKUP($C428,Assumptions!$A$4:$F$7,6,FALSE),0),T428)</f>
        <v/>
      </c>
      <c r="V428" s="4">
        <f>N(M428)*IFERROR(VLOOKUP($C428,Assumptions!$A$4:$F$7,2,FALSE),0)</f>
        <v/>
      </c>
      <c r="W428" s="4">
        <f>N(Q428)*IFERROR(VLOOKUP($C428,Assumptions!$A$4:$F$7,3,FALSE),0)*Assumptions!$B$11</f>
        <v/>
      </c>
      <c r="X428" s="4">
        <f>N(L428)*IFERROR(VLOOKUP($C428,Assumptions!$A$4:$F$7,4,FALSE),0)</f>
        <v/>
      </c>
      <c r="Y428" s="4">
        <f>N(R428)*IFERROR(VLOOKUP($C428,Assumptions!$A$4:$F$7,5,FALSE),0)</f>
        <v/>
      </c>
      <c r="Z428" s="4">
        <f>N(S428)</f>
        <v/>
      </c>
      <c r="AA428" s="4">
        <f>SUM(U428:Z428)</f>
        <v/>
      </c>
      <c r="AB428" s="4">
        <f>N(AA428)*N(K428)/90</f>
        <v/>
      </c>
      <c r="AC428" s="4">
        <f>IFERROR(AB428-VLOOKUP($C428,Assumptions!$A$29:$C$32,3,FALSE),"")</f>
        <v/>
      </c>
      <c r="AD428" s="4">
        <f>IFERROR(AC428/F428,"")</f>
        <v/>
      </c>
      <c r="AE428">
        <f>IF(AND($E428=TRUE,$C428="GKP"),AB428,"")</f>
        <v/>
      </c>
      <c r="AF428">
        <f>IF(AND($E428=TRUE,$C428="DEF"),AB428,"")</f>
        <v/>
      </c>
      <c r="AG428">
        <f>IF(AND($E428=TRUE,$C428="MID"),AB428,"")</f>
        <v/>
      </c>
      <c r="AH428">
        <f>IF(AND($E428=TRUE,$C428="FWD"),AB428,"")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b">
        <v>1</v>
      </c>
      <c r="F429" s="2" t="n">
        <v>4.5</v>
      </c>
      <c r="G429" t="inlineStr">
        <is>
          <t>a</t>
        </is>
      </c>
      <c r="I429" s="2" t="n">
        <v>0</v>
      </c>
      <c r="J429" t="n">
        <v>0</v>
      </c>
      <c r="K429" s="3" t="n">
        <v>0</v>
      </c>
      <c r="L429" s="3" t="n">
        <v>0.21</v>
      </c>
      <c r="M429" s="4" t="n"/>
      <c r="N429" t="inlineStr"/>
      <c r="O429" s="4" t="n"/>
      <c r="P429" s="4" t="n"/>
      <c r="Q429" s="4" t="n"/>
      <c r="R429" s="4" t="n">
        <v>0</v>
      </c>
      <c r="S429" s="4" t="n"/>
      <c r="T429" s="4" t="n"/>
      <c r="U429" s="4">
        <f>IF(T429="",IFERROR(VLOOKUP($C429,Assumptions!$A$4:$F$7,6,FALSE),0),T429)</f>
        <v/>
      </c>
      <c r="V429" s="4">
        <f>N(M429)*IFERROR(VLOOKUP($C429,Assumptions!$A$4:$F$7,2,FALSE),0)</f>
        <v/>
      </c>
      <c r="W429" s="4">
        <f>N(Q429)*IFERROR(VLOOKUP($C429,Assumptions!$A$4:$F$7,3,FALSE),0)*Assumptions!$B$11</f>
        <v/>
      </c>
      <c r="X429" s="4">
        <f>N(L429)*IFERROR(VLOOKUP($C429,Assumptions!$A$4:$F$7,4,FALSE),0)</f>
        <v/>
      </c>
      <c r="Y429" s="4">
        <f>N(R429)*IFERROR(VLOOKUP($C429,Assumptions!$A$4:$F$7,5,FALSE),0)</f>
        <v/>
      </c>
      <c r="Z429" s="4">
        <f>N(S429)</f>
        <v/>
      </c>
      <c r="AA429" s="4">
        <f>SUM(U429:Z429)</f>
        <v/>
      </c>
      <c r="AB429" s="4">
        <f>N(AA429)*N(K429)/90</f>
        <v/>
      </c>
      <c r="AC429" s="4">
        <f>IFERROR(AB429-VLOOKUP($C429,Assumptions!$A$29:$C$32,3,FALSE),"")</f>
        <v/>
      </c>
      <c r="AD429" s="4">
        <f>IFERROR(AC429/F429,"")</f>
        <v/>
      </c>
      <c r="AE429">
        <f>IF(AND($E429=TRUE,$C429="GKP"),AB429,"")</f>
        <v/>
      </c>
      <c r="AF429">
        <f>IF(AND($E429=TRUE,$C429="DEF"),AB429,"")</f>
        <v/>
      </c>
      <c r="AG429">
        <f>IF(AND($E429=TRUE,$C429="MID"),AB429,"")</f>
        <v/>
      </c>
      <c r="AH429">
        <f>IF(AND($E429=TRUE,$C429="FWD"),AB429,"")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b">
        <v>1</v>
      </c>
      <c r="F430" s="2" t="n">
        <v>4</v>
      </c>
      <c r="G430" t="inlineStr">
        <is>
          <t>a</t>
        </is>
      </c>
      <c r="I430" s="2" t="n">
        <v>0</v>
      </c>
      <c r="J430" t="n">
        <v>0</v>
      </c>
      <c r="K430" s="3" t="n">
        <v>0</v>
      </c>
      <c r="L430" s="3" t="n">
        <v>0.263</v>
      </c>
      <c r="M430" s="4" t="n"/>
      <c r="N430" t="inlineStr"/>
      <c r="O430" s="4" t="n"/>
      <c r="P430" s="4" t="n"/>
      <c r="Q430" s="4" t="n"/>
      <c r="R430" s="4" t="n">
        <v>0</v>
      </c>
      <c r="S430" s="4" t="n"/>
      <c r="T430" s="4" t="n"/>
      <c r="U430" s="4">
        <f>IF(T430="",IFERROR(VLOOKUP($C430,Assumptions!$A$4:$F$7,6,FALSE),0),T430)</f>
        <v/>
      </c>
      <c r="V430" s="4">
        <f>N(M430)*IFERROR(VLOOKUP($C430,Assumptions!$A$4:$F$7,2,FALSE),0)</f>
        <v/>
      </c>
      <c r="W430" s="4">
        <f>N(Q430)*IFERROR(VLOOKUP($C430,Assumptions!$A$4:$F$7,3,FALSE),0)*Assumptions!$B$11</f>
        <v/>
      </c>
      <c r="X430" s="4">
        <f>N(L430)*IFERROR(VLOOKUP($C430,Assumptions!$A$4:$F$7,4,FALSE),0)</f>
        <v/>
      </c>
      <c r="Y430" s="4">
        <f>N(R430)*IFERROR(VLOOKUP($C430,Assumptions!$A$4:$F$7,5,FALSE),0)</f>
        <v/>
      </c>
      <c r="Z430" s="4">
        <f>N(S430)</f>
        <v/>
      </c>
      <c r="AA430" s="4">
        <f>SUM(U430:Z430)</f>
        <v/>
      </c>
      <c r="AB430" s="4">
        <f>N(AA430)*N(K430)/90</f>
        <v/>
      </c>
      <c r="AC430" s="4">
        <f>IFERROR(AB430-VLOOKUP($C430,Assumptions!$A$29:$C$32,3,FALSE),"")</f>
        <v/>
      </c>
      <c r="AD430" s="4">
        <f>IFERROR(AC430/F430,"")</f>
        <v/>
      </c>
      <c r="AE430">
        <f>IF(AND($E430=TRUE,$C430="GKP"),AB430,"")</f>
        <v/>
      </c>
      <c r="AF430">
        <f>IF(AND($E430=TRUE,$C430="DEF"),AB430,"")</f>
        <v/>
      </c>
      <c r="AG430">
        <f>IF(AND($E430=TRUE,$C430="MID"),AB430,"")</f>
        <v/>
      </c>
      <c r="AH430">
        <f>IF(AND($E430=TRUE,$C430="FWD"),AB430,"")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b">
        <v>1</v>
      </c>
      <c r="F431" s="2" t="n">
        <v>4</v>
      </c>
      <c r="G431" t="inlineStr">
        <is>
          <t>a</t>
        </is>
      </c>
      <c r="I431" s="2" t="n">
        <v>0</v>
      </c>
      <c r="J431" t="n">
        <v>0</v>
      </c>
      <c r="K431" s="3" t="n">
        <v>0</v>
      </c>
      <c r="L431" s="3" t="n">
        <v>0.29</v>
      </c>
      <c r="M431" s="4" t="n"/>
      <c r="N431" t="inlineStr"/>
      <c r="O431" s="4" t="n"/>
      <c r="P431" s="4" t="n"/>
      <c r="Q431" s="4" t="n"/>
      <c r="R431" s="4" t="n">
        <v>0</v>
      </c>
      <c r="S431" s="4" t="n"/>
      <c r="T431" s="4" t="n"/>
      <c r="U431" s="4">
        <f>IF(T431="",IFERROR(VLOOKUP($C431,Assumptions!$A$4:$F$7,6,FALSE),0),T431)</f>
        <v/>
      </c>
      <c r="V431" s="4">
        <f>N(M431)*IFERROR(VLOOKUP($C431,Assumptions!$A$4:$F$7,2,FALSE),0)</f>
        <v/>
      </c>
      <c r="W431" s="4">
        <f>N(Q431)*IFERROR(VLOOKUP($C431,Assumptions!$A$4:$F$7,3,FALSE),0)*Assumptions!$B$11</f>
        <v/>
      </c>
      <c r="X431" s="4">
        <f>N(L431)*IFERROR(VLOOKUP($C431,Assumptions!$A$4:$F$7,4,FALSE),0)</f>
        <v/>
      </c>
      <c r="Y431" s="4">
        <f>N(R431)*IFERROR(VLOOKUP($C431,Assumptions!$A$4:$F$7,5,FALSE),0)</f>
        <v/>
      </c>
      <c r="Z431" s="4">
        <f>N(S431)</f>
        <v/>
      </c>
      <c r="AA431" s="4">
        <f>SUM(U431:Z431)</f>
        <v/>
      </c>
      <c r="AB431" s="4">
        <f>N(AA431)*N(K431)/90</f>
        <v/>
      </c>
      <c r="AC431" s="4">
        <f>IFERROR(AB431-VLOOKUP($C431,Assumptions!$A$29:$C$32,3,FALSE),"")</f>
        <v/>
      </c>
      <c r="AD431" s="4">
        <f>IFERROR(AC431/F431,"")</f>
        <v/>
      </c>
      <c r="AE431">
        <f>IF(AND($E431=TRUE,$C431="GKP"),AB431,"")</f>
        <v/>
      </c>
      <c r="AF431">
        <f>IF(AND($E431=TRUE,$C431="DEF"),AB431,"")</f>
        <v/>
      </c>
      <c r="AG431">
        <f>IF(AND($E431=TRUE,$C431="MID"),AB431,"")</f>
        <v/>
      </c>
      <c r="AH431">
        <f>IF(AND($E431=TRUE,$C431="FWD"),AB431,"")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b">
        <v>1</v>
      </c>
      <c r="F432" s="2" t="n">
        <v>5</v>
      </c>
      <c r="G432" t="inlineStr">
        <is>
          <t>a</t>
        </is>
      </c>
      <c r="I432" s="2" t="n">
        <v>0</v>
      </c>
      <c r="J432" t="n">
        <v>0</v>
      </c>
      <c r="K432" s="3" t="n">
        <v>0</v>
      </c>
      <c r="L432" s="3" t="n">
        <v>0.316</v>
      </c>
      <c r="M432" s="4" t="n"/>
      <c r="N432" t="inlineStr"/>
      <c r="O432" s="4" t="n"/>
      <c r="P432" s="4" t="n"/>
      <c r="Q432" s="4" t="n"/>
      <c r="R432" s="4" t="n"/>
      <c r="S432" s="4" t="n"/>
      <c r="T432" s="4" t="n"/>
      <c r="U432" s="4">
        <f>IF(T432="",IFERROR(VLOOKUP($C432,Assumptions!$A$4:$F$7,6,FALSE),0),T432)</f>
        <v/>
      </c>
      <c r="V432" s="4">
        <f>N(M432)*IFERROR(VLOOKUP($C432,Assumptions!$A$4:$F$7,2,FALSE),0)</f>
        <v/>
      </c>
      <c r="W432" s="4">
        <f>N(Q432)*IFERROR(VLOOKUP($C432,Assumptions!$A$4:$F$7,3,FALSE),0)*Assumptions!$B$11</f>
        <v/>
      </c>
      <c r="X432" s="4">
        <f>N(L432)*IFERROR(VLOOKUP($C432,Assumptions!$A$4:$F$7,4,FALSE),0)</f>
        <v/>
      </c>
      <c r="Y432" s="4">
        <f>N(R432)*IFERROR(VLOOKUP($C432,Assumptions!$A$4:$F$7,5,FALSE),0)</f>
        <v/>
      </c>
      <c r="Z432" s="4">
        <f>N(S432)</f>
        <v/>
      </c>
      <c r="AA432" s="4">
        <f>SUM(U432:Z432)</f>
        <v/>
      </c>
      <c r="AB432" s="4">
        <f>N(AA432)*N(K432)/90</f>
        <v/>
      </c>
      <c r="AC432" s="4">
        <f>IFERROR(AB432-VLOOKUP($C432,Assumptions!$A$29:$C$32,3,FALSE),"")</f>
        <v/>
      </c>
      <c r="AD432" s="4">
        <f>IFERROR(AC432/F432,"")</f>
        <v/>
      </c>
      <c r="AE432">
        <f>IF(AND($E432=TRUE,$C432="GKP"),AB432,"")</f>
        <v/>
      </c>
      <c r="AF432">
        <f>IF(AND($E432=TRUE,$C432="DEF"),AB432,"")</f>
        <v/>
      </c>
      <c r="AG432">
        <f>IF(AND($E432=TRUE,$C432="MID"),AB432,"")</f>
        <v/>
      </c>
      <c r="AH432">
        <f>IF(AND($E432=TRUE,$C432="FWD"),AB432,"")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b">
        <v>1</v>
      </c>
      <c r="F433" s="2" t="n">
        <v>5</v>
      </c>
      <c r="G433" t="inlineStr">
        <is>
          <t>a</t>
        </is>
      </c>
      <c r="I433" s="2" t="n">
        <v>0</v>
      </c>
      <c r="J433" t="n">
        <v>0</v>
      </c>
      <c r="K433" s="3" t="n">
        <v>0</v>
      </c>
      <c r="L433" s="3" t="n">
        <v>0.21</v>
      </c>
      <c r="M433" s="4" t="n"/>
      <c r="N433" t="inlineStr"/>
      <c r="O433" s="4" t="n"/>
      <c r="P433" s="4" t="n"/>
      <c r="Q433" s="4" t="n"/>
      <c r="R433" s="4" t="n"/>
      <c r="S433" s="4" t="n"/>
      <c r="T433" s="4" t="n"/>
      <c r="U433" s="4">
        <f>IF(T433="",IFERROR(VLOOKUP($C433,Assumptions!$A$4:$F$7,6,FALSE),0),T433)</f>
        <v/>
      </c>
      <c r="V433" s="4">
        <f>N(M433)*IFERROR(VLOOKUP($C433,Assumptions!$A$4:$F$7,2,FALSE),0)</f>
        <v/>
      </c>
      <c r="W433" s="4">
        <f>N(Q433)*IFERROR(VLOOKUP($C433,Assumptions!$A$4:$F$7,3,FALSE),0)*Assumptions!$B$11</f>
        <v/>
      </c>
      <c r="X433" s="4">
        <f>N(L433)*IFERROR(VLOOKUP($C433,Assumptions!$A$4:$F$7,4,FALSE),0)</f>
        <v/>
      </c>
      <c r="Y433" s="4">
        <f>N(R433)*IFERROR(VLOOKUP($C433,Assumptions!$A$4:$F$7,5,FALSE),0)</f>
        <v/>
      </c>
      <c r="Z433" s="4">
        <f>N(S433)</f>
        <v/>
      </c>
      <c r="AA433" s="4">
        <f>SUM(U433:Z433)</f>
        <v/>
      </c>
      <c r="AB433" s="4">
        <f>N(AA433)*N(K433)/90</f>
        <v/>
      </c>
      <c r="AC433" s="4">
        <f>IFERROR(AB433-VLOOKUP($C433,Assumptions!$A$29:$C$32,3,FALSE),"")</f>
        <v/>
      </c>
      <c r="AD433" s="4">
        <f>IFERROR(AC433/F433,"")</f>
        <v/>
      </c>
      <c r="AE433">
        <f>IF(AND($E433=TRUE,$C433="GKP"),AB433,"")</f>
        <v/>
      </c>
      <c r="AF433">
        <f>IF(AND($E433=TRUE,$C433="DEF"),AB433,"")</f>
        <v/>
      </c>
      <c r="AG433">
        <f>IF(AND($E433=TRUE,$C433="MID"),AB433,"")</f>
        <v/>
      </c>
      <c r="AH433">
        <f>IF(AND($E433=TRUE,$C433="FWD"),AB433,"")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b">
        <v>1</v>
      </c>
      <c r="F434" s="2" t="n">
        <v>6.5</v>
      </c>
      <c r="G434" t="inlineStr">
        <is>
          <t>i</t>
        </is>
      </c>
      <c r="H434" t="inlineStr">
        <is>
          <t>Knee injury - Unknown return date</t>
        </is>
      </c>
      <c r="I434" s="2" t="n">
        <v>0</v>
      </c>
      <c r="J434" t="n">
        <v>0</v>
      </c>
      <c r="K434" s="3" t="n">
        <v>0</v>
      </c>
      <c r="L434" s="3" t="n">
        <v>0.237</v>
      </c>
      <c r="M434" s="4" t="n"/>
      <c r="N434" t="inlineStr"/>
      <c r="O434" s="4" t="n"/>
      <c r="P434" s="4" t="n"/>
      <c r="Q434" s="4" t="n"/>
      <c r="R434" s="4" t="n"/>
      <c r="S434" s="4" t="n"/>
      <c r="T434" s="4" t="n"/>
      <c r="U434" s="4">
        <f>IF(T434="",IFERROR(VLOOKUP($C434,Assumptions!$A$4:$F$7,6,FALSE),0),T434)</f>
        <v/>
      </c>
      <c r="V434" s="4">
        <f>N(M434)*IFERROR(VLOOKUP($C434,Assumptions!$A$4:$F$7,2,FALSE),0)</f>
        <v/>
      </c>
      <c r="W434" s="4">
        <f>N(Q434)*IFERROR(VLOOKUP($C434,Assumptions!$A$4:$F$7,3,FALSE),0)*Assumptions!$B$11</f>
        <v/>
      </c>
      <c r="X434" s="4">
        <f>N(L434)*IFERROR(VLOOKUP($C434,Assumptions!$A$4:$F$7,4,FALSE),0)</f>
        <v/>
      </c>
      <c r="Y434" s="4">
        <f>N(R434)*IFERROR(VLOOKUP($C434,Assumptions!$A$4:$F$7,5,FALSE),0)</f>
        <v/>
      </c>
      <c r="Z434" s="4">
        <f>N(S434)</f>
        <v/>
      </c>
      <c r="AA434" s="4">
        <f>SUM(U434:Z434)</f>
        <v/>
      </c>
      <c r="AB434" s="4">
        <f>N(AA434)*N(K434)/90</f>
        <v/>
      </c>
      <c r="AC434" s="4">
        <f>IFERROR(AB434-VLOOKUP($C434,Assumptions!$A$29:$C$32,3,FALSE),"")</f>
        <v/>
      </c>
      <c r="AD434" s="4">
        <f>IFERROR(AC434/F434,"")</f>
        <v/>
      </c>
      <c r="AE434">
        <f>IF(AND($E434=TRUE,$C434="GKP"),AB434,"")</f>
        <v/>
      </c>
      <c r="AF434">
        <f>IF(AND($E434=TRUE,$C434="DEF"),AB434,"")</f>
        <v/>
      </c>
      <c r="AG434">
        <f>IF(AND($E434=TRUE,$C434="MID"),AB434,"")</f>
        <v/>
      </c>
      <c r="AH434">
        <f>IF(AND($E434=TRUE,$C434="FWD"),AB434,"")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b">
        <v>1</v>
      </c>
      <c r="F435" s="2" t="n">
        <v>4.5</v>
      </c>
      <c r="G435" t="inlineStr">
        <is>
          <t>a</t>
        </is>
      </c>
      <c r="I435" s="2" t="n">
        <v>0</v>
      </c>
      <c r="J435" t="n">
        <v>0</v>
      </c>
      <c r="K435" s="3" t="n">
        <v>0</v>
      </c>
      <c r="L435" s="3" t="n">
        <v>0.263</v>
      </c>
      <c r="M435" s="4" t="n"/>
      <c r="N435" t="inlineStr"/>
      <c r="O435" s="4" t="n"/>
      <c r="P435" s="4" t="n"/>
      <c r="Q435" s="4" t="n"/>
      <c r="R435" s="4" t="n"/>
      <c r="S435" s="4" t="n"/>
      <c r="T435" s="4" t="n"/>
      <c r="U435" s="4">
        <f>IF(T435="",IFERROR(VLOOKUP($C435,Assumptions!$A$4:$F$7,6,FALSE),0),T435)</f>
        <v/>
      </c>
      <c r="V435" s="4">
        <f>N(M435)*IFERROR(VLOOKUP($C435,Assumptions!$A$4:$F$7,2,FALSE),0)</f>
        <v/>
      </c>
      <c r="W435" s="4">
        <f>N(Q435)*IFERROR(VLOOKUP($C435,Assumptions!$A$4:$F$7,3,FALSE),0)*Assumptions!$B$11</f>
        <v/>
      </c>
      <c r="X435" s="4">
        <f>N(L435)*IFERROR(VLOOKUP($C435,Assumptions!$A$4:$F$7,4,FALSE),0)</f>
        <v/>
      </c>
      <c r="Y435" s="4">
        <f>N(R435)*IFERROR(VLOOKUP($C435,Assumptions!$A$4:$F$7,5,FALSE),0)</f>
        <v/>
      </c>
      <c r="Z435" s="4">
        <f>N(S435)</f>
        <v/>
      </c>
      <c r="AA435" s="4">
        <f>SUM(U435:Z435)</f>
        <v/>
      </c>
      <c r="AB435" s="4">
        <f>N(AA435)*N(K435)/90</f>
        <v/>
      </c>
      <c r="AC435" s="4">
        <f>IFERROR(AB435-VLOOKUP($C435,Assumptions!$A$29:$C$32,3,FALSE),"")</f>
        <v/>
      </c>
      <c r="AD435" s="4">
        <f>IFERROR(AC435/F435,"")</f>
        <v/>
      </c>
      <c r="AE435">
        <f>IF(AND($E435=TRUE,$C435="GKP"),AB435,"")</f>
        <v/>
      </c>
      <c r="AF435">
        <f>IF(AND($E435=TRUE,$C435="DEF"),AB435,"")</f>
        <v/>
      </c>
      <c r="AG435">
        <f>IF(AND($E435=TRUE,$C435="MID"),AB435,"")</f>
        <v/>
      </c>
      <c r="AH435">
        <f>IF(AND($E435=TRUE,$C435="FWD"),AB435,"")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b">
        <v>1</v>
      </c>
      <c r="F436" s="2" t="n">
        <v>5</v>
      </c>
      <c r="G436" t="inlineStr">
        <is>
          <t>a</t>
        </is>
      </c>
      <c r="I436" s="2" t="n">
        <v>0</v>
      </c>
      <c r="J436" t="n">
        <v>0</v>
      </c>
      <c r="K436" s="3" t="n">
        <v>0</v>
      </c>
      <c r="L436" s="3" t="n">
        <v>0.316</v>
      </c>
      <c r="M436" s="4" t="n"/>
      <c r="N436" t="inlineStr"/>
      <c r="O436" s="4" t="n"/>
      <c r="P436" s="4" t="n"/>
      <c r="Q436" s="4" t="n"/>
      <c r="R436" s="4" t="n"/>
      <c r="S436" s="4" t="n"/>
      <c r="T436" s="4" t="n"/>
      <c r="U436" s="4">
        <f>IF(T436="",IFERROR(VLOOKUP($C436,Assumptions!$A$4:$F$7,6,FALSE),0),T436)</f>
        <v/>
      </c>
      <c r="V436" s="4">
        <f>N(M436)*IFERROR(VLOOKUP($C436,Assumptions!$A$4:$F$7,2,FALSE),0)</f>
        <v/>
      </c>
      <c r="W436" s="4">
        <f>N(Q436)*IFERROR(VLOOKUP($C436,Assumptions!$A$4:$F$7,3,FALSE),0)*Assumptions!$B$11</f>
        <v/>
      </c>
      <c r="X436" s="4">
        <f>N(L436)*IFERROR(VLOOKUP($C436,Assumptions!$A$4:$F$7,4,FALSE),0)</f>
        <v/>
      </c>
      <c r="Y436" s="4">
        <f>N(R436)*IFERROR(VLOOKUP($C436,Assumptions!$A$4:$F$7,5,FALSE),0)</f>
        <v/>
      </c>
      <c r="Z436" s="4">
        <f>N(S436)</f>
        <v/>
      </c>
      <c r="AA436" s="4">
        <f>SUM(U436:Z436)</f>
        <v/>
      </c>
      <c r="AB436" s="4">
        <f>N(AA436)*N(K436)/90</f>
        <v/>
      </c>
      <c r="AC436" s="4">
        <f>IFERROR(AB436-VLOOKUP($C436,Assumptions!$A$29:$C$32,3,FALSE),"")</f>
        <v/>
      </c>
      <c r="AD436" s="4">
        <f>IFERROR(AC436/F436,"")</f>
        <v/>
      </c>
      <c r="AE436">
        <f>IF(AND($E436=TRUE,$C436="GKP"),AB436,"")</f>
        <v/>
      </c>
      <c r="AF436">
        <f>IF(AND($E436=TRUE,$C436="DEF"),AB436,"")</f>
        <v/>
      </c>
      <c r="AG436">
        <f>IF(AND($E436=TRUE,$C436="MID"),AB436,"")</f>
        <v/>
      </c>
      <c r="AH436">
        <f>IF(AND($E436=TRUE,$C436="FWD"),AB436,"")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b">
        <v>1</v>
      </c>
      <c r="F437" s="2" t="n">
        <v>5</v>
      </c>
      <c r="G437" t="inlineStr">
        <is>
          <t>i</t>
        </is>
      </c>
      <c r="H437" t="inlineStr">
        <is>
          <t>Hamstring injury - Expected back 23 Aug</t>
        </is>
      </c>
      <c r="I437" s="2" t="n">
        <v>0</v>
      </c>
      <c r="J437" t="n">
        <v>0</v>
      </c>
      <c r="K437" s="3" t="n">
        <v>0</v>
      </c>
      <c r="L437" s="3" t="n">
        <v>0.263</v>
      </c>
      <c r="M437" s="4" t="n"/>
      <c r="N437" t="inlineStr"/>
      <c r="O437" s="4" t="n"/>
      <c r="P437" s="4" t="n"/>
      <c r="Q437" s="4" t="n"/>
      <c r="R437" s="4" t="n"/>
      <c r="S437" s="4" t="n"/>
      <c r="T437" s="4" t="n"/>
      <c r="U437" s="4">
        <f>IF(T437="",IFERROR(VLOOKUP($C437,Assumptions!$A$4:$F$7,6,FALSE),0),T437)</f>
        <v/>
      </c>
      <c r="V437" s="4">
        <f>N(M437)*IFERROR(VLOOKUP($C437,Assumptions!$A$4:$F$7,2,FALSE),0)</f>
        <v/>
      </c>
      <c r="W437" s="4">
        <f>N(Q437)*IFERROR(VLOOKUP($C437,Assumptions!$A$4:$F$7,3,FALSE),0)*Assumptions!$B$11</f>
        <v/>
      </c>
      <c r="X437" s="4">
        <f>N(L437)*IFERROR(VLOOKUP($C437,Assumptions!$A$4:$F$7,4,FALSE),0)</f>
        <v/>
      </c>
      <c r="Y437" s="4">
        <f>N(R437)*IFERROR(VLOOKUP($C437,Assumptions!$A$4:$F$7,5,FALSE),0)</f>
        <v/>
      </c>
      <c r="Z437" s="4">
        <f>N(S437)</f>
        <v/>
      </c>
      <c r="AA437" s="4">
        <f>SUM(U437:Z437)</f>
        <v/>
      </c>
      <c r="AB437" s="4">
        <f>N(AA437)*N(K437)/90</f>
        <v/>
      </c>
      <c r="AC437" s="4">
        <f>IFERROR(AB437-VLOOKUP($C437,Assumptions!$A$29:$C$32,3,FALSE),"")</f>
        <v/>
      </c>
      <c r="AD437" s="4">
        <f>IFERROR(AC437/F437,"")</f>
        <v/>
      </c>
      <c r="AE437">
        <f>IF(AND($E437=TRUE,$C437="GKP"),AB437,"")</f>
        <v/>
      </c>
      <c r="AF437">
        <f>IF(AND($E437=TRUE,$C437="DEF"),AB437,"")</f>
        <v/>
      </c>
      <c r="AG437">
        <f>IF(AND($E437=TRUE,$C437="MID"),AB437,"")</f>
        <v/>
      </c>
      <c r="AH437">
        <f>IF(AND($E437=TRUE,$C437="FWD"),AB437,"")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b">
        <v>1</v>
      </c>
      <c r="F438" s="2" t="n">
        <v>4</v>
      </c>
      <c r="G438" t="inlineStr">
        <is>
          <t>a</t>
        </is>
      </c>
      <c r="I438" s="2" t="n">
        <v>0</v>
      </c>
      <c r="J438" t="n">
        <v>0</v>
      </c>
      <c r="K438" s="3" t="n">
        <v>0</v>
      </c>
      <c r="L438" s="3" t="n">
        <v>0.263</v>
      </c>
      <c r="M438" s="4" t="n"/>
      <c r="N438" t="inlineStr"/>
      <c r="O438" s="4" t="n"/>
      <c r="P438" s="4" t="n"/>
      <c r="Q438" s="4" t="n"/>
      <c r="R438" s="4" t="n"/>
      <c r="S438" s="4" t="n"/>
      <c r="T438" s="4" t="n"/>
      <c r="U438" s="4">
        <f>IF(T438="",IFERROR(VLOOKUP($C438,Assumptions!$A$4:$F$7,6,FALSE),0),T438)</f>
        <v/>
      </c>
      <c r="V438" s="4">
        <f>N(M438)*IFERROR(VLOOKUP($C438,Assumptions!$A$4:$F$7,2,FALSE),0)</f>
        <v/>
      </c>
      <c r="W438" s="4">
        <f>N(Q438)*IFERROR(VLOOKUP($C438,Assumptions!$A$4:$F$7,3,FALSE),0)*Assumptions!$B$11</f>
        <v/>
      </c>
      <c r="X438" s="4">
        <f>N(L438)*IFERROR(VLOOKUP($C438,Assumptions!$A$4:$F$7,4,FALSE),0)</f>
        <v/>
      </c>
      <c r="Y438" s="4">
        <f>N(R438)*IFERROR(VLOOKUP($C438,Assumptions!$A$4:$F$7,5,FALSE),0)</f>
        <v/>
      </c>
      <c r="Z438" s="4">
        <f>N(S438)</f>
        <v/>
      </c>
      <c r="AA438" s="4">
        <f>SUM(U438:Z438)</f>
        <v/>
      </c>
      <c r="AB438" s="4">
        <f>N(AA438)*N(K438)/90</f>
        <v/>
      </c>
      <c r="AC438" s="4">
        <f>IFERROR(AB438-VLOOKUP($C438,Assumptions!$A$29:$C$32,3,FALSE),"")</f>
        <v/>
      </c>
      <c r="AD438" s="4">
        <f>IFERROR(AC438/F438,"")</f>
        <v/>
      </c>
      <c r="AE438">
        <f>IF(AND($E438=TRUE,$C438="GKP"),AB438,"")</f>
        <v/>
      </c>
      <c r="AF438">
        <f>IF(AND($E438=TRUE,$C438="DEF"),AB438,"")</f>
        <v/>
      </c>
      <c r="AG438">
        <f>IF(AND($E438=TRUE,$C438="MID"),AB438,"")</f>
        <v/>
      </c>
      <c r="AH438">
        <f>IF(AND($E438=TRUE,$C438="FWD"),AB438,"")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b">
        <v>1</v>
      </c>
      <c r="F439" s="2" t="n">
        <v>6.5</v>
      </c>
      <c r="G439" t="inlineStr">
        <is>
          <t>a</t>
        </is>
      </c>
      <c r="I439" s="2" t="n">
        <v>0</v>
      </c>
      <c r="J439" t="n">
        <v>0</v>
      </c>
      <c r="K439" s="3" t="n">
        <v>0</v>
      </c>
      <c r="L439" s="3" t="n">
        <v>0.237</v>
      </c>
      <c r="M439" s="4" t="n"/>
      <c r="N439" t="inlineStr"/>
      <c r="O439" s="4" t="n"/>
      <c r="P439" s="4" t="n"/>
      <c r="Q439" s="4" t="n"/>
      <c r="R439" s="4" t="n"/>
      <c r="S439" s="4" t="n"/>
      <c r="T439" s="4" t="n"/>
      <c r="U439" s="4">
        <f>IF(T439="",IFERROR(VLOOKUP($C439,Assumptions!$A$4:$F$7,6,FALSE),0),T439)</f>
        <v/>
      </c>
      <c r="V439" s="4">
        <f>N(M439)*IFERROR(VLOOKUP($C439,Assumptions!$A$4:$F$7,2,FALSE),0)</f>
        <v/>
      </c>
      <c r="W439" s="4">
        <f>N(Q439)*IFERROR(VLOOKUP($C439,Assumptions!$A$4:$F$7,3,FALSE),0)*Assumptions!$B$11</f>
        <v/>
      </c>
      <c r="X439" s="4">
        <f>N(L439)*IFERROR(VLOOKUP($C439,Assumptions!$A$4:$F$7,4,FALSE),0)</f>
        <v/>
      </c>
      <c r="Y439" s="4">
        <f>N(R439)*IFERROR(VLOOKUP($C439,Assumptions!$A$4:$F$7,5,FALSE),0)</f>
        <v/>
      </c>
      <c r="Z439" s="4">
        <f>N(S439)</f>
        <v/>
      </c>
      <c r="AA439" s="4">
        <f>SUM(U439:Z439)</f>
        <v/>
      </c>
      <c r="AB439" s="4">
        <f>N(AA439)*N(K439)/90</f>
        <v/>
      </c>
      <c r="AC439" s="4">
        <f>IFERROR(AB439-VLOOKUP($C439,Assumptions!$A$29:$C$32,3,FALSE),"")</f>
        <v/>
      </c>
      <c r="AD439" s="4">
        <f>IFERROR(AC439/F439,"")</f>
        <v/>
      </c>
      <c r="AE439">
        <f>IF(AND($E439=TRUE,$C439="GKP"),AB439,"")</f>
        <v/>
      </c>
      <c r="AF439">
        <f>IF(AND($E439=TRUE,$C439="DEF"),AB439,"")</f>
        <v/>
      </c>
      <c r="AG439">
        <f>IF(AND($E439=TRUE,$C439="MID"),AB439,"")</f>
        <v/>
      </c>
      <c r="AH439">
        <f>IF(AND($E439=TRUE,$C439="FWD"),AB439,"")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b">
        <v>1</v>
      </c>
      <c r="F440" s="2" t="n">
        <v>4.5</v>
      </c>
      <c r="G440" t="inlineStr">
        <is>
          <t>i</t>
        </is>
      </c>
      <c r="H440" t="inlineStr">
        <is>
          <t>Knee injury - Unknown return date</t>
        </is>
      </c>
      <c r="I440" s="2" t="n">
        <v>0</v>
      </c>
      <c r="J440" t="n">
        <v>0</v>
      </c>
      <c r="K440" s="3" t="n">
        <v>0</v>
      </c>
      <c r="L440" s="3" t="n">
        <v>0.21</v>
      </c>
      <c r="M440" s="4" t="n"/>
      <c r="N440" t="inlineStr"/>
      <c r="O440" s="4" t="n"/>
      <c r="P440" s="4" t="n"/>
      <c r="Q440" s="4" t="n"/>
      <c r="R440" s="4" t="n"/>
      <c r="S440" s="4" t="n"/>
      <c r="T440" s="4" t="n"/>
      <c r="U440" s="4">
        <f>IF(T440="",IFERROR(VLOOKUP($C440,Assumptions!$A$4:$F$7,6,FALSE),0),T440)</f>
        <v/>
      </c>
      <c r="V440" s="4">
        <f>N(M440)*IFERROR(VLOOKUP($C440,Assumptions!$A$4:$F$7,2,FALSE),0)</f>
        <v/>
      </c>
      <c r="W440" s="4">
        <f>N(Q440)*IFERROR(VLOOKUP($C440,Assumptions!$A$4:$F$7,3,FALSE),0)*Assumptions!$B$11</f>
        <v/>
      </c>
      <c r="X440" s="4">
        <f>N(L440)*IFERROR(VLOOKUP($C440,Assumptions!$A$4:$F$7,4,FALSE),0)</f>
        <v/>
      </c>
      <c r="Y440" s="4">
        <f>N(R440)*IFERROR(VLOOKUP($C440,Assumptions!$A$4:$F$7,5,FALSE),0)</f>
        <v/>
      </c>
      <c r="Z440" s="4">
        <f>N(S440)</f>
        <v/>
      </c>
      <c r="AA440" s="4">
        <f>SUM(U440:Z440)</f>
        <v/>
      </c>
      <c r="AB440" s="4">
        <f>N(AA440)*N(K440)/90</f>
        <v/>
      </c>
      <c r="AC440" s="4">
        <f>IFERROR(AB440-VLOOKUP($C440,Assumptions!$A$29:$C$32,3,FALSE),"")</f>
        <v/>
      </c>
      <c r="AD440" s="4">
        <f>IFERROR(AC440/F440,"")</f>
        <v/>
      </c>
      <c r="AE440">
        <f>IF(AND($E440=TRUE,$C440="GKP"),AB440,"")</f>
        <v/>
      </c>
      <c r="AF440">
        <f>IF(AND($E440=TRUE,$C440="DEF"),AB440,"")</f>
        <v/>
      </c>
      <c r="AG440">
        <f>IF(AND($E440=TRUE,$C440="MID"),AB440,"")</f>
        <v/>
      </c>
      <c r="AH440">
        <f>IF(AND($E440=TRUE,$C440="FWD"),AB440,"")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b">
        <v>1</v>
      </c>
      <c r="F441" s="2" t="n">
        <v>4.5</v>
      </c>
      <c r="G441" t="inlineStr">
        <is>
          <t>a</t>
        </is>
      </c>
      <c r="I441" s="2" t="n">
        <v>0</v>
      </c>
      <c r="J441" t="n">
        <v>0</v>
      </c>
      <c r="K441" s="3" t="n">
        <v>0</v>
      </c>
      <c r="L441" s="3" t="n">
        <v>0.263</v>
      </c>
      <c r="M441" s="4" t="n"/>
      <c r="N441" t="inlineStr"/>
      <c r="O441" s="4" t="n"/>
      <c r="P441" s="4" t="n"/>
      <c r="Q441" s="4" t="n"/>
      <c r="R441" s="4" t="n"/>
      <c r="S441" s="4" t="n"/>
      <c r="T441" s="4" t="n"/>
      <c r="U441" s="4">
        <f>IF(T441="",IFERROR(VLOOKUP($C441,Assumptions!$A$4:$F$7,6,FALSE),0),T441)</f>
        <v/>
      </c>
      <c r="V441" s="4">
        <f>N(M441)*IFERROR(VLOOKUP($C441,Assumptions!$A$4:$F$7,2,FALSE),0)</f>
        <v/>
      </c>
      <c r="W441" s="4">
        <f>N(Q441)*IFERROR(VLOOKUP($C441,Assumptions!$A$4:$F$7,3,FALSE),0)*Assumptions!$B$11</f>
        <v/>
      </c>
      <c r="X441" s="4">
        <f>N(L441)*IFERROR(VLOOKUP($C441,Assumptions!$A$4:$F$7,4,FALSE),0)</f>
        <v/>
      </c>
      <c r="Y441" s="4">
        <f>N(R441)*IFERROR(VLOOKUP($C441,Assumptions!$A$4:$F$7,5,FALSE),0)</f>
        <v/>
      </c>
      <c r="Z441" s="4">
        <f>N(S441)</f>
        <v/>
      </c>
      <c r="AA441" s="4">
        <f>SUM(U441:Z441)</f>
        <v/>
      </c>
      <c r="AB441" s="4">
        <f>N(AA441)*N(K441)/90</f>
        <v/>
      </c>
      <c r="AC441" s="4">
        <f>IFERROR(AB441-VLOOKUP($C441,Assumptions!$A$29:$C$32,3,FALSE),"")</f>
        <v/>
      </c>
      <c r="AD441" s="4">
        <f>IFERROR(AC441/F441,"")</f>
        <v/>
      </c>
      <c r="AE441">
        <f>IF(AND($E441=TRUE,$C441="GKP"),AB441,"")</f>
        <v/>
      </c>
      <c r="AF441">
        <f>IF(AND($E441=TRUE,$C441="DEF"),AB441,"")</f>
        <v/>
      </c>
      <c r="AG441">
        <f>IF(AND($E441=TRUE,$C441="MID"),AB441,"")</f>
        <v/>
      </c>
      <c r="AH441">
        <f>IF(AND($E441=TRUE,$C441="FWD"),AB441,"")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b">
        <v>1</v>
      </c>
      <c r="F442" s="2" t="n">
        <v>4</v>
      </c>
      <c r="G442" t="inlineStr">
        <is>
          <t>a</t>
        </is>
      </c>
      <c r="I442" s="2" t="n">
        <v>0</v>
      </c>
      <c r="J442" t="n">
        <v>0</v>
      </c>
      <c r="K442" s="3" t="n">
        <v>0</v>
      </c>
      <c r="L442" s="3" t="n">
        <v>0.237</v>
      </c>
      <c r="M442" s="4" t="n"/>
      <c r="N442" t="inlineStr"/>
      <c r="O442" s="4" t="n"/>
      <c r="P442" s="4" t="n"/>
      <c r="Q442" s="4" t="n"/>
      <c r="R442" s="4" t="n">
        <v>0</v>
      </c>
      <c r="S442" s="4" t="n"/>
      <c r="T442" s="4" t="n"/>
      <c r="U442" s="4">
        <f>IF(T442="",IFERROR(VLOOKUP($C442,Assumptions!$A$4:$F$7,6,FALSE),0),T442)</f>
        <v/>
      </c>
      <c r="V442" s="4">
        <f>N(M442)*IFERROR(VLOOKUP($C442,Assumptions!$A$4:$F$7,2,FALSE),0)</f>
        <v/>
      </c>
      <c r="W442" s="4">
        <f>N(Q442)*IFERROR(VLOOKUP($C442,Assumptions!$A$4:$F$7,3,FALSE),0)*Assumptions!$B$11</f>
        <v/>
      </c>
      <c r="X442" s="4">
        <f>N(L442)*IFERROR(VLOOKUP($C442,Assumptions!$A$4:$F$7,4,FALSE),0)</f>
        <v/>
      </c>
      <c r="Y442" s="4">
        <f>N(R442)*IFERROR(VLOOKUP($C442,Assumptions!$A$4:$F$7,5,FALSE),0)</f>
        <v/>
      </c>
      <c r="Z442" s="4">
        <f>N(S442)</f>
        <v/>
      </c>
      <c r="AA442" s="4">
        <f>SUM(U442:Z442)</f>
        <v/>
      </c>
      <c r="AB442" s="4">
        <f>N(AA442)*N(K442)/90</f>
        <v/>
      </c>
      <c r="AC442" s="4">
        <f>IFERROR(AB442-VLOOKUP($C442,Assumptions!$A$29:$C$32,3,FALSE),"")</f>
        <v/>
      </c>
      <c r="AD442" s="4">
        <f>IFERROR(AC442/F442,"")</f>
        <v/>
      </c>
      <c r="AE442">
        <f>IF(AND($E442=TRUE,$C442="GKP"),AB442,"")</f>
        <v/>
      </c>
      <c r="AF442">
        <f>IF(AND($E442=TRUE,$C442="DEF"),AB442,"")</f>
        <v/>
      </c>
      <c r="AG442">
        <f>IF(AND($E442=TRUE,$C442="MID"),AB442,"")</f>
        <v/>
      </c>
      <c r="AH442">
        <f>IF(AND($E442=TRUE,$C442="FWD"),AB442,"")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b">
        <v>1</v>
      </c>
      <c r="F443" s="2" t="n">
        <v>4.5</v>
      </c>
      <c r="G443" t="inlineStr">
        <is>
          <t>i</t>
        </is>
      </c>
      <c r="H443" t="inlineStr">
        <is>
          <t>Unspecified injury - Unknown return date</t>
        </is>
      </c>
      <c r="I443" s="2" t="n">
        <v>0</v>
      </c>
      <c r="J443" t="n">
        <v>0</v>
      </c>
      <c r="K443" s="3" t="n">
        <v>0</v>
      </c>
      <c r="L443" s="3" t="n">
        <v>0.263</v>
      </c>
      <c r="M443" s="4" t="n"/>
      <c r="N443" t="inlineStr"/>
      <c r="O443" s="4" t="n"/>
      <c r="P443" s="4" t="n"/>
      <c r="Q443" s="4" t="n"/>
      <c r="R443" s="4" t="n"/>
      <c r="S443" s="4" t="n"/>
      <c r="T443" s="4" t="n"/>
      <c r="U443" s="4">
        <f>IF(T443="",IFERROR(VLOOKUP($C443,Assumptions!$A$4:$F$7,6,FALSE),0),T443)</f>
        <v/>
      </c>
      <c r="V443" s="4">
        <f>N(M443)*IFERROR(VLOOKUP($C443,Assumptions!$A$4:$F$7,2,FALSE),0)</f>
        <v/>
      </c>
      <c r="W443" s="4">
        <f>N(Q443)*IFERROR(VLOOKUP($C443,Assumptions!$A$4:$F$7,3,FALSE),0)*Assumptions!$B$11</f>
        <v/>
      </c>
      <c r="X443" s="4">
        <f>N(L443)*IFERROR(VLOOKUP($C443,Assumptions!$A$4:$F$7,4,FALSE),0)</f>
        <v/>
      </c>
      <c r="Y443" s="4">
        <f>N(R443)*IFERROR(VLOOKUP($C443,Assumptions!$A$4:$F$7,5,FALSE),0)</f>
        <v/>
      </c>
      <c r="Z443" s="4">
        <f>N(S443)</f>
        <v/>
      </c>
      <c r="AA443" s="4">
        <f>SUM(U443:Z443)</f>
        <v/>
      </c>
      <c r="AB443" s="4">
        <f>N(AA443)*N(K443)/90</f>
        <v/>
      </c>
      <c r="AC443" s="4">
        <f>IFERROR(AB443-VLOOKUP($C443,Assumptions!$A$29:$C$32,3,FALSE),"")</f>
        <v/>
      </c>
      <c r="AD443" s="4">
        <f>IFERROR(AC443/F443,"")</f>
        <v/>
      </c>
      <c r="AE443">
        <f>IF(AND($E443=TRUE,$C443="GKP"),AB443,"")</f>
        <v/>
      </c>
      <c r="AF443">
        <f>IF(AND($E443=TRUE,$C443="DEF"),AB443,"")</f>
        <v/>
      </c>
      <c r="AG443">
        <f>IF(AND($E443=TRUE,$C443="MID"),AB443,"")</f>
        <v/>
      </c>
      <c r="AH443">
        <f>IF(AND($E443=TRUE,$C443="FWD"),AB443,"")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b">
        <v>1</v>
      </c>
      <c r="F444" s="2" t="n">
        <v>5</v>
      </c>
      <c r="G444" t="inlineStr">
        <is>
          <t>a</t>
        </is>
      </c>
      <c r="I444" s="2" t="n">
        <v>0</v>
      </c>
      <c r="J444" t="n">
        <v>0</v>
      </c>
      <c r="K444" s="3" t="n">
        <v>0</v>
      </c>
      <c r="L444" s="3" t="n">
        <v>0.421</v>
      </c>
      <c r="M444" s="4" t="n"/>
      <c r="N444" t="inlineStr"/>
      <c r="O444" s="4" t="n"/>
      <c r="P444" s="4" t="n"/>
      <c r="Q444" s="4" t="n"/>
      <c r="R444" s="4" t="n"/>
      <c r="S444" s="4" t="n"/>
      <c r="T444" s="4" t="n"/>
      <c r="U444" s="4">
        <f>IF(T444="",IFERROR(VLOOKUP($C444,Assumptions!$A$4:$F$7,6,FALSE),0),T444)</f>
        <v/>
      </c>
      <c r="V444" s="4">
        <f>N(M444)*IFERROR(VLOOKUP($C444,Assumptions!$A$4:$F$7,2,FALSE),0)</f>
        <v/>
      </c>
      <c r="W444" s="4">
        <f>N(Q444)*IFERROR(VLOOKUP($C444,Assumptions!$A$4:$F$7,3,FALSE),0)*Assumptions!$B$11</f>
        <v/>
      </c>
      <c r="X444" s="4">
        <f>N(L444)*IFERROR(VLOOKUP($C444,Assumptions!$A$4:$F$7,4,FALSE),0)</f>
        <v/>
      </c>
      <c r="Y444" s="4">
        <f>N(R444)*IFERROR(VLOOKUP($C444,Assumptions!$A$4:$F$7,5,FALSE),0)</f>
        <v/>
      </c>
      <c r="Z444" s="4">
        <f>N(S444)</f>
        <v/>
      </c>
      <c r="AA444" s="4">
        <f>SUM(U444:Z444)</f>
        <v/>
      </c>
      <c r="AB444" s="4">
        <f>N(AA444)*N(K444)/90</f>
        <v/>
      </c>
      <c r="AC444" s="4">
        <f>IFERROR(AB444-VLOOKUP($C444,Assumptions!$A$29:$C$32,3,FALSE),"")</f>
        <v/>
      </c>
      <c r="AD444" s="4">
        <f>IFERROR(AC444/F444,"")</f>
        <v/>
      </c>
      <c r="AE444">
        <f>IF(AND($E444=TRUE,$C444="GKP"),AB444,"")</f>
        <v/>
      </c>
      <c r="AF444">
        <f>IF(AND($E444=TRUE,$C444="DEF"),AB444,"")</f>
        <v/>
      </c>
      <c r="AG444">
        <f>IF(AND($E444=TRUE,$C444="MID"),AB444,"")</f>
        <v/>
      </c>
      <c r="AH444">
        <f>IF(AND($E444=TRUE,$C444="FWD"),AB444,"")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b">
        <v>1</v>
      </c>
      <c r="F445" s="2" t="n">
        <v>5</v>
      </c>
      <c r="G445" t="inlineStr">
        <is>
          <t>a</t>
        </is>
      </c>
      <c r="I445" s="2" t="n">
        <v>0</v>
      </c>
      <c r="J445" t="n">
        <v>0</v>
      </c>
      <c r="K445" s="3" t="n">
        <v>0</v>
      </c>
      <c r="L445" s="3" t="n">
        <v>0.237</v>
      </c>
      <c r="M445" s="4" t="n"/>
      <c r="N445" t="inlineStr"/>
      <c r="O445" s="4" t="n"/>
      <c r="P445" s="4" t="n"/>
      <c r="Q445" s="4" t="n"/>
      <c r="R445" s="4" t="n"/>
      <c r="S445" s="4" t="n"/>
      <c r="T445" s="4" t="n"/>
      <c r="U445" s="4">
        <f>IF(T445="",IFERROR(VLOOKUP($C445,Assumptions!$A$4:$F$7,6,FALSE),0),T445)</f>
        <v/>
      </c>
      <c r="V445" s="4">
        <f>N(M445)*IFERROR(VLOOKUP($C445,Assumptions!$A$4:$F$7,2,FALSE),0)</f>
        <v/>
      </c>
      <c r="W445" s="4">
        <f>N(Q445)*IFERROR(VLOOKUP($C445,Assumptions!$A$4:$F$7,3,FALSE),0)*Assumptions!$B$11</f>
        <v/>
      </c>
      <c r="X445" s="4">
        <f>N(L445)*IFERROR(VLOOKUP($C445,Assumptions!$A$4:$F$7,4,FALSE),0)</f>
        <v/>
      </c>
      <c r="Y445" s="4">
        <f>N(R445)*IFERROR(VLOOKUP($C445,Assumptions!$A$4:$F$7,5,FALSE),0)</f>
        <v/>
      </c>
      <c r="Z445" s="4">
        <f>N(S445)</f>
        <v/>
      </c>
      <c r="AA445" s="4">
        <f>SUM(U445:Z445)</f>
        <v/>
      </c>
      <c r="AB445" s="4">
        <f>N(AA445)*N(K445)/90</f>
        <v/>
      </c>
      <c r="AC445" s="4">
        <f>IFERROR(AB445-VLOOKUP($C445,Assumptions!$A$29:$C$32,3,FALSE),"")</f>
        <v/>
      </c>
      <c r="AD445" s="4">
        <f>IFERROR(AC445/F445,"")</f>
        <v/>
      </c>
      <c r="AE445">
        <f>IF(AND($E445=TRUE,$C445="GKP"),AB445,"")</f>
        <v/>
      </c>
      <c r="AF445">
        <f>IF(AND($E445=TRUE,$C445="DEF"),AB445,"")</f>
        <v/>
      </c>
      <c r="AG445">
        <f>IF(AND($E445=TRUE,$C445="MID"),AB445,"")</f>
        <v/>
      </c>
      <c r="AH445">
        <f>IF(AND($E445=TRUE,$C445="FWD"),AB445,"")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b">
        <v>1</v>
      </c>
      <c r="F446" s="2" t="n">
        <v>4</v>
      </c>
      <c r="G446" t="inlineStr">
        <is>
          <t>a</t>
        </is>
      </c>
      <c r="I446" s="2" t="n">
        <v>0</v>
      </c>
      <c r="J446" t="n">
        <v>0</v>
      </c>
      <c r="K446" s="3" t="n">
        <v>0</v>
      </c>
      <c r="L446" s="3" t="n">
        <v>0.29</v>
      </c>
      <c r="M446" s="4" t="n"/>
      <c r="N446" t="inlineStr"/>
      <c r="O446" s="4" t="n"/>
      <c r="P446" s="4" t="n"/>
      <c r="Q446" s="4" t="n"/>
      <c r="R446" s="4" t="n"/>
      <c r="S446" s="4" t="n"/>
      <c r="T446" s="4" t="n"/>
      <c r="U446" s="4">
        <f>IF(T446="",IFERROR(VLOOKUP($C446,Assumptions!$A$4:$F$7,6,FALSE),0),T446)</f>
        <v/>
      </c>
      <c r="V446" s="4">
        <f>N(M446)*IFERROR(VLOOKUP($C446,Assumptions!$A$4:$F$7,2,FALSE),0)</f>
        <v/>
      </c>
      <c r="W446" s="4">
        <f>N(Q446)*IFERROR(VLOOKUP($C446,Assumptions!$A$4:$F$7,3,FALSE),0)*Assumptions!$B$11</f>
        <v/>
      </c>
      <c r="X446" s="4">
        <f>N(L446)*IFERROR(VLOOKUP($C446,Assumptions!$A$4:$F$7,4,FALSE),0)</f>
        <v/>
      </c>
      <c r="Y446" s="4">
        <f>N(R446)*IFERROR(VLOOKUP($C446,Assumptions!$A$4:$F$7,5,FALSE),0)</f>
        <v/>
      </c>
      <c r="Z446" s="4">
        <f>N(S446)</f>
        <v/>
      </c>
      <c r="AA446" s="4">
        <f>SUM(U446:Z446)</f>
        <v/>
      </c>
      <c r="AB446" s="4">
        <f>N(AA446)*N(K446)/90</f>
        <v/>
      </c>
      <c r="AC446" s="4">
        <f>IFERROR(AB446-VLOOKUP($C446,Assumptions!$A$29:$C$32,3,FALSE),"")</f>
        <v/>
      </c>
      <c r="AD446" s="4">
        <f>IFERROR(AC446/F446,"")</f>
        <v/>
      </c>
      <c r="AE446">
        <f>IF(AND($E446=TRUE,$C446="GKP"),AB446,"")</f>
        <v/>
      </c>
      <c r="AF446">
        <f>IF(AND($E446=TRUE,$C446="DEF"),AB446,"")</f>
        <v/>
      </c>
      <c r="AG446">
        <f>IF(AND($E446=TRUE,$C446="MID"),AB446,"")</f>
        <v/>
      </c>
      <c r="AH446">
        <f>IF(AND($E446=TRUE,$C446="FWD"),AB446,"")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b">
        <v>1</v>
      </c>
      <c r="F447" s="2" t="n">
        <v>5</v>
      </c>
      <c r="G447" t="inlineStr">
        <is>
          <t>a</t>
        </is>
      </c>
      <c r="I447" s="2" t="n">
        <v>0</v>
      </c>
      <c r="J447" t="n">
        <v>0</v>
      </c>
      <c r="K447" s="3" t="n">
        <v>0</v>
      </c>
      <c r="L447" s="3" t="n">
        <v>0.21</v>
      </c>
      <c r="M447" s="4" t="n"/>
      <c r="N447" t="inlineStr"/>
      <c r="O447" s="4" t="n"/>
      <c r="P447" s="4" t="n"/>
      <c r="Q447" s="4" t="n"/>
      <c r="R447" s="4" t="n"/>
      <c r="S447" s="4" t="n"/>
      <c r="T447" s="4" t="n"/>
      <c r="U447" s="4">
        <f>IF(T447="",IFERROR(VLOOKUP($C447,Assumptions!$A$4:$F$7,6,FALSE),0),T447)</f>
        <v/>
      </c>
      <c r="V447" s="4">
        <f>N(M447)*IFERROR(VLOOKUP($C447,Assumptions!$A$4:$F$7,2,FALSE),0)</f>
        <v/>
      </c>
      <c r="W447" s="4">
        <f>N(Q447)*IFERROR(VLOOKUP($C447,Assumptions!$A$4:$F$7,3,FALSE),0)*Assumptions!$B$11</f>
        <v/>
      </c>
      <c r="X447" s="4">
        <f>N(L447)*IFERROR(VLOOKUP($C447,Assumptions!$A$4:$F$7,4,FALSE),0)</f>
        <v/>
      </c>
      <c r="Y447" s="4">
        <f>N(R447)*IFERROR(VLOOKUP($C447,Assumptions!$A$4:$F$7,5,FALSE),0)</f>
        <v/>
      </c>
      <c r="Z447" s="4">
        <f>N(S447)</f>
        <v/>
      </c>
      <c r="AA447" s="4">
        <f>SUM(U447:Z447)</f>
        <v/>
      </c>
      <c r="AB447" s="4">
        <f>N(AA447)*N(K447)/90</f>
        <v/>
      </c>
      <c r="AC447" s="4">
        <f>IFERROR(AB447-VLOOKUP($C447,Assumptions!$A$29:$C$32,3,FALSE),"")</f>
        <v/>
      </c>
      <c r="AD447" s="4">
        <f>IFERROR(AC447/F447,"")</f>
        <v/>
      </c>
      <c r="AE447">
        <f>IF(AND($E447=TRUE,$C447="GKP"),AB447,"")</f>
        <v/>
      </c>
      <c r="AF447">
        <f>IF(AND($E447=TRUE,$C447="DEF"),AB447,"")</f>
        <v/>
      </c>
      <c r="AG447">
        <f>IF(AND($E447=TRUE,$C447="MID"),AB447,"")</f>
        <v/>
      </c>
      <c r="AH447">
        <f>IF(AND($E447=TRUE,$C447="FWD"),AB447,"")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b">
        <v>1</v>
      </c>
      <c r="F448" s="2" t="n">
        <v>4.5</v>
      </c>
      <c r="G448" t="inlineStr">
        <is>
          <t>a</t>
        </is>
      </c>
      <c r="I448" s="2" t="n">
        <v>0</v>
      </c>
      <c r="J448" t="n">
        <v>0</v>
      </c>
      <c r="K448" s="3" t="n">
        <v>0</v>
      </c>
      <c r="L448" s="3" t="n">
        <v>0.21</v>
      </c>
      <c r="M448" s="4" t="n"/>
      <c r="N448" t="inlineStr"/>
      <c r="O448" s="4" t="n"/>
      <c r="P448" s="4" t="n"/>
      <c r="Q448" s="4" t="n"/>
      <c r="R448" s="4" t="n"/>
      <c r="S448" s="4" t="n"/>
      <c r="T448" s="4" t="n"/>
      <c r="U448" s="4">
        <f>IF(T448="",IFERROR(VLOOKUP($C448,Assumptions!$A$4:$F$7,6,FALSE),0),T448)</f>
        <v/>
      </c>
      <c r="V448" s="4">
        <f>N(M448)*IFERROR(VLOOKUP($C448,Assumptions!$A$4:$F$7,2,FALSE),0)</f>
        <v/>
      </c>
      <c r="W448" s="4">
        <f>N(Q448)*IFERROR(VLOOKUP($C448,Assumptions!$A$4:$F$7,3,FALSE),0)*Assumptions!$B$11</f>
        <v/>
      </c>
      <c r="X448" s="4">
        <f>N(L448)*IFERROR(VLOOKUP($C448,Assumptions!$A$4:$F$7,4,FALSE),0)</f>
        <v/>
      </c>
      <c r="Y448" s="4">
        <f>N(R448)*IFERROR(VLOOKUP($C448,Assumptions!$A$4:$F$7,5,FALSE),0)</f>
        <v/>
      </c>
      <c r="Z448" s="4">
        <f>N(S448)</f>
        <v/>
      </c>
      <c r="AA448" s="4">
        <f>SUM(U448:Z448)</f>
        <v/>
      </c>
      <c r="AB448" s="4">
        <f>N(AA448)*N(K448)/90</f>
        <v/>
      </c>
      <c r="AC448" s="4">
        <f>IFERROR(AB448-VLOOKUP($C448,Assumptions!$A$29:$C$32,3,FALSE),"")</f>
        <v/>
      </c>
      <c r="AD448" s="4">
        <f>IFERROR(AC448/F448,"")</f>
        <v/>
      </c>
      <c r="AE448">
        <f>IF(AND($E448=TRUE,$C448="GKP"),AB448,"")</f>
        <v/>
      </c>
      <c r="AF448">
        <f>IF(AND($E448=TRUE,$C448="DEF"),AB448,"")</f>
        <v/>
      </c>
      <c r="AG448">
        <f>IF(AND($E448=TRUE,$C448="MID"),AB448,"")</f>
        <v/>
      </c>
      <c r="AH448">
        <f>IF(AND($E448=TRUE,$C448="FWD"),AB448,"")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b">
        <v>1</v>
      </c>
      <c r="F449" s="2" t="n">
        <v>4</v>
      </c>
      <c r="G449" t="inlineStr">
        <is>
          <t>a</t>
        </is>
      </c>
      <c r="I449" s="2" t="n">
        <v>0</v>
      </c>
      <c r="J449" t="n">
        <v>0</v>
      </c>
      <c r="K449" s="3" t="n">
        <v>0</v>
      </c>
      <c r="L449" s="3" t="n">
        <v>0.263</v>
      </c>
      <c r="M449" s="4" t="n"/>
      <c r="N449" t="inlineStr"/>
      <c r="O449" s="4" t="n"/>
      <c r="P449" s="4" t="n"/>
      <c r="Q449" s="4" t="n"/>
      <c r="R449" s="4" t="n"/>
      <c r="S449" s="4" t="n"/>
      <c r="T449" s="4" t="n"/>
      <c r="U449" s="4">
        <f>IF(T449="",IFERROR(VLOOKUP($C449,Assumptions!$A$4:$F$7,6,FALSE),0),T449)</f>
        <v/>
      </c>
      <c r="V449" s="4">
        <f>N(M449)*IFERROR(VLOOKUP($C449,Assumptions!$A$4:$F$7,2,FALSE),0)</f>
        <v/>
      </c>
      <c r="W449" s="4">
        <f>N(Q449)*IFERROR(VLOOKUP($C449,Assumptions!$A$4:$F$7,3,FALSE),0)*Assumptions!$B$11</f>
        <v/>
      </c>
      <c r="X449" s="4">
        <f>N(L449)*IFERROR(VLOOKUP($C449,Assumptions!$A$4:$F$7,4,FALSE),0)</f>
        <v/>
      </c>
      <c r="Y449" s="4">
        <f>N(R449)*IFERROR(VLOOKUP($C449,Assumptions!$A$4:$F$7,5,FALSE),0)</f>
        <v/>
      </c>
      <c r="Z449" s="4">
        <f>N(S449)</f>
        <v/>
      </c>
      <c r="AA449" s="4">
        <f>SUM(U449:Z449)</f>
        <v/>
      </c>
      <c r="AB449" s="4">
        <f>N(AA449)*N(K449)/90</f>
        <v/>
      </c>
      <c r="AC449" s="4">
        <f>IFERROR(AB449-VLOOKUP($C449,Assumptions!$A$29:$C$32,3,FALSE),"")</f>
        <v/>
      </c>
      <c r="AD449" s="4">
        <f>IFERROR(AC449/F449,"")</f>
        <v/>
      </c>
      <c r="AE449">
        <f>IF(AND($E449=TRUE,$C449="GKP"),AB449,"")</f>
        <v/>
      </c>
      <c r="AF449">
        <f>IF(AND($E449=TRUE,$C449="DEF"),AB449,"")</f>
        <v/>
      </c>
      <c r="AG449">
        <f>IF(AND($E449=TRUE,$C449="MID"),AB449,"")</f>
        <v/>
      </c>
      <c r="AH449">
        <f>IF(AND($E449=TRUE,$C449="FWD"),AB449,"")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b">
        <v>1</v>
      </c>
      <c r="F450" s="2" t="n">
        <v>5</v>
      </c>
      <c r="G450" t="inlineStr">
        <is>
          <t>i</t>
        </is>
      </c>
      <c r="H450" t="inlineStr">
        <is>
          <t>Ankle injury - Expected back 10 Oct</t>
        </is>
      </c>
      <c r="I450" s="2" t="n">
        <v>0</v>
      </c>
      <c r="J450" t="n">
        <v>0</v>
      </c>
      <c r="K450" s="3" t="n">
        <v>0</v>
      </c>
      <c r="L450" s="3" t="n">
        <v>0.263</v>
      </c>
      <c r="M450" s="4" t="n"/>
      <c r="N450" t="inlineStr"/>
      <c r="O450" s="4" t="n"/>
      <c r="P450" s="4" t="n"/>
      <c r="Q450" s="4" t="n"/>
      <c r="R450" s="4" t="n"/>
      <c r="S450" s="4" t="n"/>
      <c r="T450" s="4" t="n"/>
      <c r="U450" s="4">
        <f>IF(T450="",IFERROR(VLOOKUP($C450,Assumptions!$A$4:$F$7,6,FALSE),0),T450)</f>
        <v/>
      </c>
      <c r="V450" s="4">
        <f>N(M450)*IFERROR(VLOOKUP($C450,Assumptions!$A$4:$F$7,2,FALSE),0)</f>
        <v/>
      </c>
      <c r="W450" s="4">
        <f>N(Q450)*IFERROR(VLOOKUP($C450,Assumptions!$A$4:$F$7,3,FALSE),0)*Assumptions!$B$11</f>
        <v/>
      </c>
      <c r="X450" s="4">
        <f>N(L450)*IFERROR(VLOOKUP($C450,Assumptions!$A$4:$F$7,4,FALSE),0)</f>
        <v/>
      </c>
      <c r="Y450" s="4">
        <f>N(R450)*IFERROR(VLOOKUP($C450,Assumptions!$A$4:$F$7,5,FALSE),0)</f>
        <v/>
      </c>
      <c r="Z450" s="4">
        <f>N(S450)</f>
        <v/>
      </c>
      <c r="AA450" s="4">
        <f>SUM(U450:Z450)</f>
        <v/>
      </c>
      <c r="AB450" s="4">
        <f>N(AA450)*N(K450)/90</f>
        <v/>
      </c>
      <c r="AC450" s="4">
        <f>IFERROR(AB450-VLOOKUP($C450,Assumptions!$A$29:$C$32,3,FALSE),"")</f>
        <v/>
      </c>
      <c r="AD450" s="4">
        <f>IFERROR(AC450/F450,"")</f>
        <v/>
      </c>
      <c r="AE450">
        <f>IF(AND($E450=TRUE,$C450="GKP"),AB450,"")</f>
        <v/>
      </c>
      <c r="AF450">
        <f>IF(AND($E450=TRUE,$C450="DEF"),AB450,"")</f>
        <v/>
      </c>
      <c r="AG450">
        <f>IF(AND($E450=TRUE,$C450="MID"),AB450,"")</f>
        <v/>
      </c>
      <c r="AH450">
        <f>IF(AND($E450=TRUE,$C450="FWD"),AB450,"")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b">
        <v>1</v>
      </c>
      <c r="F451" s="2" t="n">
        <v>4</v>
      </c>
      <c r="G451" t="inlineStr">
        <is>
          <t>a</t>
        </is>
      </c>
      <c r="I451" s="2" t="n">
        <v>0</v>
      </c>
      <c r="J451" t="n">
        <v>0</v>
      </c>
      <c r="K451" s="3" t="n">
        <v>0</v>
      </c>
      <c r="L451" s="3" t="n">
        <v>0.21</v>
      </c>
      <c r="M451" s="4" t="n"/>
      <c r="N451" t="inlineStr"/>
      <c r="O451" s="4" t="n"/>
      <c r="P451" s="4" t="n"/>
      <c r="Q451" s="4" t="n"/>
      <c r="R451" s="4" t="n"/>
      <c r="S451" s="4" t="n"/>
      <c r="T451" s="4" t="n"/>
      <c r="U451" s="4">
        <f>IF(T451="",IFERROR(VLOOKUP($C451,Assumptions!$A$4:$F$7,6,FALSE),0),T451)</f>
        <v/>
      </c>
      <c r="V451" s="4">
        <f>N(M451)*IFERROR(VLOOKUP($C451,Assumptions!$A$4:$F$7,2,FALSE),0)</f>
        <v/>
      </c>
      <c r="W451" s="4">
        <f>N(Q451)*IFERROR(VLOOKUP($C451,Assumptions!$A$4:$F$7,3,FALSE),0)*Assumptions!$B$11</f>
        <v/>
      </c>
      <c r="X451" s="4">
        <f>N(L451)*IFERROR(VLOOKUP($C451,Assumptions!$A$4:$F$7,4,FALSE),0)</f>
        <v/>
      </c>
      <c r="Y451" s="4">
        <f>N(R451)*IFERROR(VLOOKUP($C451,Assumptions!$A$4:$F$7,5,FALSE),0)</f>
        <v/>
      </c>
      <c r="Z451" s="4">
        <f>N(S451)</f>
        <v/>
      </c>
      <c r="AA451" s="4">
        <f>SUM(U451:Z451)</f>
        <v/>
      </c>
      <c r="AB451" s="4">
        <f>N(AA451)*N(K451)/90</f>
        <v/>
      </c>
      <c r="AC451" s="4">
        <f>IFERROR(AB451-VLOOKUP($C451,Assumptions!$A$29:$C$32,3,FALSE),"")</f>
        <v/>
      </c>
      <c r="AD451" s="4">
        <f>IFERROR(AC451/F451,"")</f>
        <v/>
      </c>
      <c r="AE451">
        <f>IF(AND($E451=TRUE,$C451="GKP"),AB451,"")</f>
        <v/>
      </c>
      <c r="AF451">
        <f>IF(AND($E451=TRUE,$C451="DEF"),AB451,"")</f>
        <v/>
      </c>
      <c r="AG451">
        <f>IF(AND($E451=TRUE,$C451="MID"),AB451,"")</f>
        <v/>
      </c>
      <c r="AH451">
        <f>IF(AND($E451=TRUE,$C451="FWD"),AB451,"")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b">
        <v>1</v>
      </c>
      <c r="F452" s="2" t="n">
        <v>4</v>
      </c>
      <c r="G452" t="inlineStr">
        <is>
          <t>u</t>
        </is>
      </c>
      <c r="H452" t="inlineStr">
        <is>
          <t>Has joined KV Mechelen on loan for the rest of the season</t>
        </is>
      </c>
      <c r="I452" s="2" t="n">
        <v>0</v>
      </c>
      <c r="J452" t="n">
        <v>0</v>
      </c>
      <c r="K452" s="3" t="n">
        <v>0</v>
      </c>
      <c r="L452" s="3" t="n">
        <v>0.29</v>
      </c>
      <c r="M452" s="4" t="n"/>
      <c r="N452" t="inlineStr"/>
      <c r="O452" s="4" t="n"/>
      <c r="P452" s="4" t="n"/>
      <c r="Q452" s="4" t="n"/>
      <c r="R452" s="4" t="n"/>
      <c r="S452" s="4" t="n"/>
      <c r="T452" s="4" t="n"/>
      <c r="U452" s="4">
        <f>IF(T452="",IFERROR(VLOOKUP($C452,Assumptions!$A$4:$F$7,6,FALSE),0),T452)</f>
        <v/>
      </c>
      <c r="V452" s="4">
        <f>N(M452)*IFERROR(VLOOKUP($C452,Assumptions!$A$4:$F$7,2,FALSE),0)</f>
        <v/>
      </c>
      <c r="W452" s="4">
        <f>N(Q452)*IFERROR(VLOOKUP($C452,Assumptions!$A$4:$F$7,3,FALSE),0)*Assumptions!$B$11</f>
        <v/>
      </c>
      <c r="X452" s="4">
        <f>N(L452)*IFERROR(VLOOKUP($C452,Assumptions!$A$4:$F$7,4,FALSE),0)</f>
        <v/>
      </c>
      <c r="Y452" s="4">
        <f>N(R452)*IFERROR(VLOOKUP($C452,Assumptions!$A$4:$F$7,5,FALSE),0)</f>
        <v/>
      </c>
      <c r="Z452" s="4">
        <f>N(S452)</f>
        <v/>
      </c>
      <c r="AA452" s="4">
        <f>SUM(U452:Z452)</f>
        <v/>
      </c>
      <c r="AB452" s="4">
        <f>N(AA452)*N(K452)/90</f>
        <v/>
      </c>
      <c r="AC452" s="4">
        <f>IFERROR(AB452-VLOOKUP($C452,Assumptions!$A$29:$C$32,3,FALSE),"")</f>
        <v/>
      </c>
      <c r="AD452" s="4">
        <f>IFERROR(AC452/F452,"")</f>
        <v/>
      </c>
      <c r="AE452">
        <f>IF(AND($E452=TRUE,$C452="GKP"),AB452,"")</f>
        <v/>
      </c>
      <c r="AF452">
        <f>IF(AND($E452=TRUE,$C452="DEF"),AB452,"")</f>
        <v/>
      </c>
      <c r="AG452">
        <f>IF(AND($E452=TRUE,$C452="MID"),AB452,"")</f>
        <v/>
      </c>
      <c r="AH452">
        <f>IF(AND($E452=TRUE,$C452="FWD"),AB452,"")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b">
        <v>1</v>
      </c>
      <c r="F453" s="2" t="n">
        <v>4</v>
      </c>
      <c r="G453" t="inlineStr">
        <is>
          <t>a</t>
        </is>
      </c>
      <c r="I453" s="2" t="n">
        <v>0</v>
      </c>
      <c r="J453" t="n">
        <v>0</v>
      </c>
      <c r="K453" s="3" t="n">
        <v>0</v>
      </c>
      <c r="L453" s="3" t="n">
        <v>0.263</v>
      </c>
      <c r="M453" s="4" t="n"/>
      <c r="N453" t="inlineStr"/>
      <c r="O453" s="4" t="n"/>
      <c r="P453" s="4" t="n"/>
      <c r="Q453" s="4" t="n"/>
      <c r="R453" s="4" t="n">
        <v>0</v>
      </c>
      <c r="S453" s="4" t="n"/>
      <c r="T453" s="4" t="n"/>
      <c r="U453" s="4">
        <f>IF(T453="",IFERROR(VLOOKUP($C453,Assumptions!$A$4:$F$7,6,FALSE),0),T453)</f>
        <v/>
      </c>
      <c r="V453" s="4">
        <f>N(M453)*IFERROR(VLOOKUP($C453,Assumptions!$A$4:$F$7,2,FALSE),0)</f>
        <v/>
      </c>
      <c r="W453" s="4">
        <f>N(Q453)*IFERROR(VLOOKUP($C453,Assumptions!$A$4:$F$7,3,FALSE),0)*Assumptions!$B$11</f>
        <v/>
      </c>
      <c r="X453" s="4">
        <f>N(L453)*IFERROR(VLOOKUP($C453,Assumptions!$A$4:$F$7,4,FALSE),0)</f>
        <v/>
      </c>
      <c r="Y453" s="4">
        <f>N(R453)*IFERROR(VLOOKUP($C453,Assumptions!$A$4:$F$7,5,FALSE),0)</f>
        <v/>
      </c>
      <c r="Z453" s="4">
        <f>N(S453)</f>
        <v/>
      </c>
      <c r="AA453" s="4">
        <f>SUM(U453:Z453)</f>
        <v/>
      </c>
      <c r="AB453" s="4">
        <f>N(AA453)*N(K453)/90</f>
        <v/>
      </c>
      <c r="AC453" s="4">
        <f>IFERROR(AB453-VLOOKUP($C453,Assumptions!$A$29:$C$32,3,FALSE),"")</f>
        <v/>
      </c>
      <c r="AD453" s="4">
        <f>IFERROR(AC453/F453,"")</f>
        <v/>
      </c>
      <c r="AE453">
        <f>IF(AND($E453=TRUE,$C453="GKP"),AB453,"")</f>
        <v/>
      </c>
      <c r="AF453">
        <f>IF(AND($E453=TRUE,$C453="DEF"),AB453,"")</f>
        <v/>
      </c>
      <c r="AG453">
        <f>IF(AND($E453=TRUE,$C453="MID"),AB453,"")</f>
        <v/>
      </c>
      <c r="AH453">
        <f>IF(AND($E453=TRUE,$C453="FWD"),AB453,"")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b">
        <v>1</v>
      </c>
      <c r="F454" s="2" t="n">
        <v>4.5</v>
      </c>
      <c r="G454" t="inlineStr">
        <is>
          <t>a</t>
        </is>
      </c>
      <c r="I454" s="2" t="n">
        <v>0</v>
      </c>
      <c r="J454" t="n">
        <v>0</v>
      </c>
      <c r="K454" s="3" t="n">
        <v>0</v>
      </c>
      <c r="L454" s="3" t="n"/>
      <c r="M454" s="4" t="n"/>
      <c r="N454" t="inlineStr"/>
      <c r="O454" s="4" t="n"/>
      <c r="P454" s="4" t="n"/>
      <c r="Q454" s="4" t="n"/>
      <c r="R454" s="4" t="n">
        <v>0</v>
      </c>
      <c r="S454" s="4" t="n"/>
      <c r="T454" s="4" t="n"/>
      <c r="U454" s="4">
        <f>IF(T454="",IFERROR(VLOOKUP($C454,Assumptions!$A$4:$F$7,6,FALSE),0),T454)</f>
        <v/>
      </c>
      <c r="V454" s="4">
        <f>N(M454)*IFERROR(VLOOKUP($C454,Assumptions!$A$4:$F$7,2,FALSE),0)</f>
        <v/>
      </c>
      <c r="W454" s="4">
        <f>N(Q454)*IFERROR(VLOOKUP($C454,Assumptions!$A$4:$F$7,3,FALSE),0)*Assumptions!$B$11</f>
        <v/>
      </c>
      <c r="X454" s="4">
        <f>N(L454)*IFERROR(VLOOKUP($C454,Assumptions!$A$4:$F$7,4,FALSE),0)</f>
        <v/>
      </c>
      <c r="Y454" s="4">
        <f>N(R454)*IFERROR(VLOOKUP($C454,Assumptions!$A$4:$F$7,5,FALSE),0)</f>
        <v/>
      </c>
      <c r="Z454" s="4">
        <f>N(S454)</f>
        <v/>
      </c>
      <c r="AA454" s="4">
        <f>SUM(U454:Z454)</f>
        <v/>
      </c>
      <c r="AB454" s="4">
        <f>N(AA454)*N(K454)/90</f>
        <v/>
      </c>
      <c r="AC454" s="4">
        <f>IFERROR(AB454-VLOOKUP($C454,Assumptions!$A$29:$C$32,3,FALSE),"")</f>
        <v/>
      </c>
      <c r="AD454" s="4">
        <f>IFERROR(AC454/F454,"")</f>
        <v/>
      </c>
      <c r="AE454">
        <f>IF(AND($E454=TRUE,$C454="GKP"),AB454,"")</f>
        <v/>
      </c>
      <c r="AF454">
        <f>IF(AND($E454=TRUE,$C454="DEF"),AB454,"")</f>
        <v/>
      </c>
      <c r="AG454">
        <f>IF(AND($E454=TRUE,$C454="MID"),AB454,"")</f>
        <v/>
      </c>
      <c r="AH454">
        <f>IF(AND($E454=TRUE,$C454="FWD"),AB454,"")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b">
        <v>1</v>
      </c>
      <c r="F455" s="2" t="n">
        <v>4.5</v>
      </c>
      <c r="G455" t="inlineStr">
        <is>
          <t>i</t>
        </is>
      </c>
      <c r="H455" t="inlineStr">
        <is>
          <t>Thigh injury - Unknown return date</t>
        </is>
      </c>
      <c r="I455" s="2" t="n">
        <v>0</v>
      </c>
      <c r="J455" t="n">
        <v>0</v>
      </c>
      <c r="K455" s="3" t="n">
        <v>0</v>
      </c>
      <c r="L455" s="3" t="n"/>
      <c r="M455" s="4" t="n"/>
      <c r="N455" t="inlineStr"/>
      <c r="O455" s="4" t="n"/>
      <c r="P455" s="4" t="n"/>
      <c r="Q455" s="4" t="n"/>
      <c r="R455" s="4" t="n"/>
      <c r="S455" s="4" t="n"/>
      <c r="T455" s="4" t="n"/>
      <c r="U455" s="4">
        <f>IF(T455="",IFERROR(VLOOKUP($C455,Assumptions!$A$4:$F$7,6,FALSE),0),T455)</f>
        <v/>
      </c>
      <c r="V455" s="4">
        <f>N(M455)*IFERROR(VLOOKUP($C455,Assumptions!$A$4:$F$7,2,FALSE),0)</f>
        <v/>
      </c>
      <c r="W455" s="4">
        <f>N(Q455)*IFERROR(VLOOKUP($C455,Assumptions!$A$4:$F$7,3,FALSE),0)*Assumptions!$B$11</f>
        <v/>
      </c>
      <c r="X455" s="4">
        <f>N(L455)*IFERROR(VLOOKUP($C455,Assumptions!$A$4:$F$7,4,FALSE),0)</f>
        <v/>
      </c>
      <c r="Y455" s="4">
        <f>N(R455)*IFERROR(VLOOKUP($C455,Assumptions!$A$4:$F$7,5,FALSE),0)</f>
        <v/>
      </c>
      <c r="Z455" s="4">
        <f>N(S455)</f>
        <v/>
      </c>
      <c r="AA455" s="4">
        <f>SUM(U455:Z455)</f>
        <v/>
      </c>
      <c r="AB455" s="4">
        <f>N(AA455)*N(K455)/90</f>
        <v/>
      </c>
      <c r="AC455" s="4">
        <f>IFERROR(AB455-VLOOKUP($C455,Assumptions!$A$29:$C$32,3,FALSE),"")</f>
        <v/>
      </c>
      <c r="AD455" s="4">
        <f>IFERROR(AC455/F455,"")</f>
        <v/>
      </c>
      <c r="AE455">
        <f>IF(AND($E455=TRUE,$C455="GKP"),AB455,"")</f>
        <v/>
      </c>
      <c r="AF455">
        <f>IF(AND($E455=TRUE,$C455="DEF"),AB455,"")</f>
        <v/>
      </c>
      <c r="AG455">
        <f>IF(AND($E455=TRUE,$C455="MID"),AB455,"")</f>
        <v/>
      </c>
      <c r="AH455">
        <f>IF(AND($E455=TRUE,$C455="FWD"),AB455,"")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b">
        <v>1</v>
      </c>
      <c r="F456" s="2" t="n">
        <v>5</v>
      </c>
      <c r="G456" t="inlineStr">
        <is>
          <t>a</t>
        </is>
      </c>
      <c r="I456" s="2" t="n">
        <v>0</v>
      </c>
      <c r="J456" t="n">
        <v>0</v>
      </c>
      <c r="K456" s="3" t="n">
        <v>0</v>
      </c>
      <c r="L456" s="3" t="n">
        <v>0.237</v>
      </c>
      <c r="M456" s="4" t="n"/>
      <c r="N456" t="inlineStr"/>
      <c r="O456" s="4" t="n"/>
      <c r="P456" s="4" t="n"/>
      <c r="Q456" s="4" t="n"/>
      <c r="R456" s="4" t="n"/>
      <c r="S456" s="4" t="n"/>
      <c r="T456" s="4" t="n"/>
      <c r="U456" s="4">
        <f>IF(T456="",IFERROR(VLOOKUP($C456,Assumptions!$A$4:$F$7,6,FALSE),0),T456)</f>
        <v/>
      </c>
      <c r="V456" s="4">
        <f>N(M456)*IFERROR(VLOOKUP($C456,Assumptions!$A$4:$F$7,2,FALSE),0)</f>
        <v/>
      </c>
      <c r="W456" s="4">
        <f>N(Q456)*IFERROR(VLOOKUP($C456,Assumptions!$A$4:$F$7,3,FALSE),0)*Assumptions!$B$11</f>
        <v/>
      </c>
      <c r="X456" s="4">
        <f>N(L456)*IFERROR(VLOOKUP($C456,Assumptions!$A$4:$F$7,4,FALSE),0)</f>
        <v/>
      </c>
      <c r="Y456" s="4">
        <f>N(R456)*IFERROR(VLOOKUP($C456,Assumptions!$A$4:$F$7,5,FALSE),0)</f>
        <v/>
      </c>
      <c r="Z456" s="4">
        <f>N(S456)</f>
        <v/>
      </c>
      <c r="AA456" s="4">
        <f>SUM(U456:Z456)</f>
        <v/>
      </c>
      <c r="AB456" s="4">
        <f>N(AA456)*N(K456)/90</f>
        <v/>
      </c>
      <c r="AC456" s="4">
        <f>IFERROR(AB456-VLOOKUP($C456,Assumptions!$A$29:$C$32,3,FALSE),"")</f>
        <v/>
      </c>
      <c r="AD456" s="4">
        <f>IFERROR(AC456/F456,"")</f>
        <v/>
      </c>
      <c r="AE456">
        <f>IF(AND($E456=TRUE,$C456="GKP"),AB456,"")</f>
        <v/>
      </c>
      <c r="AF456">
        <f>IF(AND($E456=TRUE,$C456="DEF"),AB456,"")</f>
        <v/>
      </c>
      <c r="AG456">
        <f>IF(AND($E456=TRUE,$C456="MID"),AB456,"")</f>
        <v/>
      </c>
      <c r="AH456">
        <f>IF(AND($E456=TRUE,$C456="FWD"),AB456,"")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b">
        <v>1</v>
      </c>
      <c r="F457" s="2" t="n">
        <v>5.5</v>
      </c>
      <c r="G457" t="inlineStr">
        <is>
          <t>a</t>
        </is>
      </c>
      <c r="I457" s="2" t="n">
        <v>0</v>
      </c>
      <c r="J457" t="n">
        <v>0</v>
      </c>
      <c r="K457" s="3" t="n">
        <v>0</v>
      </c>
      <c r="L457" s="3" t="n">
        <v>0.237</v>
      </c>
      <c r="M457" s="4" t="n"/>
      <c r="N457" t="inlineStr"/>
      <c r="O457" s="4" t="n"/>
      <c r="P457" s="4" t="n"/>
      <c r="Q457" s="4" t="n"/>
      <c r="R457" s="4" t="n"/>
      <c r="S457" s="4" t="n"/>
      <c r="T457" s="4" t="n"/>
      <c r="U457" s="4">
        <f>IF(T457="",IFERROR(VLOOKUP($C457,Assumptions!$A$4:$F$7,6,FALSE),0),T457)</f>
        <v/>
      </c>
      <c r="V457" s="4">
        <f>N(M457)*IFERROR(VLOOKUP($C457,Assumptions!$A$4:$F$7,2,FALSE),0)</f>
        <v/>
      </c>
      <c r="W457" s="4">
        <f>N(Q457)*IFERROR(VLOOKUP($C457,Assumptions!$A$4:$F$7,3,FALSE),0)*Assumptions!$B$11</f>
        <v/>
      </c>
      <c r="X457" s="4">
        <f>N(L457)*IFERROR(VLOOKUP($C457,Assumptions!$A$4:$F$7,4,FALSE),0)</f>
        <v/>
      </c>
      <c r="Y457" s="4">
        <f>N(R457)*IFERROR(VLOOKUP($C457,Assumptions!$A$4:$F$7,5,FALSE),0)</f>
        <v/>
      </c>
      <c r="Z457" s="4">
        <f>N(S457)</f>
        <v/>
      </c>
      <c r="AA457" s="4">
        <f>SUM(U457:Z457)</f>
        <v/>
      </c>
      <c r="AB457" s="4">
        <f>N(AA457)*N(K457)/90</f>
        <v/>
      </c>
      <c r="AC457" s="4">
        <f>IFERROR(AB457-VLOOKUP($C457,Assumptions!$A$29:$C$32,3,FALSE),"")</f>
        <v/>
      </c>
      <c r="AD457" s="4">
        <f>IFERROR(AC457/F457,"")</f>
        <v/>
      </c>
      <c r="AE457">
        <f>IF(AND($E457=TRUE,$C457="GKP"),AB457,"")</f>
        <v/>
      </c>
      <c r="AF457">
        <f>IF(AND($E457=TRUE,$C457="DEF"),AB457,"")</f>
        <v/>
      </c>
      <c r="AG457">
        <f>IF(AND($E457=TRUE,$C457="MID"),AB457,"")</f>
        <v/>
      </c>
      <c r="AH457">
        <f>IF(AND($E457=TRUE,$C457="FWD"),AB457,"")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b">
        <v>1</v>
      </c>
      <c r="F458" s="2" t="n">
        <v>4.5</v>
      </c>
      <c r="G458" t="inlineStr">
        <is>
          <t>a</t>
        </is>
      </c>
      <c r="I458" s="2" t="n">
        <v>0</v>
      </c>
      <c r="J458" t="n">
        <v>0</v>
      </c>
      <c r="K458" s="3" t="n">
        <v>0</v>
      </c>
      <c r="L458" s="3" t="n">
        <v>0.237</v>
      </c>
      <c r="M458" s="4" t="n"/>
      <c r="N458" t="inlineStr"/>
      <c r="O458" s="4" t="n"/>
      <c r="P458" s="4" t="n"/>
      <c r="Q458" s="4" t="n"/>
      <c r="R458" s="4" t="n"/>
      <c r="S458" s="4" t="n"/>
      <c r="T458" s="4" t="n"/>
      <c r="U458" s="4">
        <f>IF(T458="",IFERROR(VLOOKUP($C458,Assumptions!$A$4:$F$7,6,FALSE),0),T458)</f>
        <v/>
      </c>
      <c r="V458" s="4">
        <f>N(M458)*IFERROR(VLOOKUP($C458,Assumptions!$A$4:$F$7,2,FALSE),0)</f>
        <v/>
      </c>
      <c r="W458" s="4">
        <f>N(Q458)*IFERROR(VLOOKUP($C458,Assumptions!$A$4:$F$7,3,FALSE),0)*Assumptions!$B$11</f>
        <v/>
      </c>
      <c r="X458" s="4">
        <f>N(L458)*IFERROR(VLOOKUP($C458,Assumptions!$A$4:$F$7,4,FALSE),0)</f>
        <v/>
      </c>
      <c r="Y458" s="4">
        <f>N(R458)*IFERROR(VLOOKUP($C458,Assumptions!$A$4:$F$7,5,FALSE),0)</f>
        <v/>
      </c>
      <c r="Z458" s="4">
        <f>N(S458)</f>
        <v/>
      </c>
      <c r="AA458" s="4">
        <f>SUM(U458:Z458)</f>
        <v/>
      </c>
      <c r="AB458" s="4">
        <f>N(AA458)*N(K458)/90</f>
        <v/>
      </c>
      <c r="AC458" s="4">
        <f>IFERROR(AB458-VLOOKUP($C458,Assumptions!$A$29:$C$32,3,FALSE),"")</f>
        <v/>
      </c>
      <c r="AD458" s="4">
        <f>IFERROR(AC458/F458,"")</f>
        <v/>
      </c>
      <c r="AE458">
        <f>IF(AND($E458=TRUE,$C458="GKP"),AB458,"")</f>
        <v/>
      </c>
      <c r="AF458">
        <f>IF(AND($E458=TRUE,$C458="DEF"),AB458,"")</f>
        <v/>
      </c>
      <c r="AG458">
        <f>IF(AND($E458=TRUE,$C458="MID"),AB458,"")</f>
        <v/>
      </c>
      <c r="AH458">
        <f>IF(AND($E458=TRUE,$C458="FWD"),AB458,"")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b">
        <v>1</v>
      </c>
      <c r="F459" s="2" t="n">
        <v>5</v>
      </c>
      <c r="G459" t="inlineStr">
        <is>
          <t>a</t>
        </is>
      </c>
      <c r="I459" s="2" t="n">
        <v>0</v>
      </c>
      <c r="J459" t="n">
        <v>0</v>
      </c>
      <c r="K459" s="3" t="n">
        <v>0</v>
      </c>
      <c r="L459" s="3" t="n">
        <v>0.316</v>
      </c>
      <c r="M459" s="4" t="n"/>
      <c r="N459" t="inlineStr"/>
      <c r="O459" s="4" t="n"/>
      <c r="P459" s="4" t="n"/>
      <c r="Q459" s="4" t="n"/>
      <c r="R459" s="4" t="n"/>
      <c r="S459" s="4" t="n"/>
      <c r="T459" s="4" t="n"/>
      <c r="U459" s="4">
        <f>IF(T459="",IFERROR(VLOOKUP($C459,Assumptions!$A$4:$F$7,6,FALSE),0),T459)</f>
        <v/>
      </c>
      <c r="V459" s="4">
        <f>N(M459)*IFERROR(VLOOKUP($C459,Assumptions!$A$4:$F$7,2,FALSE),0)</f>
        <v/>
      </c>
      <c r="W459" s="4">
        <f>N(Q459)*IFERROR(VLOOKUP($C459,Assumptions!$A$4:$F$7,3,FALSE),0)*Assumptions!$B$11</f>
        <v/>
      </c>
      <c r="X459" s="4">
        <f>N(L459)*IFERROR(VLOOKUP($C459,Assumptions!$A$4:$F$7,4,FALSE),0)</f>
        <v/>
      </c>
      <c r="Y459" s="4">
        <f>N(R459)*IFERROR(VLOOKUP($C459,Assumptions!$A$4:$F$7,5,FALSE),0)</f>
        <v/>
      </c>
      <c r="Z459" s="4">
        <f>N(S459)</f>
        <v/>
      </c>
      <c r="AA459" s="4">
        <f>SUM(U459:Z459)</f>
        <v/>
      </c>
      <c r="AB459" s="4">
        <f>N(AA459)*N(K459)/90</f>
        <v/>
      </c>
      <c r="AC459" s="4">
        <f>IFERROR(AB459-VLOOKUP($C459,Assumptions!$A$29:$C$32,3,FALSE),"")</f>
        <v/>
      </c>
      <c r="AD459" s="4">
        <f>IFERROR(AC459/F459,"")</f>
        <v/>
      </c>
      <c r="AE459">
        <f>IF(AND($E459=TRUE,$C459="GKP"),AB459,"")</f>
        <v/>
      </c>
      <c r="AF459">
        <f>IF(AND($E459=TRUE,$C459="DEF"),AB459,"")</f>
        <v/>
      </c>
      <c r="AG459">
        <f>IF(AND($E459=TRUE,$C459="MID"),AB459,"")</f>
        <v/>
      </c>
      <c r="AH459">
        <f>IF(AND($E459=TRUE,$C459="FWD"),AB459,"")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b">
        <v>1</v>
      </c>
      <c r="F460" s="2" t="n">
        <v>5.5</v>
      </c>
      <c r="G460" t="inlineStr">
        <is>
          <t>a</t>
        </is>
      </c>
      <c r="I460" s="2" t="n">
        <v>0</v>
      </c>
      <c r="J460" t="n">
        <v>0</v>
      </c>
      <c r="K460" s="3" t="n">
        <v>0</v>
      </c>
      <c r="L460" s="3" t="n">
        <v>0.5</v>
      </c>
      <c r="M460" s="4" t="n"/>
      <c r="N460" t="inlineStr"/>
      <c r="O460" s="4" t="n"/>
      <c r="P460" s="4" t="n"/>
      <c r="Q460" s="4" t="n"/>
      <c r="R460" s="4" t="n"/>
      <c r="S460" s="4" t="n"/>
      <c r="T460" s="4" t="n"/>
      <c r="U460" s="4">
        <f>IF(T460="",IFERROR(VLOOKUP($C460,Assumptions!$A$4:$F$7,6,FALSE),0),T460)</f>
        <v/>
      </c>
      <c r="V460" s="4">
        <f>N(M460)*IFERROR(VLOOKUP($C460,Assumptions!$A$4:$F$7,2,FALSE),0)</f>
        <v/>
      </c>
      <c r="W460" s="4">
        <f>N(Q460)*IFERROR(VLOOKUP($C460,Assumptions!$A$4:$F$7,3,FALSE),0)*Assumptions!$B$11</f>
        <v/>
      </c>
      <c r="X460" s="4">
        <f>N(L460)*IFERROR(VLOOKUP($C460,Assumptions!$A$4:$F$7,4,FALSE),0)</f>
        <v/>
      </c>
      <c r="Y460" s="4">
        <f>N(R460)*IFERROR(VLOOKUP($C460,Assumptions!$A$4:$F$7,5,FALSE),0)</f>
        <v/>
      </c>
      <c r="Z460" s="4">
        <f>N(S460)</f>
        <v/>
      </c>
      <c r="AA460" s="4">
        <f>SUM(U460:Z460)</f>
        <v/>
      </c>
      <c r="AB460" s="4">
        <f>N(AA460)*N(K460)/90</f>
        <v/>
      </c>
      <c r="AC460" s="4">
        <f>IFERROR(AB460-VLOOKUP($C460,Assumptions!$A$29:$C$32,3,FALSE),"")</f>
        <v/>
      </c>
      <c r="AD460" s="4">
        <f>IFERROR(AC460/F460,"")</f>
        <v/>
      </c>
      <c r="AE460">
        <f>IF(AND($E460=TRUE,$C460="GKP"),AB460,"")</f>
        <v/>
      </c>
      <c r="AF460">
        <f>IF(AND($E460=TRUE,$C460="DEF"),AB460,"")</f>
        <v/>
      </c>
      <c r="AG460">
        <f>IF(AND($E460=TRUE,$C460="MID"),AB460,"")</f>
        <v/>
      </c>
      <c r="AH460">
        <f>IF(AND($E460=TRUE,$C460="FWD"),AB460,"")</f>
        <v/>
      </c>
    </row>
    <row r="461">
      <c r="A461" t="inlineStr">
        <is>
          <t>James Milner</t>
        </is>
      </c>
      <c r="D461" t="inlineStr">
        <is>
          <t>MID</t>
        </is>
      </c>
      <c r="E461" t="b">
        <v>0</v>
      </c>
      <c r="F461" s="2" t="n"/>
      <c r="I461" s="2" t="n">
        <v>778</v>
      </c>
      <c r="K461" s="3" t="n">
        <v>778</v>
      </c>
      <c r="L461" s="3" t="n"/>
      <c r="M461" s="4" t="n">
        <v>0.1109</v>
      </c>
      <c r="N461" t="inlineStr">
        <is>
          <t>adjusted xGOT</t>
        </is>
      </c>
      <c r="O461" s="4" t="n">
        <v>0.931</v>
      </c>
      <c r="P461" s="4" t="n">
        <v>1.9</v>
      </c>
      <c r="Q461" s="4" t="n">
        <v>0.07580000000000001</v>
      </c>
      <c r="R461" s="4" t="n">
        <v>0.286</v>
      </c>
      <c r="S461" s="4" t="n">
        <v>0</v>
      </c>
      <c r="T461" s="4" t="n">
        <v>3.123</v>
      </c>
      <c r="U461" s="4">
        <f>IF(T461="",IFERROR(VLOOKUP($C461,Assumptions!$A$4:$F$7,6,FALSE),0),T461)</f>
        <v/>
      </c>
      <c r="V461" s="4">
        <f>N(M461)*IFERROR(VLOOKUP($C461,Assumptions!$A$4:$F$7,2,FALSE),0)</f>
        <v/>
      </c>
      <c r="W461" s="4">
        <f>N(Q461)*IFERROR(VLOOKUP($C461,Assumptions!$A$4:$F$7,3,FALSE),0)*Assumptions!$B$11</f>
        <v/>
      </c>
      <c r="X461" s="4">
        <f>N(L461)*IFERROR(VLOOKUP($C461,Assumptions!$A$4:$F$7,4,FALSE),0)</f>
        <v/>
      </c>
      <c r="Y461" s="4">
        <f>N(R461)*IFERROR(VLOOKUP($C461,Assumptions!$A$4:$F$7,5,FALSE),0)</f>
        <v/>
      </c>
      <c r="Z461" s="4">
        <f>N(S461)</f>
        <v/>
      </c>
      <c r="AA461" s="4">
        <f>SUM(U461:Z461)</f>
        <v/>
      </c>
      <c r="AB461" s="4">
        <f>N(AA461)*N(K461)/90</f>
        <v/>
      </c>
      <c r="AC461" s="4">
        <f>IFERROR(AB461-VLOOKUP($C461,Assumptions!$A$29:$C$32,3,FALSE),"")</f>
        <v/>
      </c>
      <c r="AD461" s="4">
        <f>IFERROR(AC461/F461,"")</f>
        <v/>
      </c>
      <c r="AE461">
        <f>IF(AND($E461=TRUE,$C461="GKP"),AB461,"")</f>
        <v/>
      </c>
      <c r="AF461">
        <f>IF(AND($E461=TRUE,$C461="DEF"),AB461,"")</f>
        <v/>
      </c>
      <c r="AG461">
        <f>IF(AND($E461=TRUE,$C461="MID"),AB461,"")</f>
        <v/>
      </c>
      <c r="AH461">
        <f>IF(AND($E461=TRUE,$C461="FWD"),AB461,"")</f>
        <v/>
      </c>
    </row>
    <row r="462">
      <c r="A462" t="inlineStr">
        <is>
          <t>Ashley Barnes</t>
        </is>
      </c>
      <c r="D462" t="inlineStr">
        <is>
          <t>FWD</t>
        </is>
      </c>
      <c r="E462" t="b">
        <v>0</v>
      </c>
      <c r="F462" s="2" t="n"/>
      <c r="I462" s="2" t="n">
        <v>40</v>
      </c>
      <c r="K462" s="3" t="n">
        <v>40</v>
      </c>
      <c r="L462" s="3" t="n"/>
      <c r="M462" s="4" t="n">
        <v>0.5738</v>
      </c>
      <c r="N462" t="inlineStr">
        <is>
          <t>adjusted xGOT</t>
        </is>
      </c>
      <c r="O462" s="4" t="n">
        <v>1.018</v>
      </c>
      <c r="P462" s="4" t="n">
        <v>0.2</v>
      </c>
      <c r="Q462" s="4" t="n">
        <v>0</v>
      </c>
      <c r="R462" s="4" t="n"/>
      <c r="S462" s="4" t="n">
        <v>0</v>
      </c>
      <c r="T462" s="4" t="n">
        <v>15.75</v>
      </c>
      <c r="U462" s="4">
        <f>IF(T462="",IFERROR(VLOOKUP($C462,Assumptions!$A$4:$F$7,6,FALSE),0),T462)</f>
        <v/>
      </c>
      <c r="V462" s="4">
        <f>N(M462)*IFERROR(VLOOKUP($C462,Assumptions!$A$4:$F$7,2,FALSE),0)</f>
        <v/>
      </c>
      <c r="W462" s="4">
        <f>N(Q462)*IFERROR(VLOOKUP($C462,Assumptions!$A$4:$F$7,3,FALSE),0)*Assumptions!$B$11</f>
        <v/>
      </c>
      <c r="X462" s="4">
        <f>N(L462)*IFERROR(VLOOKUP($C462,Assumptions!$A$4:$F$7,4,FALSE),0)</f>
        <v/>
      </c>
      <c r="Y462" s="4">
        <f>N(R462)*IFERROR(VLOOKUP($C462,Assumptions!$A$4:$F$7,5,FALSE),0)</f>
        <v/>
      </c>
      <c r="Z462" s="4">
        <f>N(S462)</f>
        <v/>
      </c>
      <c r="AA462" s="4">
        <f>SUM(U462:Z462)</f>
        <v/>
      </c>
      <c r="AB462" s="4">
        <f>N(AA462)*N(K462)/90</f>
        <v/>
      </c>
      <c r="AC462" s="4">
        <f>IFERROR(AB462-VLOOKUP($C462,Assumptions!$A$29:$C$32,3,FALSE),"")</f>
        <v/>
      </c>
      <c r="AD462" s="4">
        <f>IFERROR(AC462/F462,"")</f>
        <v/>
      </c>
      <c r="AE462">
        <f>IF(AND($E462=TRUE,$C462="GKP"),AB462,"")</f>
        <v/>
      </c>
      <c r="AF462">
        <f>IF(AND($E462=TRUE,$C462="DEF"),AB462,"")</f>
        <v/>
      </c>
      <c r="AG462">
        <f>IF(AND($E462=TRUE,$C462="MID"),AB462,"")</f>
        <v/>
      </c>
      <c r="AH462">
        <f>IF(AND($E462=TRUE,$C462="FWD"),AB462,"")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b">
        <v>1</v>
      </c>
      <c r="F463" s="2" t="n">
        <v>4</v>
      </c>
      <c r="G463" t="inlineStr">
        <is>
          <t>a</t>
        </is>
      </c>
      <c r="I463" s="2" t="n"/>
      <c r="K463" s="3" t="n"/>
      <c r="L463" s="3" t="n"/>
      <c r="M463" s="4" t="n"/>
      <c r="N463" t="inlineStr"/>
      <c r="O463" s="4" t="n"/>
      <c r="P463" s="4" t="n"/>
      <c r="Q463" s="4" t="n"/>
      <c r="R463" s="4" t="n">
        <v>0</v>
      </c>
      <c r="S463" s="4" t="n"/>
      <c r="T463" s="4" t="n"/>
      <c r="U463" s="4">
        <f>IF(T463="",IFERROR(VLOOKUP($C463,Assumptions!$A$4:$F$7,6,FALSE),0),T463)</f>
        <v/>
      </c>
      <c r="V463" s="4">
        <f>N(M463)*IFERROR(VLOOKUP($C463,Assumptions!$A$4:$F$7,2,FALSE),0)</f>
        <v/>
      </c>
      <c r="W463" s="4">
        <f>N(Q463)*IFERROR(VLOOKUP($C463,Assumptions!$A$4:$F$7,3,FALSE),0)*Assumptions!$B$11</f>
        <v/>
      </c>
      <c r="X463" s="4">
        <f>N(L463)*IFERROR(VLOOKUP($C463,Assumptions!$A$4:$F$7,4,FALSE),0)</f>
        <v/>
      </c>
      <c r="Y463" s="4">
        <f>N(R463)*IFERROR(VLOOKUP($C463,Assumptions!$A$4:$F$7,5,FALSE),0)</f>
        <v/>
      </c>
      <c r="Z463" s="4">
        <f>N(S463)</f>
        <v/>
      </c>
      <c r="AA463" s="4">
        <f>SUM(U463:Z463)</f>
        <v/>
      </c>
      <c r="AB463" s="4">
        <f>N(AA463)*N(K463)/90</f>
        <v/>
      </c>
      <c r="AC463" s="4">
        <f>IFERROR(AB463-VLOOKUP($C463,Assumptions!$A$29:$C$32,3,FALSE),"")</f>
        <v/>
      </c>
      <c r="AD463" s="4">
        <f>IFERROR(AC463/F463,"")</f>
        <v/>
      </c>
      <c r="AE463">
        <f>IF(AND($E463=TRUE,$C463="GKP"),AB463,"")</f>
        <v/>
      </c>
      <c r="AF463">
        <f>IF(AND($E463=TRUE,$C463="DEF"),AB463,"")</f>
        <v/>
      </c>
      <c r="AG463">
        <f>IF(AND($E463=TRUE,$C463="MID"),AB463,"")</f>
        <v/>
      </c>
      <c r="AH463">
        <f>IF(AND($E463=TRUE,$C463="FWD"),AB463,"")</f>
        <v/>
      </c>
    </row>
    <row r="464">
      <c r="A464" t="inlineStr">
        <is>
          <t>Nathaniel Clyne</t>
        </is>
      </c>
      <c r="D464" t="inlineStr">
        <is>
          <t>DEF</t>
        </is>
      </c>
      <c r="E464" t="b">
        <v>0</v>
      </c>
      <c r="F464" s="2" t="n"/>
      <c r="I464" s="2" t="n">
        <v>596</v>
      </c>
      <c r="K464" s="3" t="n">
        <v>596</v>
      </c>
      <c r="L464" s="3" t="n"/>
      <c r="M464" s="4" t="n">
        <v>0.0599</v>
      </c>
      <c r="N464" t="inlineStr">
        <is>
          <t>adjusted xGOT</t>
        </is>
      </c>
      <c r="O464" s="4" t="n">
        <v>0.924</v>
      </c>
      <c r="P464" s="4" t="n">
        <v>0.7</v>
      </c>
      <c r="Q464" s="4" t="n">
        <v>0.1019</v>
      </c>
      <c r="R464" s="4" t="n">
        <v>0</v>
      </c>
      <c r="S464" s="4" t="n">
        <v>0.302</v>
      </c>
      <c r="T464" s="4" t="n">
        <v>2.416</v>
      </c>
      <c r="U464" s="4">
        <f>IF(T464="",IFERROR(VLOOKUP($C464,Assumptions!$A$4:$F$7,6,FALSE),0),T464)</f>
        <v/>
      </c>
      <c r="V464" s="4">
        <f>N(M464)*IFERROR(VLOOKUP($C464,Assumptions!$A$4:$F$7,2,FALSE),0)</f>
        <v/>
      </c>
      <c r="W464" s="4">
        <f>N(Q464)*IFERROR(VLOOKUP($C464,Assumptions!$A$4:$F$7,3,FALSE),0)*Assumptions!$B$11</f>
        <v/>
      </c>
      <c r="X464" s="4">
        <f>N(L464)*IFERROR(VLOOKUP($C464,Assumptions!$A$4:$F$7,4,FALSE),0)</f>
        <v/>
      </c>
      <c r="Y464" s="4">
        <f>N(R464)*IFERROR(VLOOKUP($C464,Assumptions!$A$4:$F$7,5,FALSE),0)</f>
        <v/>
      </c>
      <c r="Z464" s="4">
        <f>N(S464)</f>
        <v/>
      </c>
      <c r="AA464" s="4">
        <f>SUM(U464:Z464)</f>
        <v/>
      </c>
      <c r="AB464" s="4">
        <f>N(AA464)*N(K464)/90</f>
        <v/>
      </c>
      <c r="AC464" s="4">
        <f>IFERROR(AB464-VLOOKUP($C464,Assumptions!$A$29:$C$32,3,FALSE),"")</f>
        <v/>
      </c>
      <c r="AD464" s="4">
        <f>IFERROR(AC464/F464,"")</f>
        <v/>
      </c>
      <c r="AE464">
        <f>IF(AND($E464=TRUE,$C464="GKP"),AB464,"")</f>
        <v/>
      </c>
      <c r="AF464">
        <f>IF(AND($E464=TRUE,$C464="DEF"),AB464,"")</f>
        <v/>
      </c>
      <c r="AG464">
        <f>IF(AND($E464=TRUE,$C464="MID"),AB464,"")</f>
        <v/>
      </c>
      <c r="AH464">
        <f>IF(AND($E464=TRUE,$C464="FWD"),AB464,"")</f>
        <v/>
      </c>
    </row>
    <row r="465">
      <c r="A465" t="inlineStr">
        <is>
          <t>Kyle Walker</t>
        </is>
      </c>
      <c r="D465" t="inlineStr">
        <is>
          <t>DEF</t>
        </is>
      </c>
      <c r="E465" t="b">
        <v>0</v>
      </c>
      <c r="F465" s="2" t="n"/>
      <c r="I465" s="2" t="n">
        <v>3097</v>
      </c>
      <c r="K465" s="3" t="n">
        <v>3097</v>
      </c>
      <c r="L465" s="3" t="n"/>
      <c r="M465" s="4" t="n">
        <v>0.004</v>
      </c>
      <c r="N465" t="inlineStr">
        <is>
          <t>adjusted xGOT</t>
        </is>
      </c>
      <c r="O465" s="4" t="n">
        <v>0.916</v>
      </c>
      <c r="P465" s="4" t="n">
        <v>1.1</v>
      </c>
      <c r="Q465" s="4" t="n">
        <v>0.0484</v>
      </c>
      <c r="R465" s="4" t="n">
        <v>0.114</v>
      </c>
      <c r="S465" s="4" t="n">
        <v>0.0872</v>
      </c>
      <c r="T465" s="4" t="n">
        <v>2.034</v>
      </c>
      <c r="U465" s="4">
        <f>IF(T465="",IFERROR(VLOOKUP($C465,Assumptions!$A$4:$F$7,6,FALSE),0),T465)</f>
        <v/>
      </c>
      <c r="V465" s="4">
        <f>N(M465)*IFERROR(VLOOKUP($C465,Assumptions!$A$4:$F$7,2,FALSE),0)</f>
        <v/>
      </c>
      <c r="W465" s="4">
        <f>N(Q465)*IFERROR(VLOOKUP($C465,Assumptions!$A$4:$F$7,3,FALSE),0)*Assumptions!$B$11</f>
        <v/>
      </c>
      <c r="X465" s="4">
        <f>N(L465)*IFERROR(VLOOKUP($C465,Assumptions!$A$4:$F$7,4,FALSE),0)</f>
        <v/>
      </c>
      <c r="Y465" s="4">
        <f>N(R465)*IFERROR(VLOOKUP($C465,Assumptions!$A$4:$F$7,5,FALSE),0)</f>
        <v/>
      </c>
      <c r="Z465" s="4">
        <f>N(S465)</f>
        <v/>
      </c>
      <c r="AA465" s="4">
        <f>SUM(U465:Z465)</f>
        <v/>
      </c>
      <c r="AB465" s="4">
        <f>N(AA465)*N(K465)/90</f>
        <v/>
      </c>
      <c r="AC465" s="4">
        <f>IFERROR(AB465-VLOOKUP($C465,Assumptions!$A$29:$C$32,3,FALSE),"")</f>
        <v/>
      </c>
      <c r="AD465" s="4">
        <f>IFERROR(AC465/F465,"")</f>
        <v/>
      </c>
      <c r="AE465">
        <f>IF(AND($E465=TRUE,$C465="GKP"),AB465,"")</f>
        <v/>
      </c>
      <c r="AF465">
        <f>IF(AND($E465=TRUE,$C465="DEF"),AB465,"")</f>
        <v/>
      </c>
      <c r="AG465">
        <f>IF(AND($E465=TRUE,$C465="MID"),AB465,"")</f>
        <v/>
      </c>
      <c r="AH465">
        <f>IF(AND($E465=TRUE,$C465="FWD"),AB465,"")</f>
        <v/>
      </c>
    </row>
    <row r="466">
      <c r="A466" t="inlineStr">
        <is>
          <t>Séamus Coleman</t>
        </is>
      </c>
      <c r="D466" t="inlineStr">
        <is>
          <t>DEF</t>
        </is>
      </c>
      <c r="E466" t="b">
        <v>0</v>
      </c>
      <c r="F466" s="2" t="n"/>
      <c r="I466" s="2" t="n">
        <v>20</v>
      </c>
      <c r="K466" s="3" t="n">
        <v>20</v>
      </c>
      <c r="L466" s="3" t="n"/>
      <c r="M466" s="4" t="n">
        <v>0</v>
      </c>
      <c r="N466" t="inlineStr">
        <is>
          <t>adjusted xGOT</t>
        </is>
      </c>
      <c r="O466" s="4" t="n">
        <v>0.93</v>
      </c>
      <c r="P466" s="4" t="n">
        <v>0.9</v>
      </c>
      <c r="Q466" s="4" t="n">
        <v>0.1706</v>
      </c>
      <c r="R466" s="4" t="n">
        <v>0</v>
      </c>
      <c r="S466" s="4" t="n">
        <v>0</v>
      </c>
      <c r="T466" s="4" t="n">
        <v>22.5</v>
      </c>
      <c r="U466" s="4">
        <f>IF(T466="",IFERROR(VLOOKUP($C466,Assumptions!$A$4:$F$7,6,FALSE),0),T466)</f>
        <v/>
      </c>
      <c r="V466" s="4">
        <f>N(M466)*IFERROR(VLOOKUP($C466,Assumptions!$A$4:$F$7,2,FALSE),0)</f>
        <v/>
      </c>
      <c r="W466" s="4">
        <f>N(Q466)*IFERROR(VLOOKUP($C466,Assumptions!$A$4:$F$7,3,FALSE),0)*Assumptions!$B$11</f>
        <v/>
      </c>
      <c r="X466" s="4">
        <f>N(L466)*IFERROR(VLOOKUP($C466,Assumptions!$A$4:$F$7,4,FALSE),0)</f>
        <v/>
      </c>
      <c r="Y466" s="4">
        <f>N(R466)*IFERROR(VLOOKUP($C466,Assumptions!$A$4:$F$7,5,FALSE),0)</f>
        <v/>
      </c>
      <c r="Z466" s="4">
        <f>N(S466)</f>
        <v/>
      </c>
      <c r="AA466" s="4">
        <f>SUM(U466:Z466)</f>
        <v/>
      </c>
      <c r="AB466" s="4">
        <f>N(AA466)*N(K466)/90</f>
        <v/>
      </c>
      <c r="AC466" s="4">
        <f>IFERROR(AB466-VLOOKUP($C466,Assumptions!$A$29:$C$32,3,FALSE),"")</f>
        <v/>
      </c>
      <c r="AD466" s="4">
        <f>IFERROR(AC466/F466,"")</f>
        <v/>
      </c>
      <c r="AE466">
        <f>IF(AND($E466=TRUE,$C466="GKP"),AB466,"")</f>
        <v/>
      </c>
      <c r="AF466">
        <f>IF(AND($E466=TRUE,$C466="DEF"),AB466,"")</f>
        <v/>
      </c>
      <c r="AG466">
        <f>IF(AND($E466=TRUE,$C466="MID"),AB466,"")</f>
        <v/>
      </c>
      <c r="AH466">
        <f>IF(AND($E466=TRUE,$C466="FWD"),AB466,"")</f>
        <v/>
      </c>
    </row>
    <row r="467">
      <c r="A467" t="inlineStr">
        <is>
          <t>Casemiro</t>
        </is>
      </c>
      <c r="D467" t="inlineStr">
        <is>
          <t>MID</t>
        </is>
      </c>
      <c r="E467" t="b">
        <v>0</v>
      </c>
      <c r="F467" s="2" t="n"/>
      <c r="I467" s="2" t="n">
        <v>2588</v>
      </c>
      <c r="K467" s="3" t="n">
        <v>2588</v>
      </c>
      <c r="L467" s="3" t="n"/>
      <c r="M467" s="4" t="n">
        <v>0.1734</v>
      </c>
      <c r="N467" t="inlineStr">
        <is>
          <t>adjusted xGOT</t>
        </is>
      </c>
      <c r="O467" s="4" t="n">
        <v>0.916</v>
      </c>
      <c r="P467" s="4" t="n">
        <v>14.4</v>
      </c>
      <c r="Q467" s="4" t="n">
        <v>0.1105</v>
      </c>
      <c r="R467" s="4" t="n">
        <v>0.545</v>
      </c>
      <c r="S467" s="4" t="n">
        <v>0.6955</v>
      </c>
      <c r="T467" s="4" t="n">
        <v>2.191</v>
      </c>
      <c r="U467" s="4">
        <f>IF(T467="",IFERROR(VLOOKUP($C467,Assumptions!$A$4:$F$7,6,FALSE),0),T467)</f>
        <v/>
      </c>
      <c r="V467" s="4">
        <f>N(M467)*IFERROR(VLOOKUP($C467,Assumptions!$A$4:$F$7,2,FALSE),0)</f>
        <v/>
      </c>
      <c r="W467" s="4">
        <f>N(Q467)*IFERROR(VLOOKUP($C467,Assumptions!$A$4:$F$7,3,FALSE),0)*Assumptions!$B$11</f>
        <v/>
      </c>
      <c r="X467" s="4">
        <f>N(L467)*IFERROR(VLOOKUP($C467,Assumptions!$A$4:$F$7,4,FALSE),0)</f>
        <v/>
      </c>
      <c r="Y467" s="4">
        <f>N(R467)*IFERROR(VLOOKUP($C467,Assumptions!$A$4:$F$7,5,FALSE),0)</f>
        <v/>
      </c>
      <c r="Z467" s="4">
        <f>N(S467)</f>
        <v/>
      </c>
      <c r="AA467" s="4">
        <f>SUM(U467:Z467)</f>
        <v/>
      </c>
      <c r="AB467" s="4">
        <f>N(AA467)*N(K467)/90</f>
        <v/>
      </c>
      <c r="AC467" s="4">
        <f>IFERROR(AB467-VLOOKUP($C467,Assumptions!$A$29:$C$32,3,FALSE),"")</f>
        <v/>
      </c>
      <c r="AD467" s="4">
        <f>IFERROR(AC467/F467,"")</f>
        <v/>
      </c>
      <c r="AE467">
        <f>IF(AND($E467=TRUE,$C467="GKP"),AB467,"")</f>
        <v/>
      </c>
      <c r="AF467">
        <f>IF(AND($E467=TRUE,$C467="DEF"),AB467,"")</f>
        <v/>
      </c>
      <c r="AG467">
        <f>IF(AND($E467=TRUE,$C467="MID"),AB467,"")</f>
        <v/>
      </c>
      <c r="AH467">
        <f>IF(AND($E467=TRUE,$C467="FWD"),AB467,"")</f>
        <v/>
      </c>
    </row>
    <row r="468">
      <c r="A468" t="inlineStr">
        <is>
          <t>Kieran Trippier</t>
        </is>
      </c>
      <c r="D468" t="inlineStr">
        <is>
          <t>DEF</t>
        </is>
      </c>
      <c r="E468" t="b">
        <v>0</v>
      </c>
      <c r="F468" s="2" t="n"/>
      <c r="I468" s="2" t="n">
        <v>1592</v>
      </c>
      <c r="K468" s="3" t="n">
        <v>1592</v>
      </c>
      <c r="L468" s="3" t="n"/>
      <c r="M468" s="4" t="n">
        <v>0.0047</v>
      </c>
      <c r="N468" t="inlineStr">
        <is>
          <t>adjusted xGOT</t>
        </is>
      </c>
      <c r="O468" s="4" t="n">
        <v>1.052</v>
      </c>
      <c r="P468" s="4" t="n">
        <v>1.7</v>
      </c>
      <c r="Q468" s="4" t="n">
        <v>0.1029</v>
      </c>
      <c r="R468" s="4" t="n">
        <v>0.056</v>
      </c>
      <c r="S468" s="4" t="n">
        <v>0.1131</v>
      </c>
      <c r="T468" s="4" t="n">
        <v>2.205</v>
      </c>
      <c r="U468" s="4">
        <f>IF(T468="",IFERROR(VLOOKUP($C468,Assumptions!$A$4:$F$7,6,FALSE),0),T468)</f>
        <v/>
      </c>
      <c r="V468" s="4">
        <f>N(M468)*IFERROR(VLOOKUP($C468,Assumptions!$A$4:$F$7,2,FALSE),0)</f>
        <v/>
      </c>
      <c r="W468" s="4">
        <f>N(Q468)*IFERROR(VLOOKUP($C468,Assumptions!$A$4:$F$7,3,FALSE),0)*Assumptions!$B$11</f>
        <v/>
      </c>
      <c r="X468" s="4">
        <f>N(L468)*IFERROR(VLOOKUP($C468,Assumptions!$A$4:$F$7,4,FALSE),0)</f>
        <v/>
      </c>
      <c r="Y468" s="4">
        <f>N(R468)*IFERROR(VLOOKUP($C468,Assumptions!$A$4:$F$7,5,FALSE),0)</f>
        <v/>
      </c>
      <c r="Z468" s="4">
        <f>N(S468)</f>
        <v/>
      </c>
      <c r="AA468" s="4">
        <f>SUM(U468:Z468)</f>
        <v/>
      </c>
      <c r="AB468" s="4">
        <f>N(AA468)*N(K468)/90</f>
        <v/>
      </c>
      <c r="AC468" s="4">
        <f>IFERROR(AB468-VLOOKUP($C468,Assumptions!$A$29:$C$32,3,FALSE),"")</f>
        <v/>
      </c>
      <c r="AD468" s="4">
        <f>IFERROR(AC468/F468,"")</f>
        <v/>
      </c>
      <c r="AE468">
        <f>IF(AND($E468=TRUE,$C468="GKP"),AB468,"")</f>
        <v/>
      </c>
      <c r="AF468">
        <f>IF(AND($E468=TRUE,$C468="DEF"),AB468,"")</f>
        <v/>
      </c>
      <c r="AG468">
        <f>IF(AND($E468=TRUE,$C468="MID"),AB468,"")</f>
        <v/>
      </c>
      <c r="AH468">
        <f>IF(AND($E468=TRUE,$C468="FWD"),AB468,"")</f>
        <v/>
      </c>
    </row>
    <row r="469">
      <c r="A469" t="inlineStr">
        <is>
          <t>Dan Bentley</t>
        </is>
      </c>
      <c r="D469" t="inlineStr">
        <is>
          <t>GKP</t>
        </is>
      </c>
      <c r="E469" t="b">
        <v>0</v>
      </c>
      <c r="F469" s="2" t="n"/>
      <c r="I469" s="2" t="n">
        <v>270</v>
      </c>
      <c r="K469" s="3" t="n">
        <v>270</v>
      </c>
      <c r="L469" s="3" t="n"/>
      <c r="M469" s="4" t="n">
        <v>0</v>
      </c>
      <c r="N469" t="inlineStr">
        <is>
          <t>blended xG</t>
        </is>
      </c>
      <c r="O469" s="4" t="n">
        <v>1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2</v>
      </c>
      <c r="U469" s="4">
        <f>IF(T469="",IFERROR(VLOOKUP($C469,Assumptions!$A$4:$F$7,6,FALSE),0),T469)</f>
        <v/>
      </c>
      <c r="V469" s="4">
        <f>N(M469)*IFERROR(VLOOKUP($C469,Assumptions!$A$4:$F$7,2,FALSE),0)</f>
        <v/>
      </c>
      <c r="W469" s="4">
        <f>N(Q469)*IFERROR(VLOOKUP($C469,Assumptions!$A$4:$F$7,3,FALSE),0)*Assumptions!$B$11</f>
        <v/>
      </c>
      <c r="X469" s="4">
        <f>N(L469)*IFERROR(VLOOKUP($C469,Assumptions!$A$4:$F$7,4,FALSE),0)</f>
        <v/>
      </c>
      <c r="Y469" s="4">
        <f>N(R469)*IFERROR(VLOOKUP($C469,Assumptions!$A$4:$F$7,5,FALSE),0)</f>
        <v/>
      </c>
      <c r="Z469" s="4">
        <f>N(S469)</f>
        <v/>
      </c>
      <c r="AA469" s="4">
        <f>SUM(U469:Z469)</f>
        <v/>
      </c>
      <c r="AB469" s="4">
        <f>N(AA469)*N(K469)/90</f>
        <v/>
      </c>
      <c r="AC469" s="4">
        <f>IFERROR(AB469-VLOOKUP($C469,Assumptions!$A$29:$C$32,3,FALSE),"")</f>
        <v/>
      </c>
      <c r="AD469" s="4">
        <f>IFERROR(AC469/F469,"")</f>
        <v/>
      </c>
      <c r="AE469">
        <f>IF(AND($E469=TRUE,$C469="GKP"),AB469,"")</f>
        <v/>
      </c>
      <c r="AF469">
        <f>IF(AND($E469=TRUE,$C469="DEF"),AB469,"")</f>
        <v/>
      </c>
      <c r="AG469">
        <f>IF(AND($E469=TRUE,$C469="MID"),AB469,"")</f>
        <v/>
      </c>
      <c r="AH469">
        <f>IF(AND($E469=TRUE,$C469="FWD"),AB469,"")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b">
        <v>1</v>
      </c>
      <c r="F470" s="2" t="n">
        <v>4</v>
      </c>
      <c r="G470" t="inlineStr">
        <is>
          <t>a</t>
        </is>
      </c>
      <c r="I470" s="2" t="n"/>
      <c r="K470" s="3" t="n"/>
      <c r="L470" s="3" t="n"/>
      <c r="M470" s="4" t="n"/>
      <c r="N470" t="inlineStr"/>
      <c r="O470" s="4" t="n"/>
      <c r="P470" s="4" t="n"/>
      <c r="Q470" s="4" t="n"/>
      <c r="R470" s="4" t="n"/>
      <c r="S470" s="4" t="n"/>
      <c r="T470" s="4" t="n"/>
      <c r="U470" s="4">
        <f>IF(T470="",IFERROR(VLOOKUP($C470,Assumptions!$A$4:$F$7,6,FALSE),0),T470)</f>
        <v/>
      </c>
      <c r="V470" s="4">
        <f>N(M470)*IFERROR(VLOOKUP($C470,Assumptions!$A$4:$F$7,2,FALSE),0)</f>
        <v/>
      </c>
      <c r="W470" s="4">
        <f>N(Q470)*IFERROR(VLOOKUP($C470,Assumptions!$A$4:$F$7,3,FALSE),0)*Assumptions!$B$11</f>
        <v/>
      </c>
      <c r="X470" s="4">
        <f>N(L470)*IFERROR(VLOOKUP($C470,Assumptions!$A$4:$F$7,4,FALSE),0)</f>
        <v/>
      </c>
      <c r="Y470" s="4">
        <f>N(R470)*IFERROR(VLOOKUP($C470,Assumptions!$A$4:$F$7,5,FALSE),0)</f>
        <v/>
      </c>
      <c r="Z470" s="4">
        <f>N(S470)</f>
        <v/>
      </c>
      <c r="AA470" s="4">
        <f>SUM(U470:Z470)</f>
        <v/>
      </c>
      <c r="AB470" s="4">
        <f>N(AA470)*N(K470)/90</f>
        <v/>
      </c>
      <c r="AC470" s="4">
        <f>IFERROR(AB470-VLOOKUP($C470,Assumptions!$A$29:$C$32,3,FALSE),"")</f>
        <v/>
      </c>
      <c r="AD470" s="4">
        <f>IFERROR(AC470/F470,"")</f>
        <v/>
      </c>
      <c r="AE470">
        <f>IF(AND($E470=TRUE,$C470="GKP"),AB470,"")</f>
        <v/>
      </c>
      <c r="AF470">
        <f>IF(AND($E470=TRUE,$C470="DEF"),AB470,"")</f>
        <v/>
      </c>
      <c r="AG470">
        <f>IF(AND($E470=TRUE,$C470="MID"),AB470,"")</f>
        <v/>
      </c>
      <c r="AH470">
        <f>IF(AND($E470=TRUE,$C470="FWD"),AB470,"")</f>
        <v/>
      </c>
    </row>
    <row r="471">
      <c r="A471" t="inlineStr">
        <is>
          <t>Idrissa Gueye</t>
        </is>
      </c>
      <c r="D471" t="inlineStr">
        <is>
          <t>MID</t>
        </is>
      </c>
      <c r="E471" t="b">
        <v>0</v>
      </c>
      <c r="F471" s="2" t="n"/>
      <c r="I471" s="2" t="n">
        <v>2101</v>
      </c>
      <c r="K471" s="3" t="n">
        <v>2101</v>
      </c>
      <c r="L471" s="3" t="n"/>
      <c r="M471" s="4" t="n">
        <v>0.08790000000000001</v>
      </c>
      <c r="N471" t="inlineStr">
        <is>
          <t>adjusted xGOT</t>
        </is>
      </c>
      <c r="O471" s="4" t="n">
        <v>1.03</v>
      </c>
      <c r="P471" s="4" t="n">
        <v>5.1</v>
      </c>
      <c r="Q471" s="4" t="n">
        <v>0.0726</v>
      </c>
      <c r="R471" s="4" t="n">
        <v>0.36</v>
      </c>
      <c r="S471" s="4" t="n">
        <v>0.1713</v>
      </c>
      <c r="T471" s="4" t="n">
        <v>2.099</v>
      </c>
      <c r="U471" s="4">
        <f>IF(T471="",IFERROR(VLOOKUP($C471,Assumptions!$A$4:$F$7,6,FALSE),0),T471)</f>
        <v/>
      </c>
      <c r="V471" s="4">
        <f>N(M471)*IFERROR(VLOOKUP($C471,Assumptions!$A$4:$F$7,2,FALSE),0)</f>
        <v/>
      </c>
      <c r="W471" s="4">
        <f>N(Q471)*IFERROR(VLOOKUP($C471,Assumptions!$A$4:$F$7,3,FALSE),0)*Assumptions!$B$11</f>
        <v/>
      </c>
      <c r="X471" s="4">
        <f>N(L471)*IFERROR(VLOOKUP($C471,Assumptions!$A$4:$F$7,4,FALSE),0)</f>
        <v/>
      </c>
      <c r="Y471" s="4">
        <f>N(R471)*IFERROR(VLOOKUP($C471,Assumptions!$A$4:$F$7,5,FALSE),0)</f>
        <v/>
      </c>
      <c r="Z471" s="4">
        <f>N(S471)</f>
        <v/>
      </c>
      <c r="AA471" s="4">
        <f>SUM(U471:Z471)</f>
        <v/>
      </c>
      <c r="AB471" s="4">
        <f>N(AA471)*N(K471)/90</f>
        <v/>
      </c>
      <c r="AC471" s="4">
        <f>IFERROR(AB471-VLOOKUP($C471,Assumptions!$A$29:$C$32,3,FALSE),"")</f>
        <v/>
      </c>
      <c r="AD471" s="4">
        <f>IFERROR(AC471/F471,"")</f>
        <v/>
      </c>
      <c r="AE471">
        <f>IF(AND($E471=TRUE,$C471="GKP"),AB471,"")</f>
        <v/>
      </c>
      <c r="AF471">
        <f>IF(AND($E471=TRUE,$C471="DEF"),AB471,"")</f>
        <v/>
      </c>
      <c r="AG471">
        <f>IF(AND($E471=TRUE,$C471="MID"),AB471,"")</f>
        <v/>
      </c>
      <c r="AH471">
        <f>IF(AND($E471=TRUE,$C471="FWD"),AB471,"")</f>
        <v/>
      </c>
    </row>
    <row r="472">
      <c r="A472" t="inlineStr">
        <is>
          <t>Alphonse Areola</t>
        </is>
      </c>
      <c r="D472" t="inlineStr">
        <is>
          <t>GKP</t>
        </is>
      </c>
      <c r="E472" t="b">
        <v>0</v>
      </c>
      <c r="F472" s="2" t="n"/>
      <c r="I472" s="2" t="n">
        <v>1800</v>
      </c>
      <c r="K472" s="3" t="n">
        <v>1800</v>
      </c>
      <c r="L472" s="3" t="n"/>
      <c r="M472" s="4" t="n">
        <v>0</v>
      </c>
      <c r="N472" t="inlineStr">
        <is>
          <t>blended xG</t>
        </is>
      </c>
      <c r="O472" s="4" t="n">
        <v>1</v>
      </c>
      <c r="P472" s="4" t="n">
        <v>0</v>
      </c>
      <c r="Q472" s="4" t="n">
        <v>0.0011</v>
      </c>
      <c r="R472" s="4" t="n">
        <v>0</v>
      </c>
      <c r="S472" s="4" t="n">
        <v>0.1</v>
      </c>
      <c r="T472" s="4" t="n">
        <v>2</v>
      </c>
      <c r="U472" s="4">
        <f>IF(T472="",IFERROR(VLOOKUP($C472,Assumptions!$A$4:$F$7,6,FALSE),0),T472)</f>
        <v/>
      </c>
      <c r="V472" s="4">
        <f>N(M472)*IFERROR(VLOOKUP($C472,Assumptions!$A$4:$F$7,2,FALSE),0)</f>
        <v/>
      </c>
      <c r="W472" s="4">
        <f>N(Q472)*IFERROR(VLOOKUP($C472,Assumptions!$A$4:$F$7,3,FALSE),0)*Assumptions!$B$11</f>
        <v/>
      </c>
      <c r="X472" s="4">
        <f>N(L472)*IFERROR(VLOOKUP($C472,Assumptions!$A$4:$F$7,4,FALSE),0)</f>
        <v/>
      </c>
      <c r="Y472" s="4">
        <f>N(R472)*IFERROR(VLOOKUP($C472,Assumptions!$A$4:$F$7,5,FALSE),0)</f>
        <v/>
      </c>
      <c r="Z472" s="4">
        <f>N(S472)</f>
        <v/>
      </c>
      <c r="AA472" s="4">
        <f>SUM(U472:Z472)</f>
        <v/>
      </c>
      <c r="AB472" s="4">
        <f>N(AA472)*N(K472)/90</f>
        <v/>
      </c>
      <c r="AC472" s="4">
        <f>IFERROR(AB472-VLOOKUP($C472,Assumptions!$A$29:$C$32,3,FALSE),"")</f>
        <v/>
      </c>
      <c r="AD472" s="4">
        <f>IFERROR(AC472/F472,"")</f>
        <v/>
      </c>
      <c r="AE472">
        <f>IF(AND($E472=TRUE,$C472="GKP"),AB472,"")</f>
        <v/>
      </c>
      <c r="AF472">
        <f>IF(AND($E472=TRUE,$C472="DEF"),AB472,"")</f>
        <v/>
      </c>
      <c r="AG472">
        <f>IF(AND($E472=TRUE,$C472="MID"),AB472,"")</f>
        <v/>
      </c>
      <c r="AH472">
        <f>IF(AND($E472=TRUE,$C472="FWD"),AB472,"")</f>
        <v/>
      </c>
    </row>
    <row r="473">
      <c r="A473" t="inlineStr">
        <is>
          <t>Matt Doherty</t>
        </is>
      </c>
      <c r="D473" t="inlineStr">
        <is>
          <t>DEF</t>
        </is>
      </c>
      <c r="E473" t="b">
        <v>0</v>
      </c>
      <c r="F473" s="2" t="n"/>
      <c r="I473" s="2" t="n">
        <v>791</v>
      </c>
      <c r="K473" s="3" t="n">
        <v>791</v>
      </c>
      <c r="L473" s="3" t="n"/>
      <c r="M473" s="4" t="n">
        <v>0.0108</v>
      </c>
      <c r="N473" t="inlineStr">
        <is>
          <t>adjusted xGOT</t>
        </is>
      </c>
      <c r="O473" s="4" t="n">
        <v>1.061</v>
      </c>
      <c r="P473" s="4" t="n">
        <v>2.8</v>
      </c>
      <c r="Q473" s="4" t="n">
        <v>0.0197</v>
      </c>
      <c r="R473" s="4" t="n">
        <v>0</v>
      </c>
      <c r="S473" s="4" t="n">
        <v>0</v>
      </c>
      <c r="T473" s="4" t="n">
        <v>2.162</v>
      </c>
      <c r="U473" s="4">
        <f>IF(T473="",IFERROR(VLOOKUP($C473,Assumptions!$A$4:$F$7,6,FALSE),0),T473)</f>
        <v/>
      </c>
      <c r="V473" s="4">
        <f>N(M473)*IFERROR(VLOOKUP($C473,Assumptions!$A$4:$F$7,2,FALSE),0)</f>
        <v/>
      </c>
      <c r="W473" s="4">
        <f>N(Q473)*IFERROR(VLOOKUP($C473,Assumptions!$A$4:$F$7,3,FALSE),0)*Assumptions!$B$11</f>
        <v/>
      </c>
      <c r="X473" s="4">
        <f>N(L473)*IFERROR(VLOOKUP($C473,Assumptions!$A$4:$F$7,4,FALSE),0)</f>
        <v/>
      </c>
      <c r="Y473" s="4">
        <f>N(R473)*IFERROR(VLOOKUP($C473,Assumptions!$A$4:$F$7,5,FALSE),0)</f>
        <v/>
      </c>
      <c r="Z473" s="4">
        <f>N(S473)</f>
        <v/>
      </c>
      <c r="AA473" s="4">
        <f>SUM(U473:Z473)</f>
        <v/>
      </c>
      <c r="AB473" s="4">
        <f>N(AA473)*N(K473)/90</f>
        <v/>
      </c>
      <c r="AC473" s="4">
        <f>IFERROR(AB473-VLOOKUP($C473,Assumptions!$A$29:$C$32,3,FALSE),"")</f>
        <v/>
      </c>
      <c r="AD473" s="4">
        <f>IFERROR(AC473/F473,"")</f>
        <v/>
      </c>
      <c r="AE473">
        <f>IF(AND($E473=TRUE,$C473="GKP"),AB473,"")</f>
        <v/>
      </c>
      <c r="AF473">
        <f>IF(AND($E473=TRUE,$C473="DEF"),AB473,"")</f>
        <v/>
      </c>
      <c r="AG473">
        <f>IF(AND($E473=TRUE,$C473="MID"),AB473,"")</f>
        <v/>
      </c>
      <c r="AH473">
        <f>IF(AND($E473=TRUE,$C473="FWD"),AB473,"")</f>
        <v/>
      </c>
    </row>
    <row r="474">
      <c r="A474" t="inlineStr">
        <is>
          <t>Stefan Ortega</t>
        </is>
      </c>
      <c r="D474" t="inlineStr">
        <is>
          <t>GKP</t>
        </is>
      </c>
      <c r="E474" t="b">
        <v>0</v>
      </c>
      <c r="F474" s="2" t="n"/>
      <c r="I474" s="2" t="n">
        <v>270</v>
      </c>
      <c r="K474" s="3" t="n">
        <v>270</v>
      </c>
      <c r="L474" s="3" t="n"/>
      <c r="M474" s="4" t="n">
        <v>0</v>
      </c>
      <c r="N474" t="inlineStr">
        <is>
          <t>blended xG</t>
        </is>
      </c>
      <c r="O474" s="4" t="n">
        <v>1</v>
      </c>
      <c r="P474" s="4" t="n">
        <v>0</v>
      </c>
      <c r="Q474" s="4" t="n">
        <v>0</v>
      </c>
      <c r="R474" s="4" t="n">
        <v>0</v>
      </c>
      <c r="S474" s="4" t="n">
        <v>0</v>
      </c>
      <c r="T474" s="4" t="n">
        <v>2</v>
      </c>
      <c r="U474" s="4">
        <f>IF(T474="",IFERROR(VLOOKUP($C474,Assumptions!$A$4:$F$7,6,FALSE),0),T474)</f>
        <v/>
      </c>
      <c r="V474" s="4">
        <f>N(M474)*IFERROR(VLOOKUP($C474,Assumptions!$A$4:$F$7,2,FALSE),0)</f>
        <v/>
      </c>
      <c r="W474" s="4">
        <f>N(Q474)*IFERROR(VLOOKUP($C474,Assumptions!$A$4:$F$7,3,FALSE),0)*Assumptions!$B$11</f>
        <v/>
      </c>
      <c r="X474" s="4">
        <f>N(L474)*IFERROR(VLOOKUP($C474,Assumptions!$A$4:$F$7,4,FALSE),0)</f>
        <v/>
      </c>
      <c r="Y474" s="4">
        <f>N(R474)*IFERROR(VLOOKUP($C474,Assumptions!$A$4:$F$7,5,FALSE),0)</f>
        <v/>
      </c>
      <c r="Z474" s="4">
        <f>N(S474)</f>
        <v/>
      </c>
      <c r="AA474" s="4">
        <f>SUM(U474:Z474)</f>
        <v/>
      </c>
      <c r="AB474" s="4">
        <f>N(AA474)*N(K474)/90</f>
        <v/>
      </c>
      <c r="AC474" s="4">
        <f>IFERROR(AB474-VLOOKUP($C474,Assumptions!$A$29:$C$32,3,FALSE),"")</f>
        <v/>
      </c>
      <c r="AD474" s="4">
        <f>IFERROR(AC474/F474,"")</f>
        <v/>
      </c>
      <c r="AE474">
        <f>IF(AND($E474=TRUE,$C474="GKP"),AB474,"")</f>
        <v/>
      </c>
      <c r="AF474">
        <f>IF(AND($E474=TRUE,$C474="DEF"),AB474,"")</f>
        <v/>
      </c>
      <c r="AG474">
        <f>IF(AND($E474=TRUE,$C474="MID"),AB474,"")</f>
        <v/>
      </c>
      <c r="AH474">
        <f>IF(AND($E474=TRUE,$C474="FWD"),AB474,"")</f>
        <v/>
      </c>
    </row>
    <row r="475">
      <c r="A475" t="inlineStr">
        <is>
          <t>Niclas Füllkrug</t>
        </is>
      </c>
      <c r="D475" t="inlineStr">
        <is>
          <t>FWD</t>
        </is>
      </c>
      <c r="E475" t="b">
        <v>0</v>
      </c>
      <c r="F475" s="2" t="n"/>
      <c r="I475" s="2" t="n">
        <v>408</v>
      </c>
      <c r="K475" s="3" t="n">
        <v>408</v>
      </c>
      <c r="L475" s="3" t="n"/>
      <c r="M475" s="4" t="n">
        <v>0.2279</v>
      </c>
      <c r="N475" t="inlineStr">
        <is>
          <t>adjusted xGOT</t>
        </is>
      </c>
      <c r="O475" s="4" t="n">
        <v>1.111</v>
      </c>
      <c r="P475" s="4" t="n">
        <v>3.1</v>
      </c>
      <c r="Q475" s="4" t="n">
        <v>0.09909999999999999</v>
      </c>
      <c r="R475" s="4" t="n">
        <v>0.2</v>
      </c>
      <c r="S475" s="4" t="n">
        <v>0</v>
      </c>
      <c r="T475" s="4" t="n">
        <v>2.647</v>
      </c>
      <c r="U475" s="4">
        <f>IF(T475="",IFERROR(VLOOKUP($C475,Assumptions!$A$4:$F$7,6,FALSE),0),T475)</f>
        <v/>
      </c>
      <c r="V475" s="4">
        <f>N(M475)*IFERROR(VLOOKUP($C475,Assumptions!$A$4:$F$7,2,FALSE),0)</f>
        <v/>
      </c>
      <c r="W475" s="4">
        <f>N(Q475)*IFERROR(VLOOKUP($C475,Assumptions!$A$4:$F$7,3,FALSE),0)*Assumptions!$B$11</f>
        <v/>
      </c>
      <c r="X475" s="4">
        <f>N(L475)*IFERROR(VLOOKUP($C475,Assumptions!$A$4:$F$7,4,FALSE),0)</f>
        <v/>
      </c>
      <c r="Y475" s="4">
        <f>N(R475)*IFERROR(VLOOKUP($C475,Assumptions!$A$4:$F$7,5,FALSE),0)</f>
        <v/>
      </c>
      <c r="Z475" s="4">
        <f>N(S475)</f>
        <v/>
      </c>
      <c r="AA475" s="4">
        <f>SUM(U475:Z475)</f>
        <v/>
      </c>
      <c r="AB475" s="4">
        <f>N(AA475)*N(K475)/90</f>
        <v/>
      </c>
      <c r="AC475" s="4">
        <f>IFERROR(AB475-VLOOKUP($C475,Assumptions!$A$29:$C$32,3,FALSE),"")</f>
        <v/>
      </c>
      <c r="AD475" s="4">
        <f>IFERROR(AC475/F475,"")</f>
        <v/>
      </c>
      <c r="AE475">
        <f>IF(AND($E475=TRUE,$C475="GKP"),AB475,"")</f>
        <v/>
      </c>
      <c r="AF475">
        <f>IF(AND($E475=TRUE,$C475="DEF"),AB475,"")</f>
        <v/>
      </c>
      <c r="AG475">
        <f>IF(AND($E475=TRUE,$C475="MID"),AB475,"")</f>
        <v/>
      </c>
      <c r="AH475">
        <f>IF(AND($E475=TRUE,$C475="FWD"),AB475,"")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b">
        <v>1</v>
      </c>
      <c r="F476" s="2" t="n">
        <v>4.5</v>
      </c>
      <c r="G476" t="inlineStr">
        <is>
          <t>a</t>
        </is>
      </c>
      <c r="I476" s="2" t="n"/>
      <c r="K476" s="3" t="n"/>
      <c r="L476" s="3" t="n">
        <v>0.29</v>
      </c>
      <c r="M476" s="4" t="n"/>
      <c r="N476" t="inlineStr"/>
      <c r="O476" s="4" t="n"/>
      <c r="P476" s="4" t="n"/>
      <c r="Q476" s="4" t="n"/>
      <c r="R476" s="4" t="n"/>
      <c r="S476" s="4" t="n"/>
      <c r="T476" s="4" t="n"/>
      <c r="U476" s="4">
        <f>IF(T476="",IFERROR(VLOOKUP($C476,Assumptions!$A$4:$F$7,6,FALSE),0),T476)</f>
        <v/>
      </c>
      <c r="V476" s="4">
        <f>N(M476)*IFERROR(VLOOKUP($C476,Assumptions!$A$4:$F$7,2,FALSE),0)</f>
        <v/>
      </c>
      <c r="W476" s="4">
        <f>N(Q476)*IFERROR(VLOOKUP($C476,Assumptions!$A$4:$F$7,3,FALSE),0)*Assumptions!$B$11</f>
        <v/>
      </c>
      <c r="X476" s="4">
        <f>N(L476)*IFERROR(VLOOKUP($C476,Assumptions!$A$4:$F$7,4,FALSE),0)</f>
        <v/>
      </c>
      <c r="Y476" s="4">
        <f>N(R476)*IFERROR(VLOOKUP($C476,Assumptions!$A$4:$F$7,5,FALSE),0)</f>
        <v/>
      </c>
      <c r="Z476" s="4">
        <f>N(S476)</f>
        <v/>
      </c>
      <c r="AA476" s="4">
        <f>SUM(U476:Z476)</f>
        <v/>
      </c>
      <c r="AB476" s="4">
        <f>N(AA476)*N(K476)/90</f>
        <v/>
      </c>
      <c r="AC476" s="4">
        <f>IFERROR(AB476-VLOOKUP($C476,Assumptions!$A$29:$C$32,3,FALSE),"")</f>
        <v/>
      </c>
      <c r="AD476" s="4">
        <f>IFERROR(AC476/F476,"")</f>
        <v/>
      </c>
      <c r="AE476">
        <f>IF(AND($E476=TRUE,$C476="GKP"),AB476,"")</f>
        <v/>
      </c>
      <c r="AF476">
        <f>IF(AND($E476=TRUE,$C476="DEF"),AB476,"")</f>
        <v/>
      </c>
      <c r="AG476">
        <f>IF(AND($E476=TRUE,$C476="MID"),AB476,"")</f>
        <v/>
      </c>
      <c r="AH476">
        <f>IF(AND($E476=TRUE,$C476="FWD"),AB476,"")</f>
        <v/>
      </c>
    </row>
    <row r="477">
      <c r="A477" t="inlineStr">
        <is>
          <t>John Stones</t>
        </is>
      </c>
      <c r="D477" t="inlineStr">
        <is>
          <t>DEF</t>
        </is>
      </c>
      <c r="E477" t="b">
        <v>0</v>
      </c>
      <c r="F477" s="2" t="n"/>
      <c r="I477" s="2" t="n">
        <v>439</v>
      </c>
      <c r="K477" s="3" t="n">
        <v>439</v>
      </c>
      <c r="L477" s="3" t="n"/>
      <c r="M477" s="4" t="n">
        <v>0</v>
      </c>
      <c r="N477" t="inlineStr">
        <is>
          <t>adjusted xGOT</t>
        </is>
      </c>
      <c r="O477" s="4" t="n">
        <v>1.001</v>
      </c>
      <c r="P477" s="4" t="n">
        <v>2.7</v>
      </c>
      <c r="Q477" s="4" t="n">
        <v>0.0129</v>
      </c>
      <c r="R477" s="4" t="n">
        <v>0.2</v>
      </c>
      <c r="S477" s="4" t="n">
        <v>0</v>
      </c>
      <c r="T477" s="4" t="n">
        <v>2.87</v>
      </c>
      <c r="U477" s="4">
        <f>IF(T477="",IFERROR(VLOOKUP($C477,Assumptions!$A$4:$F$7,6,FALSE),0),T477)</f>
        <v/>
      </c>
      <c r="V477" s="4">
        <f>N(M477)*IFERROR(VLOOKUP($C477,Assumptions!$A$4:$F$7,2,FALSE),0)</f>
        <v/>
      </c>
      <c r="W477" s="4">
        <f>N(Q477)*IFERROR(VLOOKUP($C477,Assumptions!$A$4:$F$7,3,FALSE),0)*Assumptions!$B$11</f>
        <v/>
      </c>
      <c r="X477" s="4">
        <f>N(L477)*IFERROR(VLOOKUP($C477,Assumptions!$A$4:$F$7,4,FALSE),0)</f>
        <v/>
      </c>
      <c r="Y477" s="4">
        <f>N(R477)*IFERROR(VLOOKUP($C477,Assumptions!$A$4:$F$7,5,FALSE),0)</f>
        <v/>
      </c>
      <c r="Z477" s="4">
        <f>N(S477)</f>
        <v/>
      </c>
      <c r="AA477" s="4">
        <f>SUM(U477:Z477)</f>
        <v/>
      </c>
      <c r="AB477" s="4">
        <f>N(AA477)*N(K477)/90</f>
        <v/>
      </c>
      <c r="AC477" s="4">
        <f>IFERROR(AB477-VLOOKUP($C477,Assumptions!$A$29:$C$32,3,FALSE),"")</f>
        <v/>
      </c>
      <c r="AD477" s="4">
        <f>IFERROR(AC477/F477,"")</f>
        <v/>
      </c>
      <c r="AE477">
        <f>IF(AND($E477=TRUE,$C477="GKP"),AB477,"")</f>
        <v/>
      </c>
      <c r="AF477">
        <f>IF(AND($E477=TRUE,$C477="DEF"),AB477,"")</f>
        <v/>
      </c>
      <c r="AG477">
        <f>IF(AND($E477=TRUE,$C477="MID"),AB477,"")</f>
        <v/>
      </c>
      <c r="AH477">
        <f>IF(AND($E477=TRUE,$C477="FWD"),AB477,"")</f>
        <v/>
      </c>
    </row>
    <row r="478">
      <c r="A478" t="inlineStr">
        <is>
          <t>Jamaal Lascelles</t>
        </is>
      </c>
      <c r="D478" t="inlineStr">
        <is>
          <t>DEF</t>
        </is>
      </c>
      <c r="E478" t="b">
        <v>0</v>
      </c>
      <c r="F478" s="2" t="n"/>
      <c r="I478" s="2" t="n">
        <v>19</v>
      </c>
      <c r="K478" s="3" t="n">
        <v>19</v>
      </c>
      <c r="L478" s="3" t="n"/>
      <c r="M478" s="4" t="n">
        <v>0.18</v>
      </c>
      <c r="N478" t="inlineStr">
        <is>
          <t>adjusted xGOT</t>
        </is>
      </c>
      <c r="O478" s="4" t="n">
        <v>0.945</v>
      </c>
      <c r="P478" s="4" t="n">
        <v>0.9</v>
      </c>
      <c r="Q478" s="4" t="n"/>
      <c r="R478" s="4" t="n"/>
      <c r="S478" s="4" t="n">
        <v>0</v>
      </c>
      <c r="T478" s="4" t="n">
        <v>9.474</v>
      </c>
      <c r="U478" s="4">
        <f>IF(T478="",IFERROR(VLOOKUP($C478,Assumptions!$A$4:$F$7,6,FALSE),0),T478)</f>
        <v/>
      </c>
      <c r="V478" s="4">
        <f>N(M478)*IFERROR(VLOOKUP($C478,Assumptions!$A$4:$F$7,2,FALSE),0)</f>
        <v/>
      </c>
      <c r="W478" s="4">
        <f>N(Q478)*IFERROR(VLOOKUP($C478,Assumptions!$A$4:$F$7,3,FALSE),0)*Assumptions!$B$11</f>
        <v/>
      </c>
      <c r="X478" s="4">
        <f>N(L478)*IFERROR(VLOOKUP($C478,Assumptions!$A$4:$F$7,4,FALSE),0)</f>
        <v/>
      </c>
      <c r="Y478" s="4">
        <f>N(R478)*IFERROR(VLOOKUP($C478,Assumptions!$A$4:$F$7,5,FALSE),0)</f>
        <v/>
      </c>
      <c r="Z478" s="4">
        <f>N(S478)</f>
        <v/>
      </c>
      <c r="AA478" s="4">
        <f>SUM(U478:Z478)</f>
        <v/>
      </c>
      <c r="AB478" s="4">
        <f>N(AA478)*N(K478)/90</f>
        <v/>
      </c>
      <c r="AC478" s="4">
        <f>IFERROR(AB478-VLOOKUP($C478,Assumptions!$A$29:$C$32,3,FALSE),"")</f>
        <v/>
      </c>
      <c r="AD478" s="4">
        <f>IFERROR(AC478/F478,"")</f>
        <v/>
      </c>
      <c r="AE478">
        <f>IF(AND($E478=TRUE,$C478="GKP"),AB478,"")</f>
        <v/>
      </c>
      <c r="AF478">
        <f>IF(AND($E478=TRUE,$C478="DEF"),AB478,"")</f>
        <v/>
      </c>
      <c r="AG478">
        <f>IF(AND($E478=TRUE,$C478="MID"),AB478,"")</f>
        <v/>
      </c>
      <c r="AH478">
        <f>IF(AND($E478=TRUE,$C478="FWD"),AB478,"")</f>
        <v/>
      </c>
    </row>
    <row r="479">
      <c r="A479" t="inlineStr">
        <is>
          <t>James Ward-Prowse</t>
        </is>
      </c>
      <c r="D479" t="inlineStr">
        <is>
          <t>MID</t>
        </is>
      </c>
      <c r="E479" t="b">
        <v>0</v>
      </c>
      <c r="F479" s="2" t="n"/>
      <c r="I479" s="2" t="n">
        <v>1096</v>
      </c>
      <c r="K479" s="3" t="n">
        <v>1096</v>
      </c>
      <c r="L479" s="3" t="n"/>
      <c r="M479" s="4" t="n">
        <v>0.0232</v>
      </c>
      <c r="N479" t="inlineStr">
        <is>
          <t>adjusted xGOT</t>
        </is>
      </c>
      <c r="O479" s="4" t="n">
        <v>1.177</v>
      </c>
      <c r="P479" s="4" t="n">
        <v>13.9</v>
      </c>
      <c r="Q479" s="4" t="n">
        <v>0.2816</v>
      </c>
      <c r="R479" s="4" t="n">
        <v>0.25</v>
      </c>
      <c r="S479" s="4" t="n">
        <v>0</v>
      </c>
      <c r="T479" s="4" t="n">
        <v>2.464</v>
      </c>
      <c r="U479" s="4">
        <f>IF(T479="",IFERROR(VLOOKUP($C479,Assumptions!$A$4:$F$7,6,FALSE),0),T479)</f>
        <v/>
      </c>
      <c r="V479" s="4">
        <f>N(M479)*IFERROR(VLOOKUP($C479,Assumptions!$A$4:$F$7,2,FALSE),0)</f>
        <v/>
      </c>
      <c r="W479" s="4">
        <f>N(Q479)*IFERROR(VLOOKUP($C479,Assumptions!$A$4:$F$7,3,FALSE),0)*Assumptions!$B$11</f>
        <v/>
      </c>
      <c r="X479" s="4">
        <f>N(L479)*IFERROR(VLOOKUP($C479,Assumptions!$A$4:$F$7,4,FALSE),0)</f>
        <v/>
      </c>
      <c r="Y479" s="4">
        <f>N(R479)*IFERROR(VLOOKUP($C479,Assumptions!$A$4:$F$7,5,FALSE),0)</f>
        <v/>
      </c>
      <c r="Z479" s="4">
        <f>N(S479)</f>
        <v/>
      </c>
      <c r="AA479" s="4">
        <f>SUM(U479:Z479)</f>
        <v/>
      </c>
      <c r="AB479" s="4">
        <f>N(AA479)*N(K479)/90</f>
        <v/>
      </c>
      <c r="AC479" s="4">
        <f>IFERROR(AB479-VLOOKUP($C479,Assumptions!$A$29:$C$32,3,FALSE),"")</f>
        <v/>
      </c>
      <c r="AD479" s="4">
        <f>IFERROR(AC479/F479,"")</f>
        <v/>
      </c>
      <c r="AE479">
        <f>IF(AND($E479=TRUE,$C479="GKP"),AB479,"")</f>
        <v/>
      </c>
      <c r="AF479">
        <f>IF(AND($E479=TRUE,$C479="DEF"),AB479,"")</f>
        <v/>
      </c>
      <c r="AG479">
        <f>IF(AND($E479=TRUE,$C479="MID"),AB479,"")</f>
        <v/>
      </c>
      <c r="AH479">
        <f>IF(AND($E479=TRUE,$C479="FWD"),AB479,"")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b">
        <v>1</v>
      </c>
      <c r="F480" s="2" t="n">
        <v>4.5</v>
      </c>
      <c r="G480" t="inlineStr">
        <is>
          <t>a</t>
        </is>
      </c>
      <c r="I480" s="2" t="n"/>
      <c r="K480" s="3" t="n"/>
      <c r="L480" s="3" t="n"/>
      <c r="M480" s="4" t="n"/>
      <c r="N480" t="inlineStr"/>
      <c r="O480" s="4" t="n"/>
      <c r="P480" s="4" t="n"/>
      <c r="Q480" s="4" t="n"/>
      <c r="R480" s="4" t="n"/>
      <c r="S480" s="4" t="n"/>
      <c r="T480" s="4" t="n"/>
      <c r="U480" s="4">
        <f>IF(T480="",IFERROR(VLOOKUP($C480,Assumptions!$A$4:$F$7,6,FALSE),0),T480)</f>
        <v/>
      </c>
      <c r="V480" s="4">
        <f>N(M480)*IFERROR(VLOOKUP($C480,Assumptions!$A$4:$F$7,2,FALSE),0)</f>
        <v/>
      </c>
      <c r="W480" s="4">
        <f>N(Q480)*IFERROR(VLOOKUP($C480,Assumptions!$A$4:$F$7,3,FALSE),0)*Assumptions!$B$11</f>
        <v/>
      </c>
      <c r="X480" s="4">
        <f>N(L480)*IFERROR(VLOOKUP($C480,Assumptions!$A$4:$F$7,4,FALSE),0)</f>
        <v/>
      </c>
      <c r="Y480" s="4">
        <f>N(R480)*IFERROR(VLOOKUP($C480,Assumptions!$A$4:$F$7,5,FALSE),0)</f>
        <v/>
      </c>
      <c r="Z480" s="4">
        <f>N(S480)</f>
        <v/>
      </c>
      <c r="AA480" s="4">
        <f>SUM(U480:Z480)</f>
        <v/>
      </c>
      <c r="AB480" s="4">
        <f>N(AA480)*N(K480)/90</f>
        <v/>
      </c>
      <c r="AC480" s="4">
        <f>IFERROR(AB480-VLOOKUP($C480,Assumptions!$A$29:$C$32,3,FALSE),"")</f>
        <v/>
      </c>
      <c r="AD480" s="4">
        <f>IFERROR(AC480/F480,"")</f>
        <v/>
      </c>
      <c r="AE480">
        <f>IF(AND($E480=TRUE,$C480="GKP"),AB480,"")</f>
        <v/>
      </c>
      <c r="AF480">
        <f>IF(AND($E480=TRUE,$C480="DEF"),AB480,"")</f>
        <v/>
      </c>
      <c r="AG480">
        <f>IF(AND($E480=TRUE,$C480="MID"),AB480,"")</f>
        <v/>
      </c>
      <c r="AH480">
        <f>IF(AND($E480=TRUE,$C480="FWD"),AB480,"")</f>
        <v/>
      </c>
    </row>
    <row r="481">
      <c r="A481" t="inlineStr">
        <is>
          <t>Sam Johnstone</t>
        </is>
      </c>
      <c r="D481" t="inlineStr">
        <is>
          <t>GKP</t>
        </is>
      </c>
      <c r="E481" t="b">
        <v>0</v>
      </c>
      <c r="F481" s="2" t="n"/>
      <c r="I481" s="2" t="n">
        <v>1080</v>
      </c>
      <c r="K481" s="3" t="n">
        <v>1080</v>
      </c>
      <c r="L481" s="3" t="n"/>
      <c r="M481" s="4" t="n">
        <v>0</v>
      </c>
      <c r="N481" t="inlineStr">
        <is>
          <t>blended xG</t>
        </is>
      </c>
      <c r="O481" s="4" t="n">
        <v>1</v>
      </c>
      <c r="P481" s="4" t="n">
        <v>0</v>
      </c>
      <c r="Q481" s="4" t="n">
        <v>0</v>
      </c>
      <c r="R481" s="4" t="n">
        <v>0</v>
      </c>
      <c r="S481" s="4" t="n">
        <v>0</v>
      </c>
      <c r="T481" s="4" t="n">
        <v>2</v>
      </c>
      <c r="U481" s="4">
        <f>IF(T481="",IFERROR(VLOOKUP($C481,Assumptions!$A$4:$F$7,6,FALSE),0),T481)</f>
        <v/>
      </c>
      <c r="V481" s="4">
        <f>N(M481)*IFERROR(VLOOKUP($C481,Assumptions!$A$4:$F$7,2,FALSE),0)</f>
        <v/>
      </c>
      <c r="W481" s="4">
        <f>N(Q481)*IFERROR(VLOOKUP($C481,Assumptions!$A$4:$F$7,3,FALSE),0)*Assumptions!$B$11</f>
        <v/>
      </c>
      <c r="X481" s="4">
        <f>N(L481)*IFERROR(VLOOKUP($C481,Assumptions!$A$4:$F$7,4,FALSE),0)</f>
        <v/>
      </c>
      <c r="Y481" s="4">
        <f>N(R481)*IFERROR(VLOOKUP($C481,Assumptions!$A$4:$F$7,5,FALSE),0)</f>
        <v/>
      </c>
      <c r="Z481" s="4">
        <f>N(S481)</f>
        <v/>
      </c>
      <c r="AA481" s="4">
        <f>SUM(U481:Z481)</f>
        <v/>
      </c>
      <c r="AB481" s="4">
        <f>N(AA481)*N(K481)/90</f>
        <v/>
      </c>
      <c r="AC481" s="4">
        <f>IFERROR(AB481-VLOOKUP($C481,Assumptions!$A$29:$C$32,3,FALSE),"")</f>
        <v/>
      </c>
      <c r="AD481" s="4">
        <f>IFERROR(AC481/F481,"")</f>
        <v/>
      </c>
      <c r="AE481">
        <f>IF(AND($E481=TRUE,$C481="GKP"),AB481,"")</f>
        <v/>
      </c>
      <c r="AF481">
        <f>IF(AND($E481=TRUE,$C481="DEF"),AB481,"")</f>
        <v/>
      </c>
      <c r="AG481">
        <f>IF(AND($E481=TRUE,$C481="MID"),AB481,"")</f>
        <v/>
      </c>
      <c r="AH481">
        <f>IF(AND($E481=TRUE,$C481="FWD"),AB481,"")</f>
        <v/>
      </c>
    </row>
    <row r="482">
      <c r="A482" t="inlineStr">
        <is>
          <t>Raúl Jiménez</t>
        </is>
      </c>
      <c r="D482" t="inlineStr">
        <is>
          <t>FWD</t>
        </is>
      </c>
      <c r="E482" t="b">
        <v>0</v>
      </c>
      <c r="F482" s="2" t="n"/>
      <c r="I482" s="2" t="n">
        <v>2199</v>
      </c>
      <c r="K482" s="3" t="n">
        <v>2199</v>
      </c>
      <c r="L482" s="3" t="n"/>
      <c r="M482" s="4" t="n">
        <v>0.4407</v>
      </c>
      <c r="N482" t="inlineStr">
        <is>
          <t>adjusted xGOT</t>
        </is>
      </c>
      <c r="O482" s="4" t="n">
        <v>0.93</v>
      </c>
      <c r="P482" s="4" t="n">
        <v>31.5</v>
      </c>
      <c r="Q482" s="4" t="n">
        <v>0.0796</v>
      </c>
      <c r="R482" s="4" t="n">
        <v>0</v>
      </c>
      <c r="S482" s="4" t="n">
        <v>0.3274</v>
      </c>
      <c r="T482" s="4" t="n">
        <v>2.415</v>
      </c>
      <c r="U482" s="4">
        <f>IF(T482="",IFERROR(VLOOKUP($C482,Assumptions!$A$4:$F$7,6,FALSE),0),T482)</f>
        <v/>
      </c>
      <c r="V482" s="4">
        <f>N(M482)*IFERROR(VLOOKUP($C482,Assumptions!$A$4:$F$7,2,FALSE),0)</f>
        <v/>
      </c>
      <c r="W482" s="4">
        <f>N(Q482)*IFERROR(VLOOKUP($C482,Assumptions!$A$4:$F$7,3,FALSE),0)*Assumptions!$B$11</f>
        <v/>
      </c>
      <c r="X482" s="4">
        <f>N(L482)*IFERROR(VLOOKUP($C482,Assumptions!$A$4:$F$7,4,FALSE),0)</f>
        <v/>
      </c>
      <c r="Y482" s="4">
        <f>N(R482)*IFERROR(VLOOKUP($C482,Assumptions!$A$4:$F$7,5,FALSE),0)</f>
        <v/>
      </c>
      <c r="Z482" s="4">
        <f>N(S482)</f>
        <v/>
      </c>
      <c r="AA482" s="4">
        <f>SUM(U482:Z482)</f>
        <v/>
      </c>
      <c r="AB482" s="4">
        <f>N(AA482)*N(K482)/90</f>
        <v/>
      </c>
      <c r="AC482" s="4">
        <f>IFERROR(AB482-VLOOKUP($C482,Assumptions!$A$29:$C$32,3,FALSE),"")</f>
        <v/>
      </c>
      <c r="AD482" s="4">
        <f>IFERROR(AC482/F482,"")</f>
        <v/>
      </c>
      <c r="AE482">
        <f>IF(AND($E482=TRUE,$C482="GKP"),AB482,"")</f>
        <v/>
      </c>
      <c r="AF482">
        <f>IF(AND($E482=TRUE,$C482="DEF"),AB482,"")</f>
        <v/>
      </c>
      <c r="AG482">
        <f>IF(AND($E482=TRUE,$C482="MID"),AB482,"")</f>
        <v/>
      </c>
      <c r="AH482">
        <f>IF(AND($E482=TRUE,$C482="FWD"),AB482,"")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b">
        <v>1</v>
      </c>
      <c r="F483" s="2" t="n">
        <v>4.5</v>
      </c>
      <c r="G483" t="inlineStr">
        <is>
          <t>i</t>
        </is>
      </c>
      <c r="H483" t="inlineStr">
        <is>
          <t>Arm injury - Unknown return date</t>
        </is>
      </c>
      <c r="I483" s="2" t="n"/>
      <c r="K483" s="3" t="n"/>
      <c r="L483" s="3" t="n"/>
      <c r="M483" s="4" t="n"/>
      <c r="N483" t="inlineStr"/>
      <c r="O483" s="4" t="n"/>
      <c r="P483" s="4" t="n"/>
      <c r="Q483" s="4" t="n"/>
      <c r="R483" s="4" t="n">
        <v>0</v>
      </c>
      <c r="S483" s="4" t="n"/>
      <c r="T483" s="4" t="n"/>
      <c r="U483" s="4">
        <f>IF(T483="",IFERROR(VLOOKUP($C483,Assumptions!$A$4:$F$7,6,FALSE),0),T483)</f>
        <v/>
      </c>
      <c r="V483" s="4">
        <f>N(M483)*IFERROR(VLOOKUP($C483,Assumptions!$A$4:$F$7,2,FALSE),0)</f>
        <v/>
      </c>
      <c r="W483" s="4">
        <f>N(Q483)*IFERROR(VLOOKUP($C483,Assumptions!$A$4:$F$7,3,FALSE),0)*Assumptions!$B$11</f>
        <v/>
      </c>
      <c r="X483" s="4">
        <f>N(L483)*IFERROR(VLOOKUP($C483,Assumptions!$A$4:$F$7,4,FALSE),0)</f>
        <v/>
      </c>
      <c r="Y483" s="4">
        <f>N(R483)*IFERROR(VLOOKUP($C483,Assumptions!$A$4:$F$7,5,FALSE),0)</f>
        <v/>
      </c>
      <c r="Z483" s="4">
        <f>N(S483)</f>
        <v/>
      </c>
      <c r="AA483" s="4">
        <f>SUM(U483:Z483)</f>
        <v/>
      </c>
      <c r="AB483" s="4">
        <f>N(AA483)*N(K483)/90</f>
        <v/>
      </c>
      <c r="AC483" s="4">
        <f>IFERROR(AB483-VLOOKUP($C483,Assumptions!$A$29:$C$32,3,FALSE),"")</f>
        <v/>
      </c>
      <c r="AD483" s="4">
        <f>IFERROR(AC483/F483,"")</f>
        <v/>
      </c>
      <c r="AE483">
        <f>IF(AND($E483=TRUE,$C483="GKP"),AB483,"")</f>
        <v/>
      </c>
      <c r="AF483">
        <f>IF(AND($E483=TRUE,$C483="DEF"),AB483,"")</f>
        <v/>
      </c>
      <c r="AG483">
        <f>IF(AND($E483=TRUE,$C483="MID"),AB483,"")</f>
        <v/>
      </c>
      <c r="AH483">
        <f>IF(AND($E483=TRUE,$C483="FWD"),AB483,"")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b">
        <v>1</v>
      </c>
      <c r="F484" s="2" t="n">
        <v>5</v>
      </c>
      <c r="G484" t="inlineStr">
        <is>
          <t>a</t>
        </is>
      </c>
      <c r="I484" s="2" t="n"/>
      <c r="K484" s="3" t="n"/>
      <c r="L484" s="3" t="n">
        <v>0.421</v>
      </c>
      <c r="M484" s="4" t="n"/>
      <c r="N484" t="inlineStr"/>
      <c r="O484" s="4" t="n"/>
      <c r="P484" s="4" t="n"/>
      <c r="Q484" s="4" t="n"/>
      <c r="R484" s="4" t="n">
        <v>0</v>
      </c>
      <c r="S484" s="4" t="n"/>
      <c r="T484" s="4" t="n"/>
      <c r="U484" s="4">
        <f>IF(T484="",IFERROR(VLOOKUP($C484,Assumptions!$A$4:$F$7,6,FALSE),0),T484)</f>
        <v/>
      </c>
      <c r="V484" s="4">
        <f>N(M484)*IFERROR(VLOOKUP($C484,Assumptions!$A$4:$F$7,2,FALSE),0)</f>
        <v/>
      </c>
      <c r="W484" s="4">
        <f>N(Q484)*IFERROR(VLOOKUP($C484,Assumptions!$A$4:$F$7,3,FALSE),0)*Assumptions!$B$11</f>
        <v/>
      </c>
      <c r="X484" s="4">
        <f>N(L484)*IFERROR(VLOOKUP($C484,Assumptions!$A$4:$F$7,4,FALSE),0)</f>
        <v/>
      </c>
      <c r="Y484" s="4">
        <f>N(R484)*IFERROR(VLOOKUP($C484,Assumptions!$A$4:$F$7,5,FALSE),0)</f>
        <v/>
      </c>
      <c r="Z484" s="4">
        <f>N(S484)</f>
        <v/>
      </c>
      <c r="AA484" s="4">
        <f>SUM(U484:Z484)</f>
        <v/>
      </c>
      <c r="AB484" s="4">
        <f>N(AA484)*N(K484)/90</f>
        <v/>
      </c>
      <c r="AC484" s="4">
        <f>IFERROR(AB484-VLOOKUP($C484,Assumptions!$A$29:$C$32,3,FALSE),"")</f>
        <v/>
      </c>
      <c r="AD484" s="4">
        <f>IFERROR(AC484/F484,"")</f>
        <v/>
      </c>
      <c r="AE484">
        <f>IF(AND($E484=TRUE,$C484="GKP"),AB484,"")</f>
        <v/>
      </c>
      <c r="AF484">
        <f>IF(AND($E484=TRUE,$C484="DEF"),AB484,"")</f>
        <v/>
      </c>
      <c r="AG484">
        <f>IF(AND($E484=TRUE,$C484="MID"),AB484,"")</f>
        <v/>
      </c>
      <c r="AH484">
        <f>IF(AND($E484=TRUE,$C484="FWD"),AB484,"")</f>
        <v/>
      </c>
    </row>
    <row r="485">
      <c r="A485" t="inlineStr">
        <is>
          <t>Angus Gunn</t>
        </is>
      </c>
      <c r="D485" t="inlineStr">
        <is>
          <t>GKP</t>
        </is>
      </c>
      <c r="E485" t="b">
        <v>0</v>
      </c>
      <c r="F485" s="2" t="n"/>
      <c r="I485" s="2" t="n">
        <v>45</v>
      </c>
      <c r="K485" s="3" t="n">
        <v>45</v>
      </c>
      <c r="L485" s="3" t="n"/>
      <c r="M485" s="4" t="n">
        <v>0</v>
      </c>
      <c r="N485" t="inlineStr">
        <is>
          <t>blended xG</t>
        </is>
      </c>
      <c r="O485" s="4" t="n">
        <v>1</v>
      </c>
      <c r="P485" s="4" t="n">
        <v>0</v>
      </c>
      <c r="Q485" s="4" t="n">
        <v>0</v>
      </c>
      <c r="R485" s="4" t="n"/>
      <c r="S485" s="4" t="n">
        <v>0</v>
      </c>
      <c r="T485" s="4" t="n">
        <v>2</v>
      </c>
      <c r="U485" s="4">
        <f>IF(T485="",IFERROR(VLOOKUP($C485,Assumptions!$A$4:$F$7,6,FALSE),0),T485)</f>
        <v/>
      </c>
      <c r="V485" s="4">
        <f>N(M485)*IFERROR(VLOOKUP($C485,Assumptions!$A$4:$F$7,2,FALSE),0)</f>
        <v/>
      </c>
      <c r="W485" s="4">
        <f>N(Q485)*IFERROR(VLOOKUP($C485,Assumptions!$A$4:$F$7,3,FALSE),0)*Assumptions!$B$11</f>
        <v/>
      </c>
      <c r="X485" s="4">
        <f>N(L485)*IFERROR(VLOOKUP($C485,Assumptions!$A$4:$F$7,4,FALSE),0)</f>
        <v/>
      </c>
      <c r="Y485" s="4">
        <f>N(R485)*IFERROR(VLOOKUP($C485,Assumptions!$A$4:$F$7,5,FALSE),0)</f>
        <v/>
      </c>
      <c r="Z485" s="4">
        <f>N(S485)</f>
        <v/>
      </c>
      <c r="AA485" s="4">
        <f>SUM(U485:Z485)</f>
        <v/>
      </c>
      <c r="AB485" s="4">
        <f>N(AA485)*N(K485)/90</f>
        <v/>
      </c>
      <c r="AC485" s="4">
        <f>IFERROR(AB485-VLOOKUP($C485,Assumptions!$A$29:$C$32,3,FALSE),"")</f>
        <v/>
      </c>
      <c r="AD485" s="4">
        <f>IFERROR(AC485/F485,"")</f>
        <v/>
      </c>
      <c r="AE485">
        <f>IF(AND($E485=TRUE,$C485="GKP"),AB485,"")</f>
        <v/>
      </c>
      <c r="AF485">
        <f>IF(AND($E485=TRUE,$C485="DEF"),AB485,"")</f>
        <v/>
      </c>
      <c r="AG485">
        <f>IF(AND($E485=TRUE,$C485="MID"),AB485,"")</f>
        <v/>
      </c>
      <c r="AH485">
        <f>IF(AND($E485=TRUE,$C485="FWD"),AB485,"")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b">
        <v>1</v>
      </c>
      <c r="F486" s="2" t="n">
        <v>4</v>
      </c>
      <c r="G486" t="inlineStr">
        <is>
          <t>a</t>
        </is>
      </c>
      <c r="I486" s="2" t="n"/>
      <c r="K486" s="3" t="n"/>
      <c r="L486" s="3" t="n"/>
      <c r="M486" s="4" t="n"/>
      <c r="N486" t="inlineStr"/>
      <c r="O486" s="4" t="n"/>
      <c r="P486" s="4" t="n"/>
      <c r="Q486" s="4" t="n"/>
      <c r="R486" s="4" t="n"/>
      <c r="S486" s="4" t="n"/>
      <c r="T486" s="4" t="n"/>
      <c r="U486" s="4">
        <f>IF(T486="",IFERROR(VLOOKUP($C486,Assumptions!$A$4:$F$7,6,FALSE),0),T486)</f>
        <v/>
      </c>
      <c r="V486" s="4">
        <f>N(M486)*IFERROR(VLOOKUP($C486,Assumptions!$A$4:$F$7,2,FALSE),0)</f>
        <v/>
      </c>
      <c r="W486" s="4">
        <f>N(Q486)*IFERROR(VLOOKUP($C486,Assumptions!$A$4:$F$7,3,FALSE),0)*Assumptions!$B$11</f>
        <v/>
      </c>
      <c r="X486" s="4">
        <f>N(L486)*IFERROR(VLOOKUP($C486,Assumptions!$A$4:$F$7,4,FALSE),0)</f>
        <v/>
      </c>
      <c r="Y486" s="4">
        <f>N(R486)*IFERROR(VLOOKUP($C486,Assumptions!$A$4:$F$7,5,FALSE),0)</f>
        <v/>
      </c>
      <c r="Z486" s="4">
        <f>N(S486)</f>
        <v/>
      </c>
      <c r="AA486" s="4">
        <f>SUM(U486:Z486)</f>
        <v/>
      </c>
      <c r="AB486" s="4">
        <f>N(AA486)*N(K486)/90</f>
        <v/>
      </c>
      <c r="AC486" s="4">
        <f>IFERROR(AB486-VLOOKUP($C486,Assumptions!$A$29:$C$32,3,FALSE),"")</f>
        <v/>
      </c>
      <c r="AD486" s="4">
        <f>IFERROR(AC486/F486,"")</f>
        <v/>
      </c>
      <c r="AE486">
        <f>IF(AND($E486=TRUE,$C486="GKP"),AB486,"")</f>
        <v/>
      </c>
      <c r="AF486">
        <f>IF(AND($E486=TRUE,$C486="DEF"),AB486,"")</f>
        <v/>
      </c>
      <c r="AG486">
        <f>IF(AND($E486=TRUE,$C486="MID"),AB486,"")</f>
        <v/>
      </c>
      <c r="AH486">
        <f>IF(AND($E486=TRUE,$C486="FWD"),AB486,"")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b">
        <v>1</v>
      </c>
      <c r="F487" s="2" t="n">
        <v>4.5</v>
      </c>
      <c r="G487" t="inlineStr">
        <is>
          <t>a</t>
        </is>
      </c>
      <c r="I487" s="2" t="n"/>
      <c r="K487" s="3" t="n"/>
      <c r="L487" s="3" t="n"/>
      <c r="M487" s="4" t="n"/>
      <c r="N487" t="inlineStr"/>
      <c r="O487" s="4" t="n"/>
      <c r="P487" s="4" t="n"/>
      <c r="Q487" s="4" t="n"/>
      <c r="R487" s="4" t="n">
        <v>0</v>
      </c>
      <c r="S487" s="4" t="n"/>
      <c r="T487" s="4" t="n"/>
      <c r="U487" s="4">
        <f>IF(T487="",IFERROR(VLOOKUP($C487,Assumptions!$A$4:$F$7,6,FALSE),0),T487)</f>
        <v/>
      </c>
      <c r="V487" s="4">
        <f>N(M487)*IFERROR(VLOOKUP($C487,Assumptions!$A$4:$F$7,2,FALSE),0)</f>
        <v/>
      </c>
      <c r="W487" s="4">
        <f>N(Q487)*IFERROR(VLOOKUP($C487,Assumptions!$A$4:$F$7,3,FALSE),0)*Assumptions!$B$11</f>
        <v/>
      </c>
      <c r="X487" s="4">
        <f>N(L487)*IFERROR(VLOOKUP($C487,Assumptions!$A$4:$F$7,4,FALSE),0)</f>
        <v/>
      </c>
      <c r="Y487" s="4">
        <f>N(R487)*IFERROR(VLOOKUP($C487,Assumptions!$A$4:$F$7,5,FALSE),0)</f>
        <v/>
      </c>
      <c r="Z487" s="4">
        <f>N(S487)</f>
        <v/>
      </c>
      <c r="AA487" s="4">
        <f>SUM(U487:Z487)</f>
        <v/>
      </c>
      <c r="AB487" s="4">
        <f>N(AA487)*N(K487)/90</f>
        <v/>
      </c>
      <c r="AC487" s="4">
        <f>IFERROR(AB487-VLOOKUP($C487,Assumptions!$A$29:$C$32,3,FALSE),"")</f>
        <v/>
      </c>
      <c r="AD487" s="4">
        <f>IFERROR(AC487/F487,"")</f>
        <v/>
      </c>
      <c r="AE487">
        <f>IF(AND($E487=TRUE,$C487="GKP"),AB487,"")</f>
        <v/>
      </c>
      <c r="AF487">
        <f>IF(AND($E487=TRUE,$C487="DEF"),AB487,"")</f>
        <v/>
      </c>
      <c r="AG487">
        <f>IF(AND($E487=TRUE,$C487="MID"),AB487,"")</f>
        <v/>
      </c>
      <c r="AH487">
        <f>IF(AND($E487=TRUE,$C487="FWD"),AB487,"")</f>
        <v/>
      </c>
    </row>
    <row r="488">
      <c r="A488" t="inlineStr">
        <is>
          <t>Solly March</t>
        </is>
      </c>
      <c r="D488" t="inlineStr">
        <is>
          <t>MID</t>
        </is>
      </c>
      <c r="E488" t="b">
        <v>0</v>
      </c>
      <c r="F488" s="2" t="n"/>
      <c r="I488" s="2" t="n">
        <v>38</v>
      </c>
      <c r="K488" s="3" t="n">
        <v>38</v>
      </c>
      <c r="L488" s="3" t="n"/>
      <c r="M488" s="4" t="n">
        <v>0.1066</v>
      </c>
      <c r="N488" t="inlineStr">
        <is>
          <t>adjusted xGOT</t>
        </is>
      </c>
      <c r="O488" s="4" t="n">
        <v>1.131</v>
      </c>
      <c r="P488" s="4" t="n">
        <v>9.199999999999999</v>
      </c>
      <c r="Q488" s="4" t="n">
        <v>0</v>
      </c>
      <c r="R488" s="4" t="n"/>
      <c r="S488" s="4" t="n">
        <v>0</v>
      </c>
      <c r="T488" s="4" t="n">
        <v>9.474</v>
      </c>
      <c r="U488" s="4">
        <f>IF(T488="",IFERROR(VLOOKUP($C488,Assumptions!$A$4:$F$7,6,FALSE),0),T488)</f>
        <v/>
      </c>
      <c r="V488" s="4">
        <f>N(M488)*IFERROR(VLOOKUP($C488,Assumptions!$A$4:$F$7,2,FALSE),0)</f>
        <v/>
      </c>
      <c r="W488" s="4">
        <f>N(Q488)*IFERROR(VLOOKUP($C488,Assumptions!$A$4:$F$7,3,FALSE),0)*Assumptions!$B$11</f>
        <v/>
      </c>
      <c r="X488" s="4">
        <f>N(L488)*IFERROR(VLOOKUP($C488,Assumptions!$A$4:$F$7,4,FALSE),0)</f>
        <v/>
      </c>
      <c r="Y488" s="4">
        <f>N(R488)*IFERROR(VLOOKUP($C488,Assumptions!$A$4:$F$7,5,FALSE),0)</f>
        <v/>
      </c>
      <c r="Z488" s="4">
        <f>N(S488)</f>
        <v/>
      </c>
      <c r="AA488" s="4">
        <f>SUM(U488:Z488)</f>
        <v/>
      </c>
      <c r="AB488" s="4">
        <f>N(AA488)*N(K488)/90</f>
        <v/>
      </c>
      <c r="AC488" s="4">
        <f>IFERROR(AB488-VLOOKUP($C488,Assumptions!$A$29:$C$32,3,FALSE),"")</f>
        <v/>
      </c>
      <c r="AD488" s="4">
        <f>IFERROR(AC488/F488,"")</f>
        <v/>
      </c>
      <c r="AE488">
        <f>IF(AND($E488=TRUE,$C488="GKP"),AB488,"")</f>
        <v/>
      </c>
      <c r="AF488">
        <f>IF(AND($E488=TRUE,$C488="DEF"),AB488,"")</f>
        <v/>
      </c>
      <c r="AG488">
        <f>IF(AND($E488=TRUE,$C488="MID"),AB488,"")</f>
        <v/>
      </c>
      <c r="AH488">
        <f>IF(AND($E488=TRUE,$C488="FWD"),AB488,"")</f>
        <v/>
      </c>
    </row>
    <row r="489">
      <c r="A489" t="inlineStr">
        <is>
          <t>Bertrand Traoré</t>
        </is>
      </c>
      <c r="D489" t="inlineStr">
        <is>
          <t>MID</t>
        </is>
      </c>
      <c r="E489" t="b">
        <v>0</v>
      </c>
      <c r="F489" s="2" t="n"/>
      <c r="I489" s="2" t="n">
        <v>638</v>
      </c>
      <c r="K489" s="3" t="n">
        <v>638</v>
      </c>
      <c r="L489" s="3" t="n"/>
      <c r="M489" s="4" t="n">
        <v>0.0814</v>
      </c>
      <c r="N489" t="inlineStr">
        <is>
          <t>adjusted xGOT</t>
        </is>
      </c>
      <c r="O489" s="4" t="n">
        <v>1.203</v>
      </c>
      <c r="P489" s="4" t="n">
        <v>1.2</v>
      </c>
      <c r="Q489" s="4" t="n">
        <v>0.1395</v>
      </c>
      <c r="R489" s="4" t="n">
        <v>0</v>
      </c>
      <c r="S489" s="4" t="n">
        <v>0.1411</v>
      </c>
      <c r="T489" s="4" t="n">
        <v>2.68</v>
      </c>
      <c r="U489" s="4">
        <f>IF(T489="",IFERROR(VLOOKUP($C489,Assumptions!$A$4:$F$7,6,FALSE),0),T489)</f>
        <v/>
      </c>
      <c r="V489" s="4">
        <f>N(M489)*IFERROR(VLOOKUP($C489,Assumptions!$A$4:$F$7,2,FALSE),0)</f>
        <v/>
      </c>
      <c r="W489" s="4">
        <f>N(Q489)*IFERROR(VLOOKUP($C489,Assumptions!$A$4:$F$7,3,FALSE),0)*Assumptions!$B$11</f>
        <v/>
      </c>
      <c r="X489" s="4">
        <f>N(L489)*IFERROR(VLOOKUP($C489,Assumptions!$A$4:$F$7,4,FALSE),0)</f>
        <v/>
      </c>
      <c r="Y489" s="4">
        <f>N(R489)*IFERROR(VLOOKUP($C489,Assumptions!$A$4:$F$7,5,FALSE),0)</f>
        <v/>
      </c>
      <c r="Z489" s="4">
        <f>N(S489)</f>
        <v/>
      </c>
      <c r="AA489" s="4">
        <f>SUM(U489:Z489)</f>
        <v/>
      </c>
      <c r="AB489" s="4">
        <f>N(AA489)*N(K489)/90</f>
        <v/>
      </c>
      <c r="AC489" s="4">
        <f>IFERROR(AB489-VLOOKUP($C489,Assumptions!$A$29:$C$32,3,FALSE),"")</f>
        <v/>
      </c>
      <c r="AD489" s="4">
        <f>IFERROR(AC489/F489,"")</f>
        <v/>
      </c>
      <c r="AE489">
        <f>IF(AND($E489=TRUE,$C489="GKP"),AB489,"")</f>
        <v/>
      </c>
      <c r="AF489">
        <f>IF(AND($E489=TRUE,$C489="DEF"),AB489,"")</f>
        <v/>
      </c>
      <c r="AG489">
        <f>IF(AND($E489=TRUE,$C489="MID"),AB489,"")</f>
        <v/>
      </c>
      <c r="AH489">
        <f>IF(AND($E489=TRUE,$C489="FWD"),AB489,"")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b">
        <v>1</v>
      </c>
      <c r="F490" s="2" t="n">
        <v>4.5</v>
      </c>
      <c r="G490" t="inlineStr">
        <is>
          <t>a</t>
        </is>
      </c>
      <c r="I490" s="2" t="n"/>
      <c r="K490" s="3" t="n"/>
      <c r="L490" s="3" t="n"/>
      <c r="M490" s="4" t="n"/>
      <c r="N490" t="inlineStr"/>
      <c r="O490" s="4" t="n"/>
      <c r="P490" s="4" t="n"/>
      <c r="Q490" s="4" t="n"/>
      <c r="R490" s="4" t="n">
        <v>0</v>
      </c>
      <c r="S490" s="4" t="n"/>
      <c r="T490" s="4" t="n"/>
      <c r="U490" s="4">
        <f>IF(T490="",IFERROR(VLOOKUP($C490,Assumptions!$A$4:$F$7,6,FALSE),0),T490)</f>
        <v/>
      </c>
      <c r="V490" s="4">
        <f>N(M490)*IFERROR(VLOOKUP($C490,Assumptions!$A$4:$F$7,2,FALSE),0)</f>
        <v/>
      </c>
      <c r="W490" s="4">
        <f>N(Q490)*IFERROR(VLOOKUP($C490,Assumptions!$A$4:$F$7,3,FALSE),0)*Assumptions!$B$11</f>
        <v/>
      </c>
      <c r="X490" s="4">
        <f>N(L490)*IFERROR(VLOOKUP($C490,Assumptions!$A$4:$F$7,4,FALSE),0)</f>
        <v/>
      </c>
      <c r="Y490" s="4">
        <f>N(R490)*IFERROR(VLOOKUP($C490,Assumptions!$A$4:$F$7,5,FALSE),0)</f>
        <v/>
      </c>
      <c r="Z490" s="4">
        <f>N(S490)</f>
        <v/>
      </c>
      <c r="AA490" s="4">
        <f>SUM(U490:Z490)</f>
        <v/>
      </c>
      <c r="AB490" s="4">
        <f>N(AA490)*N(K490)/90</f>
        <v/>
      </c>
      <c r="AC490" s="4">
        <f>IFERROR(AB490-VLOOKUP($C490,Assumptions!$A$29:$C$32,3,FALSE),"")</f>
        <v/>
      </c>
      <c r="AD490" s="4">
        <f>IFERROR(AC490/F490,"")</f>
        <v/>
      </c>
      <c r="AE490">
        <f>IF(AND($E490=TRUE,$C490="GKP"),AB490,"")</f>
        <v/>
      </c>
      <c r="AF490">
        <f>IF(AND($E490=TRUE,$C490="DEF"),AB490,"")</f>
        <v/>
      </c>
      <c r="AG490">
        <f>IF(AND($E490=TRUE,$C490="MID"),AB490,"")</f>
        <v/>
      </c>
      <c r="AH490">
        <f>IF(AND($E490=TRUE,$C490="FWD"),AB490,"")</f>
        <v/>
      </c>
    </row>
    <row r="491">
      <c r="A491" t="inlineStr">
        <is>
          <t>Joël Veltman</t>
        </is>
      </c>
      <c r="D491" t="inlineStr">
        <is>
          <t>DEF</t>
        </is>
      </c>
      <c r="E491" t="b">
        <v>0</v>
      </c>
      <c r="F491" s="2" t="n"/>
      <c r="I491" s="2" t="n">
        <v>1050</v>
      </c>
      <c r="K491" s="3" t="n">
        <v>1050</v>
      </c>
      <c r="L491" s="3" t="n"/>
      <c r="M491" s="4" t="n">
        <v>0.0961</v>
      </c>
      <c r="N491" t="inlineStr">
        <is>
          <t>adjusted xGOT</t>
        </is>
      </c>
      <c r="O491" s="4" t="n">
        <v>0.975</v>
      </c>
      <c r="P491" s="4" t="n">
        <v>3.8</v>
      </c>
      <c r="Q491" s="4" t="n">
        <v>0.0216</v>
      </c>
      <c r="R491" s="4" t="n">
        <v>0.333</v>
      </c>
      <c r="S491" s="4" t="n">
        <v>0</v>
      </c>
      <c r="T491" s="4" t="n">
        <v>2.829</v>
      </c>
      <c r="U491" s="4">
        <f>IF(T491="",IFERROR(VLOOKUP($C491,Assumptions!$A$4:$F$7,6,FALSE),0),T491)</f>
        <v/>
      </c>
      <c r="V491" s="4">
        <f>N(M491)*IFERROR(VLOOKUP($C491,Assumptions!$A$4:$F$7,2,FALSE),0)</f>
        <v/>
      </c>
      <c r="W491" s="4">
        <f>N(Q491)*IFERROR(VLOOKUP($C491,Assumptions!$A$4:$F$7,3,FALSE),0)*Assumptions!$B$11</f>
        <v/>
      </c>
      <c r="X491" s="4">
        <f>N(L491)*IFERROR(VLOOKUP($C491,Assumptions!$A$4:$F$7,4,FALSE),0)</f>
        <v/>
      </c>
      <c r="Y491" s="4">
        <f>N(R491)*IFERROR(VLOOKUP($C491,Assumptions!$A$4:$F$7,5,FALSE),0)</f>
        <v/>
      </c>
      <c r="Z491" s="4">
        <f>N(S491)</f>
        <v/>
      </c>
      <c r="AA491" s="4">
        <f>SUM(U491:Z491)</f>
        <v/>
      </c>
      <c r="AB491" s="4">
        <f>N(AA491)*N(K491)/90</f>
        <v/>
      </c>
      <c r="AC491" s="4">
        <f>IFERROR(AB491-VLOOKUP($C491,Assumptions!$A$29:$C$32,3,FALSE),"")</f>
        <v/>
      </c>
      <c r="AD491" s="4">
        <f>IFERROR(AC491/F491,"")</f>
        <v/>
      </c>
      <c r="AE491">
        <f>IF(AND($E491=TRUE,$C491="GKP"),AB491,"")</f>
        <v/>
      </c>
      <c r="AF491">
        <f>IF(AND($E491=TRUE,$C491="DEF"),AB491,"")</f>
        <v/>
      </c>
      <c r="AG491">
        <f>IF(AND($E491=TRUE,$C491="MID"),AB491,"")</f>
        <v/>
      </c>
      <c r="AH491">
        <f>IF(AND($E491=TRUE,$C491="FWD"),AB491,"")</f>
        <v/>
      </c>
    </row>
    <row r="492">
      <c r="A492" t="inlineStr">
        <is>
          <t>Emil Krafth</t>
        </is>
      </c>
      <c r="D492" t="inlineStr">
        <is>
          <t>DEF</t>
        </is>
      </c>
      <c r="E492" t="b">
        <v>0</v>
      </c>
      <c r="F492" s="2" t="n"/>
      <c r="I492" s="2" t="n">
        <v>45</v>
      </c>
      <c r="K492" s="3" t="n">
        <v>45</v>
      </c>
      <c r="L492" s="3" t="n"/>
      <c r="M492" s="4" t="n">
        <v>0</v>
      </c>
      <c r="N492" t="inlineStr">
        <is>
          <t>adjusted xGOT</t>
        </is>
      </c>
      <c r="O492" s="4" t="n">
        <v>0.971</v>
      </c>
      <c r="P492" s="4" t="n">
        <v>0.2</v>
      </c>
      <c r="Q492" s="4" t="n">
        <v>0</v>
      </c>
      <c r="R492" s="4" t="n">
        <v>0</v>
      </c>
      <c r="S492" s="4" t="n">
        <v>0</v>
      </c>
      <c r="T492" s="4" t="n">
        <v>2</v>
      </c>
      <c r="U492" s="4">
        <f>IF(T492="",IFERROR(VLOOKUP($C492,Assumptions!$A$4:$F$7,6,FALSE),0),T492)</f>
        <v/>
      </c>
      <c r="V492" s="4">
        <f>N(M492)*IFERROR(VLOOKUP($C492,Assumptions!$A$4:$F$7,2,FALSE),0)</f>
        <v/>
      </c>
      <c r="W492" s="4">
        <f>N(Q492)*IFERROR(VLOOKUP($C492,Assumptions!$A$4:$F$7,3,FALSE),0)*Assumptions!$B$11</f>
        <v/>
      </c>
      <c r="X492" s="4">
        <f>N(L492)*IFERROR(VLOOKUP($C492,Assumptions!$A$4:$F$7,4,FALSE),0)</f>
        <v/>
      </c>
      <c r="Y492" s="4">
        <f>N(R492)*IFERROR(VLOOKUP($C492,Assumptions!$A$4:$F$7,5,FALSE),0)</f>
        <v/>
      </c>
      <c r="Z492" s="4">
        <f>N(S492)</f>
        <v/>
      </c>
      <c r="AA492" s="4">
        <f>SUM(U492:Z492)</f>
        <v/>
      </c>
      <c r="AB492" s="4">
        <f>N(AA492)*N(K492)/90</f>
        <v/>
      </c>
      <c r="AC492" s="4">
        <f>IFERROR(AB492-VLOOKUP($C492,Assumptions!$A$29:$C$32,3,FALSE),"")</f>
        <v/>
      </c>
      <c r="AD492" s="4">
        <f>IFERROR(AC492/F492,"")</f>
        <v/>
      </c>
      <c r="AE492">
        <f>IF(AND($E492=TRUE,$C492="GKP"),AB492,"")</f>
        <v/>
      </c>
      <c r="AF492">
        <f>IF(AND($E492=TRUE,$C492="DEF"),AB492,"")</f>
        <v/>
      </c>
      <c r="AG492">
        <f>IF(AND($E492=TRUE,$C492="MID"),AB492,"")</f>
        <v/>
      </c>
      <c r="AH492">
        <f>IF(AND($E492=TRUE,$C492="FWD"),AB492,"")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b">
        <v>1</v>
      </c>
      <c r="F493" s="2" t="n">
        <v>4</v>
      </c>
      <c r="G493" t="inlineStr">
        <is>
          <t>a</t>
        </is>
      </c>
      <c r="I493" s="2" t="n"/>
      <c r="K493" s="3" t="n"/>
      <c r="L493" s="3" t="n"/>
      <c r="M493" s="4" t="n"/>
      <c r="N493" t="inlineStr"/>
      <c r="O493" s="4" t="n"/>
      <c r="P493" s="4" t="n"/>
      <c r="Q493" s="4" t="n"/>
      <c r="R493" s="4" t="n">
        <v>0</v>
      </c>
      <c r="S493" s="4" t="n"/>
      <c r="T493" s="4" t="n"/>
      <c r="U493" s="4">
        <f>IF(T493="",IFERROR(VLOOKUP($C493,Assumptions!$A$4:$F$7,6,FALSE),0),T493)</f>
        <v/>
      </c>
      <c r="V493" s="4">
        <f>N(M493)*IFERROR(VLOOKUP($C493,Assumptions!$A$4:$F$7,2,FALSE),0)</f>
        <v/>
      </c>
      <c r="W493" s="4">
        <f>N(Q493)*IFERROR(VLOOKUP($C493,Assumptions!$A$4:$F$7,3,FALSE),0)*Assumptions!$B$11</f>
        <v/>
      </c>
      <c r="X493" s="4">
        <f>N(L493)*IFERROR(VLOOKUP($C493,Assumptions!$A$4:$F$7,4,FALSE),0)</f>
        <v/>
      </c>
      <c r="Y493" s="4">
        <f>N(R493)*IFERROR(VLOOKUP($C493,Assumptions!$A$4:$F$7,5,FALSE),0)</f>
        <v/>
      </c>
      <c r="Z493" s="4">
        <f>N(S493)</f>
        <v/>
      </c>
      <c r="AA493" s="4">
        <f>SUM(U493:Z493)</f>
        <v/>
      </c>
      <c r="AB493" s="4">
        <f>N(AA493)*N(K493)/90</f>
        <v/>
      </c>
      <c r="AC493" s="4">
        <f>IFERROR(AB493-VLOOKUP($C493,Assumptions!$A$29:$C$32,3,FALSE),"")</f>
        <v/>
      </c>
      <c r="AD493" s="4">
        <f>IFERROR(AC493/F493,"")</f>
        <v/>
      </c>
      <c r="AE493">
        <f>IF(AND($E493=TRUE,$C493="GKP"),AB493,"")</f>
        <v/>
      </c>
      <c r="AF493">
        <f>IF(AND($E493=TRUE,$C493="DEF"),AB493,"")</f>
        <v/>
      </c>
      <c r="AG493">
        <f>IF(AND($E493=TRUE,$C493="MID"),AB493,"")</f>
        <v/>
      </c>
      <c r="AH493">
        <f>IF(AND($E493=TRUE,$C493="FWD"),AB493,"")</f>
        <v/>
      </c>
    </row>
    <row r="494">
      <c r="A494" t="inlineStr">
        <is>
          <t>Sam Byram</t>
        </is>
      </c>
      <c r="D494" t="inlineStr">
        <is>
          <t>DEF</t>
        </is>
      </c>
      <c r="E494" t="b">
        <v>0</v>
      </c>
      <c r="F494" s="2" t="n"/>
      <c r="I494" s="2" t="n">
        <v>8</v>
      </c>
      <c r="K494" s="3" t="n">
        <v>8</v>
      </c>
      <c r="L494" s="3" t="n"/>
      <c r="M494" s="4" t="n">
        <v>0</v>
      </c>
      <c r="N494" t="inlineStr">
        <is>
          <t>blended xG</t>
        </is>
      </c>
      <c r="O494" s="4" t="n">
        <v>1</v>
      </c>
      <c r="P494" s="4" t="n">
        <v>0</v>
      </c>
      <c r="Q494" s="4" t="n">
        <v>0</v>
      </c>
      <c r="R494" s="4" t="n"/>
      <c r="S494" s="4" t="n">
        <v>0</v>
      </c>
      <c r="T494" s="4" t="n">
        <v>22.5</v>
      </c>
      <c r="U494" s="4">
        <f>IF(T494="",IFERROR(VLOOKUP($C494,Assumptions!$A$4:$F$7,6,FALSE),0),T494)</f>
        <v/>
      </c>
      <c r="V494" s="4">
        <f>N(M494)*IFERROR(VLOOKUP($C494,Assumptions!$A$4:$F$7,2,FALSE),0)</f>
        <v/>
      </c>
      <c r="W494" s="4">
        <f>N(Q494)*IFERROR(VLOOKUP($C494,Assumptions!$A$4:$F$7,3,FALSE),0)*Assumptions!$B$11</f>
        <v/>
      </c>
      <c r="X494" s="4">
        <f>N(L494)*IFERROR(VLOOKUP($C494,Assumptions!$A$4:$F$7,4,FALSE),0)</f>
        <v/>
      </c>
      <c r="Y494" s="4">
        <f>N(R494)*IFERROR(VLOOKUP($C494,Assumptions!$A$4:$F$7,5,FALSE),0)</f>
        <v/>
      </c>
      <c r="Z494" s="4">
        <f>N(S494)</f>
        <v/>
      </c>
      <c r="AA494" s="4">
        <f>SUM(U494:Z494)</f>
        <v/>
      </c>
      <c r="AB494" s="4">
        <f>N(AA494)*N(K494)/90</f>
        <v/>
      </c>
      <c r="AC494" s="4">
        <f>IFERROR(AB494-VLOOKUP($C494,Assumptions!$A$29:$C$32,3,FALSE),"")</f>
        <v/>
      </c>
      <c r="AD494" s="4">
        <f>IFERROR(AC494/F494,"")</f>
        <v/>
      </c>
      <c r="AE494">
        <f>IF(AND($E494=TRUE,$C494="GKP"),AB494,"")</f>
        <v/>
      </c>
      <c r="AF494">
        <f>IF(AND($E494=TRUE,$C494="DEF"),AB494,"")</f>
        <v/>
      </c>
      <c r="AG494">
        <f>IF(AND($E494=TRUE,$C494="MID"),AB494,"")</f>
        <v/>
      </c>
      <c r="AH494">
        <f>IF(AND($E494=TRUE,$C494="FWD"),AB494,"")</f>
        <v/>
      </c>
    </row>
    <row r="495">
      <c r="A495" t="inlineStr">
        <is>
          <t>Leandro Trossard</t>
        </is>
      </c>
      <c r="D495" t="inlineStr">
        <is>
          <t>MID</t>
        </is>
      </c>
      <c r="E495" t="b">
        <v>0</v>
      </c>
      <c r="F495" s="2" t="n"/>
      <c r="I495" s="2" t="n">
        <v>2006</v>
      </c>
      <c r="K495" s="3" t="n">
        <v>2006</v>
      </c>
      <c r="L495" s="3" t="n"/>
      <c r="M495" s="4" t="n">
        <v>0.2556</v>
      </c>
      <c r="N495" t="inlineStr">
        <is>
          <t>adjusted xGOT</t>
        </is>
      </c>
      <c r="O495" s="4" t="n">
        <v>1.017</v>
      </c>
      <c r="P495" s="4" t="n">
        <v>27</v>
      </c>
      <c r="Q495" s="4" t="n">
        <v>0.2238</v>
      </c>
      <c r="R495" s="4" t="n">
        <v>0</v>
      </c>
      <c r="S495" s="4" t="n">
        <v>0.4935</v>
      </c>
      <c r="T495" s="4" t="n">
        <v>2.288</v>
      </c>
      <c r="U495" s="4">
        <f>IF(T495="",IFERROR(VLOOKUP($C495,Assumptions!$A$4:$F$7,6,FALSE),0),T495)</f>
        <v/>
      </c>
      <c r="V495" s="4">
        <f>N(M495)*IFERROR(VLOOKUP($C495,Assumptions!$A$4:$F$7,2,FALSE),0)</f>
        <v/>
      </c>
      <c r="W495" s="4">
        <f>N(Q495)*IFERROR(VLOOKUP($C495,Assumptions!$A$4:$F$7,3,FALSE),0)*Assumptions!$B$11</f>
        <v/>
      </c>
      <c r="X495" s="4">
        <f>N(L495)*IFERROR(VLOOKUP($C495,Assumptions!$A$4:$F$7,4,FALSE),0)</f>
        <v/>
      </c>
      <c r="Y495" s="4">
        <f>N(R495)*IFERROR(VLOOKUP($C495,Assumptions!$A$4:$F$7,5,FALSE),0)</f>
        <v/>
      </c>
      <c r="Z495" s="4">
        <f>N(S495)</f>
        <v/>
      </c>
      <c r="AA495" s="4">
        <f>SUM(U495:Z495)</f>
        <v/>
      </c>
      <c r="AB495" s="4">
        <f>N(AA495)*N(K495)/90</f>
        <v/>
      </c>
      <c r="AC495" s="4">
        <f>IFERROR(AB495-VLOOKUP($C495,Assumptions!$A$29:$C$32,3,FALSE),"")</f>
        <v/>
      </c>
      <c r="AD495" s="4">
        <f>IFERROR(AC495/F495,"")</f>
        <v/>
      </c>
      <c r="AE495">
        <f>IF(AND($E495=TRUE,$C495="GKP"),AB495,"")</f>
        <v/>
      </c>
      <c r="AF495">
        <f>IF(AND($E495=TRUE,$C495="DEF"),AB495,"")</f>
        <v/>
      </c>
      <c r="AG495">
        <f>IF(AND($E495=TRUE,$C495="MID"),AB495,"")</f>
        <v/>
      </c>
      <c r="AH495">
        <f>IF(AND($E495=TRUE,$C495="FWD"),AB495,"")</f>
        <v/>
      </c>
    </row>
    <row r="496">
      <c r="A496" t="inlineStr">
        <is>
          <t>Mohamed Salah</t>
        </is>
      </c>
      <c r="D496" t="inlineStr">
        <is>
          <t>MID</t>
        </is>
      </c>
      <c r="E496" t="b">
        <v>0</v>
      </c>
      <c r="F496" s="2" t="n"/>
      <c r="I496" s="2" t="n">
        <v>2148</v>
      </c>
      <c r="K496" s="3" t="n">
        <v>2148</v>
      </c>
      <c r="L496" s="3" t="n"/>
      <c r="M496" s="4" t="n">
        <v>0.3339</v>
      </c>
      <c r="N496" t="inlineStr">
        <is>
          <t>adjusted xGOT</t>
        </is>
      </c>
      <c r="O496" s="4" t="n">
        <v>0.968</v>
      </c>
      <c r="P496" s="4" t="n">
        <v>74.8</v>
      </c>
      <c r="Q496" s="4" t="n">
        <v>0.2693</v>
      </c>
      <c r="R496" s="4" t="n">
        <v>0.043</v>
      </c>
      <c r="S496" s="4" t="n">
        <v>0.5447</v>
      </c>
      <c r="T496" s="4" t="n">
        <v>2.095</v>
      </c>
      <c r="U496" s="4">
        <f>IF(T496="",IFERROR(VLOOKUP($C496,Assumptions!$A$4:$F$7,6,FALSE),0),T496)</f>
        <v/>
      </c>
      <c r="V496" s="4">
        <f>N(M496)*IFERROR(VLOOKUP($C496,Assumptions!$A$4:$F$7,2,FALSE),0)</f>
        <v/>
      </c>
      <c r="W496" s="4">
        <f>N(Q496)*IFERROR(VLOOKUP($C496,Assumptions!$A$4:$F$7,3,FALSE),0)*Assumptions!$B$11</f>
        <v/>
      </c>
      <c r="X496" s="4">
        <f>N(L496)*IFERROR(VLOOKUP($C496,Assumptions!$A$4:$F$7,4,FALSE),0)</f>
        <v/>
      </c>
      <c r="Y496" s="4">
        <f>N(R496)*IFERROR(VLOOKUP($C496,Assumptions!$A$4:$F$7,5,FALSE),0)</f>
        <v/>
      </c>
      <c r="Z496" s="4">
        <f>N(S496)</f>
        <v/>
      </c>
      <c r="AA496" s="4">
        <f>SUM(U496:Z496)</f>
        <v/>
      </c>
      <c r="AB496" s="4">
        <f>N(AA496)*N(K496)/90</f>
        <v/>
      </c>
      <c r="AC496" s="4">
        <f>IFERROR(AB496-VLOOKUP($C496,Assumptions!$A$29:$C$32,3,FALSE),"")</f>
        <v/>
      </c>
      <c r="AD496" s="4">
        <f>IFERROR(AC496/F496,"")</f>
        <v/>
      </c>
      <c r="AE496">
        <f>IF(AND($E496=TRUE,$C496="GKP"),AB496,"")</f>
        <v/>
      </c>
      <c r="AF496">
        <f>IF(AND($E496=TRUE,$C496="DEF"),AB496,"")</f>
        <v/>
      </c>
      <c r="AG496">
        <f>IF(AND($E496=TRUE,$C496="MID"),AB496,"")</f>
        <v/>
      </c>
      <c r="AH496">
        <f>IF(AND($E496=TRUE,$C496="FWD"),AB496,"")</f>
        <v/>
      </c>
    </row>
    <row r="497">
      <c r="A497" t="inlineStr">
        <is>
          <t>Patrick Roberts</t>
        </is>
      </c>
      <c r="D497" t="inlineStr">
        <is>
          <t>MID</t>
        </is>
      </c>
      <c r="E497" t="b">
        <v>0</v>
      </c>
      <c r="F497" s="2" t="n"/>
      <c r="I497" s="2" t="n">
        <v>27</v>
      </c>
      <c r="K497" s="3" t="n">
        <v>27</v>
      </c>
      <c r="L497" s="3" t="n"/>
      <c r="M497" s="4" t="n">
        <v>0.1</v>
      </c>
      <c r="N497" t="inlineStr">
        <is>
          <t>adjusted xGOT</t>
        </is>
      </c>
      <c r="O497" s="4" t="n">
        <v>0.996</v>
      </c>
      <c r="P497" s="4" t="n">
        <v>0</v>
      </c>
      <c r="Q497" s="4" t="n">
        <v>0</v>
      </c>
      <c r="R497" s="4" t="n"/>
      <c r="S497" s="4" t="n">
        <v>0</v>
      </c>
      <c r="T497" s="4" t="n">
        <v>3.333</v>
      </c>
      <c r="U497" s="4">
        <f>IF(T497="",IFERROR(VLOOKUP($C497,Assumptions!$A$4:$F$7,6,FALSE),0),T497)</f>
        <v/>
      </c>
      <c r="V497" s="4">
        <f>N(M497)*IFERROR(VLOOKUP($C497,Assumptions!$A$4:$F$7,2,FALSE),0)</f>
        <v/>
      </c>
      <c r="W497" s="4">
        <f>N(Q497)*IFERROR(VLOOKUP($C497,Assumptions!$A$4:$F$7,3,FALSE),0)*Assumptions!$B$11</f>
        <v/>
      </c>
      <c r="X497" s="4">
        <f>N(L497)*IFERROR(VLOOKUP($C497,Assumptions!$A$4:$F$7,4,FALSE),0)</f>
        <v/>
      </c>
      <c r="Y497" s="4">
        <f>N(R497)*IFERROR(VLOOKUP($C497,Assumptions!$A$4:$F$7,5,FALSE),0)</f>
        <v/>
      </c>
      <c r="Z497" s="4">
        <f>N(S497)</f>
        <v/>
      </c>
      <c r="AA497" s="4">
        <f>SUM(U497:Z497)</f>
        <v/>
      </c>
      <c r="AB497" s="4">
        <f>N(AA497)*N(K497)/90</f>
        <v/>
      </c>
      <c r="AC497" s="4">
        <f>IFERROR(AB497-VLOOKUP($C497,Assumptions!$A$29:$C$32,3,FALSE),"")</f>
        <v/>
      </c>
      <c r="AD497" s="4">
        <f>IFERROR(AC497/F497,"")</f>
        <v/>
      </c>
      <c r="AE497">
        <f>IF(AND($E497=TRUE,$C497="GKP"),AB497,"")</f>
        <v/>
      </c>
      <c r="AF497">
        <f>IF(AND($E497=TRUE,$C497="DEF"),AB497,"")</f>
        <v/>
      </c>
      <c r="AG497">
        <f>IF(AND($E497=TRUE,$C497="MID"),AB497,"")</f>
        <v/>
      </c>
      <c r="AH497">
        <f>IF(AND($E497=TRUE,$C497="FWD"),AB497,"")</f>
        <v/>
      </c>
    </row>
    <row r="498">
      <c r="A498" t="inlineStr">
        <is>
          <t>Nathan Aké</t>
        </is>
      </c>
      <c r="D498" t="inlineStr">
        <is>
          <t>DEF</t>
        </is>
      </c>
      <c r="E498" t="b">
        <v>0</v>
      </c>
      <c r="F498" s="2" t="n"/>
      <c r="I498" s="2" t="n">
        <v>688</v>
      </c>
      <c r="K498" s="3" t="n">
        <v>688</v>
      </c>
      <c r="L498" s="3" t="n"/>
      <c r="M498" s="4" t="n">
        <v>0.0793</v>
      </c>
      <c r="N498" t="inlineStr">
        <is>
          <t>adjusted xGOT</t>
        </is>
      </c>
      <c r="O498" s="4" t="n">
        <v>0.841</v>
      </c>
      <c r="P498" s="4" t="n">
        <v>5</v>
      </c>
      <c r="Q498" s="4" t="n">
        <v>0.0931</v>
      </c>
      <c r="R498" s="4" t="n">
        <v>0.167</v>
      </c>
      <c r="S498" s="4" t="n">
        <v>0</v>
      </c>
      <c r="T498" s="4" t="n">
        <v>3.27</v>
      </c>
      <c r="U498" s="4">
        <f>IF(T498="",IFERROR(VLOOKUP($C498,Assumptions!$A$4:$F$7,6,FALSE),0),T498)</f>
        <v/>
      </c>
      <c r="V498" s="4">
        <f>N(M498)*IFERROR(VLOOKUP($C498,Assumptions!$A$4:$F$7,2,FALSE),0)</f>
        <v/>
      </c>
      <c r="W498" s="4">
        <f>N(Q498)*IFERROR(VLOOKUP($C498,Assumptions!$A$4:$F$7,3,FALSE),0)*Assumptions!$B$11</f>
        <v/>
      </c>
      <c r="X498" s="4">
        <f>N(L498)*IFERROR(VLOOKUP($C498,Assumptions!$A$4:$F$7,4,FALSE),0)</f>
        <v/>
      </c>
      <c r="Y498" s="4">
        <f>N(R498)*IFERROR(VLOOKUP($C498,Assumptions!$A$4:$F$7,5,FALSE),0)</f>
        <v/>
      </c>
      <c r="Z498" s="4">
        <f>N(S498)</f>
        <v/>
      </c>
      <c r="AA498" s="4">
        <f>SUM(U498:Z498)</f>
        <v/>
      </c>
      <c r="AB498" s="4">
        <f>N(AA498)*N(K498)/90</f>
        <v/>
      </c>
      <c r="AC498" s="4">
        <f>IFERROR(AB498-VLOOKUP($C498,Assumptions!$A$29:$C$32,3,FALSE),"")</f>
        <v/>
      </c>
      <c r="AD498" s="4">
        <f>IFERROR(AC498/F498,"")</f>
        <v/>
      </c>
      <c r="AE498">
        <f>IF(AND($E498=TRUE,$C498="GKP"),AB498,"")</f>
        <v/>
      </c>
      <c r="AF498">
        <f>IF(AND($E498=TRUE,$C498="DEF"),AB498,"")</f>
        <v/>
      </c>
      <c r="AG498">
        <f>IF(AND($E498=TRUE,$C498="MID"),AB498,"")</f>
        <v/>
      </c>
      <c r="AH498">
        <f>IF(AND($E498=TRUE,$C498="FWD"),AB498,"")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b">
        <v>1</v>
      </c>
      <c r="F499" s="2" t="n">
        <v>4</v>
      </c>
      <c r="G499" t="inlineStr">
        <is>
          <t>a</t>
        </is>
      </c>
      <c r="I499" s="2" t="n"/>
      <c r="K499" s="3" t="n"/>
      <c r="L499" s="3" t="n"/>
      <c r="M499" s="4" t="n"/>
      <c r="N499" t="inlineStr"/>
      <c r="O499" s="4" t="n"/>
      <c r="P499" s="4" t="n"/>
      <c r="Q499" s="4" t="n"/>
      <c r="R499" s="4" t="n"/>
      <c r="S499" s="4" t="n"/>
      <c r="T499" s="4" t="n"/>
      <c r="U499" s="4">
        <f>IF(T499="",IFERROR(VLOOKUP($C499,Assumptions!$A$4:$F$7,6,FALSE),0),T499)</f>
        <v/>
      </c>
      <c r="V499" s="4">
        <f>N(M499)*IFERROR(VLOOKUP($C499,Assumptions!$A$4:$F$7,2,FALSE),0)</f>
        <v/>
      </c>
      <c r="W499" s="4">
        <f>N(Q499)*IFERROR(VLOOKUP($C499,Assumptions!$A$4:$F$7,3,FALSE),0)*Assumptions!$B$11</f>
        <v/>
      </c>
      <c r="X499" s="4">
        <f>N(L499)*IFERROR(VLOOKUP($C499,Assumptions!$A$4:$F$7,4,FALSE),0)</f>
        <v/>
      </c>
      <c r="Y499" s="4">
        <f>N(R499)*IFERROR(VLOOKUP($C499,Assumptions!$A$4:$F$7,5,FALSE),0)</f>
        <v/>
      </c>
      <c r="Z499" s="4">
        <f>N(S499)</f>
        <v/>
      </c>
      <c r="AA499" s="4">
        <f>SUM(U499:Z499)</f>
        <v/>
      </c>
      <c r="AB499" s="4">
        <f>N(AA499)*N(K499)/90</f>
        <v/>
      </c>
      <c r="AC499" s="4">
        <f>IFERROR(AB499-VLOOKUP($C499,Assumptions!$A$29:$C$32,3,FALSE),"")</f>
        <v/>
      </c>
      <c r="AD499" s="4">
        <f>IFERROR(AC499/F499,"")</f>
        <v/>
      </c>
      <c r="AE499">
        <f>IF(AND($E499=TRUE,$C499="GKP"),AB499,"")</f>
        <v/>
      </c>
      <c r="AF499">
        <f>IF(AND($E499=TRUE,$C499="DEF"),AB499,"")</f>
        <v/>
      </c>
      <c r="AG499">
        <f>IF(AND($E499=TRUE,$C499="MID"),AB499,"")</f>
        <v/>
      </c>
      <c r="AH499">
        <f>IF(AND($E499=TRUE,$C499="FWD"),AB499,"")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b">
        <v>1</v>
      </c>
      <c r="F500" s="2" t="n">
        <v>5</v>
      </c>
      <c r="G500" t="inlineStr">
        <is>
          <t>a</t>
        </is>
      </c>
      <c r="I500" s="2" t="n"/>
      <c r="K500" s="3" t="n"/>
      <c r="L500" s="3" t="n"/>
      <c r="M500" s="4" t="n"/>
      <c r="N500" t="inlineStr"/>
      <c r="O500" s="4" t="n"/>
      <c r="P500" s="4" t="n"/>
      <c r="Q500" s="4" t="n"/>
      <c r="R500" s="4" t="n"/>
      <c r="S500" s="4" t="n"/>
      <c r="T500" s="4" t="n"/>
      <c r="U500" s="4">
        <f>IF(T500="",IFERROR(VLOOKUP($C500,Assumptions!$A$4:$F$7,6,FALSE),0),T500)</f>
        <v/>
      </c>
      <c r="V500" s="4">
        <f>N(M500)*IFERROR(VLOOKUP($C500,Assumptions!$A$4:$F$7,2,FALSE),0)</f>
        <v/>
      </c>
      <c r="W500" s="4">
        <f>N(Q500)*IFERROR(VLOOKUP($C500,Assumptions!$A$4:$F$7,3,FALSE),0)*Assumptions!$B$11</f>
        <v/>
      </c>
      <c r="X500" s="4">
        <f>N(L500)*IFERROR(VLOOKUP($C500,Assumptions!$A$4:$F$7,4,FALSE),0)</f>
        <v/>
      </c>
      <c r="Y500" s="4">
        <f>N(R500)*IFERROR(VLOOKUP($C500,Assumptions!$A$4:$F$7,5,FALSE),0)</f>
        <v/>
      </c>
      <c r="Z500" s="4">
        <f>N(S500)</f>
        <v/>
      </c>
      <c r="AA500" s="4">
        <f>SUM(U500:Z500)</f>
        <v/>
      </c>
      <c r="AB500" s="4">
        <f>N(AA500)*N(K500)/90</f>
        <v/>
      </c>
      <c r="AC500" s="4">
        <f>IFERROR(AB500-VLOOKUP($C500,Assumptions!$A$29:$C$32,3,FALSE),"")</f>
        <v/>
      </c>
      <c r="AD500" s="4">
        <f>IFERROR(AC500/F500,"")</f>
        <v/>
      </c>
      <c r="AE500">
        <f>IF(AND($E500=TRUE,$C500="GKP"),AB500,"")</f>
        <v/>
      </c>
      <c r="AF500">
        <f>IF(AND($E500=TRUE,$C500="DEF"),AB500,"")</f>
        <v/>
      </c>
      <c r="AG500">
        <f>IF(AND($E500=TRUE,$C500="MID"),AB500,"")</f>
        <v/>
      </c>
      <c r="AH500">
        <f>IF(AND($E500=TRUE,$C500="FWD"),AB500,"")</f>
        <v/>
      </c>
    </row>
    <row r="501">
      <c r="A501" t="inlineStr">
        <is>
          <t>José Sá</t>
        </is>
      </c>
      <c r="D501" t="inlineStr">
        <is>
          <t>GKP</t>
        </is>
      </c>
      <c r="E501" t="b">
        <v>0</v>
      </c>
      <c r="F501" s="2" t="n"/>
      <c r="I501" s="2" t="n">
        <v>2070</v>
      </c>
      <c r="K501" s="3" t="n">
        <v>2070</v>
      </c>
      <c r="L501" s="3" t="n"/>
      <c r="M501" s="4" t="n">
        <v>0</v>
      </c>
      <c r="N501" t="inlineStr">
        <is>
          <t>blended xG</t>
        </is>
      </c>
      <c r="O501" s="4" t="n">
        <v>1</v>
      </c>
      <c r="P501" s="4" t="n">
        <v>0</v>
      </c>
      <c r="Q501" s="4" t="n">
        <v>0.0036</v>
      </c>
      <c r="R501" s="4" t="n">
        <v>0</v>
      </c>
      <c r="S501" s="4" t="n">
        <v>0.3478</v>
      </c>
      <c r="T501" s="4" t="n">
        <v>2</v>
      </c>
      <c r="U501" s="4">
        <f>IF(T501="",IFERROR(VLOOKUP($C501,Assumptions!$A$4:$F$7,6,FALSE),0),T501)</f>
        <v/>
      </c>
      <c r="V501" s="4">
        <f>N(M501)*IFERROR(VLOOKUP($C501,Assumptions!$A$4:$F$7,2,FALSE),0)</f>
        <v/>
      </c>
      <c r="W501" s="4">
        <f>N(Q501)*IFERROR(VLOOKUP($C501,Assumptions!$A$4:$F$7,3,FALSE),0)*Assumptions!$B$11</f>
        <v/>
      </c>
      <c r="X501" s="4">
        <f>N(L501)*IFERROR(VLOOKUP($C501,Assumptions!$A$4:$F$7,4,FALSE),0)</f>
        <v/>
      </c>
      <c r="Y501" s="4">
        <f>N(R501)*IFERROR(VLOOKUP($C501,Assumptions!$A$4:$F$7,5,FALSE),0)</f>
        <v/>
      </c>
      <c r="Z501" s="4">
        <f>N(S501)</f>
        <v/>
      </c>
      <c r="AA501" s="4">
        <f>SUM(U501:Z501)</f>
        <v/>
      </c>
      <c r="AB501" s="4">
        <f>N(AA501)*N(K501)/90</f>
        <v/>
      </c>
      <c r="AC501" s="4">
        <f>IFERROR(AB501-VLOOKUP($C501,Assumptions!$A$29:$C$32,3,FALSE),"")</f>
        <v/>
      </c>
      <c r="AD501" s="4">
        <f>IFERROR(AC501/F501,"")</f>
        <v/>
      </c>
      <c r="AE501">
        <f>IF(AND($E501=TRUE,$C501="GKP"),AB501,"")</f>
        <v/>
      </c>
      <c r="AF501">
        <f>IF(AND($E501=TRUE,$C501="DEF"),AB501,"")</f>
        <v/>
      </c>
      <c r="AG501">
        <f>IF(AND($E501=TRUE,$C501="MID"),AB501,"")</f>
        <v/>
      </c>
      <c r="AH501">
        <f>IF(AND($E501=TRUE,$C501="FWD"),AB501,"")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b">
        <v>1</v>
      </c>
      <c r="F502" s="2" t="n">
        <v>5</v>
      </c>
      <c r="G502" t="inlineStr">
        <is>
          <t>u</t>
        </is>
      </c>
      <c r="H502" t="inlineStr">
        <is>
          <t>Has joined Leicester City permanently</t>
        </is>
      </c>
      <c r="I502" s="2" t="n"/>
      <c r="K502" s="3" t="n"/>
      <c r="L502" s="3" t="n"/>
      <c r="M502" s="4" t="n"/>
      <c r="N502" t="inlineStr"/>
      <c r="O502" s="4" t="n"/>
      <c r="P502" s="4" t="n"/>
      <c r="Q502" s="4" t="n"/>
      <c r="R502" s="4" t="n"/>
      <c r="S502" s="4" t="n"/>
      <c r="T502" s="4" t="n"/>
      <c r="U502" s="4">
        <f>IF(T502="",IFERROR(VLOOKUP($C502,Assumptions!$A$4:$F$7,6,FALSE),0),T502)</f>
        <v/>
      </c>
      <c r="V502" s="4">
        <f>N(M502)*IFERROR(VLOOKUP($C502,Assumptions!$A$4:$F$7,2,FALSE),0)</f>
        <v/>
      </c>
      <c r="W502" s="4">
        <f>N(Q502)*IFERROR(VLOOKUP($C502,Assumptions!$A$4:$F$7,3,FALSE),0)*Assumptions!$B$11</f>
        <v/>
      </c>
      <c r="X502" s="4">
        <f>N(L502)*IFERROR(VLOOKUP($C502,Assumptions!$A$4:$F$7,4,FALSE),0)</f>
        <v/>
      </c>
      <c r="Y502" s="4">
        <f>N(R502)*IFERROR(VLOOKUP($C502,Assumptions!$A$4:$F$7,5,FALSE),0)</f>
        <v/>
      </c>
      <c r="Z502" s="4">
        <f>N(S502)</f>
        <v/>
      </c>
      <c r="AA502" s="4">
        <f>SUM(U502:Z502)</f>
        <v/>
      </c>
      <c r="AB502" s="4">
        <f>N(AA502)*N(K502)/90</f>
        <v/>
      </c>
      <c r="AC502" s="4">
        <f>IFERROR(AB502-VLOOKUP($C502,Assumptions!$A$29:$C$32,3,FALSE),"")</f>
        <v/>
      </c>
      <c r="AD502" s="4">
        <f>IFERROR(AC502/F502,"")</f>
        <v/>
      </c>
      <c r="AE502">
        <f>IF(AND($E502=TRUE,$C502="GKP"),AB502,"")</f>
        <v/>
      </c>
      <c r="AF502">
        <f>IF(AND($E502=TRUE,$C502="DEF"),AB502,"")</f>
        <v/>
      </c>
      <c r="AG502">
        <f>IF(AND($E502=TRUE,$C502="MID"),AB502,"")</f>
        <v/>
      </c>
      <c r="AH502">
        <f>IF(AND($E502=TRUE,$C502="FWD"),AB502,"")</f>
        <v/>
      </c>
    </row>
    <row r="503">
      <c r="A503" t="inlineStr">
        <is>
          <t>João Palhinha</t>
        </is>
      </c>
      <c r="D503" t="inlineStr">
        <is>
          <t>MID</t>
        </is>
      </c>
      <c r="E503" t="b">
        <v>0</v>
      </c>
      <c r="F503" s="2" t="n"/>
      <c r="I503" s="2" t="n">
        <v>2197</v>
      </c>
      <c r="K503" s="3" t="n">
        <v>2197</v>
      </c>
      <c r="L503" s="3" t="n"/>
      <c r="M503" s="4" t="n">
        <v>0.121</v>
      </c>
      <c r="N503" t="inlineStr">
        <is>
          <t>adjusted xGOT</t>
        </is>
      </c>
      <c r="O503" s="4" t="n">
        <v>1.086</v>
      </c>
      <c r="P503" s="4" t="n">
        <v>9</v>
      </c>
      <c r="Q503" s="4" t="n">
        <v>0.0315</v>
      </c>
      <c r="R503" s="4" t="n">
        <v>0.696</v>
      </c>
      <c r="S503" s="4" t="n">
        <v>0.7374000000000001</v>
      </c>
      <c r="T503" s="4" t="n">
        <v>2.212</v>
      </c>
      <c r="U503" s="4">
        <f>IF(T503="",IFERROR(VLOOKUP($C503,Assumptions!$A$4:$F$7,6,FALSE),0),T503)</f>
        <v/>
      </c>
      <c r="V503" s="4">
        <f>N(M503)*IFERROR(VLOOKUP($C503,Assumptions!$A$4:$F$7,2,FALSE),0)</f>
        <v/>
      </c>
      <c r="W503" s="4">
        <f>N(Q503)*IFERROR(VLOOKUP($C503,Assumptions!$A$4:$F$7,3,FALSE),0)*Assumptions!$B$11</f>
        <v/>
      </c>
      <c r="X503" s="4">
        <f>N(L503)*IFERROR(VLOOKUP($C503,Assumptions!$A$4:$F$7,4,FALSE),0)</f>
        <v/>
      </c>
      <c r="Y503" s="4">
        <f>N(R503)*IFERROR(VLOOKUP($C503,Assumptions!$A$4:$F$7,5,FALSE),0)</f>
        <v/>
      </c>
      <c r="Z503" s="4">
        <f>N(S503)</f>
        <v/>
      </c>
      <c r="AA503" s="4">
        <f>SUM(U503:Z503)</f>
        <v/>
      </c>
      <c r="AB503" s="4">
        <f>N(AA503)*N(K503)/90</f>
        <v/>
      </c>
      <c r="AC503" s="4">
        <f>IFERROR(AB503-VLOOKUP($C503,Assumptions!$A$29:$C$32,3,FALSE),"")</f>
        <v/>
      </c>
      <c r="AD503" s="4">
        <f>IFERROR(AC503/F503,"")</f>
        <v/>
      </c>
      <c r="AE503">
        <f>IF(AND($E503=TRUE,$C503="GKP"),AB503,"")</f>
        <v/>
      </c>
      <c r="AF503">
        <f>IF(AND($E503=TRUE,$C503="DEF"),AB503,"")</f>
        <v/>
      </c>
      <c r="AG503">
        <f>IF(AND($E503=TRUE,$C503="MID"),AB503,"")</f>
        <v/>
      </c>
      <c r="AH503">
        <f>IF(AND($E503=TRUE,$C503="FWD"),AB503,"")</f>
        <v/>
      </c>
    </row>
    <row r="504">
      <c r="A504" t="inlineStr">
        <is>
          <t>Adam Armstrong</t>
        </is>
      </c>
      <c r="D504" t="inlineStr">
        <is>
          <t>FWD</t>
        </is>
      </c>
      <c r="E504" t="b">
        <v>0</v>
      </c>
      <c r="F504" s="2" t="n"/>
      <c r="I504" s="2" t="n">
        <v>1146</v>
      </c>
      <c r="K504" s="3" t="n">
        <v>1146</v>
      </c>
      <c r="L504" s="3" t="n"/>
      <c r="M504" s="4" t="n">
        <v>0.1924</v>
      </c>
      <c r="N504" t="inlineStr">
        <is>
          <t>adjusted xGOT</t>
        </is>
      </c>
      <c r="O504" s="4" t="n">
        <v>0.884</v>
      </c>
      <c r="P504" s="4" t="n">
        <v>8.300000000000001</v>
      </c>
      <c r="Q504" s="4" t="n">
        <v>0.1179</v>
      </c>
      <c r="R504" s="4" t="n">
        <v>0</v>
      </c>
      <c r="S504" s="4" t="n">
        <v>0.0785</v>
      </c>
      <c r="T504" s="4" t="n">
        <v>2.12</v>
      </c>
      <c r="U504" s="4">
        <f>IF(T504="",IFERROR(VLOOKUP($C504,Assumptions!$A$4:$F$7,6,FALSE),0),T504)</f>
        <v/>
      </c>
      <c r="V504" s="4">
        <f>N(M504)*IFERROR(VLOOKUP($C504,Assumptions!$A$4:$F$7,2,FALSE),0)</f>
        <v/>
      </c>
      <c r="W504" s="4">
        <f>N(Q504)*IFERROR(VLOOKUP($C504,Assumptions!$A$4:$F$7,3,FALSE),0)*Assumptions!$B$11</f>
        <v/>
      </c>
      <c r="X504" s="4">
        <f>N(L504)*IFERROR(VLOOKUP($C504,Assumptions!$A$4:$F$7,4,FALSE),0)</f>
        <v/>
      </c>
      <c r="Y504" s="4">
        <f>N(R504)*IFERROR(VLOOKUP($C504,Assumptions!$A$4:$F$7,5,FALSE),0)</f>
        <v/>
      </c>
      <c r="Z504" s="4">
        <f>N(S504)</f>
        <v/>
      </c>
      <c r="AA504" s="4">
        <f>SUM(U504:Z504)</f>
        <v/>
      </c>
      <c r="AB504" s="4">
        <f>N(AA504)*N(K504)/90</f>
        <v/>
      </c>
      <c r="AC504" s="4">
        <f>IFERROR(AB504-VLOOKUP($C504,Assumptions!$A$29:$C$32,3,FALSE),"")</f>
        <v/>
      </c>
      <c r="AD504" s="4">
        <f>IFERROR(AC504/F504,"")</f>
        <v/>
      </c>
      <c r="AE504">
        <f>IF(AND($E504=TRUE,$C504="GKP"),AB504,"")</f>
        <v/>
      </c>
      <c r="AF504">
        <f>IF(AND($E504=TRUE,$C504="DEF"),AB504,"")</f>
        <v/>
      </c>
      <c r="AG504">
        <f>IF(AND($E504=TRUE,$C504="MID"),AB504,"")</f>
        <v/>
      </c>
      <c r="AH504">
        <f>IF(AND($E504=TRUE,$C504="FWD"),AB504,"")</f>
        <v/>
      </c>
    </row>
    <row r="505">
      <c r="A505" t="inlineStr">
        <is>
          <t>Kyle Walker-Peters</t>
        </is>
      </c>
      <c r="D505" t="inlineStr">
        <is>
          <t>DEF</t>
        </is>
      </c>
      <c r="E505" t="b">
        <v>0</v>
      </c>
      <c r="F505" s="2" t="n"/>
      <c r="I505" s="2" t="n">
        <v>1380</v>
      </c>
      <c r="K505" s="3" t="n">
        <v>1380</v>
      </c>
      <c r="L505" s="3" t="n"/>
      <c r="M505" s="4" t="n">
        <v>0.07530000000000001</v>
      </c>
      <c r="N505" t="inlineStr">
        <is>
          <t>adjusted xGOT</t>
        </is>
      </c>
      <c r="O505" s="4" t="n">
        <v>1.022</v>
      </c>
      <c r="P505" s="4" t="n">
        <v>3.1</v>
      </c>
      <c r="Q505" s="4" t="n">
        <v>0.0233</v>
      </c>
      <c r="R505" s="4" t="n">
        <v>0.133</v>
      </c>
      <c r="S505" s="4" t="n">
        <v>0</v>
      </c>
      <c r="T505" s="4" t="n">
        <v>2.413</v>
      </c>
      <c r="U505" s="4">
        <f>IF(T505="",IFERROR(VLOOKUP($C505,Assumptions!$A$4:$F$7,6,FALSE),0),T505)</f>
        <v/>
      </c>
      <c r="V505" s="4">
        <f>N(M505)*IFERROR(VLOOKUP($C505,Assumptions!$A$4:$F$7,2,FALSE),0)</f>
        <v/>
      </c>
      <c r="W505" s="4">
        <f>N(Q505)*IFERROR(VLOOKUP($C505,Assumptions!$A$4:$F$7,3,FALSE),0)*Assumptions!$B$11</f>
        <v/>
      </c>
      <c r="X505" s="4">
        <f>N(L505)*IFERROR(VLOOKUP($C505,Assumptions!$A$4:$F$7,4,FALSE),0)</f>
        <v/>
      </c>
      <c r="Y505" s="4">
        <f>N(R505)*IFERROR(VLOOKUP($C505,Assumptions!$A$4:$F$7,5,FALSE),0)</f>
        <v/>
      </c>
      <c r="Z505" s="4">
        <f>N(S505)</f>
        <v/>
      </c>
      <c r="AA505" s="4">
        <f>SUM(U505:Z505)</f>
        <v/>
      </c>
      <c r="AB505" s="4">
        <f>N(AA505)*N(K505)/90</f>
        <v/>
      </c>
      <c r="AC505" s="4">
        <f>IFERROR(AB505-VLOOKUP($C505,Assumptions!$A$29:$C$32,3,FALSE),"")</f>
        <v/>
      </c>
      <c r="AD505" s="4">
        <f>IFERROR(AC505/F505,"")</f>
        <v/>
      </c>
      <c r="AE505">
        <f>IF(AND($E505=TRUE,$C505="GKP"),AB505,"")</f>
        <v/>
      </c>
      <c r="AF505">
        <f>IF(AND($E505=TRUE,$C505="DEF"),AB505,"")</f>
        <v/>
      </c>
      <c r="AG505">
        <f>IF(AND($E505=TRUE,$C505="MID"),AB505,"")</f>
        <v/>
      </c>
      <c r="AH505">
        <f>IF(AND($E505=TRUE,$C505="FWD"),AB505,"")</f>
        <v/>
      </c>
    </row>
    <row r="506">
      <c r="A506" t="inlineStr">
        <is>
          <t>Adama Traoré</t>
        </is>
      </c>
      <c r="D506" t="inlineStr">
        <is>
          <t>MID</t>
        </is>
      </c>
      <c r="E506" t="b">
        <v>0</v>
      </c>
      <c r="F506" s="2" t="n"/>
      <c r="I506" s="2" t="n">
        <v>377</v>
      </c>
      <c r="K506" s="3" t="n">
        <v>377</v>
      </c>
      <c r="L506" s="3" t="n"/>
      <c r="M506" s="4" t="n">
        <v>0.1671</v>
      </c>
      <c r="N506" t="inlineStr">
        <is>
          <t>adjusted xGOT</t>
        </is>
      </c>
      <c r="O506" s="4" t="n">
        <v>1.015</v>
      </c>
      <c r="P506" s="4" t="n">
        <v>7.7</v>
      </c>
      <c r="Q506" s="4" t="n">
        <v>0.099</v>
      </c>
      <c r="R506" s="4" t="n">
        <v>0</v>
      </c>
      <c r="S506" s="4" t="n">
        <v>0</v>
      </c>
      <c r="T506" s="4" t="n">
        <v>6.207</v>
      </c>
      <c r="U506" s="4">
        <f>IF(T506="",IFERROR(VLOOKUP($C506,Assumptions!$A$4:$F$7,6,FALSE),0),T506)</f>
        <v/>
      </c>
      <c r="V506" s="4">
        <f>N(M506)*IFERROR(VLOOKUP($C506,Assumptions!$A$4:$F$7,2,FALSE),0)</f>
        <v/>
      </c>
      <c r="W506" s="4">
        <f>N(Q506)*IFERROR(VLOOKUP($C506,Assumptions!$A$4:$F$7,3,FALSE),0)*Assumptions!$B$11</f>
        <v/>
      </c>
      <c r="X506" s="4">
        <f>N(L506)*IFERROR(VLOOKUP($C506,Assumptions!$A$4:$F$7,4,FALSE),0)</f>
        <v/>
      </c>
      <c r="Y506" s="4">
        <f>N(R506)*IFERROR(VLOOKUP($C506,Assumptions!$A$4:$F$7,5,FALSE),0)</f>
        <v/>
      </c>
      <c r="Z506" s="4">
        <f>N(S506)</f>
        <v/>
      </c>
      <c r="AA506" s="4">
        <f>SUM(U506:Z506)</f>
        <v/>
      </c>
      <c r="AB506" s="4">
        <f>N(AA506)*N(K506)/90</f>
        <v/>
      </c>
      <c r="AC506" s="4">
        <f>IFERROR(AB506-VLOOKUP($C506,Assumptions!$A$29:$C$32,3,FALSE),"")</f>
        <v/>
      </c>
      <c r="AD506" s="4">
        <f>IFERROR(AC506/F506,"")</f>
        <v/>
      </c>
      <c r="AE506">
        <f>IF(AND($E506=TRUE,$C506="GKP"),AB506,"")</f>
        <v/>
      </c>
      <c r="AF506">
        <f>IF(AND($E506=TRUE,$C506="DEF"),AB506,"")</f>
        <v/>
      </c>
      <c r="AG506">
        <f>IF(AND($E506=TRUE,$C506="MID"),AB506,"")</f>
        <v/>
      </c>
      <c r="AH506">
        <f>IF(AND($E506=TRUE,$C506="FWD"),AB506,"")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b">
        <v>1</v>
      </c>
      <c r="F507" s="2" t="n">
        <v>4</v>
      </c>
      <c r="G507" t="inlineStr">
        <is>
          <t>a</t>
        </is>
      </c>
      <c r="I507" s="2" t="n"/>
      <c r="K507" s="3" t="n"/>
      <c r="L507" s="3" t="n"/>
      <c r="M507" s="4" t="n"/>
      <c r="N507" t="inlineStr"/>
      <c r="O507" s="4" t="n"/>
      <c r="P507" s="4" t="n"/>
      <c r="Q507" s="4" t="n"/>
      <c r="R507" s="4" t="n"/>
      <c r="S507" s="4" t="n"/>
      <c r="T507" s="4" t="n"/>
      <c r="U507" s="4">
        <f>IF(T507="",IFERROR(VLOOKUP($C507,Assumptions!$A$4:$F$7,6,FALSE),0),T507)</f>
        <v/>
      </c>
      <c r="V507" s="4">
        <f>N(M507)*IFERROR(VLOOKUP($C507,Assumptions!$A$4:$F$7,2,FALSE),0)</f>
        <v/>
      </c>
      <c r="W507" s="4">
        <f>N(Q507)*IFERROR(VLOOKUP($C507,Assumptions!$A$4:$F$7,3,FALSE),0)*Assumptions!$B$11</f>
        <v/>
      </c>
      <c r="X507" s="4">
        <f>N(L507)*IFERROR(VLOOKUP($C507,Assumptions!$A$4:$F$7,4,FALSE),0)</f>
        <v/>
      </c>
      <c r="Y507" s="4">
        <f>N(R507)*IFERROR(VLOOKUP($C507,Assumptions!$A$4:$F$7,5,FALSE),0)</f>
        <v/>
      </c>
      <c r="Z507" s="4">
        <f>N(S507)</f>
        <v/>
      </c>
      <c r="AA507" s="4">
        <f>SUM(U507:Z507)</f>
        <v/>
      </c>
      <c r="AB507" s="4">
        <f>N(AA507)*N(K507)/90</f>
        <v/>
      </c>
      <c r="AC507" s="4">
        <f>IFERROR(AB507-VLOOKUP($C507,Assumptions!$A$29:$C$32,3,FALSE),"")</f>
        <v/>
      </c>
      <c r="AD507" s="4">
        <f>IFERROR(AC507/F507,"")</f>
        <v/>
      </c>
      <c r="AE507">
        <f>IF(AND($E507=TRUE,$C507="GKP"),AB507,"")</f>
        <v/>
      </c>
      <c r="AF507">
        <f>IF(AND($E507=TRUE,$C507="DEF"),AB507,"")</f>
        <v/>
      </c>
      <c r="AG507">
        <f>IF(AND($E507=TRUE,$C507="MID"),AB507,"")</f>
        <v/>
      </c>
      <c r="AH507">
        <f>IF(AND($E507=TRUE,$C507="FWD"),AB507,"")</f>
        <v/>
      </c>
    </row>
    <row r="508">
      <c r="A508" t="inlineStr">
        <is>
          <t>Bernardo Silva</t>
        </is>
      </c>
      <c r="D508" t="inlineStr">
        <is>
          <t>MID</t>
        </is>
      </c>
      <c r="E508" t="b">
        <v>0</v>
      </c>
      <c r="F508" s="2" t="n"/>
      <c r="I508" s="2" t="n">
        <v>2886</v>
      </c>
      <c r="K508" s="3" t="n">
        <v>2886</v>
      </c>
      <c r="L508" s="3" t="n"/>
      <c r="M508" s="4" t="n">
        <v>0.0934</v>
      </c>
      <c r="N508" t="inlineStr">
        <is>
          <t>adjusted xGOT</t>
        </is>
      </c>
      <c r="O508" s="4" t="n">
        <v>1.105</v>
      </c>
      <c r="P508" s="4" t="n">
        <v>12.2</v>
      </c>
      <c r="Q508" s="4" t="n">
        <v>0.1647</v>
      </c>
      <c r="R508" s="4" t="n">
        <v>0.265</v>
      </c>
      <c r="S508" s="4" t="n">
        <v>0.1247</v>
      </c>
      <c r="T508" s="4" t="n">
        <v>2.152</v>
      </c>
      <c r="U508" s="4">
        <f>IF(T508="",IFERROR(VLOOKUP($C508,Assumptions!$A$4:$F$7,6,FALSE),0),T508)</f>
        <v/>
      </c>
      <c r="V508" s="4">
        <f>N(M508)*IFERROR(VLOOKUP($C508,Assumptions!$A$4:$F$7,2,FALSE),0)</f>
        <v/>
      </c>
      <c r="W508" s="4">
        <f>N(Q508)*IFERROR(VLOOKUP($C508,Assumptions!$A$4:$F$7,3,FALSE),0)*Assumptions!$B$11</f>
        <v/>
      </c>
      <c r="X508" s="4">
        <f>N(L508)*IFERROR(VLOOKUP($C508,Assumptions!$A$4:$F$7,4,FALSE),0)</f>
        <v/>
      </c>
      <c r="Y508" s="4">
        <f>N(R508)*IFERROR(VLOOKUP($C508,Assumptions!$A$4:$F$7,5,FALSE),0)</f>
        <v/>
      </c>
      <c r="Z508" s="4">
        <f>N(S508)</f>
        <v/>
      </c>
      <c r="AA508" s="4">
        <f>SUM(U508:Z508)</f>
        <v/>
      </c>
      <c r="AB508" s="4">
        <f>N(AA508)*N(K508)/90</f>
        <v/>
      </c>
      <c r="AC508" s="4">
        <f>IFERROR(AB508-VLOOKUP($C508,Assumptions!$A$29:$C$32,3,FALSE),"")</f>
        <v/>
      </c>
      <c r="AD508" s="4">
        <f>IFERROR(AC508/F508,"")</f>
        <v/>
      </c>
      <c r="AE508">
        <f>IF(AND($E508=TRUE,$C508="GKP"),AB508,"")</f>
        <v/>
      </c>
      <c r="AF508">
        <f>IF(AND($E508=TRUE,$C508="DEF"),AB508,"")</f>
        <v/>
      </c>
      <c r="AG508">
        <f>IF(AND($E508=TRUE,$C508="MID"),AB508,"")</f>
        <v/>
      </c>
      <c r="AH508">
        <f>IF(AND($E508=TRUE,$C508="FWD"),AB508,"")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b">
        <v>1</v>
      </c>
      <c r="F509" s="2" t="n">
        <v>4</v>
      </c>
      <c r="G509" t="inlineStr">
        <is>
          <t>a</t>
        </is>
      </c>
      <c r="I509" s="2" t="n"/>
      <c r="K509" s="3" t="n"/>
      <c r="L509" s="3" t="n"/>
      <c r="M509" s="4" t="n"/>
      <c r="N509" t="inlineStr"/>
      <c r="O509" s="4" t="n"/>
      <c r="P509" s="4" t="n"/>
      <c r="Q509" s="4" t="n"/>
      <c r="R509" s="4" t="n">
        <v>0</v>
      </c>
      <c r="S509" s="4" t="n"/>
      <c r="T509" s="4" t="n"/>
      <c r="U509" s="4">
        <f>IF(T509="",IFERROR(VLOOKUP($C509,Assumptions!$A$4:$F$7,6,FALSE),0),T509)</f>
        <v/>
      </c>
      <c r="V509" s="4">
        <f>N(M509)*IFERROR(VLOOKUP($C509,Assumptions!$A$4:$F$7,2,FALSE),0)</f>
        <v/>
      </c>
      <c r="W509" s="4">
        <f>N(Q509)*IFERROR(VLOOKUP($C509,Assumptions!$A$4:$F$7,3,FALSE),0)*Assumptions!$B$11</f>
        <v/>
      </c>
      <c r="X509" s="4">
        <f>N(L509)*IFERROR(VLOOKUP($C509,Assumptions!$A$4:$F$7,4,FALSE),0)</f>
        <v/>
      </c>
      <c r="Y509" s="4">
        <f>N(R509)*IFERROR(VLOOKUP($C509,Assumptions!$A$4:$F$7,5,FALSE),0)</f>
        <v/>
      </c>
      <c r="Z509" s="4">
        <f>N(S509)</f>
        <v/>
      </c>
      <c r="AA509" s="4">
        <f>SUM(U509:Z509)</f>
        <v/>
      </c>
      <c r="AB509" s="4">
        <f>N(AA509)*N(K509)/90</f>
        <v/>
      </c>
      <c r="AC509" s="4">
        <f>IFERROR(AB509-VLOOKUP($C509,Assumptions!$A$29:$C$32,3,FALSE),"")</f>
        <v/>
      </c>
      <c r="AD509" s="4">
        <f>IFERROR(AC509/F509,"")</f>
        <v/>
      </c>
      <c r="AE509">
        <f>IF(AND($E509=TRUE,$C509="GKP"),AB509,"")</f>
        <v/>
      </c>
      <c r="AF509">
        <f>IF(AND($E509=TRUE,$C509="DEF"),AB509,"")</f>
        <v/>
      </c>
      <c r="AG509">
        <f>IF(AND($E509=TRUE,$C509="MID"),AB509,"")</f>
        <v/>
      </c>
      <c r="AH509">
        <f>IF(AND($E509=TRUE,$C509="FWD"),AB509,"")</f>
        <v/>
      </c>
    </row>
    <row r="510">
      <c r="A510" t="inlineStr">
        <is>
          <t>Josh Laurent</t>
        </is>
      </c>
      <c r="D510" t="inlineStr">
        <is>
          <t>MID</t>
        </is>
      </c>
      <c r="E510" t="b">
        <v>0</v>
      </c>
      <c r="F510" s="2" t="n"/>
      <c r="I510" s="2" t="n">
        <v>1759</v>
      </c>
      <c r="K510" s="3" t="n">
        <v>1759</v>
      </c>
      <c r="L510" s="3" t="n"/>
      <c r="M510" s="4" t="n">
        <v>0.0457</v>
      </c>
      <c r="N510" t="inlineStr">
        <is>
          <t>adjusted xGOT</t>
        </is>
      </c>
      <c r="O510" s="4" t="n">
        <v>1.026</v>
      </c>
      <c r="P510" s="4" t="n">
        <v>0.9</v>
      </c>
      <c r="Q510" s="4" t="n">
        <v>0.0376</v>
      </c>
      <c r="R510" s="4" t="n">
        <v>0.278</v>
      </c>
      <c r="S510" s="4" t="n">
        <v>0.0512</v>
      </c>
      <c r="T510" s="4" t="n">
        <v>2.507</v>
      </c>
      <c r="U510" s="4">
        <f>IF(T510="",IFERROR(VLOOKUP($C510,Assumptions!$A$4:$F$7,6,FALSE),0),T510)</f>
        <v/>
      </c>
      <c r="V510" s="4">
        <f>N(M510)*IFERROR(VLOOKUP($C510,Assumptions!$A$4:$F$7,2,FALSE),0)</f>
        <v/>
      </c>
      <c r="W510" s="4">
        <f>N(Q510)*IFERROR(VLOOKUP($C510,Assumptions!$A$4:$F$7,3,FALSE),0)*Assumptions!$B$11</f>
        <v/>
      </c>
      <c r="X510" s="4">
        <f>N(L510)*IFERROR(VLOOKUP($C510,Assumptions!$A$4:$F$7,4,FALSE),0)</f>
        <v/>
      </c>
      <c r="Y510" s="4">
        <f>N(R510)*IFERROR(VLOOKUP($C510,Assumptions!$A$4:$F$7,5,FALSE),0)</f>
        <v/>
      </c>
      <c r="Z510" s="4">
        <f>N(S510)</f>
        <v/>
      </c>
      <c r="AA510" s="4">
        <f>SUM(U510:Z510)</f>
        <v/>
      </c>
      <c r="AB510" s="4">
        <f>N(AA510)*N(K510)/90</f>
        <v/>
      </c>
      <c r="AC510" s="4">
        <f>IFERROR(AB510-VLOOKUP($C510,Assumptions!$A$29:$C$32,3,FALSE),"")</f>
        <v/>
      </c>
      <c r="AD510" s="4">
        <f>IFERROR(AC510/F510,"")</f>
        <v/>
      </c>
      <c r="AE510">
        <f>IF(AND($E510=TRUE,$C510="GKP"),AB510,"")</f>
        <v/>
      </c>
      <c r="AF510">
        <f>IF(AND($E510=TRUE,$C510="DEF"),AB510,"")</f>
        <v/>
      </c>
      <c r="AG510">
        <f>IF(AND($E510=TRUE,$C510="MID"),AB510,"")</f>
        <v/>
      </c>
      <c r="AH510">
        <f>IF(AND($E510=TRUE,$C510="FWD"),AB510,"")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b">
        <v>1</v>
      </c>
      <c r="F511" s="2" t="n">
        <v>5</v>
      </c>
      <c r="G511" t="inlineStr">
        <is>
          <t>a</t>
        </is>
      </c>
      <c r="I511" s="2" t="n"/>
      <c r="K511" s="3" t="n"/>
      <c r="L511" s="3" t="n"/>
      <c r="M511" s="4" t="n"/>
      <c r="N511" t="inlineStr"/>
      <c r="O511" s="4" t="n"/>
      <c r="P511" s="4" t="n"/>
      <c r="Q511" s="4" t="n"/>
      <c r="R511" s="4" t="n"/>
      <c r="S511" s="4" t="n"/>
      <c r="T511" s="4" t="n"/>
      <c r="U511" s="4">
        <f>IF(T511="",IFERROR(VLOOKUP($C511,Assumptions!$A$4:$F$7,6,FALSE),0),T511)</f>
        <v/>
      </c>
      <c r="V511" s="4">
        <f>N(M511)*IFERROR(VLOOKUP($C511,Assumptions!$A$4:$F$7,2,FALSE),0)</f>
        <v/>
      </c>
      <c r="W511" s="4">
        <f>N(Q511)*IFERROR(VLOOKUP($C511,Assumptions!$A$4:$F$7,3,FALSE),0)*Assumptions!$B$11</f>
        <v/>
      </c>
      <c r="X511" s="4">
        <f>N(L511)*IFERROR(VLOOKUP($C511,Assumptions!$A$4:$F$7,4,FALSE),0)</f>
        <v/>
      </c>
      <c r="Y511" s="4">
        <f>N(R511)*IFERROR(VLOOKUP($C511,Assumptions!$A$4:$F$7,5,FALSE),0)</f>
        <v/>
      </c>
      <c r="Z511" s="4">
        <f>N(S511)</f>
        <v/>
      </c>
      <c r="AA511" s="4">
        <f>SUM(U511:Z511)</f>
        <v/>
      </c>
      <c r="AB511" s="4">
        <f>N(AA511)*N(K511)/90</f>
        <v/>
      </c>
      <c r="AC511" s="4">
        <f>IFERROR(AB511-VLOOKUP($C511,Assumptions!$A$29:$C$32,3,FALSE),"")</f>
        <v/>
      </c>
      <c r="AD511" s="4">
        <f>IFERROR(AC511/F511,"")</f>
        <v/>
      </c>
      <c r="AE511">
        <f>IF(AND($E511=TRUE,$C511="GKP"),AB511,"")</f>
        <v/>
      </c>
      <c r="AF511">
        <f>IF(AND($E511=TRUE,$C511="DEF"),AB511,"")</f>
        <v/>
      </c>
      <c r="AG511">
        <f>IF(AND($E511=TRUE,$C511="MID"),AB511,"")</f>
        <v/>
      </c>
      <c r="AH511">
        <f>IF(AND($E511=TRUE,$C511="FWD"),AB511,"")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b">
        <v>1</v>
      </c>
      <c r="F512" s="2" t="n">
        <v>5.5</v>
      </c>
      <c r="G512" t="inlineStr">
        <is>
          <t>a</t>
        </is>
      </c>
      <c r="I512" s="2" t="n"/>
      <c r="K512" s="3" t="n"/>
      <c r="L512" s="3" t="n"/>
      <c r="M512" s="4" t="n"/>
      <c r="N512" t="inlineStr"/>
      <c r="O512" s="4" t="n"/>
      <c r="P512" s="4" t="n"/>
      <c r="Q512" s="4" t="n"/>
      <c r="R512" s="4" t="n"/>
      <c r="S512" s="4" t="n"/>
      <c r="T512" s="4" t="n"/>
      <c r="U512" s="4">
        <f>IF(T512="",IFERROR(VLOOKUP($C512,Assumptions!$A$4:$F$7,6,FALSE),0),T512)</f>
        <v/>
      </c>
      <c r="V512" s="4">
        <f>N(M512)*IFERROR(VLOOKUP($C512,Assumptions!$A$4:$F$7,2,FALSE),0)</f>
        <v/>
      </c>
      <c r="W512" s="4">
        <f>N(Q512)*IFERROR(VLOOKUP($C512,Assumptions!$A$4:$F$7,3,FALSE),0)*Assumptions!$B$11</f>
        <v/>
      </c>
      <c r="X512" s="4">
        <f>N(L512)*IFERROR(VLOOKUP($C512,Assumptions!$A$4:$F$7,4,FALSE),0)</f>
        <v/>
      </c>
      <c r="Y512" s="4">
        <f>N(R512)*IFERROR(VLOOKUP($C512,Assumptions!$A$4:$F$7,5,FALSE),0)</f>
        <v/>
      </c>
      <c r="Z512" s="4">
        <f>N(S512)</f>
        <v/>
      </c>
      <c r="AA512" s="4">
        <f>SUM(U512:Z512)</f>
        <v/>
      </c>
      <c r="AB512" s="4">
        <f>N(AA512)*N(K512)/90</f>
        <v/>
      </c>
      <c r="AC512" s="4">
        <f>IFERROR(AB512-VLOOKUP($C512,Assumptions!$A$29:$C$32,3,FALSE),"")</f>
        <v/>
      </c>
      <c r="AD512" s="4">
        <f>IFERROR(AC512/F512,"")</f>
        <v/>
      </c>
      <c r="AE512">
        <f>IF(AND($E512=TRUE,$C512="GKP"),AB512,"")</f>
        <v/>
      </c>
      <c r="AF512">
        <f>IF(AND($E512=TRUE,$C512="DEF"),AB512,"")</f>
        <v/>
      </c>
      <c r="AG512">
        <f>IF(AND($E512=TRUE,$C512="MID"),AB512,"")</f>
        <v/>
      </c>
      <c r="AH512">
        <f>IF(AND($E512=TRUE,$C512="FWD"),AB512,"")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b">
        <v>1</v>
      </c>
      <c r="F513" s="2" t="n">
        <v>4.5</v>
      </c>
      <c r="G513" t="inlineStr">
        <is>
          <t>a</t>
        </is>
      </c>
      <c r="I513" s="2" t="n"/>
      <c r="K513" s="3" t="n"/>
      <c r="L513" s="3" t="n"/>
      <c r="M513" s="4" t="n"/>
      <c r="N513" t="inlineStr"/>
      <c r="O513" s="4" t="n"/>
      <c r="P513" s="4" t="n"/>
      <c r="Q513" s="4" t="n"/>
      <c r="R513" s="4" t="n"/>
      <c r="S513" s="4" t="n"/>
      <c r="T513" s="4" t="n"/>
      <c r="U513" s="4">
        <f>IF(T513="",IFERROR(VLOOKUP($C513,Assumptions!$A$4:$F$7,6,FALSE),0),T513)</f>
        <v/>
      </c>
      <c r="V513" s="4">
        <f>N(M513)*IFERROR(VLOOKUP($C513,Assumptions!$A$4:$F$7,2,FALSE),0)</f>
        <v/>
      </c>
      <c r="W513" s="4">
        <f>N(Q513)*IFERROR(VLOOKUP($C513,Assumptions!$A$4:$F$7,3,FALSE),0)*Assumptions!$B$11</f>
        <v/>
      </c>
      <c r="X513" s="4">
        <f>N(L513)*IFERROR(VLOOKUP($C513,Assumptions!$A$4:$F$7,4,FALSE),0)</f>
        <v/>
      </c>
      <c r="Y513" s="4">
        <f>N(R513)*IFERROR(VLOOKUP($C513,Assumptions!$A$4:$F$7,5,FALSE),0)</f>
        <v/>
      </c>
      <c r="Z513" s="4">
        <f>N(S513)</f>
        <v/>
      </c>
      <c r="AA513" s="4">
        <f>SUM(U513:Z513)</f>
        <v/>
      </c>
      <c r="AB513" s="4">
        <f>N(AA513)*N(K513)/90</f>
        <v/>
      </c>
      <c r="AC513" s="4">
        <f>IFERROR(AB513-VLOOKUP($C513,Assumptions!$A$29:$C$32,3,FALSE),"")</f>
        <v/>
      </c>
      <c r="AD513" s="4">
        <f>IFERROR(AC513/F513,"")</f>
        <v/>
      </c>
      <c r="AE513">
        <f>IF(AND($E513=TRUE,$C513="GKP"),AB513,"")</f>
        <v/>
      </c>
      <c r="AF513">
        <f>IF(AND($E513=TRUE,$C513="DEF"),AB513,"")</f>
        <v/>
      </c>
      <c r="AG513">
        <f>IF(AND($E513=TRUE,$C513="MID"),AB513,"")</f>
        <v/>
      </c>
      <c r="AH513">
        <f>IF(AND($E513=TRUE,$C513="FWD"),AB513,"")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b">
        <v>1</v>
      </c>
      <c r="F514" s="2" t="n">
        <v>5</v>
      </c>
      <c r="G514" t="inlineStr">
        <is>
          <t>a</t>
        </is>
      </c>
      <c r="I514" s="2" t="n"/>
      <c r="K514" s="3" t="n"/>
      <c r="L514" s="3" t="n"/>
      <c r="M514" s="4" t="n"/>
      <c r="N514" t="inlineStr"/>
      <c r="O514" s="4" t="n"/>
      <c r="P514" s="4" t="n"/>
      <c r="Q514" s="4" t="n"/>
      <c r="R514" s="4" t="n"/>
      <c r="S514" s="4" t="n"/>
      <c r="T514" s="4" t="n"/>
      <c r="U514" s="4">
        <f>IF(T514="",IFERROR(VLOOKUP($C514,Assumptions!$A$4:$F$7,6,FALSE),0),T514)</f>
        <v/>
      </c>
      <c r="V514" s="4">
        <f>N(M514)*IFERROR(VLOOKUP($C514,Assumptions!$A$4:$F$7,2,FALSE),0)</f>
        <v/>
      </c>
      <c r="W514" s="4">
        <f>N(Q514)*IFERROR(VLOOKUP($C514,Assumptions!$A$4:$F$7,3,FALSE),0)*Assumptions!$B$11</f>
        <v/>
      </c>
      <c r="X514" s="4">
        <f>N(L514)*IFERROR(VLOOKUP($C514,Assumptions!$A$4:$F$7,4,FALSE),0)</f>
        <v/>
      </c>
      <c r="Y514" s="4">
        <f>N(R514)*IFERROR(VLOOKUP($C514,Assumptions!$A$4:$F$7,5,FALSE),0)</f>
        <v/>
      </c>
      <c r="Z514" s="4">
        <f>N(S514)</f>
        <v/>
      </c>
      <c r="AA514" s="4">
        <f>SUM(U514:Z514)</f>
        <v/>
      </c>
      <c r="AB514" s="4">
        <f>N(AA514)*N(K514)/90</f>
        <v/>
      </c>
      <c r="AC514" s="4">
        <f>IFERROR(AB514-VLOOKUP($C514,Assumptions!$A$29:$C$32,3,FALSE),"")</f>
        <v/>
      </c>
      <c r="AD514" s="4">
        <f>IFERROR(AC514/F514,"")</f>
        <v/>
      </c>
      <c r="AE514">
        <f>IF(AND($E514=TRUE,$C514="GKP"),AB514,"")</f>
        <v/>
      </c>
      <c r="AF514">
        <f>IF(AND($E514=TRUE,$C514="DEF"),AB514,"")</f>
        <v/>
      </c>
      <c r="AG514">
        <f>IF(AND($E514=TRUE,$C514="MID"),AB514,"")</f>
        <v/>
      </c>
      <c r="AH514">
        <f>IF(AND($E514=TRUE,$C514="FWD"),AB514,"")</f>
        <v/>
      </c>
    </row>
    <row r="515">
      <c r="A515" t="inlineStr">
        <is>
          <t>Josh Cullen</t>
        </is>
      </c>
      <c r="D515" t="inlineStr">
        <is>
          <t>MID</t>
        </is>
      </c>
      <c r="E515" t="b">
        <v>0</v>
      </c>
      <c r="F515" s="2" t="n"/>
      <c r="I515" s="2" t="n">
        <v>1519</v>
      </c>
      <c r="K515" s="3" t="n">
        <v>1519</v>
      </c>
      <c r="L515" s="3" t="n"/>
      <c r="M515" s="4" t="n">
        <v>0.0643</v>
      </c>
      <c r="N515" t="inlineStr">
        <is>
          <t>adjusted xGOT</t>
        </is>
      </c>
      <c r="O515" s="4" t="n">
        <v>1.154</v>
      </c>
      <c r="P515" s="4" t="n">
        <v>1.5</v>
      </c>
      <c r="Q515" s="4" t="n">
        <v>0.1076</v>
      </c>
      <c r="R515" s="4" t="n">
        <v>0.333</v>
      </c>
      <c r="S515" s="4" t="n">
        <v>0.4147</v>
      </c>
      <c r="T515" s="4" t="n">
        <v>2.074</v>
      </c>
      <c r="U515" s="4">
        <f>IF(T515="",IFERROR(VLOOKUP($C515,Assumptions!$A$4:$F$7,6,FALSE),0),T515)</f>
        <v/>
      </c>
      <c r="V515" s="4">
        <f>N(M515)*IFERROR(VLOOKUP($C515,Assumptions!$A$4:$F$7,2,FALSE),0)</f>
        <v/>
      </c>
      <c r="W515" s="4">
        <f>N(Q515)*IFERROR(VLOOKUP($C515,Assumptions!$A$4:$F$7,3,FALSE),0)*Assumptions!$B$11</f>
        <v/>
      </c>
      <c r="X515" s="4">
        <f>N(L515)*IFERROR(VLOOKUP($C515,Assumptions!$A$4:$F$7,4,FALSE),0)</f>
        <v/>
      </c>
      <c r="Y515" s="4">
        <f>N(R515)*IFERROR(VLOOKUP($C515,Assumptions!$A$4:$F$7,5,FALSE),0)</f>
        <v/>
      </c>
      <c r="Z515" s="4">
        <f>N(S515)</f>
        <v/>
      </c>
      <c r="AA515" s="4">
        <f>SUM(U515:Z515)</f>
        <v/>
      </c>
      <c r="AB515" s="4">
        <f>N(AA515)*N(K515)/90</f>
        <v/>
      </c>
      <c r="AC515" s="4">
        <f>IFERROR(AB515-VLOOKUP($C515,Assumptions!$A$29:$C$32,3,FALSE),"")</f>
        <v/>
      </c>
      <c r="AD515" s="4">
        <f>IFERROR(AC515/F515,"")</f>
        <v/>
      </c>
      <c r="AE515">
        <f>IF(AND($E515=TRUE,$C515="GKP"),AB515,"")</f>
        <v/>
      </c>
      <c r="AF515">
        <f>IF(AND($E515=TRUE,$C515="DEF"),AB515,"")</f>
        <v/>
      </c>
      <c r="AG515">
        <f>IF(AND($E515=TRUE,$C515="MID"),AB515,"")</f>
        <v/>
      </c>
      <c r="AH515">
        <f>IF(AND($E515=TRUE,$C515="FWD"),AB515,"")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b">
        <v>1</v>
      </c>
      <c r="F516" s="2" t="n">
        <v>4</v>
      </c>
      <c r="G516" t="inlineStr">
        <is>
          <t>a</t>
        </is>
      </c>
      <c r="I516" s="2" t="n"/>
      <c r="K516" s="3" t="n"/>
      <c r="L516" s="3" t="n"/>
      <c r="M516" s="4" t="n"/>
      <c r="N516" t="inlineStr"/>
      <c r="O516" s="4" t="n"/>
      <c r="P516" s="4" t="n"/>
      <c r="Q516" s="4" t="n"/>
      <c r="R516" s="4" t="n"/>
      <c r="S516" s="4" t="n"/>
      <c r="T516" s="4" t="n"/>
      <c r="U516" s="4">
        <f>IF(T516="",IFERROR(VLOOKUP($C516,Assumptions!$A$4:$F$7,6,FALSE),0),T516)</f>
        <v/>
      </c>
      <c r="V516" s="4">
        <f>N(M516)*IFERROR(VLOOKUP($C516,Assumptions!$A$4:$F$7,2,FALSE),0)</f>
        <v/>
      </c>
      <c r="W516" s="4">
        <f>N(Q516)*IFERROR(VLOOKUP($C516,Assumptions!$A$4:$F$7,3,FALSE),0)*Assumptions!$B$11</f>
        <v/>
      </c>
      <c r="X516" s="4">
        <f>N(L516)*IFERROR(VLOOKUP($C516,Assumptions!$A$4:$F$7,4,FALSE),0)</f>
        <v/>
      </c>
      <c r="Y516" s="4">
        <f>N(R516)*IFERROR(VLOOKUP($C516,Assumptions!$A$4:$F$7,5,FALSE),0)</f>
        <v/>
      </c>
      <c r="Z516" s="4">
        <f>N(S516)</f>
        <v/>
      </c>
      <c r="AA516" s="4">
        <f>SUM(U516:Z516)</f>
        <v/>
      </c>
      <c r="AB516" s="4">
        <f>N(AA516)*N(K516)/90</f>
        <v/>
      </c>
      <c r="AC516" s="4">
        <f>IFERROR(AB516-VLOOKUP($C516,Assumptions!$A$29:$C$32,3,FALSE),"")</f>
        <v/>
      </c>
      <c r="AD516" s="4">
        <f>IFERROR(AC516/F516,"")</f>
        <v/>
      </c>
      <c r="AE516">
        <f>IF(AND($E516=TRUE,$C516="GKP"),AB516,"")</f>
        <v/>
      </c>
      <c r="AF516">
        <f>IF(AND($E516=TRUE,$C516="DEF"),AB516,"")</f>
        <v/>
      </c>
      <c r="AG516">
        <f>IF(AND($E516=TRUE,$C516="MID"),AB516,"")</f>
        <v/>
      </c>
      <c r="AH516">
        <f>IF(AND($E516=TRUE,$C516="FWD"),AB516,"")</f>
        <v/>
      </c>
    </row>
    <row r="517">
      <c r="A517" t="inlineStr">
        <is>
          <t>Marcus Edwards</t>
        </is>
      </c>
      <c r="D517" t="inlineStr">
        <is>
          <t>MID</t>
        </is>
      </c>
      <c r="E517" t="b">
        <v>0</v>
      </c>
      <c r="F517" s="2" t="n"/>
      <c r="I517" s="2" t="n">
        <v>1064</v>
      </c>
      <c r="K517" s="3" t="n">
        <v>1064</v>
      </c>
      <c r="L517" s="3" t="n"/>
      <c r="M517" s="4" t="n">
        <v>0.1195</v>
      </c>
      <c r="N517" t="inlineStr">
        <is>
          <t>adjusted xGOT</t>
        </is>
      </c>
      <c r="O517" s="4" t="n">
        <v>0.948</v>
      </c>
      <c r="P517" s="4" t="n">
        <v>1.5</v>
      </c>
      <c r="Q517" s="4" t="n">
        <v>0.2154</v>
      </c>
      <c r="R517" s="4" t="n">
        <v>0</v>
      </c>
      <c r="S517" s="4" t="n">
        <v>0.1692</v>
      </c>
      <c r="T517" s="4" t="n">
        <v>2.876</v>
      </c>
      <c r="U517" s="4">
        <f>IF(T517="",IFERROR(VLOOKUP($C517,Assumptions!$A$4:$F$7,6,FALSE),0),T517)</f>
        <v/>
      </c>
      <c r="V517" s="4">
        <f>N(M517)*IFERROR(VLOOKUP($C517,Assumptions!$A$4:$F$7,2,FALSE),0)</f>
        <v/>
      </c>
      <c r="W517" s="4">
        <f>N(Q517)*IFERROR(VLOOKUP($C517,Assumptions!$A$4:$F$7,3,FALSE),0)*Assumptions!$B$11</f>
        <v/>
      </c>
      <c r="X517" s="4">
        <f>N(L517)*IFERROR(VLOOKUP($C517,Assumptions!$A$4:$F$7,4,FALSE),0)</f>
        <v/>
      </c>
      <c r="Y517" s="4">
        <f>N(R517)*IFERROR(VLOOKUP($C517,Assumptions!$A$4:$F$7,5,FALSE),0)</f>
        <v/>
      </c>
      <c r="Z517" s="4">
        <f>N(S517)</f>
        <v/>
      </c>
      <c r="AA517" s="4">
        <f>SUM(U517:Z517)</f>
        <v/>
      </c>
      <c r="AB517" s="4">
        <f>N(AA517)*N(K517)/90</f>
        <v/>
      </c>
      <c r="AC517" s="4">
        <f>IFERROR(AB517-VLOOKUP($C517,Assumptions!$A$29:$C$32,3,FALSE),"")</f>
        <v/>
      </c>
      <c r="AD517" s="4">
        <f>IFERROR(AC517/F517,"")</f>
        <v/>
      </c>
      <c r="AE517">
        <f>IF(AND($E517=TRUE,$C517="GKP"),AB517,"")</f>
        <v/>
      </c>
      <c r="AF517">
        <f>IF(AND($E517=TRUE,$C517="DEF"),AB517,"")</f>
        <v/>
      </c>
      <c r="AG517">
        <f>IF(AND($E517=TRUE,$C517="MID"),AB517,"")</f>
        <v/>
      </c>
      <c r="AH517">
        <f>IF(AND($E517=TRUE,$C517="FWD"),AB517,"")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b">
        <v>1</v>
      </c>
      <c r="F518" s="2" t="n">
        <v>5.5</v>
      </c>
      <c r="G518" t="inlineStr">
        <is>
          <t>a</t>
        </is>
      </c>
      <c r="I518" s="2" t="n"/>
      <c r="K518" s="3" t="n"/>
      <c r="L518" s="3" t="n"/>
      <c r="M518" s="4" t="n"/>
      <c r="N518" t="inlineStr"/>
      <c r="O518" s="4" t="n"/>
      <c r="P518" s="4" t="n"/>
      <c r="Q518" s="4" t="n"/>
      <c r="R518" s="4" t="n"/>
      <c r="S518" s="4" t="n"/>
      <c r="T518" s="4" t="n"/>
      <c r="U518" s="4">
        <f>IF(T518="",IFERROR(VLOOKUP($C518,Assumptions!$A$4:$F$7,6,FALSE),0),T518)</f>
        <v/>
      </c>
      <c r="V518" s="4">
        <f>N(M518)*IFERROR(VLOOKUP($C518,Assumptions!$A$4:$F$7,2,FALSE),0)</f>
        <v/>
      </c>
      <c r="W518" s="4">
        <f>N(Q518)*IFERROR(VLOOKUP($C518,Assumptions!$A$4:$F$7,3,FALSE),0)*Assumptions!$B$11</f>
        <v/>
      </c>
      <c r="X518" s="4">
        <f>N(L518)*IFERROR(VLOOKUP($C518,Assumptions!$A$4:$F$7,4,FALSE),0)</f>
        <v/>
      </c>
      <c r="Y518" s="4">
        <f>N(R518)*IFERROR(VLOOKUP($C518,Assumptions!$A$4:$F$7,5,FALSE),0)</f>
        <v/>
      </c>
      <c r="Z518" s="4">
        <f>N(S518)</f>
        <v/>
      </c>
      <c r="AA518" s="4">
        <f>SUM(U518:Z518)</f>
        <v/>
      </c>
      <c r="AB518" s="4">
        <f>N(AA518)*N(K518)/90</f>
        <v/>
      </c>
      <c r="AC518" s="4">
        <f>IFERROR(AB518-VLOOKUP($C518,Assumptions!$A$29:$C$32,3,FALSE),"")</f>
        <v/>
      </c>
      <c r="AD518" s="4">
        <f>IFERROR(AC518/F518,"")</f>
        <v/>
      </c>
      <c r="AE518">
        <f>IF(AND($E518=TRUE,$C518="GKP"),AB518,"")</f>
        <v/>
      </c>
      <c r="AF518">
        <f>IF(AND($E518=TRUE,$C518="DEF"),AB518,"")</f>
        <v/>
      </c>
      <c r="AG518">
        <f>IF(AND($E518=TRUE,$C518="MID"),AB518,"")</f>
        <v/>
      </c>
      <c r="AH518">
        <f>IF(AND($E518=TRUE,$C518="FWD"),AB518,"")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b">
        <v>1</v>
      </c>
      <c r="F519" s="2" t="n">
        <v>4</v>
      </c>
      <c r="G519" t="inlineStr">
        <is>
          <t>a</t>
        </is>
      </c>
      <c r="I519" s="2" t="n"/>
      <c r="K519" s="3" t="n"/>
      <c r="L519" s="3" t="n"/>
      <c r="M519" s="4" t="n"/>
      <c r="N519" t="inlineStr"/>
      <c r="O519" s="4" t="n"/>
      <c r="P519" s="4" t="n"/>
      <c r="Q519" s="4" t="n"/>
      <c r="R519" s="4" t="n"/>
      <c r="S519" s="4" t="n"/>
      <c r="T519" s="4" t="n"/>
      <c r="U519" s="4">
        <f>IF(T519="",IFERROR(VLOOKUP($C519,Assumptions!$A$4:$F$7,6,FALSE),0),T519)</f>
        <v/>
      </c>
      <c r="V519" s="4">
        <f>N(M519)*IFERROR(VLOOKUP($C519,Assumptions!$A$4:$F$7,2,FALSE),0)</f>
        <v/>
      </c>
      <c r="W519" s="4">
        <f>N(Q519)*IFERROR(VLOOKUP($C519,Assumptions!$A$4:$F$7,3,FALSE),0)*Assumptions!$B$11</f>
        <v/>
      </c>
      <c r="X519" s="4">
        <f>N(L519)*IFERROR(VLOOKUP($C519,Assumptions!$A$4:$F$7,4,FALSE),0)</f>
        <v/>
      </c>
      <c r="Y519" s="4">
        <f>N(R519)*IFERROR(VLOOKUP($C519,Assumptions!$A$4:$F$7,5,FALSE),0)</f>
        <v/>
      </c>
      <c r="Z519" s="4">
        <f>N(S519)</f>
        <v/>
      </c>
      <c r="AA519" s="4">
        <f>SUM(U519:Z519)</f>
        <v/>
      </c>
      <c r="AB519" s="4">
        <f>N(AA519)*N(K519)/90</f>
        <v/>
      </c>
      <c r="AC519" s="4">
        <f>IFERROR(AB519-VLOOKUP($C519,Assumptions!$A$29:$C$32,3,FALSE),"")</f>
        <v/>
      </c>
      <c r="AD519" s="4">
        <f>IFERROR(AC519/F519,"")</f>
        <v/>
      </c>
      <c r="AE519">
        <f>IF(AND($E519=TRUE,$C519="GKP"),AB519,"")</f>
        <v/>
      </c>
      <c r="AF519">
        <f>IF(AND($E519=TRUE,$C519="DEF"),AB519,"")</f>
        <v/>
      </c>
      <c r="AG519">
        <f>IF(AND($E519=TRUE,$C519="MID"),AB519,"")</f>
        <v/>
      </c>
      <c r="AH519">
        <f>IF(AND($E519=TRUE,$C519="FWD"),AB519,"")</f>
        <v/>
      </c>
    </row>
    <row r="520">
      <c r="A520" t="inlineStr">
        <is>
          <t>Jarrod Bowen</t>
        </is>
      </c>
      <c r="D520" t="inlineStr">
        <is>
          <t>FWD</t>
        </is>
      </c>
      <c r="E520" t="b">
        <v>0</v>
      </c>
      <c r="F520" s="2" t="n"/>
      <c r="I520" s="2" t="n">
        <v>3405</v>
      </c>
      <c r="K520" s="3" t="n">
        <v>3405</v>
      </c>
      <c r="L520" s="3" t="n"/>
      <c r="M520" s="4" t="n">
        <v>0.2028</v>
      </c>
      <c r="N520" t="inlineStr">
        <is>
          <t>adjusted xGOT</t>
        </is>
      </c>
      <c r="O520" s="4" t="n">
        <v>1.063</v>
      </c>
      <c r="P520" s="4" t="n">
        <v>37.2</v>
      </c>
      <c r="Q520" s="4" t="n">
        <v>0.2229</v>
      </c>
      <c r="R520" s="4" t="n">
        <v>0.237</v>
      </c>
      <c r="S520" s="4" t="n">
        <v>0.7401</v>
      </c>
      <c r="T520" s="4" t="n">
        <v>2.009</v>
      </c>
      <c r="U520" s="4">
        <f>IF(T520="",IFERROR(VLOOKUP($C520,Assumptions!$A$4:$F$7,6,FALSE),0),T520)</f>
        <v/>
      </c>
      <c r="V520" s="4">
        <f>N(M520)*IFERROR(VLOOKUP($C520,Assumptions!$A$4:$F$7,2,FALSE),0)</f>
        <v/>
      </c>
      <c r="W520" s="4">
        <f>N(Q520)*IFERROR(VLOOKUP($C520,Assumptions!$A$4:$F$7,3,FALSE),0)*Assumptions!$B$11</f>
        <v/>
      </c>
      <c r="X520" s="4">
        <f>N(L520)*IFERROR(VLOOKUP($C520,Assumptions!$A$4:$F$7,4,FALSE),0)</f>
        <v/>
      </c>
      <c r="Y520" s="4">
        <f>N(R520)*IFERROR(VLOOKUP($C520,Assumptions!$A$4:$F$7,5,FALSE),0)</f>
        <v/>
      </c>
      <c r="Z520" s="4">
        <f>N(S520)</f>
        <v/>
      </c>
      <c r="AA520" s="4">
        <f>SUM(U520:Z520)</f>
        <v/>
      </c>
      <c r="AB520" s="4">
        <f>N(AA520)*N(K520)/90</f>
        <v/>
      </c>
      <c r="AC520" s="4">
        <f>IFERROR(AB520-VLOOKUP($C520,Assumptions!$A$29:$C$32,3,FALSE),"")</f>
        <v/>
      </c>
      <c r="AD520" s="4">
        <f>IFERROR(AC520/F520,"")</f>
        <v/>
      </c>
      <c r="AE520">
        <f>IF(AND($E520=TRUE,$C520="GKP"),AB520,"")</f>
        <v/>
      </c>
      <c r="AF520">
        <f>IF(AND($E520=TRUE,$C520="DEF"),AB520,"")</f>
        <v/>
      </c>
      <c r="AG520">
        <f>IF(AND($E520=TRUE,$C520="MID"),AB520,"")</f>
        <v/>
      </c>
      <c r="AH520">
        <f>IF(AND($E520=TRUE,$C520="FWD"),AB520,"")</f>
        <v/>
      </c>
    </row>
    <row r="521">
      <c r="A521" t="inlineStr">
        <is>
          <t>Marc Cucurella</t>
        </is>
      </c>
      <c r="D521" t="inlineStr">
        <is>
          <t>DEF</t>
        </is>
      </c>
      <c r="E521" t="b">
        <v>0</v>
      </c>
      <c r="F521" s="2" t="n"/>
      <c r="I521" s="2" t="n">
        <v>2710</v>
      </c>
      <c r="K521" s="3" t="n">
        <v>2710</v>
      </c>
      <c r="L521" s="3" t="n"/>
      <c r="M521" s="4" t="n">
        <v>0.081</v>
      </c>
      <c r="N521" t="inlineStr">
        <is>
          <t>adjusted xGOT</t>
        </is>
      </c>
      <c r="O521" s="4" t="n">
        <v>1.043</v>
      </c>
      <c r="P521" s="4" t="n">
        <v>6.7</v>
      </c>
      <c r="Q521" s="4" t="n">
        <v>0.1508</v>
      </c>
      <c r="R521" s="4" t="n">
        <v>0.065</v>
      </c>
      <c r="S521" s="4" t="n">
        <v>0.1328</v>
      </c>
      <c r="T521" s="4" t="n">
        <v>2.092</v>
      </c>
      <c r="U521" s="4">
        <f>IF(T521="",IFERROR(VLOOKUP($C521,Assumptions!$A$4:$F$7,6,FALSE),0),T521)</f>
        <v/>
      </c>
      <c r="V521" s="4">
        <f>N(M521)*IFERROR(VLOOKUP($C521,Assumptions!$A$4:$F$7,2,FALSE),0)</f>
        <v/>
      </c>
      <c r="W521" s="4">
        <f>N(Q521)*IFERROR(VLOOKUP($C521,Assumptions!$A$4:$F$7,3,FALSE),0)*Assumptions!$B$11</f>
        <v/>
      </c>
      <c r="X521" s="4">
        <f>N(L521)*IFERROR(VLOOKUP($C521,Assumptions!$A$4:$F$7,4,FALSE),0)</f>
        <v/>
      </c>
      <c r="Y521" s="4">
        <f>N(R521)*IFERROR(VLOOKUP($C521,Assumptions!$A$4:$F$7,5,FALSE),0)</f>
        <v/>
      </c>
      <c r="Z521" s="4">
        <f>N(S521)</f>
        <v/>
      </c>
      <c r="AA521" s="4">
        <f>SUM(U521:Z521)</f>
        <v/>
      </c>
      <c r="AB521" s="4">
        <f>N(AA521)*N(K521)/90</f>
        <v/>
      </c>
      <c r="AC521" s="4">
        <f>IFERROR(AB521-VLOOKUP($C521,Assumptions!$A$29:$C$32,3,FALSE),"")</f>
        <v/>
      </c>
      <c r="AD521" s="4">
        <f>IFERROR(AC521/F521,"")</f>
        <v/>
      </c>
      <c r="AE521">
        <f>IF(AND($E521=TRUE,$C521="GKP"),AB521,"")</f>
        <v/>
      </c>
      <c r="AF521">
        <f>IF(AND($E521=TRUE,$C521="DEF"),AB521,"")</f>
        <v/>
      </c>
      <c r="AG521">
        <f>IF(AND($E521=TRUE,$C521="MID"),AB521,"")</f>
        <v/>
      </c>
      <c r="AH521">
        <f>IF(AND($E521=TRUE,$C521="FWD"),AB521,"")</f>
        <v/>
      </c>
    </row>
    <row r="522">
      <c r="A522" t="inlineStr">
        <is>
          <t>Jacob Bruun Larsen</t>
        </is>
      </c>
      <c r="D522" t="inlineStr">
        <is>
          <t>MID</t>
        </is>
      </c>
      <c r="E522" t="b">
        <v>0</v>
      </c>
      <c r="F522" s="2" t="n"/>
      <c r="I522" s="2" t="n">
        <v>1023</v>
      </c>
      <c r="K522" s="3" t="n">
        <v>1023</v>
      </c>
      <c r="L522" s="3" t="n"/>
      <c r="M522" s="4" t="n">
        <v>0.1169</v>
      </c>
      <c r="N522" t="inlineStr">
        <is>
          <t>adjusted xGOT</t>
        </is>
      </c>
      <c r="O522" s="4" t="n">
        <v>0.97</v>
      </c>
      <c r="P522" s="4" t="n">
        <v>6</v>
      </c>
      <c r="Q522" s="4" t="n">
        <v>0.1213</v>
      </c>
      <c r="R522" s="4" t="n">
        <v>0.1</v>
      </c>
      <c r="S522" s="4" t="n">
        <v>0</v>
      </c>
      <c r="T522" s="4" t="n">
        <v>3.079</v>
      </c>
      <c r="U522" s="4">
        <f>IF(T522="",IFERROR(VLOOKUP($C522,Assumptions!$A$4:$F$7,6,FALSE),0),T522)</f>
        <v/>
      </c>
      <c r="V522" s="4">
        <f>N(M522)*IFERROR(VLOOKUP($C522,Assumptions!$A$4:$F$7,2,FALSE),0)</f>
        <v/>
      </c>
      <c r="W522" s="4">
        <f>N(Q522)*IFERROR(VLOOKUP($C522,Assumptions!$A$4:$F$7,3,FALSE),0)*Assumptions!$B$11</f>
        <v/>
      </c>
      <c r="X522" s="4">
        <f>N(L522)*IFERROR(VLOOKUP($C522,Assumptions!$A$4:$F$7,4,FALSE),0)</f>
        <v/>
      </c>
      <c r="Y522" s="4">
        <f>N(R522)*IFERROR(VLOOKUP($C522,Assumptions!$A$4:$F$7,5,FALSE),0)</f>
        <v/>
      </c>
      <c r="Z522" s="4">
        <f>N(S522)</f>
        <v/>
      </c>
      <c r="AA522" s="4">
        <f>SUM(U522:Z522)</f>
        <v/>
      </c>
      <c r="AB522" s="4">
        <f>N(AA522)*N(K522)/90</f>
        <v/>
      </c>
      <c r="AC522" s="4">
        <f>IFERROR(AB522-VLOOKUP($C522,Assumptions!$A$29:$C$32,3,FALSE),"")</f>
        <v/>
      </c>
      <c r="AD522" s="4">
        <f>IFERROR(AC522/F522,"")</f>
        <v/>
      </c>
      <c r="AE522">
        <f>IF(AND($E522=TRUE,$C522="GKP"),AB522,"")</f>
        <v/>
      </c>
      <c r="AF522">
        <f>IF(AND($E522=TRUE,$C522="DEF"),AB522,"")</f>
        <v/>
      </c>
      <c r="AG522">
        <f>IF(AND($E522=TRUE,$C522="MID"),AB522,"")</f>
        <v/>
      </c>
      <c r="AH522">
        <f>IF(AND($E522=TRUE,$C522="FWD"),AB522,"")</f>
        <v/>
      </c>
    </row>
    <row r="523">
      <c r="A523" t="inlineStr">
        <is>
          <t>Axel Tuanzebe</t>
        </is>
      </c>
      <c r="D523" t="inlineStr">
        <is>
          <t>DEF</t>
        </is>
      </c>
      <c r="E523" t="b">
        <v>0</v>
      </c>
      <c r="F523" s="2" t="n"/>
      <c r="I523" s="2" t="n">
        <v>1202</v>
      </c>
      <c r="K523" s="3" t="n">
        <v>1202</v>
      </c>
      <c r="L523" s="3" t="n"/>
      <c r="M523" s="4" t="n">
        <v>0.0461</v>
      </c>
      <c r="N523" t="inlineStr">
        <is>
          <t>adjusted xGOT</t>
        </is>
      </c>
      <c r="O523" s="4" t="n">
        <v>1.009</v>
      </c>
      <c r="P523" s="4" t="n">
        <v>0.8</v>
      </c>
      <c r="Q523" s="4" t="n">
        <v>0</v>
      </c>
      <c r="R523" s="4" t="n">
        <v>0.357</v>
      </c>
      <c r="S523" s="4" t="n">
        <v>0</v>
      </c>
      <c r="T523" s="4" t="n">
        <v>2.022</v>
      </c>
      <c r="U523" s="4">
        <f>IF(T523="",IFERROR(VLOOKUP($C523,Assumptions!$A$4:$F$7,6,FALSE),0),T523)</f>
        <v/>
      </c>
      <c r="V523" s="4">
        <f>N(M523)*IFERROR(VLOOKUP($C523,Assumptions!$A$4:$F$7,2,FALSE),0)</f>
        <v/>
      </c>
      <c r="W523" s="4">
        <f>N(Q523)*IFERROR(VLOOKUP($C523,Assumptions!$A$4:$F$7,3,FALSE),0)*Assumptions!$B$11</f>
        <v/>
      </c>
      <c r="X523" s="4">
        <f>N(L523)*IFERROR(VLOOKUP($C523,Assumptions!$A$4:$F$7,4,FALSE),0)</f>
        <v/>
      </c>
      <c r="Y523" s="4">
        <f>N(R523)*IFERROR(VLOOKUP($C523,Assumptions!$A$4:$F$7,5,FALSE),0)</f>
        <v/>
      </c>
      <c r="Z523" s="4">
        <f>N(S523)</f>
        <v/>
      </c>
      <c r="AA523" s="4">
        <f>SUM(U523:Z523)</f>
        <v/>
      </c>
      <c r="AB523" s="4">
        <f>N(AA523)*N(K523)/90</f>
        <v/>
      </c>
      <c r="AC523" s="4">
        <f>IFERROR(AB523-VLOOKUP($C523,Assumptions!$A$29:$C$32,3,FALSE),"")</f>
        <v/>
      </c>
      <c r="AD523" s="4">
        <f>IFERROR(AC523/F523,"")</f>
        <v/>
      </c>
      <c r="AE523">
        <f>IF(AND($E523=TRUE,$C523="GKP"),AB523,"")</f>
        <v/>
      </c>
      <c r="AF523">
        <f>IF(AND($E523=TRUE,$C523="DEF"),AB523,"")</f>
        <v/>
      </c>
      <c r="AG523">
        <f>IF(AND($E523=TRUE,$C523="MID"),AB523,"")</f>
        <v/>
      </c>
      <c r="AH523">
        <f>IF(AND($E523=TRUE,$C523="FWD"),AB523,"")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b">
        <v>1</v>
      </c>
      <c r="F524" s="2" t="n">
        <v>4</v>
      </c>
      <c r="G524" t="inlineStr">
        <is>
          <t>a</t>
        </is>
      </c>
      <c r="I524" s="2" t="n"/>
      <c r="K524" s="3" t="n"/>
      <c r="L524" s="3" t="n"/>
      <c r="M524" s="4" t="n"/>
      <c r="N524" t="inlineStr"/>
      <c r="O524" s="4" t="n"/>
      <c r="P524" s="4" t="n"/>
      <c r="Q524" s="4" t="n"/>
      <c r="R524" s="4" t="n"/>
      <c r="S524" s="4" t="n"/>
      <c r="T524" s="4" t="n"/>
      <c r="U524" s="4">
        <f>IF(T524="",IFERROR(VLOOKUP($C524,Assumptions!$A$4:$F$7,6,FALSE),0),T524)</f>
        <v/>
      </c>
      <c r="V524" s="4">
        <f>N(M524)*IFERROR(VLOOKUP($C524,Assumptions!$A$4:$F$7,2,FALSE),0)</f>
        <v/>
      </c>
      <c r="W524" s="4">
        <f>N(Q524)*IFERROR(VLOOKUP($C524,Assumptions!$A$4:$F$7,3,FALSE),0)*Assumptions!$B$11</f>
        <v/>
      </c>
      <c r="X524" s="4">
        <f>N(L524)*IFERROR(VLOOKUP($C524,Assumptions!$A$4:$F$7,4,FALSE),0)</f>
        <v/>
      </c>
      <c r="Y524" s="4">
        <f>N(R524)*IFERROR(VLOOKUP($C524,Assumptions!$A$4:$F$7,5,FALSE),0)</f>
        <v/>
      </c>
      <c r="Z524" s="4">
        <f>N(S524)</f>
        <v/>
      </c>
      <c r="AA524" s="4">
        <f>SUM(U524:Z524)</f>
        <v/>
      </c>
      <c r="AB524" s="4">
        <f>N(AA524)*N(K524)/90</f>
        <v/>
      </c>
      <c r="AC524" s="4">
        <f>IFERROR(AB524-VLOOKUP($C524,Assumptions!$A$29:$C$32,3,FALSE),"")</f>
        <v/>
      </c>
      <c r="AD524" s="4">
        <f>IFERROR(AC524/F524,"")</f>
        <v/>
      </c>
      <c r="AE524">
        <f>IF(AND($E524=TRUE,$C524="GKP"),AB524,"")</f>
        <v/>
      </c>
      <c r="AF524">
        <f>IF(AND($E524=TRUE,$C524="DEF"),AB524,"")</f>
        <v/>
      </c>
      <c r="AG524">
        <f>IF(AND($E524=TRUE,$C524="MID"),AB524,"")</f>
        <v/>
      </c>
      <c r="AH524">
        <f>IF(AND($E524=TRUE,$C524="FWD"),AB524,"")</f>
        <v/>
      </c>
    </row>
    <row r="525">
      <c r="A525" t="inlineStr">
        <is>
          <t>Hwang Hee-Chan</t>
        </is>
      </c>
      <c r="D525" t="inlineStr">
        <is>
          <t>MID</t>
        </is>
      </c>
      <c r="E525" t="b">
        <v>0</v>
      </c>
      <c r="F525" s="2" t="n"/>
      <c r="I525" s="2" t="n">
        <v>1452</v>
      </c>
      <c r="K525" s="3" t="n">
        <v>1452</v>
      </c>
      <c r="L525" s="3" t="n"/>
      <c r="M525" s="4" t="n">
        <v>0.1418</v>
      </c>
      <c r="N525" t="inlineStr">
        <is>
          <t>adjusted xGOT</t>
        </is>
      </c>
      <c r="O525" s="4" t="n">
        <v>0.965</v>
      </c>
      <c r="P525" s="4" t="n">
        <v>13.7</v>
      </c>
      <c r="Q525" s="4" t="n">
        <v>0.1166</v>
      </c>
      <c r="R525" s="4" t="n">
        <v>0.056</v>
      </c>
      <c r="S525" s="4" t="n">
        <v>0</v>
      </c>
      <c r="T525" s="4" t="n">
        <v>2.541</v>
      </c>
      <c r="U525" s="4">
        <f>IF(T525="",IFERROR(VLOOKUP($C525,Assumptions!$A$4:$F$7,6,FALSE),0),T525)</f>
        <v/>
      </c>
      <c r="V525" s="4">
        <f>N(M525)*IFERROR(VLOOKUP($C525,Assumptions!$A$4:$F$7,2,FALSE),0)</f>
        <v/>
      </c>
      <c r="W525" s="4">
        <f>N(Q525)*IFERROR(VLOOKUP($C525,Assumptions!$A$4:$F$7,3,FALSE),0)*Assumptions!$B$11</f>
        <v/>
      </c>
      <c r="X525" s="4">
        <f>N(L525)*IFERROR(VLOOKUP($C525,Assumptions!$A$4:$F$7,4,FALSE),0)</f>
        <v/>
      </c>
      <c r="Y525" s="4">
        <f>N(R525)*IFERROR(VLOOKUP($C525,Assumptions!$A$4:$F$7,5,FALSE),0)</f>
        <v/>
      </c>
      <c r="Z525" s="4">
        <f>N(S525)</f>
        <v/>
      </c>
      <c r="AA525" s="4">
        <f>SUM(U525:Z525)</f>
        <v/>
      </c>
      <c r="AB525" s="4">
        <f>N(AA525)*N(K525)/90</f>
        <v/>
      </c>
      <c r="AC525" s="4">
        <f>IFERROR(AB525-VLOOKUP($C525,Assumptions!$A$29:$C$32,3,FALSE),"")</f>
        <v/>
      </c>
      <c r="AD525" s="4">
        <f>IFERROR(AC525/F525,"")</f>
        <v/>
      </c>
      <c r="AE525">
        <f>IF(AND($E525=TRUE,$C525="GKP"),AB525,"")</f>
        <v/>
      </c>
      <c r="AF525">
        <f>IF(AND($E525=TRUE,$C525="DEF"),AB525,"")</f>
        <v/>
      </c>
      <c r="AG525">
        <f>IF(AND($E525=TRUE,$C525="MID"),AB525,"")</f>
        <v/>
      </c>
      <c r="AH525">
        <f>IF(AND($E525=TRUE,$C525="FWD"),AB525,"")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b">
        <v>1</v>
      </c>
      <c r="F526" s="2" t="n">
        <v>4</v>
      </c>
      <c r="G526" t="inlineStr">
        <is>
          <t>a</t>
        </is>
      </c>
      <c r="I526" s="2" t="n"/>
      <c r="K526" s="3" t="n"/>
      <c r="L526" s="3" t="n"/>
      <c r="M526" s="4" t="n"/>
      <c r="N526" t="inlineStr"/>
      <c r="O526" s="4" t="n"/>
      <c r="P526" s="4" t="n"/>
      <c r="Q526" s="4" t="n"/>
      <c r="R526" s="4" t="n"/>
      <c r="S526" s="4" t="n"/>
      <c r="T526" s="4" t="n"/>
      <c r="U526" s="4">
        <f>IF(T526="",IFERROR(VLOOKUP($C526,Assumptions!$A$4:$F$7,6,FALSE),0),T526)</f>
        <v/>
      </c>
      <c r="V526" s="4">
        <f>N(M526)*IFERROR(VLOOKUP($C526,Assumptions!$A$4:$F$7,2,FALSE),0)</f>
        <v/>
      </c>
      <c r="W526" s="4">
        <f>N(Q526)*IFERROR(VLOOKUP($C526,Assumptions!$A$4:$F$7,3,FALSE),0)*Assumptions!$B$11</f>
        <v/>
      </c>
      <c r="X526" s="4">
        <f>N(L526)*IFERROR(VLOOKUP($C526,Assumptions!$A$4:$F$7,4,FALSE),0)</f>
        <v/>
      </c>
      <c r="Y526" s="4">
        <f>N(R526)*IFERROR(VLOOKUP($C526,Assumptions!$A$4:$F$7,5,FALSE),0)</f>
        <v/>
      </c>
      <c r="Z526" s="4">
        <f>N(S526)</f>
        <v/>
      </c>
      <c r="AA526" s="4">
        <f>SUM(U526:Z526)</f>
        <v/>
      </c>
      <c r="AB526" s="4">
        <f>N(AA526)*N(K526)/90</f>
        <v/>
      </c>
      <c r="AC526" s="4">
        <f>IFERROR(AB526-VLOOKUP($C526,Assumptions!$A$29:$C$32,3,FALSE),"")</f>
        <v/>
      </c>
      <c r="AD526" s="4">
        <f>IFERROR(AC526/F526,"")</f>
        <v/>
      </c>
      <c r="AE526">
        <f>IF(AND($E526=TRUE,$C526="GKP"),AB526,"")</f>
        <v/>
      </c>
      <c r="AF526">
        <f>IF(AND($E526=TRUE,$C526="DEF"),AB526,"")</f>
        <v/>
      </c>
      <c r="AG526">
        <f>IF(AND($E526=TRUE,$C526="MID"),AB526,"")</f>
        <v/>
      </c>
      <c r="AH526">
        <f>IF(AND($E526=TRUE,$C526="FWD"),AB526,"")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b">
        <v>1</v>
      </c>
      <c r="F527" s="2" t="n">
        <v>5.5</v>
      </c>
      <c r="G527" t="inlineStr">
        <is>
          <t>a</t>
        </is>
      </c>
      <c r="I527" s="2" t="n"/>
      <c r="K527" s="3" t="n"/>
      <c r="L527" s="3" t="n"/>
      <c r="M527" s="4" t="n"/>
      <c r="N527" t="inlineStr"/>
      <c r="O527" s="4" t="n"/>
      <c r="P527" s="4" t="n"/>
      <c r="Q527" s="4" t="n"/>
      <c r="R527" s="4" t="n"/>
      <c r="S527" s="4" t="n"/>
      <c r="T527" s="4" t="n"/>
      <c r="U527" s="4">
        <f>IF(T527="",IFERROR(VLOOKUP($C527,Assumptions!$A$4:$F$7,6,FALSE),0),T527)</f>
        <v/>
      </c>
      <c r="V527" s="4">
        <f>N(M527)*IFERROR(VLOOKUP($C527,Assumptions!$A$4:$F$7,2,FALSE),0)</f>
        <v/>
      </c>
      <c r="W527" s="4">
        <f>N(Q527)*IFERROR(VLOOKUP($C527,Assumptions!$A$4:$F$7,3,FALSE),0)*Assumptions!$B$11</f>
        <v/>
      </c>
      <c r="X527" s="4">
        <f>N(L527)*IFERROR(VLOOKUP($C527,Assumptions!$A$4:$F$7,4,FALSE),0)</f>
        <v/>
      </c>
      <c r="Y527" s="4">
        <f>N(R527)*IFERROR(VLOOKUP($C527,Assumptions!$A$4:$F$7,5,FALSE),0)</f>
        <v/>
      </c>
      <c r="Z527" s="4">
        <f>N(S527)</f>
        <v/>
      </c>
      <c r="AA527" s="4">
        <f>SUM(U527:Z527)</f>
        <v/>
      </c>
      <c r="AB527" s="4">
        <f>N(AA527)*N(K527)/90</f>
        <v/>
      </c>
      <c r="AC527" s="4">
        <f>IFERROR(AB527-VLOOKUP($C527,Assumptions!$A$29:$C$32,3,FALSE),"")</f>
        <v/>
      </c>
      <c r="AD527" s="4">
        <f>IFERROR(AC527/F527,"")</f>
        <v/>
      </c>
      <c r="AE527">
        <f>IF(AND($E527=TRUE,$C527="GKP"),AB527,"")</f>
        <v/>
      </c>
      <c r="AF527">
        <f>IF(AND($E527=TRUE,$C527="DEF"),AB527,"")</f>
        <v/>
      </c>
      <c r="AG527">
        <f>IF(AND($E527=TRUE,$C527="MID"),AB527,"")</f>
        <v/>
      </c>
      <c r="AH527">
        <f>IF(AND($E527=TRUE,$C527="FWD"),AB527,"")</f>
        <v/>
      </c>
    </row>
    <row r="528">
      <c r="A528" t="inlineStr">
        <is>
          <t>Guido Rodríguez</t>
        </is>
      </c>
      <c r="D528" t="inlineStr">
        <is>
          <t>MID</t>
        </is>
      </c>
      <c r="E528" t="b">
        <v>0</v>
      </c>
      <c r="F528" s="2" t="n"/>
      <c r="I528" s="2" t="n">
        <v>177</v>
      </c>
      <c r="K528" s="3" t="n">
        <v>177</v>
      </c>
      <c r="L528" s="3" t="n"/>
      <c r="M528" s="4" t="n">
        <v>0.0147</v>
      </c>
      <c r="N528" t="inlineStr">
        <is>
          <t>adjusted xGOT</t>
        </is>
      </c>
      <c r="O528" s="4" t="n">
        <v>0.97</v>
      </c>
      <c r="P528" s="4" t="n">
        <v>0.2</v>
      </c>
      <c r="Q528" s="4" t="n">
        <v>0</v>
      </c>
      <c r="R528" s="4" t="n">
        <v>0</v>
      </c>
      <c r="S528" s="4" t="n">
        <v>0</v>
      </c>
      <c r="T528" s="4" t="n">
        <v>4.068</v>
      </c>
      <c r="U528" s="4">
        <f>IF(T528="",IFERROR(VLOOKUP($C528,Assumptions!$A$4:$F$7,6,FALSE),0),T528)</f>
        <v/>
      </c>
      <c r="V528" s="4">
        <f>N(M528)*IFERROR(VLOOKUP($C528,Assumptions!$A$4:$F$7,2,FALSE),0)</f>
        <v/>
      </c>
      <c r="W528" s="4">
        <f>N(Q528)*IFERROR(VLOOKUP($C528,Assumptions!$A$4:$F$7,3,FALSE),0)*Assumptions!$B$11</f>
        <v/>
      </c>
      <c r="X528" s="4">
        <f>N(L528)*IFERROR(VLOOKUP($C528,Assumptions!$A$4:$F$7,4,FALSE),0)</f>
        <v/>
      </c>
      <c r="Y528" s="4">
        <f>N(R528)*IFERROR(VLOOKUP($C528,Assumptions!$A$4:$F$7,5,FALSE),0)</f>
        <v/>
      </c>
      <c r="Z528" s="4">
        <f>N(S528)</f>
        <v/>
      </c>
      <c r="AA528" s="4">
        <f>SUM(U528:Z528)</f>
        <v/>
      </c>
      <c r="AB528" s="4">
        <f>N(AA528)*N(K528)/90</f>
        <v/>
      </c>
      <c r="AC528" s="4">
        <f>IFERROR(AB528-VLOOKUP($C528,Assumptions!$A$29:$C$32,3,FALSE),"")</f>
        <v/>
      </c>
      <c r="AD528" s="4">
        <f>IFERROR(AC528/F528,"")</f>
        <v/>
      </c>
      <c r="AE528">
        <f>IF(AND($E528=TRUE,$C528="GKP"),AB528,"")</f>
        <v/>
      </c>
      <c r="AF528">
        <f>IF(AND($E528=TRUE,$C528="DEF"),AB528,"")</f>
        <v/>
      </c>
      <c r="AG528">
        <f>IF(AND($E528=TRUE,$C528="MID"),AB528,"")</f>
        <v/>
      </c>
      <c r="AH528">
        <f>IF(AND($E528=TRUE,$C528="FWD"),AB528,"")</f>
        <v/>
      </c>
    </row>
    <row r="529">
      <c r="A529" t="inlineStr">
        <is>
          <t>Odsonne Édouard</t>
        </is>
      </c>
      <c r="D529" t="inlineStr">
        <is>
          <t>FWD</t>
        </is>
      </c>
      <c r="E529" t="b">
        <v>0</v>
      </c>
      <c r="F529" s="2" t="n"/>
      <c r="I529" s="2" t="n">
        <v>2</v>
      </c>
      <c r="K529" s="3" t="n">
        <v>2</v>
      </c>
      <c r="L529" s="3" t="n"/>
      <c r="M529" s="4" t="n">
        <v>0</v>
      </c>
      <c r="N529" t="inlineStr">
        <is>
          <t>adjusted xGOT</t>
        </is>
      </c>
      <c r="O529" s="4" t="n">
        <v>1.124</v>
      </c>
      <c r="P529" s="4" t="n">
        <v>10.9</v>
      </c>
      <c r="Q529" s="4" t="n"/>
      <c r="R529" s="4" t="n"/>
      <c r="S529" s="4" t="n">
        <v>0</v>
      </c>
      <c r="T529" s="4" t="n">
        <v>45</v>
      </c>
      <c r="U529" s="4">
        <f>IF(T529="",IFERROR(VLOOKUP($C529,Assumptions!$A$4:$F$7,6,FALSE),0),T529)</f>
        <v/>
      </c>
      <c r="V529" s="4">
        <f>N(M529)*IFERROR(VLOOKUP($C529,Assumptions!$A$4:$F$7,2,FALSE),0)</f>
        <v/>
      </c>
      <c r="W529" s="4">
        <f>N(Q529)*IFERROR(VLOOKUP($C529,Assumptions!$A$4:$F$7,3,FALSE),0)*Assumptions!$B$11</f>
        <v/>
      </c>
      <c r="X529" s="4">
        <f>N(L529)*IFERROR(VLOOKUP($C529,Assumptions!$A$4:$F$7,4,FALSE),0)</f>
        <v/>
      </c>
      <c r="Y529" s="4">
        <f>N(R529)*IFERROR(VLOOKUP($C529,Assumptions!$A$4:$F$7,5,FALSE),0)</f>
        <v/>
      </c>
      <c r="Z529" s="4">
        <f>N(S529)</f>
        <v/>
      </c>
      <c r="AA529" s="4">
        <f>SUM(U529:Z529)</f>
        <v/>
      </c>
      <c r="AB529" s="4">
        <f>N(AA529)*N(K529)/90</f>
        <v/>
      </c>
      <c r="AC529" s="4">
        <f>IFERROR(AB529-VLOOKUP($C529,Assumptions!$A$29:$C$32,3,FALSE),"")</f>
        <v/>
      </c>
      <c r="AD529" s="4">
        <f>IFERROR(AC529/F529,"")</f>
        <v/>
      </c>
      <c r="AE529">
        <f>IF(AND($E529=TRUE,$C529="GKP"),AB529,"")</f>
        <v/>
      </c>
      <c r="AF529">
        <f>IF(AND($E529=TRUE,$C529="DEF"),AB529,"")</f>
        <v/>
      </c>
      <c r="AG529">
        <f>IF(AND($E529=TRUE,$C529="MID"),AB529,"")</f>
        <v/>
      </c>
      <c r="AH529">
        <f>IF(AND($E529=TRUE,$C529="FWD"),AB529,"")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b">
        <v>1</v>
      </c>
      <c r="F530" s="2" t="n">
        <v>5</v>
      </c>
      <c r="G530" t="inlineStr">
        <is>
          <t>a</t>
        </is>
      </c>
      <c r="I530" s="2" t="n"/>
      <c r="K530" s="3" t="n"/>
      <c r="L530" s="3" t="n">
        <v>0.237</v>
      </c>
      <c r="M530" s="4" t="n"/>
      <c r="N530" t="inlineStr"/>
      <c r="O530" s="4" t="n"/>
      <c r="P530" s="4" t="n"/>
      <c r="Q530" s="4" t="n"/>
      <c r="R530" s="4" t="n"/>
      <c r="S530" s="4" t="n"/>
      <c r="T530" s="4" t="n"/>
      <c r="U530" s="4">
        <f>IF(T530="",IFERROR(VLOOKUP($C530,Assumptions!$A$4:$F$7,6,FALSE),0),T530)</f>
        <v/>
      </c>
      <c r="V530" s="4">
        <f>N(M530)*IFERROR(VLOOKUP($C530,Assumptions!$A$4:$F$7,2,FALSE),0)</f>
        <v/>
      </c>
      <c r="W530" s="4">
        <f>N(Q530)*IFERROR(VLOOKUP($C530,Assumptions!$A$4:$F$7,3,FALSE),0)*Assumptions!$B$11</f>
        <v/>
      </c>
      <c r="X530" s="4">
        <f>N(L530)*IFERROR(VLOOKUP($C530,Assumptions!$A$4:$F$7,4,FALSE),0)</f>
        <v/>
      </c>
      <c r="Y530" s="4">
        <f>N(R530)*IFERROR(VLOOKUP($C530,Assumptions!$A$4:$F$7,5,FALSE),0)</f>
        <v/>
      </c>
      <c r="Z530" s="4">
        <f>N(S530)</f>
        <v/>
      </c>
      <c r="AA530" s="4">
        <f>SUM(U530:Z530)</f>
        <v/>
      </c>
      <c r="AB530" s="4">
        <f>N(AA530)*N(K530)/90</f>
        <v/>
      </c>
      <c r="AC530" s="4">
        <f>IFERROR(AB530-VLOOKUP($C530,Assumptions!$A$29:$C$32,3,FALSE),"")</f>
        <v/>
      </c>
      <c r="AD530" s="4">
        <f>IFERROR(AC530/F530,"")</f>
        <v/>
      </c>
      <c r="AE530">
        <f>IF(AND($E530=TRUE,$C530="GKP"),AB530,"")</f>
        <v/>
      </c>
      <c r="AF530">
        <f>IF(AND($E530=TRUE,$C530="DEF"),AB530,"")</f>
        <v/>
      </c>
      <c r="AG530">
        <f>IF(AND($E530=TRUE,$C530="MID"),AB530,"")</f>
        <v/>
      </c>
      <c r="AH530">
        <f>IF(AND($E530=TRUE,$C530="FWD"),AB530,"")</f>
        <v/>
      </c>
    </row>
    <row r="531">
      <c r="A531" t="inlineStr">
        <is>
          <t>Donyell Malen</t>
        </is>
      </c>
      <c r="D531" t="inlineStr">
        <is>
          <t>MID</t>
        </is>
      </c>
      <c r="E531" t="b">
        <v>0</v>
      </c>
      <c r="F531" s="2" t="n"/>
      <c r="I531" s="2" t="n">
        <v>645</v>
      </c>
      <c r="K531" s="3" t="n">
        <v>645</v>
      </c>
      <c r="L531" s="3" t="n"/>
      <c r="M531" s="4" t="n">
        <v>0.5671</v>
      </c>
      <c r="N531" t="inlineStr">
        <is>
          <t>adjusted xGOT</t>
        </is>
      </c>
      <c r="O531" s="4" t="n">
        <v>1.008</v>
      </c>
      <c r="P531" s="4" t="n">
        <v>6.2</v>
      </c>
      <c r="Q531" s="4" t="n">
        <v>0.0515</v>
      </c>
      <c r="R531" s="4" t="n">
        <v>0</v>
      </c>
      <c r="S531" s="4" t="n">
        <v>0.4186</v>
      </c>
      <c r="T531" s="4" t="n">
        <v>3.488</v>
      </c>
      <c r="U531" s="4">
        <f>IF(T531="",IFERROR(VLOOKUP($C531,Assumptions!$A$4:$F$7,6,FALSE),0),T531)</f>
        <v/>
      </c>
      <c r="V531" s="4">
        <f>N(M531)*IFERROR(VLOOKUP($C531,Assumptions!$A$4:$F$7,2,FALSE),0)</f>
        <v/>
      </c>
      <c r="W531" s="4">
        <f>N(Q531)*IFERROR(VLOOKUP($C531,Assumptions!$A$4:$F$7,3,FALSE),0)*Assumptions!$B$11</f>
        <v/>
      </c>
      <c r="X531" s="4">
        <f>N(L531)*IFERROR(VLOOKUP($C531,Assumptions!$A$4:$F$7,4,FALSE),0)</f>
        <v/>
      </c>
      <c r="Y531" s="4">
        <f>N(R531)*IFERROR(VLOOKUP($C531,Assumptions!$A$4:$F$7,5,FALSE),0)</f>
        <v/>
      </c>
      <c r="Z531" s="4">
        <f>N(S531)</f>
        <v/>
      </c>
      <c r="AA531" s="4">
        <f>SUM(U531:Z531)</f>
        <v/>
      </c>
      <c r="AB531" s="4">
        <f>N(AA531)*N(K531)/90</f>
        <v/>
      </c>
      <c r="AC531" s="4">
        <f>IFERROR(AB531-VLOOKUP($C531,Assumptions!$A$29:$C$32,3,FALSE),"")</f>
        <v/>
      </c>
      <c r="AD531" s="4">
        <f>IFERROR(AC531/F531,"")</f>
        <v/>
      </c>
      <c r="AE531">
        <f>IF(AND($E531=TRUE,$C531="GKP"),AB531,"")</f>
        <v/>
      </c>
      <c r="AF531">
        <f>IF(AND($E531=TRUE,$C531="DEF"),AB531,"")</f>
        <v/>
      </c>
      <c r="AG531">
        <f>IF(AND($E531=TRUE,$C531="MID"),AB531,"")</f>
        <v/>
      </c>
      <c r="AH531">
        <f>IF(AND($E531=TRUE,$C531="FWD"),AB531,"")</f>
        <v/>
      </c>
    </row>
    <row r="532">
      <c r="A532" t="inlineStr">
        <is>
          <t>Ibrahima Konaté</t>
        </is>
      </c>
      <c r="D532" t="inlineStr">
        <is>
          <t>DEF</t>
        </is>
      </c>
      <c r="E532" t="b">
        <v>0</v>
      </c>
      <c r="F532" s="2" t="n"/>
      <c r="I532" s="2" t="n">
        <v>3100</v>
      </c>
      <c r="K532" s="3" t="n">
        <v>3100</v>
      </c>
      <c r="L532" s="3" t="n"/>
      <c r="M532" s="4" t="n">
        <v>0.0295</v>
      </c>
      <c r="N532" t="inlineStr">
        <is>
          <t>adjusted xGOT</t>
        </is>
      </c>
      <c r="O532" s="4" t="n">
        <v>0.853</v>
      </c>
      <c r="P532" s="4" t="n">
        <v>4.9</v>
      </c>
      <c r="Q532" s="4" t="n">
        <v>0.0211</v>
      </c>
      <c r="R532" s="4" t="n">
        <v>0.361</v>
      </c>
      <c r="S532" s="4" t="n">
        <v>0.1742</v>
      </c>
      <c r="T532" s="4" t="n">
        <v>2.032</v>
      </c>
      <c r="U532" s="4">
        <f>IF(T532="",IFERROR(VLOOKUP($C532,Assumptions!$A$4:$F$7,6,FALSE),0),T532)</f>
        <v/>
      </c>
      <c r="V532" s="4">
        <f>N(M532)*IFERROR(VLOOKUP($C532,Assumptions!$A$4:$F$7,2,FALSE),0)</f>
        <v/>
      </c>
      <c r="W532" s="4">
        <f>N(Q532)*IFERROR(VLOOKUP($C532,Assumptions!$A$4:$F$7,3,FALSE),0)*Assumptions!$B$11</f>
        <v/>
      </c>
      <c r="X532" s="4">
        <f>N(L532)*IFERROR(VLOOKUP($C532,Assumptions!$A$4:$F$7,4,FALSE),0)</f>
        <v/>
      </c>
      <c r="Y532" s="4">
        <f>N(R532)*IFERROR(VLOOKUP($C532,Assumptions!$A$4:$F$7,5,FALSE),0)</f>
        <v/>
      </c>
      <c r="Z532" s="4">
        <f>N(S532)</f>
        <v/>
      </c>
      <c r="AA532" s="4">
        <f>SUM(U532:Z532)</f>
        <v/>
      </c>
      <c r="AB532" s="4">
        <f>N(AA532)*N(K532)/90</f>
        <v/>
      </c>
      <c r="AC532" s="4">
        <f>IFERROR(AB532-VLOOKUP($C532,Assumptions!$A$29:$C$32,3,FALSE),"")</f>
        <v/>
      </c>
      <c r="AD532" s="4">
        <f>IFERROR(AC532/F532,"")</f>
        <v/>
      </c>
      <c r="AE532">
        <f>IF(AND($E532=TRUE,$C532="GKP"),AB532,"")</f>
        <v/>
      </c>
      <c r="AF532">
        <f>IF(AND($E532=TRUE,$C532="DEF"),AB532,"")</f>
        <v/>
      </c>
      <c r="AG532">
        <f>IF(AND($E532=TRUE,$C532="MID"),AB532,"")</f>
        <v/>
      </c>
      <c r="AH532">
        <f>IF(AND($E532=TRUE,$C532="FWD"),AB532,"")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b">
        <v>1</v>
      </c>
      <c r="F533" s="2" t="n">
        <v>4</v>
      </c>
      <c r="G533" t="inlineStr">
        <is>
          <t>a</t>
        </is>
      </c>
      <c r="I533" s="2" t="n"/>
      <c r="K533" s="3" t="n"/>
      <c r="L533" s="3" t="n"/>
      <c r="M533" s="4" t="n"/>
      <c r="N533" t="inlineStr"/>
      <c r="O533" s="4" t="n"/>
      <c r="P533" s="4" t="n"/>
      <c r="Q533" s="4" t="n"/>
      <c r="R533" s="4" t="n"/>
      <c r="S533" s="4" t="n"/>
      <c r="T533" s="4" t="n"/>
      <c r="U533" s="4">
        <f>IF(T533="",IFERROR(VLOOKUP($C533,Assumptions!$A$4:$F$7,6,FALSE),0),T533)</f>
        <v/>
      </c>
      <c r="V533" s="4">
        <f>N(M533)*IFERROR(VLOOKUP($C533,Assumptions!$A$4:$F$7,2,FALSE),0)</f>
        <v/>
      </c>
      <c r="W533" s="4">
        <f>N(Q533)*IFERROR(VLOOKUP($C533,Assumptions!$A$4:$F$7,3,FALSE),0)*Assumptions!$B$11</f>
        <v/>
      </c>
      <c r="X533" s="4">
        <f>N(L533)*IFERROR(VLOOKUP($C533,Assumptions!$A$4:$F$7,4,FALSE),0)</f>
        <v/>
      </c>
      <c r="Y533" s="4">
        <f>N(R533)*IFERROR(VLOOKUP($C533,Assumptions!$A$4:$F$7,5,FALSE),0)</f>
        <v/>
      </c>
      <c r="Z533" s="4">
        <f>N(S533)</f>
        <v/>
      </c>
      <c r="AA533" s="4">
        <f>SUM(U533:Z533)</f>
        <v/>
      </c>
      <c r="AB533" s="4">
        <f>N(AA533)*N(K533)/90</f>
        <v/>
      </c>
      <c r="AC533" s="4">
        <f>IFERROR(AB533-VLOOKUP($C533,Assumptions!$A$29:$C$32,3,FALSE),"")</f>
        <v/>
      </c>
      <c r="AD533" s="4">
        <f>IFERROR(AC533/F533,"")</f>
        <v/>
      </c>
      <c r="AE533">
        <f>IF(AND($E533=TRUE,$C533="GKP"),AB533,"")</f>
        <v/>
      </c>
      <c r="AF533">
        <f>IF(AND($E533=TRUE,$C533="DEF"),AB533,"")</f>
        <v/>
      </c>
      <c r="AG533">
        <f>IF(AND($E533=TRUE,$C533="MID"),AB533,"")</f>
        <v/>
      </c>
      <c r="AH533">
        <f>IF(AND($E533=TRUE,$C533="FWD"),AB533,"")</f>
        <v/>
      </c>
    </row>
    <row r="534">
      <c r="A534" t="inlineStr">
        <is>
          <t>Oleksandr Zinchenko</t>
        </is>
      </c>
      <c r="D534" t="inlineStr">
        <is>
          <t>DEF</t>
        </is>
      </c>
      <c r="E534" t="b">
        <v>0</v>
      </c>
      <c r="F534" s="2" t="n"/>
      <c r="I534" s="2" t="n">
        <v>353</v>
      </c>
      <c r="K534" s="3" t="n">
        <v>353</v>
      </c>
      <c r="L534" s="3" t="n"/>
      <c r="M534" s="4" t="n">
        <v>0.0178</v>
      </c>
      <c r="N534" t="inlineStr">
        <is>
          <t>adjusted xGOT</t>
        </is>
      </c>
      <c r="O534" s="4" t="n">
        <v>0.996</v>
      </c>
      <c r="P534" s="4" t="n">
        <v>2.6</v>
      </c>
      <c r="Q534" s="4" t="n">
        <v>0.1149</v>
      </c>
      <c r="R534" s="4" t="n">
        <v>0</v>
      </c>
      <c r="S534" s="4" t="n">
        <v>0</v>
      </c>
      <c r="T534" s="4" t="n">
        <v>2.295</v>
      </c>
      <c r="U534" s="4">
        <f>IF(T534="",IFERROR(VLOOKUP($C534,Assumptions!$A$4:$F$7,6,FALSE),0),T534)</f>
        <v/>
      </c>
      <c r="V534" s="4">
        <f>N(M534)*IFERROR(VLOOKUP($C534,Assumptions!$A$4:$F$7,2,FALSE),0)</f>
        <v/>
      </c>
      <c r="W534" s="4">
        <f>N(Q534)*IFERROR(VLOOKUP($C534,Assumptions!$A$4:$F$7,3,FALSE),0)*Assumptions!$B$11</f>
        <v/>
      </c>
      <c r="X534" s="4">
        <f>N(L534)*IFERROR(VLOOKUP($C534,Assumptions!$A$4:$F$7,4,FALSE),0)</f>
        <v/>
      </c>
      <c r="Y534" s="4">
        <f>N(R534)*IFERROR(VLOOKUP($C534,Assumptions!$A$4:$F$7,5,FALSE),0)</f>
        <v/>
      </c>
      <c r="Z534" s="4">
        <f>N(S534)</f>
        <v/>
      </c>
      <c r="AA534" s="4">
        <f>SUM(U534:Z534)</f>
        <v/>
      </c>
      <c r="AB534" s="4">
        <f>N(AA534)*N(K534)/90</f>
        <v/>
      </c>
      <c r="AC534" s="4">
        <f>IFERROR(AB534-VLOOKUP($C534,Assumptions!$A$29:$C$32,3,FALSE),"")</f>
        <v/>
      </c>
      <c r="AD534" s="4">
        <f>IFERROR(AC534/F534,"")</f>
        <v/>
      </c>
      <c r="AE534">
        <f>IF(AND($E534=TRUE,$C534="GKP"),AB534,"")</f>
        <v/>
      </c>
      <c r="AF534">
        <f>IF(AND($E534=TRUE,$C534="DEF"),AB534,"")</f>
        <v/>
      </c>
      <c r="AG534">
        <f>IF(AND($E534=TRUE,$C534="MID"),AB534,"")</f>
        <v/>
      </c>
      <c r="AH534">
        <f>IF(AND($E534=TRUE,$C534="FWD"),AB534,"")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b">
        <v>1</v>
      </c>
      <c r="F535" s="2" t="n">
        <v>5</v>
      </c>
      <c r="G535" t="inlineStr">
        <is>
          <t>a</t>
        </is>
      </c>
      <c r="I535" s="2" t="n"/>
      <c r="K535" s="3" t="n"/>
      <c r="L535" s="3" t="n"/>
      <c r="M535" s="4" t="n"/>
      <c r="N535" t="inlineStr"/>
      <c r="O535" s="4" t="n"/>
      <c r="P535" s="4" t="n"/>
      <c r="Q535" s="4" t="n"/>
      <c r="R535" s="4" t="n"/>
      <c r="S535" s="4" t="n"/>
      <c r="T535" s="4" t="n"/>
      <c r="U535" s="4">
        <f>IF(T535="",IFERROR(VLOOKUP($C535,Assumptions!$A$4:$F$7,6,FALSE),0),T535)</f>
        <v/>
      </c>
      <c r="V535" s="4">
        <f>N(M535)*IFERROR(VLOOKUP($C535,Assumptions!$A$4:$F$7,2,FALSE),0)</f>
        <v/>
      </c>
      <c r="W535" s="4">
        <f>N(Q535)*IFERROR(VLOOKUP($C535,Assumptions!$A$4:$F$7,3,FALSE),0)*Assumptions!$B$11</f>
        <v/>
      </c>
      <c r="X535" s="4">
        <f>N(L535)*IFERROR(VLOOKUP($C535,Assumptions!$A$4:$F$7,4,FALSE),0)</f>
        <v/>
      </c>
      <c r="Y535" s="4">
        <f>N(R535)*IFERROR(VLOOKUP($C535,Assumptions!$A$4:$F$7,5,FALSE),0)</f>
        <v/>
      </c>
      <c r="Z535" s="4">
        <f>N(S535)</f>
        <v/>
      </c>
      <c r="AA535" s="4">
        <f>SUM(U535:Z535)</f>
        <v/>
      </c>
      <c r="AB535" s="4">
        <f>N(AA535)*N(K535)/90</f>
        <v/>
      </c>
      <c r="AC535" s="4">
        <f>IFERROR(AB535-VLOOKUP($C535,Assumptions!$A$29:$C$32,3,FALSE),"")</f>
        <v/>
      </c>
      <c r="AD535" s="4">
        <f>IFERROR(AC535/F535,"")</f>
        <v/>
      </c>
      <c r="AE535">
        <f>IF(AND($E535=TRUE,$C535="GKP"),AB535,"")</f>
        <v/>
      </c>
      <c r="AF535">
        <f>IF(AND($E535=TRUE,$C535="DEF"),AB535,"")</f>
        <v/>
      </c>
      <c r="AG535">
        <f>IF(AND($E535=TRUE,$C535="MID"),AB535,"")</f>
        <v/>
      </c>
      <c r="AH535">
        <f>IF(AND($E535=TRUE,$C535="FWD"),AB535,"")</f>
        <v/>
      </c>
    </row>
    <row r="536">
      <c r="A536" t="inlineStr">
        <is>
          <t>Joe Worrall</t>
        </is>
      </c>
      <c r="D536" t="inlineStr">
        <is>
          <t>DEF</t>
        </is>
      </c>
      <c r="E536" t="b">
        <v>0</v>
      </c>
      <c r="F536" s="2" t="n"/>
      <c r="I536" s="2" t="n">
        <v>497</v>
      </c>
      <c r="K536" s="3" t="n">
        <v>497</v>
      </c>
      <c r="L536" s="3" t="n"/>
      <c r="M536" s="4" t="n">
        <v>0.0141</v>
      </c>
      <c r="N536" t="inlineStr">
        <is>
          <t>adjusted xGOT</t>
        </is>
      </c>
      <c r="O536" s="4" t="n">
        <v>0.974</v>
      </c>
      <c r="P536" s="4" t="n">
        <v>1</v>
      </c>
      <c r="Q536" s="4" t="n">
        <v>0</v>
      </c>
      <c r="R536" s="4" t="n">
        <v>0.8</v>
      </c>
      <c r="S536" s="4" t="n">
        <v>0</v>
      </c>
      <c r="T536" s="4" t="n">
        <v>2.716</v>
      </c>
      <c r="U536" s="4">
        <f>IF(T536="",IFERROR(VLOOKUP($C536,Assumptions!$A$4:$F$7,6,FALSE),0),T536)</f>
        <v/>
      </c>
      <c r="V536" s="4">
        <f>N(M536)*IFERROR(VLOOKUP($C536,Assumptions!$A$4:$F$7,2,FALSE),0)</f>
        <v/>
      </c>
      <c r="W536" s="4">
        <f>N(Q536)*IFERROR(VLOOKUP($C536,Assumptions!$A$4:$F$7,3,FALSE),0)*Assumptions!$B$11</f>
        <v/>
      </c>
      <c r="X536" s="4">
        <f>N(L536)*IFERROR(VLOOKUP($C536,Assumptions!$A$4:$F$7,4,FALSE),0)</f>
        <v/>
      </c>
      <c r="Y536" s="4">
        <f>N(R536)*IFERROR(VLOOKUP($C536,Assumptions!$A$4:$F$7,5,FALSE),0)</f>
        <v/>
      </c>
      <c r="Z536" s="4">
        <f>N(S536)</f>
        <v/>
      </c>
      <c r="AA536" s="4">
        <f>SUM(U536:Z536)</f>
        <v/>
      </c>
      <c r="AB536" s="4">
        <f>N(AA536)*N(K536)/90</f>
        <v/>
      </c>
      <c r="AC536" s="4">
        <f>IFERROR(AB536-VLOOKUP($C536,Assumptions!$A$29:$C$32,3,FALSE),"")</f>
        <v/>
      </c>
      <c r="AD536" s="4">
        <f>IFERROR(AC536/F536,"")</f>
        <v/>
      </c>
      <c r="AE536">
        <f>IF(AND($E536=TRUE,$C536="GKP"),AB536,"")</f>
        <v/>
      </c>
      <c r="AF536">
        <f>IF(AND($E536=TRUE,$C536="DEF"),AB536,"")</f>
        <v/>
      </c>
      <c r="AG536">
        <f>IF(AND($E536=TRUE,$C536="MID"),AB536,"")</f>
        <v/>
      </c>
      <c r="AH536">
        <f>IF(AND($E536=TRUE,$C536="FWD"),AB536,"")</f>
        <v/>
      </c>
    </row>
    <row r="537">
      <c r="A537" t="inlineStr">
        <is>
          <t>Angel Gomes</t>
        </is>
      </c>
      <c r="D537" t="inlineStr">
        <is>
          <t>MID</t>
        </is>
      </c>
      <c r="E537" t="b">
        <v>0</v>
      </c>
      <c r="F537" s="2" t="n"/>
      <c r="I537" s="2" t="n">
        <v>464</v>
      </c>
      <c r="K537" s="3" t="n">
        <v>464</v>
      </c>
      <c r="L537" s="3" t="n"/>
      <c r="M537" s="4" t="n">
        <v>0.0481</v>
      </c>
      <c r="N537" t="inlineStr">
        <is>
          <t>adjusted xGOT</t>
        </is>
      </c>
      <c r="O537" s="4" t="n">
        <v>0.994</v>
      </c>
      <c r="P537" s="4" t="n">
        <v>0.2</v>
      </c>
      <c r="Q537" s="4" t="n">
        <v>0.058</v>
      </c>
      <c r="R537" s="4" t="n">
        <v>0.143</v>
      </c>
      <c r="S537" s="4" t="n">
        <v>0</v>
      </c>
      <c r="T537" s="4" t="n">
        <v>3.103</v>
      </c>
      <c r="U537" s="4">
        <f>IF(T537="",IFERROR(VLOOKUP($C537,Assumptions!$A$4:$F$7,6,FALSE),0),T537)</f>
        <v/>
      </c>
      <c r="V537" s="4">
        <f>N(M537)*IFERROR(VLOOKUP($C537,Assumptions!$A$4:$F$7,2,FALSE),0)</f>
        <v/>
      </c>
      <c r="W537" s="4">
        <f>N(Q537)*IFERROR(VLOOKUP($C537,Assumptions!$A$4:$F$7,3,FALSE),0)*Assumptions!$B$11</f>
        <v/>
      </c>
      <c r="X537" s="4">
        <f>N(L537)*IFERROR(VLOOKUP($C537,Assumptions!$A$4:$F$7,4,FALSE),0)</f>
        <v/>
      </c>
      <c r="Y537" s="4">
        <f>N(R537)*IFERROR(VLOOKUP($C537,Assumptions!$A$4:$F$7,5,FALSE),0)</f>
        <v/>
      </c>
      <c r="Z537" s="4">
        <f>N(S537)</f>
        <v/>
      </c>
      <c r="AA537" s="4">
        <f>SUM(U537:Z537)</f>
        <v/>
      </c>
      <c r="AB537" s="4">
        <f>N(AA537)*N(K537)/90</f>
        <v/>
      </c>
      <c r="AC537" s="4">
        <f>IFERROR(AB537-VLOOKUP($C537,Assumptions!$A$29:$C$32,3,FALSE),"")</f>
        <v/>
      </c>
      <c r="AD537" s="4">
        <f>IFERROR(AC537/F537,"")</f>
        <v/>
      </c>
      <c r="AE537">
        <f>IF(AND($E537=TRUE,$C537="GKP"),AB537,"")</f>
        <v/>
      </c>
      <c r="AF537">
        <f>IF(AND($E537=TRUE,$C537="DEF"),AB537,"")</f>
        <v/>
      </c>
      <c r="AG537">
        <f>IF(AND($E537=TRUE,$C537="MID"),AB537,"")</f>
        <v/>
      </c>
      <c r="AH537">
        <f>IF(AND($E537=TRUE,$C537="FWD"),AB537,"")</f>
        <v/>
      </c>
    </row>
    <row r="538">
      <c r="A538" t="inlineStr">
        <is>
          <t>Jadon Sancho</t>
        </is>
      </c>
      <c r="D538" t="inlineStr">
        <is>
          <t>MID</t>
        </is>
      </c>
      <c r="E538" t="b">
        <v>0</v>
      </c>
      <c r="F538" s="2" t="n"/>
      <c r="I538" s="2" t="n">
        <v>873</v>
      </c>
      <c r="K538" s="3" t="n">
        <v>873</v>
      </c>
      <c r="L538" s="3" t="n"/>
      <c r="M538" s="4" t="n">
        <v>0.0677</v>
      </c>
      <c r="N538" t="inlineStr">
        <is>
          <t>adjusted xGOT</t>
        </is>
      </c>
      <c r="O538" s="4" t="n">
        <v>1.077</v>
      </c>
      <c r="P538" s="4" t="n">
        <v>6.8</v>
      </c>
      <c r="Q538" s="4" t="n">
        <v>0.2115</v>
      </c>
      <c r="R538" s="4" t="n">
        <v>0</v>
      </c>
      <c r="S538" s="4" t="n">
        <v>0</v>
      </c>
      <c r="T538" s="4" t="n">
        <v>2.99</v>
      </c>
      <c r="U538" s="4">
        <f>IF(T538="",IFERROR(VLOOKUP($C538,Assumptions!$A$4:$F$7,6,FALSE),0),T538)</f>
        <v/>
      </c>
      <c r="V538" s="4">
        <f>N(M538)*IFERROR(VLOOKUP($C538,Assumptions!$A$4:$F$7,2,FALSE),0)</f>
        <v/>
      </c>
      <c r="W538" s="4">
        <f>N(Q538)*IFERROR(VLOOKUP($C538,Assumptions!$A$4:$F$7,3,FALSE),0)*Assumptions!$B$11</f>
        <v/>
      </c>
      <c r="X538" s="4">
        <f>N(L538)*IFERROR(VLOOKUP($C538,Assumptions!$A$4:$F$7,4,FALSE),0)</f>
        <v/>
      </c>
      <c r="Y538" s="4">
        <f>N(R538)*IFERROR(VLOOKUP($C538,Assumptions!$A$4:$F$7,5,FALSE),0)</f>
        <v/>
      </c>
      <c r="Z538" s="4">
        <f>N(S538)</f>
        <v/>
      </c>
      <c r="AA538" s="4">
        <f>SUM(U538:Z538)</f>
        <v/>
      </c>
      <c r="AB538" s="4">
        <f>N(AA538)*N(K538)/90</f>
        <v/>
      </c>
      <c r="AC538" s="4">
        <f>IFERROR(AB538-VLOOKUP($C538,Assumptions!$A$29:$C$32,3,FALSE),"")</f>
        <v/>
      </c>
      <c r="AD538" s="4">
        <f>IFERROR(AC538/F538,"")</f>
        <v/>
      </c>
      <c r="AE538">
        <f>IF(AND($E538=TRUE,$C538="GKP"),AB538,"")</f>
        <v/>
      </c>
      <c r="AF538">
        <f>IF(AND($E538=TRUE,$C538="DEF"),AB538,"")</f>
        <v/>
      </c>
      <c r="AG538">
        <f>IF(AND($E538=TRUE,$C538="MID"),AB538,"")</f>
        <v/>
      </c>
      <c r="AH538">
        <f>IF(AND($E538=TRUE,$C538="FWD"),AB538,"")</f>
        <v/>
      </c>
    </row>
    <row r="539">
      <c r="A539" t="inlineStr">
        <is>
          <t>Nayef Aguerd</t>
        </is>
      </c>
      <c r="D539" t="inlineStr">
        <is>
          <t>DEF</t>
        </is>
      </c>
      <c r="E539" t="b">
        <v>0</v>
      </c>
      <c r="F539" s="2" t="n"/>
      <c r="I539" s="2" t="n">
        <v>180</v>
      </c>
      <c r="K539" s="3" t="n">
        <v>180</v>
      </c>
      <c r="L539" s="3" t="n"/>
      <c r="M539" s="4" t="n">
        <v>0.0455</v>
      </c>
      <c r="N539" t="inlineStr">
        <is>
          <t>adjusted xGOT</t>
        </is>
      </c>
      <c r="O539" s="4" t="n">
        <v>0.906</v>
      </c>
      <c r="P539" s="4" t="n">
        <v>3.7</v>
      </c>
      <c r="Q539" s="4" t="n">
        <v>0</v>
      </c>
      <c r="R539" s="4" t="n">
        <v>0.5</v>
      </c>
      <c r="S539" s="4" t="n">
        <v>0</v>
      </c>
      <c r="T539" s="4" t="n">
        <v>2</v>
      </c>
      <c r="U539" s="4">
        <f>IF(T539="",IFERROR(VLOOKUP($C539,Assumptions!$A$4:$F$7,6,FALSE),0),T539)</f>
        <v/>
      </c>
      <c r="V539" s="4">
        <f>N(M539)*IFERROR(VLOOKUP($C539,Assumptions!$A$4:$F$7,2,FALSE),0)</f>
        <v/>
      </c>
      <c r="W539" s="4">
        <f>N(Q539)*IFERROR(VLOOKUP($C539,Assumptions!$A$4:$F$7,3,FALSE),0)*Assumptions!$B$11</f>
        <v/>
      </c>
      <c r="X539" s="4">
        <f>N(L539)*IFERROR(VLOOKUP($C539,Assumptions!$A$4:$F$7,4,FALSE),0)</f>
        <v/>
      </c>
      <c r="Y539" s="4">
        <f>N(R539)*IFERROR(VLOOKUP($C539,Assumptions!$A$4:$F$7,5,FALSE),0)</f>
        <v/>
      </c>
      <c r="Z539" s="4">
        <f>N(S539)</f>
        <v/>
      </c>
      <c r="AA539" s="4">
        <f>SUM(U539:Z539)</f>
        <v/>
      </c>
      <c r="AB539" s="4">
        <f>N(AA539)*N(K539)/90</f>
        <v/>
      </c>
      <c r="AC539" s="4">
        <f>IFERROR(AB539-VLOOKUP($C539,Assumptions!$A$29:$C$32,3,FALSE),"")</f>
        <v/>
      </c>
      <c r="AD539" s="4">
        <f>IFERROR(AC539/F539,"")</f>
        <v/>
      </c>
      <c r="AE539">
        <f>IF(AND($E539=TRUE,$C539="GKP"),AB539,"")</f>
        <v/>
      </c>
      <c r="AF539">
        <f>IF(AND($E539=TRUE,$C539="DEF"),AB539,"")</f>
        <v/>
      </c>
      <c r="AG539">
        <f>IF(AND($E539=TRUE,$C539="MID"),AB539,"")</f>
        <v/>
      </c>
      <c r="AH539">
        <f>IF(AND($E539=TRUE,$C539="FWD"),AB539,"")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b">
        <v>1</v>
      </c>
      <c r="F540" s="2" t="n">
        <v>5</v>
      </c>
      <c r="G540" t="inlineStr">
        <is>
          <t>a</t>
        </is>
      </c>
      <c r="I540" s="2" t="n"/>
      <c r="K540" s="3" t="n"/>
      <c r="L540" s="3" t="n"/>
      <c r="M540" s="4" t="n"/>
      <c r="N540" t="inlineStr"/>
      <c r="O540" s="4" t="n"/>
      <c r="P540" s="4" t="n"/>
      <c r="Q540" s="4" t="n"/>
      <c r="R540" s="4" t="n"/>
      <c r="S540" s="4" t="n"/>
      <c r="T540" s="4" t="n"/>
      <c r="U540" s="4">
        <f>IF(T540="",IFERROR(VLOOKUP($C540,Assumptions!$A$4:$F$7,6,FALSE),0),T540)</f>
        <v/>
      </c>
      <c r="V540" s="4">
        <f>N(M540)*IFERROR(VLOOKUP($C540,Assumptions!$A$4:$F$7,2,FALSE),0)</f>
        <v/>
      </c>
      <c r="W540" s="4">
        <f>N(Q540)*IFERROR(VLOOKUP($C540,Assumptions!$A$4:$F$7,3,FALSE),0)*Assumptions!$B$11</f>
        <v/>
      </c>
      <c r="X540" s="4">
        <f>N(L540)*IFERROR(VLOOKUP($C540,Assumptions!$A$4:$F$7,4,FALSE),0)</f>
        <v/>
      </c>
      <c r="Y540" s="4">
        <f>N(R540)*IFERROR(VLOOKUP($C540,Assumptions!$A$4:$F$7,5,FALSE),0)</f>
        <v/>
      </c>
      <c r="Z540" s="4">
        <f>N(S540)</f>
        <v/>
      </c>
      <c r="AA540" s="4">
        <f>SUM(U540:Z540)</f>
        <v/>
      </c>
      <c r="AB540" s="4">
        <f>N(AA540)*N(K540)/90</f>
        <v/>
      </c>
      <c r="AC540" s="4">
        <f>IFERROR(AB540-VLOOKUP($C540,Assumptions!$A$29:$C$32,3,FALSE),"")</f>
        <v/>
      </c>
      <c r="AD540" s="4">
        <f>IFERROR(AC540/F540,"")</f>
        <v/>
      </c>
      <c r="AE540">
        <f>IF(AND($E540=TRUE,$C540="GKP"),AB540,"")</f>
        <v/>
      </c>
      <c r="AF540">
        <f>IF(AND($E540=TRUE,$C540="DEF"),AB540,"")</f>
        <v/>
      </c>
      <c r="AG540">
        <f>IF(AND($E540=TRUE,$C540="MID"),AB540,"")</f>
        <v/>
      </c>
      <c r="AH540">
        <f>IF(AND($E540=TRUE,$C540="FWD"),AB540,"")</f>
        <v/>
      </c>
    </row>
    <row r="541">
      <c r="A541" t="inlineStr">
        <is>
          <t>Maximilian Kilman</t>
        </is>
      </c>
      <c r="D541" t="inlineStr">
        <is>
          <t>DEF</t>
        </is>
      </c>
      <c r="E541" t="b">
        <v>0</v>
      </c>
      <c r="F541" s="2" t="n"/>
      <c r="I541" s="2" t="n">
        <v>1559</v>
      </c>
      <c r="K541" s="3" t="n">
        <v>1559</v>
      </c>
      <c r="L541" s="3" t="n"/>
      <c r="M541" s="4" t="n">
        <v>0.0277</v>
      </c>
      <c r="N541" t="inlineStr">
        <is>
          <t>adjusted xGOT</t>
        </is>
      </c>
      <c r="O541" s="4" t="n">
        <v>0.856</v>
      </c>
      <c r="P541" s="4" t="n">
        <v>5.2</v>
      </c>
      <c r="Q541" s="4" t="n">
        <v>0.012</v>
      </c>
      <c r="R541" s="4" t="n">
        <v>0.353</v>
      </c>
      <c r="S541" s="4" t="n">
        <v>0</v>
      </c>
      <c r="T541" s="4" t="n">
        <v>2.194</v>
      </c>
      <c r="U541" s="4">
        <f>IF(T541="",IFERROR(VLOOKUP($C541,Assumptions!$A$4:$F$7,6,FALSE),0),T541)</f>
        <v/>
      </c>
      <c r="V541" s="4">
        <f>N(M541)*IFERROR(VLOOKUP($C541,Assumptions!$A$4:$F$7,2,FALSE),0)</f>
        <v/>
      </c>
      <c r="W541" s="4">
        <f>N(Q541)*IFERROR(VLOOKUP($C541,Assumptions!$A$4:$F$7,3,FALSE),0)*Assumptions!$B$11</f>
        <v/>
      </c>
      <c r="X541" s="4">
        <f>N(L541)*IFERROR(VLOOKUP($C541,Assumptions!$A$4:$F$7,4,FALSE),0)</f>
        <v/>
      </c>
      <c r="Y541" s="4">
        <f>N(R541)*IFERROR(VLOOKUP($C541,Assumptions!$A$4:$F$7,5,FALSE),0)</f>
        <v/>
      </c>
      <c r="Z541" s="4">
        <f>N(S541)</f>
        <v/>
      </c>
      <c r="AA541" s="4">
        <f>SUM(U541:Z541)</f>
        <v/>
      </c>
      <c r="AB541" s="4">
        <f>N(AA541)*N(K541)/90</f>
        <v/>
      </c>
      <c r="AC541" s="4">
        <f>IFERROR(AB541-VLOOKUP($C541,Assumptions!$A$29:$C$32,3,FALSE),"")</f>
        <v/>
      </c>
      <c r="AD541" s="4">
        <f>IFERROR(AC541/F541,"")</f>
        <v/>
      </c>
      <c r="AE541">
        <f>IF(AND($E541=TRUE,$C541="GKP"),AB541,"")</f>
        <v/>
      </c>
      <c r="AF541">
        <f>IF(AND($E541=TRUE,$C541="DEF"),AB541,"")</f>
        <v/>
      </c>
      <c r="AG541">
        <f>IF(AND($E541=TRUE,$C541="MID"),AB541,"")</f>
        <v/>
      </c>
      <c r="AH541">
        <f>IF(AND($E541=TRUE,$C541="FWD"),AB541,"")</f>
        <v/>
      </c>
    </row>
    <row r="542">
      <c r="A542" t="inlineStr">
        <is>
          <t>Aaron Wan-Bissaka</t>
        </is>
      </c>
      <c r="D542" t="inlineStr">
        <is>
          <t>DEF</t>
        </is>
      </c>
      <c r="E542" t="b">
        <v>0</v>
      </c>
      <c r="F542" s="2" t="n"/>
      <c r="I542" s="2" t="n">
        <v>2084</v>
      </c>
      <c r="K542" s="3" t="n">
        <v>2084</v>
      </c>
      <c r="L542" s="3" t="n"/>
      <c r="M542" s="4" t="n">
        <v>0</v>
      </c>
      <c r="N542" t="inlineStr">
        <is>
          <t>adjusted xGOT</t>
        </is>
      </c>
      <c r="O542" s="4" t="n">
        <v>0.878</v>
      </c>
      <c r="P542" s="4" t="n">
        <v>2.5</v>
      </c>
      <c r="Q542" s="4" t="n">
        <v>0.0617</v>
      </c>
      <c r="R542" s="4" t="n">
        <v>0.348</v>
      </c>
      <c r="S542" s="4" t="n">
        <v>0</v>
      </c>
      <c r="T542" s="4" t="n">
        <v>2.073</v>
      </c>
      <c r="U542" s="4">
        <f>IF(T542="",IFERROR(VLOOKUP($C542,Assumptions!$A$4:$F$7,6,FALSE),0),T542)</f>
        <v/>
      </c>
      <c r="V542" s="4">
        <f>N(M542)*IFERROR(VLOOKUP($C542,Assumptions!$A$4:$F$7,2,FALSE),0)</f>
        <v/>
      </c>
      <c r="W542" s="4">
        <f>N(Q542)*IFERROR(VLOOKUP($C542,Assumptions!$A$4:$F$7,3,FALSE),0)*Assumptions!$B$11</f>
        <v/>
      </c>
      <c r="X542" s="4">
        <f>N(L542)*IFERROR(VLOOKUP($C542,Assumptions!$A$4:$F$7,4,FALSE),0)</f>
        <v/>
      </c>
      <c r="Y542" s="4">
        <f>N(R542)*IFERROR(VLOOKUP($C542,Assumptions!$A$4:$F$7,5,FALSE),0)</f>
        <v/>
      </c>
      <c r="Z542" s="4">
        <f>N(S542)</f>
        <v/>
      </c>
      <c r="AA542" s="4">
        <f>SUM(U542:Z542)</f>
        <v/>
      </c>
      <c r="AB542" s="4">
        <f>N(AA542)*N(K542)/90</f>
        <v/>
      </c>
      <c r="AC542" s="4">
        <f>IFERROR(AB542-VLOOKUP($C542,Assumptions!$A$29:$C$32,3,FALSE),"")</f>
        <v/>
      </c>
      <c r="AD542" s="4">
        <f>IFERROR(AC542/F542,"")</f>
        <v/>
      </c>
      <c r="AE542">
        <f>IF(AND($E542=TRUE,$C542="GKP"),AB542,"")</f>
        <v/>
      </c>
      <c r="AF542">
        <f>IF(AND($E542=TRUE,$C542="DEF"),AB542,"")</f>
        <v/>
      </c>
      <c r="AG542">
        <f>IF(AND($E542=TRUE,$C542="MID"),AB542,"")</f>
        <v/>
      </c>
      <c r="AH542">
        <f>IF(AND($E542=TRUE,$C542="FWD"),AB542,"")</f>
        <v/>
      </c>
    </row>
    <row r="543">
      <c r="A543" t="inlineStr">
        <is>
          <t>Tomás Soucek</t>
        </is>
      </c>
      <c r="D543" t="inlineStr">
        <is>
          <t>MID</t>
        </is>
      </c>
      <c r="E543" t="b">
        <v>0</v>
      </c>
      <c r="F543" s="2" t="n"/>
      <c r="I543" s="2" t="n">
        <v>2198</v>
      </c>
      <c r="K543" s="3" t="n">
        <v>2198</v>
      </c>
      <c r="L543" s="3" t="n"/>
      <c r="M543" s="4" t="n">
        <v>0.2578</v>
      </c>
      <c r="N543" t="inlineStr">
        <is>
          <t>adjusted xGOT</t>
        </is>
      </c>
      <c r="O543" s="4" t="n">
        <v>1.099</v>
      </c>
      <c r="P543" s="4" t="n">
        <v>23</v>
      </c>
      <c r="Q543" s="4" t="n">
        <v>0.0336</v>
      </c>
      <c r="R543" s="4" t="n">
        <v>0.292</v>
      </c>
      <c r="S543" s="4" t="n">
        <v>0.3685</v>
      </c>
      <c r="T543" s="4" t="n">
        <v>2.375</v>
      </c>
      <c r="U543" s="4">
        <f>IF(T543="",IFERROR(VLOOKUP($C543,Assumptions!$A$4:$F$7,6,FALSE),0),T543)</f>
        <v/>
      </c>
      <c r="V543" s="4">
        <f>N(M543)*IFERROR(VLOOKUP($C543,Assumptions!$A$4:$F$7,2,FALSE),0)</f>
        <v/>
      </c>
      <c r="W543" s="4">
        <f>N(Q543)*IFERROR(VLOOKUP($C543,Assumptions!$A$4:$F$7,3,FALSE),0)*Assumptions!$B$11</f>
        <v/>
      </c>
      <c r="X543" s="4">
        <f>N(L543)*IFERROR(VLOOKUP($C543,Assumptions!$A$4:$F$7,4,FALSE),0)</f>
        <v/>
      </c>
      <c r="Y543" s="4">
        <f>N(R543)*IFERROR(VLOOKUP($C543,Assumptions!$A$4:$F$7,5,FALSE),0)</f>
        <v/>
      </c>
      <c r="Z543" s="4">
        <f>N(S543)</f>
        <v/>
      </c>
      <c r="AA543" s="4">
        <f>SUM(U543:Z543)</f>
        <v/>
      </c>
      <c r="AB543" s="4">
        <f>N(AA543)*N(K543)/90</f>
        <v/>
      </c>
      <c r="AC543" s="4">
        <f>IFERROR(AB543-VLOOKUP($C543,Assumptions!$A$29:$C$32,3,FALSE),"")</f>
        <v/>
      </c>
      <c r="AD543" s="4">
        <f>IFERROR(AC543/F543,"")</f>
        <v/>
      </c>
      <c r="AE543">
        <f>IF(AND($E543=TRUE,$C543="GKP"),AB543,"")</f>
        <v/>
      </c>
      <c r="AF543">
        <f>IF(AND($E543=TRUE,$C543="DEF"),AB543,"")</f>
        <v/>
      </c>
      <c r="AG543">
        <f>IF(AND($E543=TRUE,$C543="MID"),AB543,"")</f>
        <v/>
      </c>
      <c r="AH543">
        <f>IF(AND($E543=TRUE,$C543="FWD"),AB543,"")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b">
        <v>1</v>
      </c>
      <c r="F544" s="2" t="n">
        <v>4</v>
      </c>
      <c r="G544" t="inlineStr">
        <is>
          <t>a</t>
        </is>
      </c>
      <c r="I544" s="2" t="n"/>
      <c r="K544" s="3" t="n"/>
      <c r="L544" s="3" t="n"/>
      <c r="M544" s="4" t="n"/>
      <c r="N544" t="inlineStr"/>
      <c r="O544" s="4" t="n"/>
      <c r="P544" s="4" t="n"/>
      <c r="Q544" s="4" t="n"/>
      <c r="R544" s="4" t="n"/>
      <c r="S544" s="4" t="n"/>
      <c r="T544" s="4" t="n"/>
      <c r="U544" s="4">
        <f>IF(T544="",IFERROR(VLOOKUP($C544,Assumptions!$A$4:$F$7,6,FALSE),0),T544)</f>
        <v/>
      </c>
      <c r="V544" s="4">
        <f>N(M544)*IFERROR(VLOOKUP($C544,Assumptions!$A$4:$F$7,2,FALSE),0)</f>
        <v/>
      </c>
      <c r="W544" s="4">
        <f>N(Q544)*IFERROR(VLOOKUP($C544,Assumptions!$A$4:$F$7,3,FALSE),0)*Assumptions!$B$11</f>
        <v/>
      </c>
      <c r="X544" s="4">
        <f>N(L544)*IFERROR(VLOOKUP($C544,Assumptions!$A$4:$F$7,4,FALSE),0)</f>
        <v/>
      </c>
      <c r="Y544" s="4">
        <f>N(R544)*IFERROR(VLOOKUP($C544,Assumptions!$A$4:$F$7,5,FALSE),0)</f>
        <v/>
      </c>
      <c r="Z544" s="4">
        <f>N(S544)</f>
        <v/>
      </c>
      <c r="AA544" s="4">
        <f>SUM(U544:Z544)</f>
        <v/>
      </c>
      <c r="AB544" s="4">
        <f>N(AA544)*N(K544)/90</f>
        <v/>
      </c>
      <c r="AC544" s="4">
        <f>IFERROR(AB544-VLOOKUP($C544,Assumptions!$A$29:$C$32,3,FALSE),"")</f>
        <v/>
      </c>
      <c r="AD544" s="4">
        <f>IFERROR(AC544/F544,"")</f>
        <v/>
      </c>
      <c r="AE544">
        <f>IF(AND($E544=TRUE,$C544="GKP"),AB544,"")</f>
        <v/>
      </c>
      <c r="AF544">
        <f>IF(AND($E544=TRUE,$C544="DEF"),AB544,"")</f>
        <v/>
      </c>
      <c r="AG544">
        <f>IF(AND($E544=TRUE,$C544="MID"),AB544,"")</f>
        <v/>
      </c>
      <c r="AH544">
        <f>IF(AND($E544=TRUE,$C544="FWD"),AB544,"")</f>
        <v/>
      </c>
    </row>
    <row r="545">
      <c r="A545" t="inlineStr">
        <is>
          <t>Samuel Chukwueze</t>
        </is>
      </c>
      <c r="D545" t="inlineStr">
        <is>
          <t>MID</t>
        </is>
      </c>
      <c r="E545" t="b">
        <v>0</v>
      </c>
      <c r="F545" s="2" t="n"/>
      <c r="I545" s="2" t="n">
        <v>1075</v>
      </c>
      <c r="K545" s="3" t="n">
        <v>1075</v>
      </c>
      <c r="L545" s="3" t="n"/>
      <c r="M545" s="4" t="n">
        <v>0.1932</v>
      </c>
      <c r="N545" t="inlineStr">
        <is>
          <t>adjusted xGOT</t>
        </is>
      </c>
      <c r="O545" s="4" t="n">
        <v>1.099</v>
      </c>
      <c r="P545" s="4" t="n">
        <v>2.1</v>
      </c>
      <c r="Q545" s="4" t="n">
        <v>0.2374</v>
      </c>
      <c r="R545" s="4" t="n">
        <v>0</v>
      </c>
      <c r="S545" s="4" t="n">
        <v>0.1674</v>
      </c>
      <c r="T545" s="4" t="n">
        <v>2.679</v>
      </c>
      <c r="U545" s="4">
        <f>IF(T545="",IFERROR(VLOOKUP($C545,Assumptions!$A$4:$F$7,6,FALSE),0),T545)</f>
        <v/>
      </c>
      <c r="V545" s="4">
        <f>N(M545)*IFERROR(VLOOKUP($C545,Assumptions!$A$4:$F$7,2,FALSE),0)</f>
        <v/>
      </c>
      <c r="W545" s="4">
        <f>N(Q545)*IFERROR(VLOOKUP($C545,Assumptions!$A$4:$F$7,3,FALSE),0)*Assumptions!$B$11</f>
        <v/>
      </c>
      <c r="X545" s="4">
        <f>N(L545)*IFERROR(VLOOKUP($C545,Assumptions!$A$4:$F$7,4,FALSE),0)</f>
        <v/>
      </c>
      <c r="Y545" s="4">
        <f>N(R545)*IFERROR(VLOOKUP($C545,Assumptions!$A$4:$F$7,5,FALSE),0)</f>
        <v/>
      </c>
      <c r="Z545" s="4">
        <f>N(S545)</f>
        <v/>
      </c>
      <c r="AA545" s="4">
        <f>SUM(U545:Z545)</f>
        <v/>
      </c>
      <c r="AB545" s="4">
        <f>N(AA545)*N(K545)/90</f>
        <v/>
      </c>
      <c r="AC545" s="4">
        <f>IFERROR(AB545-VLOOKUP($C545,Assumptions!$A$29:$C$32,3,FALSE),"")</f>
        <v/>
      </c>
      <c r="AD545" s="4">
        <f>IFERROR(AC545/F545,"")</f>
        <v/>
      </c>
      <c r="AE545">
        <f>IF(AND($E545=TRUE,$C545="GKP"),AB545,"")</f>
        <v/>
      </c>
      <c r="AF545">
        <f>IF(AND($E545=TRUE,$C545="DEF"),AB545,"")</f>
        <v/>
      </c>
      <c r="AG545">
        <f>IF(AND($E545=TRUE,$C545="MID"),AB545,"")</f>
        <v/>
      </c>
      <c r="AH545">
        <f>IF(AND($E545=TRUE,$C545="FWD"),AB545,"")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b">
        <v>1</v>
      </c>
      <c r="F546" s="2" t="n">
        <v>5</v>
      </c>
      <c r="G546" t="inlineStr">
        <is>
          <t>a</t>
        </is>
      </c>
      <c r="I546" s="2" t="n"/>
      <c r="K546" s="3" t="n"/>
      <c r="L546" s="3" t="n"/>
      <c r="M546" s="4" t="n"/>
      <c r="N546" t="inlineStr"/>
      <c r="O546" s="4" t="n"/>
      <c r="P546" s="4" t="n"/>
      <c r="Q546" s="4" t="n"/>
      <c r="R546" s="4" t="n"/>
      <c r="S546" s="4" t="n"/>
      <c r="T546" s="4" t="n"/>
      <c r="U546" s="4">
        <f>IF(T546="",IFERROR(VLOOKUP($C546,Assumptions!$A$4:$F$7,6,FALSE),0),T546)</f>
        <v/>
      </c>
      <c r="V546" s="4">
        <f>N(M546)*IFERROR(VLOOKUP($C546,Assumptions!$A$4:$F$7,2,FALSE),0)</f>
        <v/>
      </c>
      <c r="W546" s="4">
        <f>N(Q546)*IFERROR(VLOOKUP($C546,Assumptions!$A$4:$F$7,3,FALSE),0)*Assumptions!$B$11</f>
        <v/>
      </c>
      <c r="X546" s="4">
        <f>N(L546)*IFERROR(VLOOKUP($C546,Assumptions!$A$4:$F$7,4,FALSE),0)</f>
        <v/>
      </c>
      <c r="Y546" s="4">
        <f>N(R546)*IFERROR(VLOOKUP($C546,Assumptions!$A$4:$F$7,5,FALSE),0)</f>
        <v/>
      </c>
      <c r="Z546" s="4">
        <f>N(S546)</f>
        <v/>
      </c>
      <c r="AA546" s="4">
        <f>SUM(U546:Z546)</f>
        <v/>
      </c>
      <c r="AB546" s="4">
        <f>N(AA546)*N(K546)/90</f>
        <v/>
      </c>
      <c r="AC546" s="4">
        <f>IFERROR(AB546-VLOOKUP($C546,Assumptions!$A$29:$C$32,3,FALSE),"")</f>
        <v/>
      </c>
      <c r="AD546" s="4">
        <f>IFERROR(AC546/F546,"")</f>
        <v/>
      </c>
      <c r="AE546">
        <f>IF(AND($E546=TRUE,$C546="GKP"),AB546,"")</f>
        <v/>
      </c>
      <c r="AF546">
        <f>IF(AND($E546=TRUE,$C546="DEF"),AB546,"")</f>
        <v/>
      </c>
      <c r="AG546">
        <f>IF(AND($E546=TRUE,$C546="MID"),AB546,"")</f>
        <v/>
      </c>
      <c r="AH546">
        <f>IF(AND($E546=TRUE,$C546="FWD"),AB546,"")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b">
        <v>1</v>
      </c>
      <c r="F547" s="2" t="n">
        <v>4</v>
      </c>
      <c r="G547" t="inlineStr">
        <is>
          <t>a</t>
        </is>
      </c>
      <c r="I547" s="2" t="n"/>
      <c r="K547" s="3" t="n"/>
      <c r="L547" s="3" t="n"/>
      <c r="M547" s="4" t="n"/>
      <c r="N547" t="inlineStr"/>
      <c r="O547" s="4" t="n"/>
      <c r="P547" s="4" t="n"/>
      <c r="Q547" s="4" t="n"/>
      <c r="R547" s="4" t="n"/>
      <c r="S547" s="4" t="n"/>
      <c r="T547" s="4" t="n"/>
      <c r="U547" s="4">
        <f>IF(T547="",IFERROR(VLOOKUP($C547,Assumptions!$A$4:$F$7,6,FALSE),0),T547)</f>
        <v/>
      </c>
      <c r="V547" s="4">
        <f>N(M547)*IFERROR(VLOOKUP($C547,Assumptions!$A$4:$F$7,2,FALSE),0)</f>
        <v/>
      </c>
      <c r="W547" s="4">
        <f>N(Q547)*IFERROR(VLOOKUP($C547,Assumptions!$A$4:$F$7,3,FALSE),0)*Assumptions!$B$11</f>
        <v/>
      </c>
      <c r="X547" s="4">
        <f>N(L547)*IFERROR(VLOOKUP($C547,Assumptions!$A$4:$F$7,4,FALSE),0)</f>
        <v/>
      </c>
      <c r="Y547" s="4">
        <f>N(R547)*IFERROR(VLOOKUP($C547,Assumptions!$A$4:$F$7,5,FALSE),0)</f>
        <v/>
      </c>
      <c r="Z547" s="4">
        <f>N(S547)</f>
        <v/>
      </c>
      <c r="AA547" s="4">
        <f>SUM(U547:Z547)</f>
        <v/>
      </c>
      <c r="AB547" s="4">
        <f>N(AA547)*N(K547)/90</f>
        <v/>
      </c>
      <c r="AC547" s="4">
        <f>IFERROR(AB547-VLOOKUP($C547,Assumptions!$A$29:$C$32,3,FALSE),"")</f>
        <v/>
      </c>
      <c r="AD547" s="4">
        <f>IFERROR(AC547/F547,"")</f>
        <v/>
      </c>
      <c r="AE547">
        <f>IF(AND($E547=TRUE,$C547="GKP"),AB547,"")</f>
        <v/>
      </c>
      <c r="AF547">
        <f>IF(AND($E547=TRUE,$C547="DEF"),AB547,"")</f>
        <v/>
      </c>
      <c r="AG547">
        <f>IF(AND($E547=TRUE,$C547="MID"),AB547,"")</f>
        <v/>
      </c>
      <c r="AH547">
        <f>IF(AND($E547=TRUE,$C547="FWD"),AB547,"")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b">
        <v>1</v>
      </c>
      <c r="F548" s="2" t="n">
        <v>4</v>
      </c>
      <c r="G548" t="inlineStr">
        <is>
          <t>a</t>
        </is>
      </c>
      <c r="I548" s="2" t="n"/>
      <c r="K548" s="3" t="n"/>
      <c r="L548" s="3" t="n"/>
      <c r="M548" s="4" t="n"/>
      <c r="N548" t="inlineStr"/>
      <c r="O548" s="4" t="n"/>
      <c r="P548" s="4" t="n"/>
      <c r="Q548" s="4" t="n"/>
      <c r="R548" s="4" t="n"/>
      <c r="S548" s="4" t="n"/>
      <c r="T548" s="4" t="n"/>
      <c r="U548" s="4">
        <f>IF(T548="",IFERROR(VLOOKUP($C548,Assumptions!$A$4:$F$7,6,FALSE),0),T548)</f>
        <v/>
      </c>
      <c r="V548" s="4">
        <f>N(M548)*IFERROR(VLOOKUP($C548,Assumptions!$A$4:$F$7,2,FALSE),0)</f>
        <v/>
      </c>
      <c r="W548" s="4">
        <f>N(Q548)*IFERROR(VLOOKUP($C548,Assumptions!$A$4:$F$7,3,FALSE),0)*Assumptions!$B$11</f>
        <v/>
      </c>
      <c r="X548" s="4">
        <f>N(L548)*IFERROR(VLOOKUP($C548,Assumptions!$A$4:$F$7,4,FALSE),0)</f>
        <v/>
      </c>
      <c r="Y548" s="4">
        <f>N(R548)*IFERROR(VLOOKUP($C548,Assumptions!$A$4:$F$7,5,FALSE),0)</f>
        <v/>
      </c>
      <c r="Z548" s="4">
        <f>N(S548)</f>
        <v/>
      </c>
      <c r="AA548" s="4">
        <f>SUM(U548:Z548)</f>
        <v/>
      </c>
      <c r="AB548" s="4">
        <f>N(AA548)*N(K548)/90</f>
        <v/>
      </c>
      <c r="AC548" s="4">
        <f>IFERROR(AB548-VLOOKUP($C548,Assumptions!$A$29:$C$32,3,FALSE),"")</f>
        <v/>
      </c>
      <c r="AD548" s="4">
        <f>IFERROR(AC548/F548,"")</f>
        <v/>
      </c>
      <c r="AE548">
        <f>IF(AND($E548=TRUE,$C548="GKP"),AB548,"")</f>
        <v/>
      </c>
      <c r="AF548">
        <f>IF(AND($E548=TRUE,$C548="DEF"),AB548,"")</f>
        <v/>
      </c>
      <c r="AG548">
        <f>IF(AND($E548=TRUE,$C548="MID"),AB548,"")</f>
        <v/>
      </c>
      <c r="AH548">
        <f>IF(AND($E548=TRUE,$C548="FWD"),AB548,"")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b">
        <v>1</v>
      </c>
      <c r="F549" s="2" t="n">
        <v>5</v>
      </c>
      <c r="G549" t="inlineStr">
        <is>
          <t>a</t>
        </is>
      </c>
      <c r="I549" s="2" t="n"/>
      <c r="K549" s="3" t="n"/>
      <c r="L549" s="3" t="n"/>
      <c r="M549" s="4" t="n"/>
      <c r="N549" t="inlineStr"/>
      <c r="O549" s="4" t="n"/>
      <c r="P549" s="4" t="n"/>
      <c r="Q549" s="4" t="n"/>
      <c r="R549" s="4" t="n"/>
      <c r="S549" s="4" t="n"/>
      <c r="T549" s="4" t="n"/>
      <c r="U549" s="4">
        <f>IF(T549="",IFERROR(VLOOKUP($C549,Assumptions!$A$4:$F$7,6,FALSE),0),T549)</f>
        <v/>
      </c>
      <c r="V549" s="4">
        <f>N(M549)*IFERROR(VLOOKUP($C549,Assumptions!$A$4:$F$7,2,FALSE),0)</f>
        <v/>
      </c>
      <c r="W549" s="4">
        <f>N(Q549)*IFERROR(VLOOKUP($C549,Assumptions!$A$4:$F$7,3,FALSE),0)*Assumptions!$B$11</f>
        <v/>
      </c>
      <c r="X549" s="4">
        <f>N(L549)*IFERROR(VLOOKUP($C549,Assumptions!$A$4:$F$7,4,FALSE),0)</f>
        <v/>
      </c>
      <c r="Y549" s="4">
        <f>N(R549)*IFERROR(VLOOKUP($C549,Assumptions!$A$4:$F$7,5,FALSE),0)</f>
        <v/>
      </c>
      <c r="Z549" s="4">
        <f>N(S549)</f>
        <v/>
      </c>
      <c r="AA549" s="4">
        <f>SUM(U549:Z549)</f>
        <v/>
      </c>
      <c r="AB549" s="4">
        <f>N(AA549)*N(K549)/90</f>
        <v/>
      </c>
      <c r="AC549" s="4">
        <f>IFERROR(AB549-VLOOKUP($C549,Assumptions!$A$29:$C$32,3,FALSE),"")</f>
        <v/>
      </c>
      <c r="AD549" s="4">
        <f>IFERROR(AC549/F549,"")</f>
        <v/>
      </c>
      <c r="AE549">
        <f>IF(AND($E549=TRUE,$C549="GKP"),AB549,"")</f>
        <v/>
      </c>
      <c r="AF549">
        <f>IF(AND($E549=TRUE,$C549="DEF"),AB549,"")</f>
        <v/>
      </c>
      <c r="AG549">
        <f>IF(AND($E549=TRUE,$C549="MID"),AB549,"")</f>
        <v/>
      </c>
      <c r="AH549">
        <f>IF(AND($E549=TRUE,$C549="FWD"),AB549,"")</f>
        <v/>
      </c>
    </row>
    <row r="550">
      <c r="A550" t="inlineStr">
        <is>
          <t>Tyrell Malacia</t>
        </is>
      </c>
      <c r="D550" t="inlineStr">
        <is>
          <t>DEF</t>
        </is>
      </c>
      <c r="E550" t="b">
        <v>0</v>
      </c>
      <c r="F550" s="2" t="n"/>
      <c r="I550" s="2" t="n">
        <v>15</v>
      </c>
      <c r="K550" s="3" t="n">
        <v>15</v>
      </c>
      <c r="L550" s="3" t="n"/>
      <c r="M550" s="4" t="n">
        <v>0</v>
      </c>
      <c r="N550" t="inlineStr">
        <is>
          <t>adjusted xGOT</t>
        </is>
      </c>
      <c r="O550" s="4" t="n">
        <v>0.984</v>
      </c>
      <c r="P550" s="4" t="n">
        <v>0.2</v>
      </c>
      <c r="Q550" s="4" t="n"/>
      <c r="R550" s="4" t="n"/>
      <c r="S550" s="4" t="n">
        <v>0</v>
      </c>
      <c r="T550" s="4" t="n">
        <v>18</v>
      </c>
      <c r="U550" s="4">
        <f>IF(T550="",IFERROR(VLOOKUP($C550,Assumptions!$A$4:$F$7,6,FALSE),0),T550)</f>
        <v/>
      </c>
      <c r="V550" s="4">
        <f>N(M550)*IFERROR(VLOOKUP($C550,Assumptions!$A$4:$F$7,2,FALSE),0)</f>
        <v/>
      </c>
      <c r="W550" s="4">
        <f>N(Q550)*IFERROR(VLOOKUP($C550,Assumptions!$A$4:$F$7,3,FALSE),0)*Assumptions!$B$11</f>
        <v/>
      </c>
      <c r="X550" s="4">
        <f>N(L550)*IFERROR(VLOOKUP($C550,Assumptions!$A$4:$F$7,4,FALSE),0)</f>
        <v/>
      </c>
      <c r="Y550" s="4">
        <f>N(R550)*IFERROR(VLOOKUP($C550,Assumptions!$A$4:$F$7,5,FALSE),0)</f>
        <v/>
      </c>
      <c r="Z550" s="4">
        <f>N(S550)</f>
        <v/>
      </c>
      <c r="AA550" s="4">
        <f>SUM(U550:Z550)</f>
        <v/>
      </c>
      <c r="AB550" s="4">
        <f>N(AA550)*N(K550)/90</f>
        <v/>
      </c>
      <c r="AC550" s="4">
        <f>IFERROR(AB550-VLOOKUP($C550,Assumptions!$A$29:$C$32,3,FALSE),"")</f>
        <v/>
      </c>
      <c r="AD550" s="4">
        <f>IFERROR(AC550/F550,"")</f>
        <v/>
      </c>
      <c r="AE550">
        <f>IF(AND($E550=TRUE,$C550="GKP"),AB550,"")</f>
        <v/>
      </c>
      <c r="AF550">
        <f>IF(AND($E550=TRUE,$C550="DEF"),AB550,"")</f>
        <v/>
      </c>
      <c r="AG550">
        <f>IF(AND($E550=TRUE,$C550="MID"),AB550,"")</f>
        <v/>
      </c>
      <c r="AH550">
        <f>IF(AND($E550=TRUE,$C550="FWD"),AB550,"")</f>
        <v/>
      </c>
    </row>
    <row r="551">
      <c r="A551" t="inlineStr">
        <is>
          <t>Dan Neil</t>
        </is>
      </c>
      <c r="D551" t="inlineStr">
        <is>
          <t>MID</t>
        </is>
      </c>
      <c r="E551" t="b">
        <v>0</v>
      </c>
      <c r="F551" s="2" t="n"/>
      <c r="I551" s="2" t="n">
        <v>13</v>
      </c>
      <c r="K551" s="3" t="n">
        <v>13</v>
      </c>
      <c r="L551" s="3" t="n"/>
      <c r="M551" s="4" t="n">
        <v>0</v>
      </c>
      <c r="N551" t="inlineStr">
        <is>
          <t>blended xG</t>
        </is>
      </c>
      <c r="O551" s="4" t="n">
        <v>1</v>
      </c>
      <c r="P551" s="4" t="n">
        <v>0</v>
      </c>
      <c r="Q551" s="4" t="n">
        <v>0</v>
      </c>
      <c r="R551" s="4" t="n"/>
      <c r="S551" s="4" t="n">
        <v>0</v>
      </c>
      <c r="T551" s="4" t="n">
        <v>20.769</v>
      </c>
      <c r="U551" s="4">
        <f>IF(T551="",IFERROR(VLOOKUP($C551,Assumptions!$A$4:$F$7,6,FALSE),0),T551)</f>
        <v/>
      </c>
      <c r="V551" s="4">
        <f>N(M551)*IFERROR(VLOOKUP($C551,Assumptions!$A$4:$F$7,2,FALSE),0)</f>
        <v/>
      </c>
      <c r="W551" s="4">
        <f>N(Q551)*IFERROR(VLOOKUP($C551,Assumptions!$A$4:$F$7,3,FALSE),0)*Assumptions!$B$11</f>
        <v/>
      </c>
      <c r="X551" s="4">
        <f>N(L551)*IFERROR(VLOOKUP($C551,Assumptions!$A$4:$F$7,4,FALSE),0)</f>
        <v/>
      </c>
      <c r="Y551" s="4">
        <f>N(R551)*IFERROR(VLOOKUP($C551,Assumptions!$A$4:$F$7,5,FALSE),0)</f>
        <v/>
      </c>
      <c r="Z551" s="4">
        <f>N(S551)</f>
        <v/>
      </c>
      <c r="AA551" s="4">
        <f>SUM(U551:Z551)</f>
        <v/>
      </c>
      <c r="AB551" s="4">
        <f>N(AA551)*N(K551)/90</f>
        <v/>
      </c>
      <c r="AC551" s="4">
        <f>IFERROR(AB551-VLOOKUP($C551,Assumptions!$A$29:$C$32,3,FALSE),"")</f>
        <v/>
      </c>
      <c r="AD551" s="4">
        <f>IFERROR(AC551/F551,"")</f>
        <v/>
      </c>
      <c r="AE551">
        <f>IF(AND($E551=TRUE,$C551="GKP"),AB551,"")</f>
        <v/>
      </c>
      <c r="AF551">
        <f>IF(AND($E551=TRUE,$C551="DEF"),AB551,"")</f>
        <v/>
      </c>
      <c r="AG551">
        <f>IF(AND($E551=TRUE,$C551="MID"),AB551,"")</f>
        <v/>
      </c>
      <c r="AH551">
        <f>IF(AND($E551=TRUE,$C551="FWD"),AB551,"")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b">
        <v>1</v>
      </c>
      <c r="F552" s="2" t="n">
        <v>4.5</v>
      </c>
      <c r="G552" t="inlineStr">
        <is>
          <t>a</t>
        </is>
      </c>
      <c r="I552" s="2" t="n"/>
      <c r="K552" s="3" t="n"/>
      <c r="L552" s="3" t="n">
        <v>0.316</v>
      </c>
      <c r="M552" s="4" t="n"/>
      <c r="N552" t="inlineStr"/>
      <c r="O552" s="4" t="n"/>
      <c r="P552" s="4" t="n"/>
      <c r="Q552" s="4" t="n"/>
      <c r="R552" s="4" t="n"/>
      <c r="S552" s="4" t="n"/>
      <c r="T552" s="4" t="n"/>
      <c r="U552" s="4">
        <f>IF(T552="",IFERROR(VLOOKUP($C552,Assumptions!$A$4:$F$7,6,FALSE),0),T552)</f>
        <v/>
      </c>
      <c r="V552" s="4">
        <f>N(M552)*IFERROR(VLOOKUP($C552,Assumptions!$A$4:$F$7,2,FALSE),0)</f>
        <v/>
      </c>
      <c r="W552" s="4">
        <f>N(Q552)*IFERROR(VLOOKUP($C552,Assumptions!$A$4:$F$7,3,FALSE),0)*Assumptions!$B$11</f>
        <v/>
      </c>
      <c r="X552" s="4">
        <f>N(L552)*IFERROR(VLOOKUP($C552,Assumptions!$A$4:$F$7,4,FALSE),0)</f>
        <v/>
      </c>
      <c r="Y552" s="4">
        <f>N(R552)*IFERROR(VLOOKUP($C552,Assumptions!$A$4:$F$7,5,FALSE),0)</f>
        <v/>
      </c>
      <c r="Z552" s="4">
        <f>N(S552)</f>
        <v/>
      </c>
      <c r="AA552" s="4">
        <f>SUM(U552:Z552)</f>
        <v/>
      </c>
      <c r="AB552" s="4">
        <f>N(AA552)*N(K552)/90</f>
        <v/>
      </c>
      <c r="AC552" s="4">
        <f>IFERROR(AB552-VLOOKUP($C552,Assumptions!$A$29:$C$32,3,FALSE),"")</f>
        <v/>
      </c>
      <c r="AD552" s="4">
        <f>IFERROR(AC552/F552,"")</f>
        <v/>
      </c>
      <c r="AE552">
        <f>IF(AND($E552=TRUE,$C552="GKP"),AB552,"")</f>
        <v/>
      </c>
      <c r="AF552">
        <f>IF(AND($E552=TRUE,$C552="DEF"),AB552,"")</f>
        <v/>
      </c>
      <c r="AG552">
        <f>IF(AND($E552=TRUE,$C552="MID"),AB552,"")</f>
        <v/>
      </c>
      <c r="AH552">
        <f>IF(AND($E552=TRUE,$C552="FWD"),AB552,"")</f>
        <v/>
      </c>
    </row>
    <row r="553">
      <c r="A553" t="inlineStr">
        <is>
          <t>Lucas Paquetá</t>
        </is>
      </c>
      <c r="D553" t="inlineStr">
        <is>
          <t>MID</t>
        </is>
      </c>
      <c r="E553" t="b">
        <v>0</v>
      </c>
      <c r="F553" s="2" t="n"/>
      <c r="I553" s="2" t="n">
        <v>1521</v>
      </c>
      <c r="K553" s="3" t="n">
        <v>1521</v>
      </c>
      <c r="L553" s="3" t="n"/>
      <c r="M553" s="4" t="n">
        <v>0.1471</v>
      </c>
      <c r="N553" t="inlineStr">
        <is>
          <t>adjusted xGOT</t>
        </is>
      </c>
      <c r="O553" s="4" t="n">
        <v>0.872</v>
      </c>
      <c r="P553" s="4" t="n">
        <v>17.8</v>
      </c>
      <c r="Q553" s="4" t="n">
        <v>0.1782</v>
      </c>
      <c r="R553" s="4" t="n">
        <v>0.444</v>
      </c>
      <c r="S553" s="4" t="n">
        <v>0.4734</v>
      </c>
      <c r="T553" s="4" t="n">
        <v>2.13</v>
      </c>
      <c r="U553" s="4">
        <f>IF(T553="",IFERROR(VLOOKUP($C553,Assumptions!$A$4:$F$7,6,FALSE),0),T553)</f>
        <v/>
      </c>
      <c r="V553" s="4">
        <f>N(M553)*IFERROR(VLOOKUP($C553,Assumptions!$A$4:$F$7,2,FALSE),0)</f>
        <v/>
      </c>
      <c r="W553" s="4">
        <f>N(Q553)*IFERROR(VLOOKUP($C553,Assumptions!$A$4:$F$7,3,FALSE),0)*Assumptions!$B$11</f>
        <v/>
      </c>
      <c r="X553" s="4">
        <f>N(L553)*IFERROR(VLOOKUP($C553,Assumptions!$A$4:$F$7,4,FALSE),0)</f>
        <v/>
      </c>
      <c r="Y553" s="4">
        <f>N(R553)*IFERROR(VLOOKUP($C553,Assumptions!$A$4:$F$7,5,FALSE),0)</f>
        <v/>
      </c>
      <c r="Z553" s="4">
        <f>N(S553)</f>
        <v/>
      </c>
      <c r="AA553" s="4">
        <f>SUM(U553:Z553)</f>
        <v/>
      </c>
      <c r="AB553" s="4">
        <f>N(AA553)*N(K553)/90</f>
        <v/>
      </c>
      <c r="AC553" s="4">
        <f>IFERROR(AB553-VLOOKUP($C553,Assumptions!$A$29:$C$32,3,FALSE),"")</f>
        <v/>
      </c>
      <c r="AD553" s="4">
        <f>IFERROR(AC553/F553,"")</f>
        <v/>
      </c>
      <c r="AE553">
        <f>IF(AND($E553=TRUE,$C553="GKP"),AB553,"")</f>
        <v/>
      </c>
      <c r="AF553">
        <f>IF(AND($E553=TRUE,$C553="DEF"),AB553,"")</f>
        <v/>
      </c>
      <c r="AG553">
        <f>IF(AND($E553=TRUE,$C553="MID"),AB553,"")</f>
        <v/>
      </c>
      <c r="AH553">
        <f>IF(AND($E553=TRUE,$C553="FWD"),AB553,"")</f>
        <v/>
      </c>
    </row>
    <row r="554">
      <c r="A554" t="inlineStr">
        <is>
          <t>Aaron Ramsdale</t>
        </is>
      </c>
      <c r="D554" t="inlineStr">
        <is>
          <t>GKP</t>
        </is>
      </c>
      <c r="E554" t="b">
        <v>0</v>
      </c>
      <c r="F554" s="2" t="n"/>
      <c r="I554" s="2" t="n">
        <v>1003</v>
      </c>
      <c r="K554" s="3" t="n">
        <v>1003</v>
      </c>
      <c r="L554" s="3" t="n"/>
      <c r="M554" s="4" t="n">
        <v>0</v>
      </c>
      <c r="N554" t="inlineStr">
        <is>
          <t>blended xG</t>
        </is>
      </c>
      <c r="O554" s="4" t="n">
        <v>1</v>
      </c>
      <c r="P554" s="4" t="n">
        <v>0</v>
      </c>
      <c r="Q554" s="4" t="n">
        <v>0.0064</v>
      </c>
      <c r="R554" s="4" t="n">
        <v>0</v>
      </c>
      <c r="S554" s="4" t="n">
        <v>0.0897</v>
      </c>
      <c r="T554" s="4" t="n">
        <v>2.064</v>
      </c>
      <c r="U554" s="4">
        <f>IF(T554="",IFERROR(VLOOKUP($C554,Assumptions!$A$4:$F$7,6,FALSE),0),T554)</f>
        <v/>
      </c>
      <c r="V554" s="4">
        <f>N(M554)*IFERROR(VLOOKUP($C554,Assumptions!$A$4:$F$7,2,FALSE),0)</f>
        <v/>
      </c>
      <c r="W554" s="4">
        <f>N(Q554)*IFERROR(VLOOKUP($C554,Assumptions!$A$4:$F$7,3,FALSE),0)*Assumptions!$B$11</f>
        <v/>
      </c>
      <c r="X554" s="4">
        <f>N(L554)*IFERROR(VLOOKUP($C554,Assumptions!$A$4:$F$7,4,FALSE),0)</f>
        <v/>
      </c>
      <c r="Y554" s="4">
        <f>N(R554)*IFERROR(VLOOKUP($C554,Assumptions!$A$4:$F$7,5,FALSE),0)</f>
        <v/>
      </c>
      <c r="Z554" s="4">
        <f>N(S554)</f>
        <v/>
      </c>
      <c r="AA554" s="4">
        <f>SUM(U554:Z554)</f>
        <v/>
      </c>
      <c r="AB554" s="4">
        <f>N(AA554)*N(K554)/90</f>
        <v/>
      </c>
      <c r="AC554" s="4">
        <f>IFERROR(AB554-VLOOKUP($C554,Assumptions!$A$29:$C$32,3,FALSE),"")</f>
        <v/>
      </c>
      <c r="AD554" s="4">
        <f>IFERROR(AC554/F554,"")</f>
        <v/>
      </c>
      <c r="AE554">
        <f>IF(AND($E554=TRUE,$C554="GKP"),AB554,"")</f>
        <v/>
      </c>
      <c r="AF554">
        <f>IF(AND($E554=TRUE,$C554="DEF"),AB554,"")</f>
        <v/>
      </c>
      <c r="AG554">
        <f>IF(AND($E554=TRUE,$C554="MID"),AB554,"")</f>
        <v/>
      </c>
      <c r="AH554">
        <f>IF(AND($E554=TRUE,$C554="FWD"),AB554,"")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b">
        <v>1</v>
      </c>
      <c r="F555" s="2" t="n">
        <v>5.5</v>
      </c>
      <c r="G555" t="inlineStr">
        <is>
          <t>a</t>
        </is>
      </c>
      <c r="I555" s="2" t="n"/>
      <c r="K555" s="3" t="n"/>
      <c r="L555" s="3" t="n"/>
      <c r="M555" s="4" t="n"/>
      <c r="N555" t="inlineStr"/>
      <c r="O555" s="4" t="n"/>
      <c r="P555" s="4" t="n"/>
      <c r="Q555" s="4" t="n"/>
      <c r="R555" s="4" t="n"/>
      <c r="S555" s="4" t="n"/>
      <c r="T555" s="4" t="n"/>
      <c r="U555" s="4">
        <f>IF(T555="",IFERROR(VLOOKUP($C555,Assumptions!$A$4:$F$7,6,FALSE),0),T555)</f>
        <v/>
      </c>
      <c r="V555" s="4">
        <f>N(M555)*IFERROR(VLOOKUP($C555,Assumptions!$A$4:$F$7,2,FALSE),0)</f>
        <v/>
      </c>
      <c r="W555" s="4">
        <f>N(Q555)*IFERROR(VLOOKUP($C555,Assumptions!$A$4:$F$7,3,FALSE),0)*Assumptions!$B$11</f>
        <v/>
      </c>
      <c r="X555" s="4">
        <f>N(L555)*IFERROR(VLOOKUP($C555,Assumptions!$A$4:$F$7,4,FALSE),0)</f>
        <v/>
      </c>
      <c r="Y555" s="4">
        <f>N(R555)*IFERROR(VLOOKUP($C555,Assumptions!$A$4:$F$7,5,FALSE),0)</f>
        <v/>
      </c>
      <c r="Z555" s="4">
        <f>N(S555)</f>
        <v/>
      </c>
      <c r="AA555" s="4">
        <f>SUM(U555:Z555)</f>
        <v/>
      </c>
      <c r="AB555" s="4">
        <f>N(AA555)*N(K555)/90</f>
        <v/>
      </c>
      <c r="AC555" s="4">
        <f>IFERROR(AB555-VLOOKUP($C555,Assumptions!$A$29:$C$32,3,FALSE),"")</f>
        <v/>
      </c>
      <c r="AD555" s="4">
        <f>IFERROR(AC555/F555,"")</f>
        <v/>
      </c>
      <c r="AE555">
        <f>IF(AND($E555=TRUE,$C555="GKP"),AB555,"")</f>
        <v/>
      </c>
      <c r="AF555">
        <f>IF(AND($E555=TRUE,$C555="DEF"),AB555,"")</f>
        <v/>
      </c>
      <c r="AG555">
        <f>IF(AND($E555=TRUE,$C555="MID"),AB555,"")</f>
        <v/>
      </c>
      <c r="AH555">
        <f>IF(AND($E555=TRUE,$C555="FWD"),AB555,"")</f>
        <v/>
      </c>
    </row>
    <row r="556">
      <c r="A556" t="inlineStr">
        <is>
          <t>Yves Bissouma</t>
        </is>
      </c>
      <c r="D556" t="inlineStr">
        <is>
          <t>MID</t>
        </is>
      </c>
      <c r="E556" t="b">
        <v>0</v>
      </c>
      <c r="F556" s="2" t="n"/>
      <c r="I556" s="2" t="n">
        <v>605</v>
      </c>
      <c r="K556" s="3" t="n">
        <v>605</v>
      </c>
      <c r="L556" s="3" t="n"/>
      <c r="M556" s="4" t="n">
        <v>0.0533</v>
      </c>
      <c r="N556" t="inlineStr">
        <is>
          <t>adjusted xGOT</t>
        </is>
      </c>
      <c r="O556" s="4" t="n">
        <v>0.995</v>
      </c>
      <c r="P556" s="4" t="n">
        <v>2.3</v>
      </c>
      <c r="Q556" s="4" t="n">
        <v>0</v>
      </c>
      <c r="R556" s="4" t="n">
        <v>0.286</v>
      </c>
      <c r="S556" s="4" t="n">
        <v>0</v>
      </c>
      <c r="T556" s="4" t="n">
        <v>2.38</v>
      </c>
      <c r="U556" s="4">
        <f>IF(T556="",IFERROR(VLOOKUP($C556,Assumptions!$A$4:$F$7,6,FALSE),0),T556)</f>
        <v/>
      </c>
      <c r="V556" s="4">
        <f>N(M556)*IFERROR(VLOOKUP($C556,Assumptions!$A$4:$F$7,2,FALSE),0)</f>
        <v/>
      </c>
      <c r="W556" s="4">
        <f>N(Q556)*IFERROR(VLOOKUP($C556,Assumptions!$A$4:$F$7,3,FALSE),0)*Assumptions!$B$11</f>
        <v/>
      </c>
      <c r="X556" s="4">
        <f>N(L556)*IFERROR(VLOOKUP($C556,Assumptions!$A$4:$F$7,4,FALSE),0)</f>
        <v/>
      </c>
      <c r="Y556" s="4">
        <f>N(R556)*IFERROR(VLOOKUP($C556,Assumptions!$A$4:$F$7,5,FALSE),0)</f>
        <v/>
      </c>
      <c r="Z556" s="4">
        <f>N(S556)</f>
        <v/>
      </c>
      <c r="AA556" s="4">
        <f>SUM(U556:Z556)</f>
        <v/>
      </c>
      <c r="AB556" s="4">
        <f>N(AA556)*N(K556)/90</f>
        <v/>
      </c>
      <c r="AC556" s="4">
        <f>IFERROR(AB556-VLOOKUP($C556,Assumptions!$A$29:$C$32,3,FALSE),"")</f>
        <v/>
      </c>
      <c r="AD556" s="4">
        <f>IFERROR(AC556/F556,"")</f>
        <v/>
      </c>
      <c r="AE556">
        <f>IF(AND($E556=TRUE,$C556="GKP"),AB556,"")</f>
        <v/>
      </c>
      <c r="AF556">
        <f>IF(AND($E556=TRUE,$C556="DEF"),AB556,"")</f>
        <v/>
      </c>
      <c r="AG556">
        <f>IF(AND($E556=TRUE,$C556="MID"),AB556,"")</f>
        <v/>
      </c>
      <c r="AH556">
        <f>IF(AND($E556=TRUE,$C556="FWD"),AB556,"")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b">
        <v>1</v>
      </c>
      <c r="F557" s="2" t="n">
        <v>5</v>
      </c>
      <c r="G557" t="inlineStr">
        <is>
          <t>a</t>
        </is>
      </c>
      <c r="I557" s="2" t="n"/>
      <c r="K557" s="3" t="n"/>
      <c r="L557" s="3" t="n"/>
      <c r="M557" s="4" t="n"/>
      <c r="N557" t="inlineStr"/>
      <c r="O557" s="4" t="n"/>
      <c r="P557" s="4" t="n"/>
      <c r="Q557" s="4" t="n"/>
      <c r="R557" s="4" t="n"/>
      <c r="S557" s="4" t="n"/>
      <c r="T557" s="4" t="n"/>
      <c r="U557" s="4">
        <f>IF(T557="",IFERROR(VLOOKUP($C557,Assumptions!$A$4:$F$7,6,FALSE),0),T557)</f>
        <v/>
      </c>
      <c r="V557" s="4">
        <f>N(M557)*IFERROR(VLOOKUP($C557,Assumptions!$A$4:$F$7,2,FALSE),0)</f>
        <v/>
      </c>
      <c r="W557" s="4">
        <f>N(Q557)*IFERROR(VLOOKUP($C557,Assumptions!$A$4:$F$7,3,FALSE),0)*Assumptions!$B$11</f>
        <v/>
      </c>
      <c r="X557" s="4">
        <f>N(L557)*IFERROR(VLOOKUP($C557,Assumptions!$A$4:$F$7,4,FALSE),0)</f>
        <v/>
      </c>
      <c r="Y557" s="4">
        <f>N(R557)*IFERROR(VLOOKUP($C557,Assumptions!$A$4:$F$7,5,FALSE),0)</f>
        <v/>
      </c>
      <c r="Z557" s="4">
        <f>N(S557)</f>
        <v/>
      </c>
      <c r="AA557" s="4">
        <f>SUM(U557:Z557)</f>
        <v/>
      </c>
      <c r="AB557" s="4">
        <f>N(AA557)*N(K557)/90</f>
        <v/>
      </c>
      <c r="AC557" s="4">
        <f>IFERROR(AB557-VLOOKUP($C557,Assumptions!$A$29:$C$32,3,FALSE),"")</f>
        <v/>
      </c>
      <c r="AD557" s="4">
        <f>IFERROR(AC557/F557,"")</f>
        <v/>
      </c>
      <c r="AE557">
        <f>IF(AND($E557=TRUE,$C557="GKP"),AB557,"")</f>
        <v/>
      </c>
      <c r="AF557">
        <f>IF(AND($E557=TRUE,$C557="DEF"),AB557,"")</f>
        <v/>
      </c>
      <c r="AG557">
        <f>IF(AND($E557=TRUE,$C557="MID"),AB557,"")</f>
        <v/>
      </c>
      <c r="AH557">
        <f>IF(AND($E557=TRUE,$C557="FWD"),AB557,"")</f>
        <v/>
      </c>
    </row>
    <row r="558">
      <c r="A558" t="inlineStr">
        <is>
          <t>Andy Irving</t>
        </is>
      </c>
      <c r="D558" t="inlineStr">
        <is>
          <t>MID</t>
        </is>
      </c>
      <c r="E558" t="b">
        <v>0</v>
      </c>
      <c r="F558" s="2" t="n"/>
      <c r="I558" s="2" t="n">
        <v>157</v>
      </c>
      <c r="K558" s="3" t="n">
        <v>157</v>
      </c>
      <c r="L558" s="3" t="n"/>
      <c r="M558" s="4" t="n">
        <v>0</v>
      </c>
      <c r="N558" t="inlineStr">
        <is>
          <t>adjusted xGOT</t>
        </is>
      </c>
      <c r="O558" s="4" t="n">
        <v>0.996</v>
      </c>
      <c r="P558" s="4" t="n">
        <v>0.1</v>
      </c>
      <c r="Q558" s="4" t="n">
        <v>0.1159</v>
      </c>
      <c r="R558" s="4" t="n">
        <v>0</v>
      </c>
      <c r="S558" s="4" t="n">
        <v>0</v>
      </c>
      <c r="T558" s="4" t="n">
        <v>5.159</v>
      </c>
      <c r="U558" s="4">
        <f>IF(T558="",IFERROR(VLOOKUP($C558,Assumptions!$A$4:$F$7,6,FALSE),0),T558)</f>
        <v/>
      </c>
      <c r="V558" s="4">
        <f>N(M558)*IFERROR(VLOOKUP($C558,Assumptions!$A$4:$F$7,2,FALSE),0)</f>
        <v/>
      </c>
      <c r="W558" s="4">
        <f>N(Q558)*IFERROR(VLOOKUP($C558,Assumptions!$A$4:$F$7,3,FALSE),0)*Assumptions!$B$11</f>
        <v/>
      </c>
      <c r="X558" s="4">
        <f>N(L558)*IFERROR(VLOOKUP($C558,Assumptions!$A$4:$F$7,4,FALSE),0)</f>
        <v/>
      </c>
      <c r="Y558" s="4">
        <f>N(R558)*IFERROR(VLOOKUP($C558,Assumptions!$A$4:$F$7,5,FALSE),0)</f>
        <v/>
      </c>
      <c r="Z558" s="4">
        <f>N(S558)</f>
        <v/>
      </c>
      <c r="AA558" s="4">
        <f>SUM(U558:Z558)</f>
        <v/>
      </c>
      <c r="AB558" s="4">
        <f>N(AA558)*N(K558)/90</f>
        <v/>
      </c>
      <c r="AC558" s="4">
        <f>IFERROR(AB558-VLOOKUP($C558,Assumptions!$A$29:$C$32,3,FALSE),"")</f>
        <v/>
      </c>
      <c r="AD558" s="4">
        <f>IFERROR(AC558/F558,"")</f>
        <v/>
      </c>
      <c r="AE558">
        <f>IF(AND($E558=TRUE,$C558="GKP"),AB558,"")</f>
        <v/>
      </c>
      <c r="AF558">
        <f>IF(AND($E558=TRUE,$C558="DEF"),AB558,"")</f>
        <v/>
      </c>
      <c r="AG558">
        <f>IF(AND($E558=TRUE,$C558="MID"),AB558,"")</f>
        <v/>
      </c>
      <c r="AH558">
        <f>IF(AND($E558=TRUE,$C558="FWD"),AB558,"")</f>
        <v/>
      </c>
    </row>
    <row r="559">
      <c r="A559" t="inlineStr">
        <is>
          <t>Douglas Luiz</t>
        </is>
      </c>
      <c r="D559" t="inlineStr">
        <is>
          <t>MID</t>
        </is>
      </c>
      <c r="E559" t="b">
        <v>0</v>
      </c>
      <c r="F559" s="2" t="n"/>
      <c r="I559" s="2" t="n">
        <v>923</v>
      </c>
      <c r="K559" s="3" t="n">
        <v>923</v>
      </c>
      <c r="L559" s="3" t="n"/>
      <c r="M559" s="4" t="n">
        <v>0.0626</v>
      </c>
      <c r="N559" t="inlineStr">
        <is>
          <t>adjusted xGOT</t>
        </is>
      </c>
      <c r="O559" s="4" t="n">
        <v>1.21</v>
      </c>
      <c r="P559" s="4" t="n">
        <v>10</v>
      </c>
      <c r="Q559" s="4" t="n">
        <v>0.1778</v>
      </c>
      <c r="R559" s="4" t="n">
        <v>0.417</v>
      </c>
      <c r="S559" s="4" t="n">
        <v>0.0975</v>
      </c>
      <c r="T559" s="4" t="n">
        <v>2.828</v>
      </c>
      <c r="U559" s="4">
        <f>IF(T559="",IFERROR(VLOOKUP($C559,Assumptions!$A$4:$F$7,6,FALSE),0),T559)</f>
        <v/>
      </c>
      <c r="V559" s="4">
        <f>N(M559)*IFERROR(VLOOKUP($C559,Assumptions!$A$4:$F$7,2,FALSE),0)</f>
        <v/>
      </c>
      <c r="W559" s="4">
        <f>N(Q559)*IFERROR(VLOOKUP($C559,Assumptions!$A$4:$F$7,3,FALSE),0)*Assumptions!$B$11</f>
        <v/>
      </c>
      <c r="X559" s="4">
        <f>N(L559)*IFERROR(VLOOKUP($C559,Assumptions!$A$4:$F$7,4,FALSE),0)</f>
        <v/>
      </c>
      <c r="Y559" s="4">
        <f>N(R559)*IFERROR(VLOOKUP($C559,Assumptions!$A$4:$F$7,5,FALSE),0)</f>
        <v/>
      </c>
      <c r="Z559" s="4">
        <f>N(S559)</f>
        <v/>
      </c>
      <c r="AA559" s="4">
        <f>SUM(U559:Z559)</f>
        <v/>
      </c>
      <c r="AB559" s="4">
        <f>N(AA559)*N(K559)/90</f>
        <v/>
      </c>
      <c r="AC559" s="4">
        <f>IFERROR(AB559-VLOOKUP($C559,Assumptions!$A$29:$C$32,3,FALSE),"")</f>
        <v/>
      </c>
      <c r="AD559" s="4">
        <f>IFERROR(AC559/F559,"")</f>
        <v/>
      </c>
      <c r="AE559">
        <f>IF(AND($E559=TRUE,$C559="GKP"),AB559,"")</f>
        <v/>
      </c>
      <c r="AF559">
        <f>IF(AND($E559=TRUE,$C559="DEF"),AB559,"")</f>
        <v/>
      </c>
      <c r="AG559">
        <f>IF(AND($E559=TRUE,$C559="MID"),AB559,"")</f>
        <v/>
      </c>
      <c r="AH559">
        <f>IF(AND($E559=TRUE,$C559="FWD"),AB559,"")</f>
        <v/>
      </c>
    </row>
    <row r="560">
      <c r="A560" t="inlineStr">
        <is>
          <t>Jhon Arias</t>
        </is>
      </c>
      <c r="D560" t="inlineStr">
        <is>
          <t>MID</t>
        </is>
      </c>
      <c r="E560" t="b">
        <v>0</v>
      </c>
      <c r="F560" s="2" t="n"/>
      <c r="I560" s="2" t="n">
        <v>1121</v>
      </c>
      <c r="K560" s="3" t="n">
        <v>1121</v>
      </c>
      <c r="L560" s="3" t="n"/>
      <c r="M560" s="4" t="n">
        <v>0.2099</v>
      </c>
      <c r="N560" t="inlineStr">
        <is>
          <t>adjusted xGOT</t>
        </is>
      </c>
      <c r="O560" s="4" t="n">
        <v>0.773</v>
      </c>
      <c r="P560" s="4" t="n">
        <v>3.4</v>
      </c>
      <c r="Q560" s="4" t="n">
        <v>0.07199999999999999</v>
      </c>
      <c r="R560" s="4" t="n">
        <v>0.286</v>
      </c>
      <c r="S560" s="4" t="n">
        <v>0.2409</v>
      </c>
      <c r="T560" s="4" t="n">
        <v>2.649</v>
      </c>
      <c r="U560" s="4">
        <f>IF(T560="",IFERROR(VLOOKUP($C560,Assumptions!$A$4:$F$7,6,FALSE),0),T560)</f>
        <v/>
      </c>
      <c r="V560" s="4">
        <f>N(M560)*IFERROR(VLOOKUP($C560,Assumptions!$A$4:$F$7,2,FALSE),0)</f>
        <v/>
      </c>
      <c r="W560" s="4">
        <f>N(Q560)*IFERROR(VLOOKUP($C560,Assumptions!$A$4:$F$7,3,FALSE),0)*Assumptions!$B$11</f>
        <v/>
      </c>
      <c r="X560" s="4">
        <f>N(L560)*IFERROR(VLOOKUP($C560,Assumptions!$A$4:$F$7,4,FALSE),0)</f>
        <v/>
      </c>
      <c r="Y560" s="4">
        <f>N(R560)*IFERROR(VLOOKUP($C560,Assumptions!$A$4:$F$7,5,FALSE),0)</f>
        <v/>
      </c>
      <c r="Z560" s="4">
        <f>N(S560)</f>
        <v/>
      </c>
      <c r="AA560" s="4">
        <f>SUM(U560:Z560)</f>
        <v/>
      </c>
      <c r="AB560" s="4">
        <f>N(AA560)*N(K560)/90</f>
        <v/>
      </c>
      <c r="AC560" s="4">
        <f>IFERROR(AB560-VLOOKUP($C560,Assumptions!$A$29:$C$32,3,FALSE),"")</f>
        <v/>
      </c>
      <c r="AD560" s="4">
        <f>IFERROR(AC560/F560,"")</f>
        <v/>
      </c>
      <c r="AE560">
        <f>IF(AND($E560=TRUE,$C560="GKP"),AB560,"")</f>
        <v/>
      </c>
      <c r="AF560">
        <f>IF(AND($E560=TRUE,$C560="DEF"),AB560,"")</f>
        <v/>
      </c>
      <c r="AG560">
        <f>IF(AND($E560=TRUE,$C560="MID"),AB560,"")</f>
        <v/>
      </c>
      <c r="AH560">
        <f>IF(AND($E560=TRUE,$C560="FWD"),AB560,"")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b">
        <v>1</v>
      </c>
      <c r="F561" s="2" t="n">
        <v>5</v>
      </c>
      <c r="G561" t="inlineStr">
        <is>
          <t>a</t>
        </is>
      </c>
      <c r="I561" s="2" t="n"/>
      <c r="K561" s="3" t="n"/>
      <c r="L561" s="3" t="n"/>
      <c r="M561" s="4" t="n"/>
      <c r="N561" t="inlineStr"/>
      <c r="O561" s="4" t="n"/>
      <c r="P561" s="4" t="n"/>
      <c r="Q561" s="4" t="n"/>
      <c r="R561" s="4" t="n"/>
      <c r="S561" s="4" t="n"/>
      <c r="T561" s="4" t="n"/>
      <c r="U561" s="4">
        <f>IF(T561="",IFERROR(VLOOKUP($C561,Assumptions!$A$4:$F$7,6,FALSE),0),T561)</f>
        <v/>
      </c>
      <c r="V561" s="4">
        <f>N(M561)*IFERROR(VLOOKUP($C561,Assumptions!$A$4:$F$7,2,FALSE),0)</f>
        <v/>
      </c>
      <c r="W561" s="4">
        <f>N(Q561)*IFERROR(VLOOKUP($C561,Assumptions!$A$4:$F$7,3,FALSE),0)*Assumptions!$B$11</f>
        <v/>
      </c>
      <c r="X561" s="4">
        <f>N(L561)*IFERROR(VLOOKUP($C561,Assumptions!$A$4:$F$7,4,FALSE),0)</f>
        <v/>
      </c>
      <c r="Y561" s="4">
        <f>N(R561)*IFERROR(VLOOKUP($C561,Assumptions!$A$4:$F$7,5,FALSE),0)</f>
        <v/>
      </c>
      <c r="Z561" s="4">
        <f>N(S561)</f>
        <v/>
      </c>
      <c r="AA561" s="4">
        <f>SUM(U561:Z561)</f>
        <v/>
      </c>
      <c r="AB561" s="4">
        <f>N(AA561)*N(K561)/90</f>
        <v/>
      </c>
      <c r="AC561" s="4">
        <f>IFERROR(AB561-VLOOKUP($C561,Assumptions!$A$29:$C$32,3,FALSE),"")</f>
        <v/>
      </c>
      <c r="AD561" s="4">
        <f>IFERROR(AC561/F561,"")</f>
        <v/>
      </c>
      <c r="AE561">
        <f>IF(AND($E561=TRUE,$C561="GKP"),AB561,"")</f>
        <v/>
      </c>
      <c r="AF561">
        <f>IF(AND($E561=TRUE,$C561="DEF"),AB561,"")</f>
        <v/>
      </c>
      <c r="AG561">
        <f>IF(AND($E561=TRUE,$C561="MID"),AB561,"")</f>
        <v/>
      </c>
      <c r="AH561">
        <f>IF(AND($E561=TRUE,$C561="FWD"),AB561,"")</f>
        <v/>
      </c>
    </row>
    <row r="562">
      <c r="A562" t="inlineStr">
        <is>
          <t>Jean-Ricner Bellegarde</t>
        </is>
      </c>
      <c r="D562" t="inlineStr">
        <is>
          <t>MID</t>
        </is>
      </c>
      <c r="E562" t="b">
        <v>0</v>
      </c>
      <c r="F562" s="2" t="n"/>
      <c r="I562" s="2" t="n">
        <v>1251</v>
      </c>
      <c r="K562" s="3" t="n">
        <v>1251</v>
      </c>
      <c r="L562" s="3" t="n"/>
      <c r="M562" s="4" t="n">
        <v>0.07580000000000001</v>
      </c>
      <c r="N562" t="inlineStr">
        <is>
          <t>adjusted xGOT</t>
        </is>
      </c>
      <c r="O562" s="4" t="n">
        <v>1.013</v>
      </c>
      <c r="P562" s="4" t="n">
        <v>3.8</v>
      </c>
      <c r="Q562" s="4" t="n">
        <v>0.08749999999999999</v>
      </c>
      <c r="R562" s="4" t="n">
        <v>0</v>
      </c>
      <c r="S562" s="4" t="n">
        <v>0</v>
      </c>
      <c r="T562" s="4" t="n">
        <v>2.734</v>
      </c>
      <c r="U562" s="4">
        <f>IF(T562="",IFERROR(VLOOKUP($C562,Assumptions!$A$4:$F$7,6,FALSE),0),T562)</f>
        <v/>
      </c>
      <c r="V562" s="4">
        <f>N(M562)*IFERROR(VLOOKUP($C562,Assumptions!$A$4:$F$7,2,FALSE),0)</f>
        <v/>
      </c>
      <c r="W562" s="4">
        <f>N(Q562)*IFERROR(VLOOKUP($C562,Assumptions!$A$4:$F$7,3,FALSE),0)*Assumptions!$B$11</f>
        <v/>
      </c>
      <c r="X562" s="4">
        <f>N(L562)*IFERROR(VLOOKUP($C562,Assumptions!$A$4:$F$7,4,FALSE),0)</f>
        <v/>
      </c>
      <c r="Y562" s="4">
        <f>N(R562)*IFERROR(VLOOKUP($C562,Assumptions!$A$4:$F$7,5,FALSE),0)</f>
        <v/>
      </c>
      <c r="Z562" s="4">
        <f>N(S562)</f>
        <v/>
      </c>
      <c r="AA562" s="4">
        <f>SUM(U562:Z562)</f>
        <v/>
      </c>
      <c r="AB562" s="4">
        <f>N(AA562)*N(K562)/90</f>
        <v/>
      </c>
      <c r="AC562" s="4">
        <f>IFERROR(AB562-VLOOKUP($C562,Assumptions!$A$29:$C$32,3,FALSE),"")</f>
        <v/>
      </c>
      <c r="AD562" s="4">
        <f>IFERROR(AC562/F562,"")</f>
        <v/>
      </c>
      <c r="AE562">
        <f>IF(AND($E562=TRUE,$C562="GKP"),AB562,"")</f>
        <v/>
      </c>
      <c r="AF562">
        <f>IF(AND($E562=TRUE,$C562="DEF"),AB562,"")</f>
        <v/>
      </c>
      <c r="AG562">
        <f>IF(AND($E562=TRUE,$C562="MID"),AB562,"")</f>
        <v/>
      </c>
      <c r="AH562">
        <f>IF(AND($E562=TRUE,$C562="FWD"),AB562,"")</f>
        <v/>
      </c>
    </row>
    <row r="563">
      <c r="A563" t="inlineStr">
        <is>
          <t>Santiago Bueno</t>
        </is>
      </c>
      <c r="D563" t="inlineStr">
        <is>
          <t>DEF</t>
        </is>
      </c>
      <c r="E563" t="b">
        <v>0</v>
      </c>
      <c r="F563" s="2" t="n"/>
      <c r="I563" s="2" t="n">
        <v>2553</v>
      </c>
      <c r="K563" s="3" t="n">
        <v>2553</v>
      </c>
      <c r="L563" s="3" t="n"/>
      <c r="M563" s="4" t="n">
        <v>0.0876</v>
      </c>
      <c r="N563" t="inlineStr">
        <is>
          <t>adjusted xGOT</t>
        </is>
      </c>
      <c r="O563" s="4" t="n">
        <v>1.09</v>
      </c>
      <c r="P563" s="4" t="n">
        <v>2.7</v>
      </c>
      <c r="Q563" s="4" t="n">
        <v>0.0318</v>
      </c>
      <c r="R563" s="4" t="n">
        <v>0.179</v>
      </c>
      <c r="S563" s="4" t="n">
        <v>0.141</v>
      </c>
      <c r="T563" s="4" t="n">
        <v>2.009</v>
      </c>
      <c r="U563" s="4">
        <f>IF(T563="",IFERROR(VLOOKUP($C563,Assumptions!$A$4:$F$7,6,FALSE),0),T563)</f>
        <v/>
      </c>
      <c r="V563" s="4">
        <f>N(M563)*IFERROR(VLOOKUP($C563,Assumptions!$A$4:$F$7,2,FALSE),0)</f>
        <v/>
      </c>
      <c r="W563" s="4">
        <f>N(Q563)*IFERROR(VLOOKUP($C563,Assumptions!$A$4:$F$7,3,FALSE),0)*Assumptions!$B$11</f>
        <v/>
      </c>
      <c r="X563" s="4">
        <f>N(L563)*IFERROR(VLOOKUP($C563,Assumptions!$A$4:$F$7,4,FALSE),0)</f>
        <v/>
      </c>
      <c r="Y563" s="4">
        <f>N(R563)*IFERROR(VLOOKUP($C563,Assumptions!$A$4:$F$7,5,FALSE),0)</f>
        <v/>
      </c>
      <c r="Z563" s="4">
        <f>N(S563)</f>
        <v/>
      </c>
      <c r="AA563" s="4">
        <f>SUM(U563:Z563)</f>
        <v/>
      </c>
      <c r="AB563" s="4">
        <f>N(AA563)*N(K563)/90</f>
        <v/>
      </c>
      <c r="AC563" s="4">
        <f>IFERROR(AB563-VLOOKUP($C563,Assumptions!$A$29:$C$32,3,FALSE),"")</f>
        <v/>
      </c>
      <c r="AD563" s="4">
        <f>IFERROR(AC563/F563,"")</f>
        <v/>
      </c>
      <c r="AE563">
        <f>IF(AND($E563=TRUE,$C563="GKP"),AB563,"")</f>
        <v/>
      </c>
      <c r="AF563">
        <f>IF(AND($E563=TRUE,$C563="DEF"),AB563,"")</f>
        <v/>
      </c>
      <c r="AG563">
        <f>IF(AND($E563=TRUE,$C563="MID"),AB563,"")</f>
        <v/>
      </c>
      <c r="AH563">
        <f>IF(AND($E563=TRUE,$C563="FWD"),AB563,"")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b">
        <v>1</v>
      </c>
      <c r="F564" s="2" t="n">
        <v>4.5</v>
      </c>
      <c r="G564" t="inlineStr">
        <is>
          <t>i</t>
        </is>
      </c>
      <c r="H564" t="inlineStr">
        <is>
          <t>Knee injury - Unknown return date</t>
        </is>
      </c>
      <c r="I564" s="2" t="n"/>
      <c r="K564" s="3" t="n"/>
      <c r="L564" s="3" t="n"/>
      <c r="M564" s="4" t="n"/>
      <c r="N564" t="inlineStr"/>
      <c r="O564" s="4" t="n"/>
      <c r="P564" s="4" t="n"/>
      <c r="Q564" s="4" t="n"/>
      <c r="R564" s="4" t="n"/>
      <c r="S564" s="4" t="n"/>
      <c r="T564" s="4" t="n"/>
      <c r="U564" s="4">
        <f>IF(T564="",IFERROR(VLOOKUP($C564,Assumptions!$A$4:$F$7,6,FALSE),0),T564)</f>
        <v/>
      </c>
      <c r="V564" s="4">
        <f>N(M564)*IFERROR(VLOOKUP($C564,Assumptions!$A$4:$F$7,2,FALSE),0)</f>
        <v/>
      </c>
      <c r="W564" s="4">
        <f>N(Q564)*IFERROR(VLOOKUP($C564,Assumptions!$A$4:$F$7,3,FALSE),0)*Assumptions!$B$11</f>
        <v/>
      </c>
      <c r="X564" s="4">
        <f>N(L564)*IFERROR(VLOOKUP($C564,Assumptions!$A$4:$F$7,4,FALSE),0)</f>
        <v/>
      </c>
      <c r="Y564" s="4">
        <f>N(R564)*IFERROR(VLOOKUP($C564,Assumptions!$A$4:$F$7,5,FALSE),0)</f>
        <v/>
      </c>
      <c r="Z564" s="4">
        <f>N(S564)</f>
        <v/>
      </c>
      <c r="AA564" s="4">
        <f>SUM(U564:Z564)</f>
        <v/>
      </c>
      <c r="AB564" s="4">
        <f>N(AA564)*N(K564)/90</f>
        <v/>
      </c>
      <c r="AC564" s="4">
        <f>IFERROR(AB564-VLOOKUP($C564,Assumptions!$A$29:$C$32,3,FALSE),"")</f>
        <v/>
      </c>
      <c r="AD564" s="4">
        <f>IFERROR(AC564/F564,"")</f>
        <v/>
      </c>
      <c r="AE564">
        <f>IF(AND($E564=TRUE,$C564="GKP"),AB564,"")</f>
        <v/>
      </c>
      <c r="AF564">
        <f>IF(AND($E564=TRUE,$C564="DEF"),AB564,"")</f>
        <v/>
      </c>
      <c r="AG564">
        <f>IF(AND($E564=TRUE,$C564="MID"),AB564,"")</f>
        <v/>
      </c>
      <c r="AH564">
        <f>IF(AND($E564=TRUE,$C564="FWD"),AB564,"")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b">
        <v>1</v>
      </c>
      <c r="F565" s="2" t="n">
        <v>4</v>
      </c>
      <c r="G565" t="inlineStr">
        <is>
          <t>a</t>
        </is>
      </c>
      <c r="I565" s="2" t="n"/>
      <c r="K565" s="3" t="n"/>
      <c r="L565" s="3" t="n"/>
      <c r="M565" s="4" t="n"/>
      <c r="N565" t="inlineStr"/>
      <c r="O565" s="4" t="n"/>
      <c r="P565" s="4" t="n"/>
      <c r="Q565" s="4" t="n"/>
      <c r="R565" s="4" t="n"/>
      <c r="S565" s="4" t="n"/>
      <c r="T565" s="4" t="n"/>
      <c r="U565" s="4">
        <f>IF(T565="",IFERROR(VLOOKUP($C565,Assumptions!$A$4:$F$7,6,FALSE),0),T565)</f>
        <v/>
      </c>
      <c r="V565" s="4">
        <f>N(M565)*IFERROR(VLOOKUP($C565,Assumptions!$A$4:$F$7,2,FALSE),0)</f>
        <v/>
      </c>
      <c r="W565" s="4">
        <f>N(Q565)*IFERROR(VLOOKUP($C565,Assumptions!$A$4:$F$7,3,FALSE),0)*Assumptions!$B$11</f>
        <v/>
      </c>
      <c r="X565" s="4">
        <f>N(L565)*IFERROR(VLOOKUP($C565,Assumptions!$A$4:$F$7,4,FALSE),0)</f>
        <v/>
      </c>
      <c r="Y565" s="4">
        <f>N(R565)*IFERROR(VLOOKUP($C565,Assumptions!$A$4:$F$7,5,FALSE),0)</f>
        <v/>
      </c>
      <c r="Z565" s="4">
        <f>N(S565)</f>
        <v/>
      </c>
      <c r="AA565" s="4">
        <f>SUM(U565:Z565)</f>
        <v/>
      </c>
      <c r="AB565" s="4">
        <f>N(AA565)*N(K565)/90</f>
        <v/>
      </c>
      <c r="AC565" s="4">
        <f>IFERROR(AB565-VLOOKUP($C565,Assumptions!$A$29:$C$32,3,FALSE),"")</f>
        <v/>
      </c>
      <c r="AD565" s="4">
        <f>IFERROR(AC565/F565,"")</f>
        <v/>
      </c>
      <c r="AE565">
        <f>IF(AND($E565=TRUE,$C565="GKP"),AB565,"")</f>
        <v/>
      </c>
      <c r="AF565">
        <f>IF(AND($E565=TRUE,$C565="DEF"),AB565,"")</f>
        <v/>
      </c>
      <c r="AG565">
        <f>IF(AND($E565=TRUE,$C565="MID"),AB565,"")</f>
        <v/>
      </c>
      <c r="AH565">
        <f>IF(AND($E565=TRUE,$C565="FWD"),AB565,"")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b">
        <v>1</v>
      </c>
      <c r="F566" s="2" t="n">
        <v>5</v>
      </c>
      <c r="G566" t="inlineStr">
        <is>
          <t>a</t>
        </is>
      </c>
      <c r="I566" s="2" t="n"/>
      <c r="K566" s="3" t="n"/>
      <c r="L566" s="3" t="n"/>
      <c r="M566" s="4" t="n"/>
      <c r="N566" t="inlineStr"/>
      <c r="O566" s="4" t="n"/>
      <c r="P566" s="4" t="n"/>
      <c r="Q566" s="4" t="n"/>
      <c r="R566" s="4" t="n"/>
      <c r="S566" s="4" t="n"/>
      <c r="T566" s="4" t="n"/>
      <c r="U566" s="4">
        <f>IF(T566="",IFERROR(VLOOKUP($C566,Assumptions!$A$4:$F$7,6,FALSE),0),T566)</f>
        <v/>
      </c>
      <c r="V566" s="4">
        <f>N(M566)*IFERROR(VLOOKUP($C566,Assumptions!$A$4:$F$7,2,FALSE),0)</f>
        <v/>
      </c>
      <c r="W566" s="4">
        <f>N(Q566)*IFERROR(VLOOKUP($C566,Assumptions!$A$4:$F$7,3,FALSE),0)*Assumptions!$B$11</f>
        <v/>
      </c>
      <c r="X566" s="4">
        <f>N(L566)*IFERROR(VLOOKUP($C566,Assumptions!$A$4:$F$7,4,FALSE),0)</f>
        <v/>
      </c>
      <c r="Y566" s="4">
        <f>N(R566)*IFERROR(VLOOKUP($C566,Assumptions!$A$4:$F$7,5,FALSE),0)</f>
        <v/>
      </c>
      <c r="Z566" s="4">
        <f>N(S566)</f>
        <v/>
      </c>
      <c r="AA566" s="4">
        <f>SUM(U566:Z566)</f>
        <v/>
      </c>
      <c r="AB566" s="4">
        <f>N(AA566)*N(K566)/90</f>
        <v/>
      </c>
      <c r="AC566" s="4">
        <f>IFERROR(AB566-VLOOKUP($C566,Assumptions!$A$29:$C$32,3,FALSE),"")</f>
        <v/>
      </c>
      <c r="AD566" s="4">
        <f>IFERROR(AC566/F566,"")</f>
        <v/>
      </c>
      <c r="AE566">
        <f>IF(AND($E566=TRUE,$C566="GKP"),AB566,"")</f>
        <v/>
      </c>
      <c r="AF566">
        <f>IF(AND($E566=TRUE,$C566="DEF"),AB566,"")</f>
        <v/>
      </c>
      <c r="AG566">
        <f>IF(AND($E566=TRUE,$C566="MID"),AB566,"")</f>
        <v/>
      </c>
      <c r="AH566">
        <f>IF(AND($E566=TRUE,$C566="FWD"),AB566,"")</f>
        <v/>
      </c>
    </row>
    <row r="567">
      <c r="A567" t="inlineStr">
        <is>
          <t>Anthony Gordon</t>
        </is>
      </c>
      <c r="D567" t="inlineStr">
        <is>
          <t>MID</t>
        </is>
      </c>
      <c r="E567" t="b">
        <v>0</v>
      </c>
      <c r="F567" s="2" t="n"/>
      <c r="I567" s="2" t="n">
        <v>1814</v>
      </c>
      <c r="K567" s="3" t="n">
        <v>1814</v>
      </c>
      <c r="L567" s="3" t="n"/>
      <c r="M567" s="4" t="n">
        <v>0.3955</v>
      </c>
      <c r="N567" t="inlineStr">
        <is>
          <t>adjusted xGOT</t>
        </is>
      </c>
      <c r="O567" s="4" t="n">
        <v>0.909</v>
      </c>
      <c r="P567" s="4" t="n">
        <v>31.7</v>
      </c>
      <c r="Q567" s="4" t="n">
        <v>0.1843</v>
      </c>
      <c r="R567" s="4" t="n">
        <v>0</v>
      </c>
      <c r="S567" s="4" t="n">
        <v>0.4465</v>
      </c>
      <c r="T567" s="4" t="n">
        <v>2.332</v>
      </c>
      <c r="U567" s="4">
        <f>IF(T567="",IFERROR(VLOOKUP($C567,Assumptions!$A$4:$F$7,6,FALSE),0),T567)</f>
        <v/>
      </c>
      <c r="V567" s="4">
        <f>N(M567)*IFERROR(VLOOKUP($C567,Assumptions!$A$4:$F$7,2,FALSE),0)</f>
        <v/>
      </c>
      <c r="W567" s="4">
        <f>N(Q567)*IFERROR(VLOOKUP($C567,Assumptions!$A$4:$F$7,3,FALSE),0)*Assumptions!$B$11</f>
        <v/>
      </c>
      <c r="X567" s="4">
        <f>N(L567)*IFERROR(VLOOKUP($C567,Assumptions!$A$4:$F$7,4,FALSE),0)</f>
        <v/>
      </c>
      <c r="Y567" s="4">
        <f>N(R567)*IFERROR(VLOOKUP($C567,Assumptions!$A$4:$F$7,5,FALSE),0)</f>
        <v/>
      </c>
      <c r="Z567" s="4">
        <f>N(S567)</f>
        <v/>
      </c>
      <c r="AA567" s="4">
        <f>SUM(U567:Z567)</f>
        <v/>
      </c>
      <c r="AB567" s="4">
        <f>N(AA567)*N(K567)/90</f>
        <v/>
      </c>
      <c r="AC567" s="4">
        <f>IFERROR(AB567-VLOOKUP($C567,Assumptions!$A$29:$C$32,3,FALSE),"")</f>
        <v/>
      </c>
      <c r="AD567" s="4">
        <f>IFERROR(AC567/F567,"")</f>
        <v/>
      </c>
      <c r="AE567">
        <f>IF(AND($E567=TRUE,$C567="GKP"),AB567,"")</f>
        <v/>
      </c>
      <c r="AF567">
        <f>IF(AND($E567=TRUE,$C567="DEF"),AB567,"")</f>
        <v/>
      </c>
      <c r="AG567">
        <f>IF(AND($E567=TRUE,$C567="MID"),AB567,"")</f>
        <v/>
      </c>
      <c r="AH567">
        <f>IF(AND($E567=TRUE,$C567="FWD"),AB567,"")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b">
        <v>1</v>
      </c>
      <c r="F568" s="2" t="n">
        <v>5</v>
      </c>
      <c r="G568" t="inlineStr">
        <is>
          <t>a</t>
        </is>
      </c>
      <c r="I568" s="2" t="n"/>
      <c r="K568" s="3" t="n"/>
      <c r="L568" s="3" t="n"/>
      <c r="M568" s="4" t="n"/>
      <c r="N568" t="inlineStr"/>
      <c r="O568" s="4" t="n"/>
      <c r="P568" s="4" t="n"/>
      <c r="Q568" s="4" t="n"/>
      <c r="R568" s="4" t="n"/>
      <c r="S568" s="4" t="n"/>
      <c r="T568" s="4" t="n"/>
      <c r="U568" s="4">
        <f>IF(T568="",IFERROR(VLOOKUP($C568,Assumptions!$A$4:$F$7,6,FALSE),0),T568)</f>
        <v/>
      </c>
      <c r="V568" s="4">
        <f>N(M568)*IFERROR(VLOOKUP($C568,Assumptions!$A$4:$F$7,2,FALSE),0)</f>
        <v/>
      </c>
      <c r="W568" s="4">
        <f>N(Q568)*IFERROR(VLOOKUP($C568,Assumptions!$A$4:$F$7,3,FALSE),0)*Assumptions!$B$11</f>
        <v/>
      </c>
      <c r="X568" s="4">
        <f>N(L568)*IFERROR(VLOOKUP($C568,Assumptions!$A$4:$F$7,4,FALSE),0)</f>
        <v/>
      </c>
      <c r="Y568" s="4">
        <f>N(R568)*IFERROR(VLOOKUP($C568,Assumptions!$A$4:$F$7,5,FALSE),0)</f>
        <v/>
      </c>
      <c r="Z568" s="4">
        <f>N(S568)</f>
        <v/>
      </c>
      <c r="AA568" s="4">
        <f>SUM(U568:Z568)</f>
        <v/>
      </c>
      <c r="AB568" s="4">
        <f>N(AA568)*N(K568)/90</f>
        <v/>
      </c>
      <c r="AC568" s="4">
        <f>IFERROR(AB568-VLOOKUP($C568,Assumptions!$A$29:$C$32,3,FALSE),"")</f>
        <v/>
      </c>
      <c r="AD568" s="4">
        <f>IFERROR(AC568/F568,"")</f>
        <v/>
      </c>
      <c r="AE568">
        <f>IF(AND($E568=TRUE,$C568="GKP"),AB568,"")</f>
        <v/>
      </c>
      <c r="AF568">
        <f>IF(AND($E568=TRUE,$C568="DEF"),AB568,"")</f>
        <v/>
      </c>
      <c r="AG568">
        <f>IF(AND($E568=TRUE,$C568="MID"),AB568,"")</f>
        <v/>
      </c>
      <c r="AH568">
        <f>IF(AND($E568=TRUE,$C568="FWD"),AB568,"")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t="b">
        <v>0</v>
      </c>
      <c r="F569" s="2" t="n"/>
      <c r="I569" s="2" t="n">
        <v>2528</v>
      </c>
      <c r="K569" s="3" t="n">
        <v>2528</v>
      </c>
      <c r="L569" s="3" t="n"/>
      <c r="M569" s="4" t="n">
        <v>0.09080000000000001</v>
      </c>
      <c r="N569" t="inlineStr">
        <is>
          <t>adjusted xGOT</t>
        </is>
      </c>
      <c r="O569" s="4" t="n">
        <v>1.032</v>
      </c>
      <c r="P569" s="4" t="n">
        <v>5.3</v>
      </c>
      <c r="Q569" s="4" t="n">
        <v>0.0174</v>
      </c>
      <c r="R569" s="4" t="n">
        <v>0.667</v>
      </c>
      <c r="S569" s="4" t="n">
        <v>0.178</v>
      </c>
      <c r="T569" s="4" t="n">
        <v>2.065</v>
      </c>
      <c r="U569" s="4">
        <f>IF(T569="",IFERROR(VLOOKUP($C569,Assumptions!$A$4:$F$7,6,FALSE),0),T569)</f>
        <v/>
      </c>
      <c r="V569" s="4">
        <f>N(M569)*IFERROR(VLOOKUP($C569,Assumptions!$A$4:$F$7,2,FALSE),0)</f>
        <v/>
      </c>
      <c r="W569" s="4">
        <f>N(Q569)*IFERROR(VLOOKUP($C569,Assumptions!$A$4:$F$7,3,FALSE),0)*Assumptions!$B$11</f>
        <v/>
      </c>
      <c r="X569" s="4">
        <f>N(L569)*IFERROR(VLOOKUP($C569,Assumptions!$A$4:$F$7,4,FALSE),0)</f>
        <v/>
      </c>
      <c r="Y569" s="4">
        <f>N(R569)*IFERROR(VLOOKUP($C569,Assumptions!$A$4:$F$7,5,FALSE),0)</f>
        <v/>
      </c>
      <c r="Z569" s="4">
        <f>N(S569)</f>
        <v/>
      </c>
      <c r="AA569" s="4">
        <f>SUM(U569:Z569)</f>
        <v/>
      </c>
      <c r="AB569" s="4">
        <f>N(AA569)*N(K569)/90</f>
        <v/>
      </c>
      <c r="AC569" s="4">
        <f>IFERROR(AB569-VLOOKUP($C569,Assumptions!$A$29:$C$32,3,FALSE),"")</f>
        <v/>
      </c>
      <c r="AD569" s="4">
        <f>IFERROR(AC569/F569,"")</f>
        <v/>
      </c>
      <c r="AE569">
        <f>IF(AND($E569=TRUE,$C569="GKP"),AB569,"")</f>
        <v/>
      </c>
      <c r="AF569">
        <f>IF(AND($E569=TRUE,$C569="DEF"),AB569,"")</f>
        <v/>
      </c>
      <c r="AG569">
        <f>IF(AND($E569=TRUE,$C569="MID"),AB569,"")</f>
        <v/>
      </c>
      <c r="AH569">
        <f>IF(AND($E569=TRUE,$C569="FWD"),AB569,"")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b">
        <v>1</v>
      </c>
      <c r="F570" s="2" t="n">
        <v>5</v>
      </c>
      <c r="G570" t="inlineStr">
        <is>
          <t>i</t>
        </is>
      </c>
      <c r="H570" t="inlineStr">
        <is>
          <t>Muscular injury - Unknown return date</t>
        </is>
      </c>
      <c r="I570" s="2" t="n"/>
      <c r="K570" s="3" t="n"/>
      <c r="L570" s="3" t="n"/>
      <c r="M570" s="4" t="n"/>
      <c r="N570" t="inlineStr"/>
      <c r="O570" s="4" t="n"/>
      <c r="P570" s="4" t="n"/>
      <c r="Q570" s="4" t="n"/>
      <c r="R570" s="4" t="n"/>
      <c r="S570" s="4" t="n"/>
      <c r="T570" s="4" t="n"/>
      <c r="U570" s="4">
        <f>IF(T570="",IFERROR(VLOOKUP($C570,Assumptions!$A$4:$F$7,6,FALSE),0),T570)</f>
        <v/>
      </c>
      <c r="V570" s="4">
        <f>N(M570)*IFERROR(VLOOKUP($C570,Assumptions!$A$4:$F$7,2,FALSE),0)</f>
        <v/>
      </c>
      <c r="W570" s="4">
        <f>N(Q570)*IFERROR(VLOOKUP($C570,Assumptions!$A$4:$F$7,3,FALSE),0)*Assumptions!$B$11</f>
        <v/>
      </c>
      <c r="X570" s="4">
        <f>N(L570)*IFERROR(VLOOKUP($C570,Assumptions!$A$4:$F$7,4,FALSE),0)</f>
        <v/>
      </c>
      <c r="Y570" s="4">
        <f>N(R570)*IFERROR(VLOOKUP($C570,Assumptions!$A$4:$F$7,5,FALSE),0)</f>
        <v/>
      </c>
      <c r="Z570" s="4">
        <f>N(S570)</f>
        <v/>
      </c>
      <c r="AA570" s="4">
        <f>SUM(U570:Z570)</f>
        <v/>
      </c>
      <c r="AB570" s="4">
        <f>N(AA570)*N(K570)/90</f>
        <v/>
      </c>
      <c r="AC570" s="4">
        <f>IFERROR(AB570-VLOOKUP($C570,Assumptions!$A$29:$C$32,3,FALSE),"")</f>
        <v/>
      </c>
      <c r="AD570" s="4">
        <f>IFERROR(AC570/F570,"")</f>
        <v/>
      </c>
      <c r="AE570">
        <f>IF(AND($E570=TRUE,$C570="GKP"),AB570,"")</f>
        <v/>
      </c>
      <c r="AF570">
        <f>IF(AND($E570=TRUE,$C570="DEF"),AB570,"")</f>
        <v/>
      </c>
      <c r="AG570">
        <f>IF(AND($E570=TRUE,$C570="MID"),AB570,"")</f>
        <v/>
      </c>
      <c r="AH570">
        <f>IF(AND($E570=TRUE,$C570="FWD"),AB570,"")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b">
        <v>1</v>
      </c>
      <c r="F571" s="2" t="n">
        <v>5.5</v>
      </c>
      <c r="G571" t="inlineStr">
        <is>
          <t>a</t>
        </is>
      </c>
      <c r="I571" s="2" t="n"/>
      <c r="K571" s="3" t="n"/>
      <c r="L571" s="3" t="n"/>
      <c r="M571" s="4" t="n"/>
      <c r="N571" t="inlineStr"/>
      <c r="O571" s="4" t="n"/>
      <c r="P571" s="4" t="n"/>
      <c r="Q571" s="4" t="n"/>
      <c r="R571" s="4" t="n"/>
      <c r="S571" s="4" t="n"/>
      <c r="T571" s="4" t="n"/>
      <c r="U571" s="4">
        <f>IF(T571="",IFERROR(VLOOKUP($C571,Assumptions!$A$4:$F$7,6,FALSE),0),T571)</f>
        <v/>
      </c>
      <c r="V571" s="4">
        <f>N(M571)*IFERROR(VLOOKUP($C571,Assumptions!$A$4:$F$7,2,FALSE),0)</f>
        <v/>
      </c>
      <c r="W571" s="4">
        <f>N(Q571)*IFERROR(VLOOKUP($C571,Assumptions!$A$4:$F$7,3,FALSE),0)*Assumptions!$B$11</f>
        <v/>
      </c>
      <c r="X571" s="4">
        <f>N(L571)*IFERROR(VLOOKUP($C571,Assumptions!$A$4:$F$7,4,FALSE),0)</f>
        <v/>
      </c>
      <c r="Y571" s="4">
        <f>N(R571)*IFERROR(VLOOKUP($C571,Assumptions!$A$4:$F$7,5,FALSE),0)</f>
        <v/>
      </c>
      <c r="Z571" s="4">
        <f>N(S571)</f>
        <v/>
      </c>
      <c r="AA571" s="4">
        <f>SUM(U571:Z571)</f>
        <v/>
      </c>
      <c r="AB571" s="4">
        <f>N(AA571)*N(K571)/90</f>
        <v/>
      </c>
      <c r="AC571" s="4">
        <f>IFERROR(AB571-VLOOKUP($C571,Assumptions!$A$29:$C$32,3,FALSE),"")</f>
        <v/>
      </c>
      <c r="AD571" s="4">
        <f>IFERROR(AC571/F571,"")</f>
        <v/>
      </c>
      <c r="AE571">
        <f>IF(AND($E571=TRUE,$C571="GKP"),AB571,"")</f>
        <v/>
      </c>
      <c r="AF571">
        <f>IF(AND($E571=TRUE,$C571="DEF"),AB571,"")</f>
        <v/>
      </c>
      <c r="AG571">
        <f>IF(AND($E571=TRUE,$C571="MID"),AB571,"")</f>
        <v/>
      </c>
      <c r="AH571">
        <f>IF(AND($E571=TRUE,$C571="FWD"),AB571,"")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b">
        <v>1</v>
      </c>
      <c r="F572" s="2" t="n">
        <v>4.5</v>
      </c>
      <c r="G572" t="inlineStr">
        <is>
          <t>a</t>
        </is>
      </c>
      <c r="I572" s="2" t="n"/>
      <c r="K572" s="3" t="n"/>
      <c r="L572" s="3" t="n">
        <v>0.316</v>
      </c>
      <c r="M572" s="4" t="n"/>
      <c r="N572" t="inlineStr"/>
      <c r="O572" s="4" t="n"/>
      <c r="P572" s="4" t="n"/>
      <c r="Q572" s="4" t="n"/>
      <c r="R572" s="4" t="n"/>
      <c r="S572" s="4" t="n"/>
      <c r="T572" s="4" t="n"/>
      <c r="U572" s="4">
        <f>IF(T572="",IFERROR(VLOOKUP($C572,Assumptions!$A$4:$F$7,6,FALSE),0),T572)</f>
        <v/>
      </c>
      <c r="V572" s="4">
        <f>N(M572)*IFERROR(VLOOKUP($C572,Assumptions!$A$4:$F$7,2,FALSE),0)</f>
        <v/>
      </c>
      <c r="W572" s="4">
        <f>N(Q572)*IFERROR(VLOOKUP($C572,Assumptions!$A$4:$F$7,3,FALSE),0)*Assumptions!$B$11</f>
        <v/>
      </c>
      <c r="X572" s="4">
        <f>N(L572)*IFERROR(VLOOKUP($C572,Assumptions!$A$4:$F$7,4,FALSE),0)</f>
        <v/>
      </c>
      <c r="Y572" s="4">
        <f>N(R572)*IFERROR(VLOOKUP($C572,Assumptions!$A$4:$F$7,5,FALSE),0)</f>
        <v/>
      </c>
      <c r="Z572" s="4">
        <f>N(S572)</f>
        <v/>
      </c>
      <c r="AA572" s="4">
        <f>SUM(U572:Z572)</f>
        <v/>
      </c>
      <c r="AB572" s="4">
        <f>N(AA572)*N(K572)/90</f>
        <v/>
      </c>
      <c r="AC572" s="4">
        <f>IFERROR(AB572-VLOOKUP($C572,Assumptions!$A$29:$C$32,3,FALSE),"")</f>
        <v/>
      </c>
      <c r="AD572" s="4">
        <f>IFERROR(AC572/F572,"")</f>
        <v/>
      </c>
      <c r="AE572">
        <f>IF(AND($E572=TRUE,$C572="GKP"),AB572,"")</f>
        <v/>
      </c>
      <c r="AF572">
        <f>IF(AND($E572=TRUE,$C572="DEF"),AB572,"")</f>
        <v/>
      </c>
      <c r="AG572">
        <f>IF(AND($E572=TRUE,$C572="MID"),AB572,"")</f>
        <v/>
      </c>
      <c r="AH572">
        <f>IF(AND($E572=TRUE,$C572="FWD"),AB572,"")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b">
        <v>1</v>
      </c>
      <c r="F573" s="2" t="n">
        <v>4.5</v>
      </c>
      <c r="G573" t="inlineStr">
        <is>
          <t>a</t>
        </is>
      </c>
      <c r="I573" s="2" t="n"/>
      <c r="K573" s="3" t="n"/>
      <c r="L573" s="3" t="n"/>
      <c r="M573" s="4" t="n"/>
      <c r="N573" t="inlineStr"/>
      <c r="O573" s="4" t="n"/>
      <c r="P573" s="4" t="n"/>
      <c r="Q573" s="4" t="n"/>
      <c r="R573" s="4" t="n"/>
      <c r="S573" s="4" t="n"/>
      <c r="T573" s="4" t="n"/>
      <c r="U573" s="4">
        <f>IF(T573="",IFERROR(VLOOKUP($C573,Assumptions!$A$4:$F$7,6,FALSE),0),T573)</f>
        <v/>
      </c>
      <c r="V573" s="4">
        <f>N(M573)*IFERROR(VLOOKUP($C573,Assumptions!$A$4:$F$7,2,FALSE),0)</f>
        <v/>
      </c>
      <c r="W573" s="4">
        <f>N(Q573)*IFERROR(VLOOKUP($C573,Assumptions!$A$4:$F$7,3,FALSE),0)*Assumptions!$B$11</f>
        <v/>
      </c>
      <c r="X573" s="4">
        <f>N(L573)*IFERROR(VLOOKUP($C573,Assumptions!$A$4:$F$7,4,FALSE),0)</f>
        <v/>
      </c>
      <c r="Y573" s="4">
        <f>N(R573)*IFERROR(VLOOKUP($C573,Assumptions!$A$4:$F$7,5,FALSE),0)</f>
        <v/>
      </c>
      <c r="Z573" s="4">
        <f>N(S573)</f>
        <v/>
      </c>
      <c r="AA573" s="4">
        <f>SUM(U573:Z573)</f>
        <v/>
      </c>
      <c r="AB573" s="4">
        <f>N(AA573)*N(K573)/90</f>
        <v/>
      </c>
      <c r="AC573" s="4">
        <f>IFERROR(AB573-VLOOKUP($C573,Assumptions!$A$29:$C$32,3,FALSE),"")</f>
        <v/>
      </c>
      <c r="AD573" s="4">
        <f>IFERROR(AC573/F573,"")</f>
        <v/>
      </c>
      <c r="AE573">
        <f>IF(AND($E573=TRUE,$C573="GKP"),AB573,"")</f>
        <v/>
      </c>
      <c r="AF573">
        <f>IF(AND($E573=TRUE,$C573="DEF"),AB573,"")</f>
        <v/>
      </c>
      <c r="AG573">
        <f>IF(AND($E573=TRUE,$C573="MID"),AB573,"")</f>
        <v/>
      </c>
      <c r="AH573">
        <f>IF(AND($E573=TRUE,$C573="FWD"),AB573,"")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b">
        <v>1</v>
      </c>
      <c r="F574" s="2" t="n">
        <v>5.5</v>
      </c>
      <c r="G574" t="inlineStr">
        <is>
          <t>a</t>
        </is>
      </c>
      <c r="I574" s="2" t="n"/>
      <c r="K574" s="3" t="n"/>
      <c r="L574" s="3" t="n">
        <v>0.29</v>
      </c>
      <c r="M574" s="4" t="n"/>
      <c r="N574" t="inlineStr"/>
      <c r="O574" s="4" t="n"/>
      <c r="P574" s="4" t="n"/>
      <c r="Q574" s="4" t="n"/>
      <c r="R574" s="4" t="n"/>
      <c r="S574" s="4" t="n"/>
      <c r="T574" s="4" t="n"/>
      <c r="U574" s="4">
        <f>IF(T574="",IFERROR(VLOOKUP($C574,Assumptions!$A$4:$F$7,6,FALSE),0),T574)</f>
        <v/>
      </c>
      <c r="V574" s="4">
        <f>N(M574)*IFERROR(VLOOKUP($C574,Assumptions!$A$4:$F$7,2,FALSE),0)</f>
        <v/>
      </c>
      <c r="W574" s="4">
        <f>N(Q574)*IFERROR(VLOOKUP($C574,Assumptions!$A$4:$F$7,3,FALSE),0)*Assumptions!$B$11</f>
        <v/>
      </c>
      <c r="X574" s="4">
        <f>N(L574)*IFERROR(VLOOKUP($C574,Assumptions!$A$4:$F$7,4,FALSE),0)</f>
        <v/>
      </c>
      <c r="Y574" s="4">
        <f>N(R574)*IFERROR(VLOOKUP($C574,Assumptions!$A$4:$F$7,5,FALSE),0)</f>
        <v/>
      </c>
      <c r="Z574" s="4">
        <f>N(S574)</f>
        <v/>
      </c>
      <c r="AA574" s="4">
        <f>SUM(U574:Z574)</f>
        <v/>
      </c>
      <c r="AB574" s="4">
        <f>N(AA574)*N(K574)/90</f>
        <v/>
      </c>
      <c r="AC574" s="4">
        <f>IFERROR(AB574-VLOOKUP($C574,Assumptions!$A$29:$C$32,3,FALSE),"")</f>
        <v/>
      </c>
      <c r="AD574" s="4">
        <f>IFERROR(AC574/F574,"")</f>
        <v/>
      </c>
      <c r="AE574">
        <f>IF(AND($E574=TRUE,$C574="GKP"),AB574,"")</f>
        <v/>
      </c>
      <c r="AF574">
        <f>IF(AND($E574=TRUE,$C574="DEF"),AB574,"")</f>
        <v/>
      </c>
      <c r="AG574">
        <f>IF(AND($E574=TRUE,$C574="MID"),AB574,"")</f>
        <v/>
      </c>
      <c r="AH574">
        <f>IF(AND($E574=TRUE,$C574="FWD"),AB574,"")</f>
        <v/>
      </c>
    </row>
    <row r="575">
      <c r="A575" t="inlineStr">
        <is>
          <t>Valentín Castellanos</t>
        </is>
      </c>
      <c r="D575" t="inlineStr">
        <is>
          <t>FWD</t>
        </is>
      </c>
      <c r="E575" t="b">
        <v>0</v>
      </c>
      <c r="F575" s="2" t="n"/>
      <c r="I575" s="2" t="n">
        <v>1395</v>
      </c>
      <c r="K575" s="3" t="n">
        <v>1395</v>
      </c>
      <c r="L575" s="3" t="n"/>
      <c r="M575" s="4" t="n">
        <v>0.3858</v>
      </c>
      <c r="N575" t="inlineStr">
        <is>
          <t>adjusted xGOT</t>
        </is>
      </c>
      <c r="O575" s="4" t="n">
        <v>1.04</v>
      </c>
      <c r="P575" s="4" t="n">
        <v>5.8</v>
      </c>
      <c r="Q575" s="4" t="n">
        <v>0.0482</v>
      </c>
      <c r="R575" s="4" t="n">
        <v>0</v>
      </c>
      <c r="S575" s="4" t="n">
        <v>0.3226</v>
      </c>
      <c r="T575" s="4" t="n">
        <v>2.258</v>
      </c>
      <c r="U575" s="4">
        <f>IF(T575="",IFERROR(VLOOKUP($C575,Assumptions!$A$4:$F$7,6,FALSE),0),T575)</f>
        <v/>
      </c>
      <c r="V575" s="4">
        <f>N(M575)*IFERROR(VLOOKUP($C575,Assumptions!$A$4:$F$7,2,FALSE),0)</f>
        <v/>
      </c>
      <c r="W575" s="4">
        <f>N(Q575)*IFERROR(VLOOKUP($C575,Assumptions!$A$4:$F$7,3,FALSE),0)*Assumptions!$B$11</f>
        <v/>
      </c>
      <c r="X575" s="4">
        <f>N(L575)*IFERROR(VLOOKUP($C575,Assumptions!$A$4:$F$7,4,FALSE),0)</f>
        <v/>
      </c>
      <c r="Y575" s="4">
        <f>N(R575)*IFERROR(VLOOKUP($C575,Assumptions!$A$4:$F$7,5,FALSE),0)</f>
        <v/>
      </c>
      <c r="Z575" s="4">
        <f>N(S575)</f>
        <v/>
      </c>
      <c r="AA575" s="4">
        <f>SUM(U575:Z575)</f>
        <v/>
      </c>
      <c r="AB575" s="4">
        <f>N(AA575)*N(K575)/90</f>
        <v/>
      </c>
      <c r="AC575" s="4">
        <f>IFERROR(AB575-VLOOKUP($C575,Assumptions!$A$29:$C$32,3,FALSE),"")</f>
        <v/>
      </c>
      <c r="AD575" s="4">
        <f>IFERROR(AC575/F575,"")</f>
        <v/>
      </c>
      <c r="AE575">
        <f>IF(AND($E575=TRUE,$C575="GKP"),AB575,"")</f>
        <v/>
      </c>
      <c r="AF575">
        <f>IF(AND($E575=TRUE,$C575="DEF"),AB575,"")</f>
        <v/>
      </c>
      <c r="AG575">
        <f>IF(AND($E575=TRUE,$C575="MID"),AB575,"")</f>
        <v/>
      </c>
      <c r="AH575">
        <f>IF(AND($E575=TRUE,$C575="FWD"),AB575,"")</f>
        <v/>
      </c>
    </row>
    <row r="576">
      <c r="A576" t="inlineStr">
        <is>
          <t>Randal Kolo Muani</t>
        </is>
      </c>
      <c r="D576" t="inlineStr">
        <is>
          <t>FWD</t>
        </is>
      </c>
      <c r="E576" t="b">
        <v>0</v>
      </c>
      <c r="F576" s="2" t="n"/>
      <c r="I576" s="2" t="n">
        <v>1670</v>
      </c>
      <c r="K576" s="3" t="n">
        <v>1670</v>
      </c>
      <c r="L576" s="3" t="n"/>
      <c r="M576" s="4" t="n">
        <v>0.1097</v>
      </c>
      <c r="N576" t="inlineStr">
        <is>
          <t>adjusted xGOT</t>
        </is>
      </c>
      <c r="O576" s="4" t="n">
        <v>0.983</v>
      </c>
      <c r="P576" s="4" t="n">
        <v>2.1</v>
      </c>
      <c r="Q576" s="4" t="n">
        <v>0.09959999999999999</v>
      </c>
      <c r="R576" s="4" t="n">
        <v>0</v>
      </c>
      <c r="S576" s="4" t="n">
        <v>0.0539</v>
      </c>
      <c r="T576" s="4" t="n">
        <v>2.533</v>
      </c>
      <c r="U576" s="4">
        <f>IF(T576="",IFERROR(VLOOKUP($C576,Assumptions!$A$4:$F$7,6,FALSE),0),T576)</f>
        <v/>
      </c>
      <c r="V576" s="4">
        <f>N(M576)*IFERROR(VLOOKUP($C576,Assumptions!$A$4:$F$7,2,FALSE),0)</f>
        <v/>
      </c>
      <c r="W576" s="4">
        <f>N(Q576)*IFERROR(VLOOKUP($C576,Assumptions!$A$4:$F$7,3,FALSE),0)*Assumptions!$B$11</f>
        <v/>
      </c>
      <c r="X576" s="4">
        <f>N(L576)*IFERROR(VLOOKUP($C576,Assumptions!$A$4:$F$7,4,FALSE),0)</f>
        <v/>
      </c>
      <c r="Y576" s="4">
        <f>N(R576)*IFERROR(VLOOKUP($C576,Assumptions!$A$4:$F$7,5,FALSE),0)</f>
        <v/>
      </c>
      <c r="Z576" s="4">
        <f>N(S576)</f>
        <v/>
      </c>
      <c r="AA576" s="4">
        <f>SUM(U576:Z576)</f>
        <v/>
      </c>
      <c r="AB576" s="4">
        <f>N(AA576)*N(K576)/90</f>
        <v/>
      </c>
      <c r="AC576" s="4">
        <f>IFERROR(AB576-VLOOKUP($C576,Assumptions!$A$29:$C$32,3,FALSE),"")</f>
        <v/>
      </c>
      <c r="AD576" s="4">
        <f>IFERROR(AC576/F576,"")</f>
        <v/>
      </c>
      <c r="AE576">
        <f>IF(AND($E576=TRUE,$C576="GKP"),AB576,"")</f>
        <v/>
      </c>
      <c r="AF576">
        <f>IF(AND($E576=TRUE,$C576="DEF"),AB576,"")</f>
        <v/>
      </c>
      <c r="AG576">
        <f>IF(AND($E576=TRUE,$C576="MID"),AB576,"")</f>
        <v/>
      </c>
      <c r="AH576">
        <f>IF(AND($E576=TRUE,$C576="FWD"),AB576,"")</f>
        <v/>
      </c>
    </row>
    <row r="577">
      <c r="A577" t="inlineStr">
        <is>
          <t>Lutsharel Geertruida</t>
        </is>
      </c>
      <c r="D577" t="inlineStr">
        <is>
          <t>DEF</t>
        </is>
      </c>
      <c r="E577" t="b">
        <v>0</v>
      </c>
      <c r="F577" s="2" t="n"/>
      <c r="I577" s="2" t="n">
        <v>1685</v>
      </c>
      <c r="K577" s="3" t="n">
        <v>1685</v>
      </c>
      <c r="L577" s="3" t="n"/>
      <c r="M577" s="4" t="n">
        <v>0.0422</v>
      </c>
      <c r="N577" t="inlineStr">
        <is>
          <t>adjusted xGOT</t>
        </is>
      </c>
      <c r="O577" s="4" t="n">
        <v>1.001</v>
      </c>
      <c r="P577" s="4" t="n">
        <v>0.8</v>
      </c>
      <c r="Q577" s="4" t="n">
        <v>0.0413</v>
      </c>
      <c r="R577" s="4" t="n">
        <v>0.118</v>
      </c>
      <c r="S577" s="4" t="n">
        <v>0</v>
      </c>
      <c r="T577" s="4" t="n">
        <v>2.404</v>
      </c>
      <c r="U577" s="4">
        <f>IF(T577="",IFERROR(VLOOKUP($C577,Assumptions!$A$4:$F$7,6,FALSE),0),T577)</f>
        <v/>
      </c>
      <c r="V577" s="4">
        <f>N(M577)*IFERROR(VLOOKUP($C577,Assumptions!$A$4:$F$7,2,FALSE),0)</f>
        <v/>
      </c>
      <c r="W577" s="4">
        <f>N(Q577)*IFERROR(VLOOKUP($C577,Assumptions!$A$4:$F$7,3,FALSE),0)*Assumptions!$B$11</f>
        <v/>
      </c>
      <c r="X577" s="4">
        <f>N(L577)*IFERROR(VLOOKUP($C577,Assumptions!$A$4:$F$7,4,FALSE),0)</f>
        <v/>
      </c>
      <c r="Y577" s="4">
        <f>N(R577)*IFERROR(VLOOKUP($C577,Assumptions!$A$4:$F$7,5,FALSE),0)</f>
        <v/>
      </c>
      <c r="Z577" s="4">
        <f>N(S577)</f>
        <v/>
      </c>
      <c r="AA577" s="4">
        <f>SUM(U577:Z577)</f>
        <v/>
      </c>
      <c r="AB577" s="4">
        <f>N(AA577)*N(K577)/90</f>
        <v/>
      </c>
      <c r="AC577" s="4">
        <f>IFERROR(AB577-VLOOKUP($C577,Assumptions!$A$29:$C$32,3,FALSE),"")</f>
        <v/>
      </c>
      <c r="AD577" s="4">
        <f>IFERROR(AC577/F577,"")</f>
        <v/>
      </c>
      <c r="AE577">
        <f>IF(AND($E577=TRUE,$C577="GKP"),AB577,"")</f>
        <v/>
      </c>
      <c r="AF577">
        <f>IF(AND($E577=TRUE,$C577="DEF"),AB577,"")</f>
        <v/>
      </c>
      <c r="AG577">
        <f>IF(AND($E577=TRUE,$C577="MID"),AB577,"")</f>
        <v/>
      </c>
      <c r="AH577">
        <f>IF(AND($E577=TRUE,$C577="FWD"),AB577,"")</f>
        <v/>
      </c>
    </row>
    <row r="578">
      <c r="A578" t="inlineStr">
        <is>
          <t>Hamed Traoré</t>
        </is>
      </c>
      <c r="D578" t="inlineStr">
        <is>
          <t>MID</t>
        </is>
      </c>
      <c r="E578" t="b">
        <v>0</v>
      </c>
      <c r="F578" s="2" t="n"/>
      <c r="I578" s="2" t="n">
        <v>16</v>
      </c>
      <c r="K578" s="3" t="n">
        <v>16</v>
      </c>
      <c r="L578" s="3" t="n"/>
      <c r="M578" s="4" t="n">
        <v>0</v>
      </c>
      <c r="N578" t="inlineStr">
        <is>
          <t>adjusted xGOT</t>
        </is>
      </c>
      <c r="O578" s="4" t="n">
        <v>0.869</v>
      </c>
      <c r="P578" s="4" t="n">
        <v>1.2</v>
      </c>
      <c r="Q578" s="4" t="n">
        <v>0.5377</v>
      </c>
      <c r="R578" s="4" t="n"/>
      <c r="S578" s="4" t="n">
        <v>0</v>
      </c>
      <c r="T578" s="4" t="n">
        <v>5.625</v>
      </c>
      <c r="U578" s="4">
        <f>IF(T578="",IFERROR(VLOOKUP($C578,Assumptions!$A$4:$F$7,6,FALSE),0),T578)</f>
        <v/>
      </c>
      <c r="V578" s="4">
        <f>N(M578)*IFERROR(VLOOKUP($C578,Assumptions!$A$4:$F$7,2,FALSE),0)</f>
        <v/>
      </c>
      <c r="W578" s="4">
        <f>N(Q578)*IFERROR(VLOOKUP($C578,Assumptions!$A$4:$F$7,3,FALSE),0)*Assumptions!$B$11</f>
        <v/>
      </c>
      <c r="X578" s="4">
        <f>N(L578)*IFERROR(VLOOKUP($C578,Assumptions!$A$4:$F$7,4,FALSE),0)</f>
        <v/>
      </c>
      <c r="Y578" s="4">
        <f>N(R578)*IFERROR(VLOOKUP($C578,Assumptions!$A$4:$F$7,5,FALSE),0)</f>
        <v/>
      </c>
      <c r="Z578" s="4">
        <f>N(S578)</f>
        <v/>
      </c>
      <c r="AA578" s="4">
        <f>SUM(U578:Z578)</f>
        <v/>
      </c>
      <c r="AB578" s="4">
        <f>N(AA578)*N(K578)/90</f>
        <v/>
      </c>
      <c r="AC578" s="4">
        <f>IFERROR(AB578-VLOOKUP($C578,Assumptions!$A$29:$C$32,3,FALSE),"")</f>
        <v/>
      </c>
      <c r="AD578" s="4">
        <f>IFERROR(AC578/F578,"")</f>
        <v/>
      </c>
      <c r="AE578">
        <f>IF(AND($E578=TRUE,$C578="GKP"),AB578,"")</f>
        <v/>
      </c>
      <c r="AF578">
        <f>IF(AND($E578=TRUE,$C578="DEF"),AB578,"")</f>
        <v/>
      </c>
      <c r="AG578">
        <f>IF(AND($E578=TRUE,$C578="MID"),AB578,"")</f>
        <v/>
      </c>
      <c r="AH578">
        <f>IF(AND($E578=TRUE,$C578="FWD"),AB578,"")</f>
        <v/>
      </c>
    </row>
    <row r="579">
      <c r="A579" t="inlineStr">
        <is>
          <t>Sasa Kalajdzic</t>
        </is>
      </c>
      <c r="D579" t="inlineStr">
        <is>
          <t>FWD</t>
        </is>
      </c>
      <c r="E579" t="b">
        <v>0</v>
      </c>
      <c r="F579" s="2" t="n"/>
      <c r="I579" s="2" t="n">
        <v>14</v>
      </c>
      <c r="K579" s="3" t="n">
        <v>14</v>
      </c>
      <c r="L579" s="3" t="n"/>
      <c r="M579" s="4" t="n">
        <v>0</v>
      </c>
      <c r="N579" t="inlineStr">
        <is>
          <t>adjusted xGOT</t>
        </is>
      </c>
      <c r="O579" s="4" t="n">
        <v>1.034</v>
      </c>
      <c r="P579" s="4" t="n">
        <v>1.3</v>
      </c>
      <c r="Q579" s="4" t="n">
        <v>0</v>
      </c>
      <c r="R579" s="4" t="n"/>
      <c r="S579" s="4" t="n">
        <v>0</v>
      </c>
      <c r="T579" s="4" t="n">
        <v>6.429</v>
      </c>
      <c r="U579" s="4">
        <f>IF(T579="",IFERROR(VLOOKUP($C579,Assumptions!$A$4:$F$7,6,FALSE),0),T579)</f>
        <v/>
      </c>
      <c r="V579" s="4">
        <f>N(M579)*IFERROR(VLOOKUP($C579,Assumptions!$A$4:$F$7,2,FALSE),0)</f>
        <v/>
      </c>
      <c r="W579" s="4">
        <f>N(Q579)*IFERROR(VLOOKUP($C579,Assumptions!$A$4:$F$7,3,FALSE),0)*Assumptions!$B$11</f>
        <v/>
      </c>
      <c r="X579" s="4">
        <f>N(L579)*IFERROR(VLOOKUP($C579,Assumptions!$A$4:$F$7,4,FALSE),0)</f>
        <v/>
      </c>
      <c r="Y579" s="4">
        <f>N(R579)*IFERROR(VLOOKUP($C579,Assumptions!$A$4:$F$7,5,FALSE),0)</f>
        <v/>
      </c>
      <c r="Z579" s="4">
        <f>N(S579)</f>
        <v/>
      </c>
      <c r="AA579" s="4">
        <f>SUM(U579:Z579)</f>
        <v/>
      </c>
      <c r="AB579" s="4">
        <f>N(AA579)*N(K579)/90</f>
        <v/>
      </c>
      <c r="AC579" s="4">
        <f>IFERROR(AB579-VLOOKUP($C579,Assumptions!$A$29:$C$32,3,FALSE),"")</f>
        <v/>
      </c>
      <c r="AD579" s="4">
        <f>IFERROR(AC579/F579,"")</f>
        <v/>
      </c>
      <c r="AE579">
        <f>IF(AND($E579=TRUE,$C579="GKP"),AB579,"")</f>
        <v/>
      </c>
      <c r="AF579">
        <f>IF(AND($E579=TRUE,$C579="DEF"),AB579,"")</f>
        <v/>
      </c>
      <c r="AG579">
        <f>IF(AND($E579=TRUE,$C579="MID"),AB579,"")</f>
        <v/>
      </c>
      <c r="AH579">
        <f>IF(AND($E579=TRUE,$C579="FWD"),AB579,"")</f>
        <v/>
      </c>
    </row>
    <row r="580">
      <c r="A580" t="inlineStr">
        <is>
          <t>Ladislav Krejcí</t>
        </is>
      </c>
      <c r="D580" t="inlineStr">
        <is>
          <t>DEF</t>
        </is>
      </c>
      <c r="E580" t="b">
        <v>0</v>
      </c>
      <c r="F580" s="2" t="n"/>
      <c r="I580" s="2" t="n">
        <v>2361</v>
      </c>
      <c r="K580" s="3" t="n">
        <v>2361</v>
      </c>
      <c r="L580" s="3" t="n"/>
      <c r="M580" s="4" t="n">
        <v>0.0897</v>
      </c>
      <c r="N580" t="inlineStr">
        <is>
          <t>adjusted xGOT</t>
        </is>
      </c>
      <c r="O580" s="4" t="n">
        <v>1.056</v>
      </c>
      <c r="P580" s="4" t="n">
        <v>2.2</v>
      </c>
      <c r="Q580" s="4" t="n">
        <v>0.0568</v>
      </c>
      <c r="R580" s="4" t="n">
        <v>0.111</v>
      </c>
      <c r="S580" s="4" t="n">
        <v>0</v>
      </c>
      <c r="T580" s="4" t="n">
        <v>2.097</v>
      </c>
      <c r="U580" s="4">
        <f>IF(T580="",IFERROR(VLOOKUP($C580,Assumptions!$A$4:$F$7,6,FALSE),0),T580)</f>
        <v/>
      </c>
      <c r="V580" s="4">
        <f>N(M580)*IFERROR(VLOOKUP($C580,Assumptions!$A$4:$F$7,2,FALSE),0)</f>
        <v/>
      </c>
      <c r="W580" s="4">
        <f>N(Q580)*IFERROR(VLOOKUP($C580,Assumptions!$A$4:$F$7,3,FALSE),0)*Assumptions!$B$11</f>
        <v/>
      </c>
      <c r="X580" s="4">
        <f>N(L580)*IFERROR(VLOOKUP($C580,Assumptions!$A$4:$F$7,4,FALSE),0)</f>
        <v/>
      </c>
      <c r="Y580" s="4">
        <f>N(R580)*IFERROR(VLOOKUP($C580,Assumptions!$A$4:$F$7,5,FALSE),0)</f>
        <v/>
      </c>
      <c r="Z580" s="4">
        <f>N(S580)</f>
        <v/>
      </c>
      <c r="AA580" s="4">
        <f>SUM(U580:Z580)</f>
        <v/>
      </c>
      <c r="AB580" s="4">
        <f>N(AA580)*N(K580)/90</f>
        <v/>
      </c>
      <c r="AC580" s="4">
        <f>IFERROR(AB580-VLOOKUP($C580,Assumptions!$A$29:$C$32,3,FALSE),"")</f>
        <v/>
      </c>
      <c r="AD580" s="4">
        <f>IFERROR(AC580/F580,"")</f>
        <v/>
      </c>
      <c r="AE580">
        <f>IF(AND($E580=TRUE,$C580="GKP"),AB580,"")</f>
        <v/>
      </c>
      <c r="AF580">
        <f>IF(AND($E580=TRUE,$C580="DEF"),AB580,"")</f>
        <v/>
      </c>
      <c r="AG580">
        <f>IF(AND($E580=TRUE,$C580="MID"),AB580,"")</f>
        <v/>
      </c>
      <c r="AH580">
        <f>IF(AND($E580=TRUE,$C580="FWD"),AB580,"")</f>
        <v/>
      </c>
    </row>
    <row r="581">
      <c r="A581" t="inlineStr">
        <is>
          <t>Zian Flemming</t>
        </is>
      </c>
      <c r="D581" t="inlineStr">
        <is>
          <t>FWD</t>
        </is>
      </c>
      <c r="E581" t="b">
        <v>0</v>
      </c>
      <c r="F581" s="2" t="n"/>
      <c r="I581" s="2" t="n">
        <v>1776</v>
      </c>
      <c r="K581" s="3" t="n">
        <v>1776</v>
      </c>
      <c r="L581" s="3" t="n"/>
      <c r="M581" s="4" t="n">
        <v>0.3963</v>
      </c>
      <c r="N581" t="inlineStr">
        <is>
          <t>adjusted xGOT</t>
        </is>
      </c>
      <c r="O581" s="4" t="n">
        <v>0.985</v>
      </c>
      <c r="P581" s="4" t="n">
        <v>7.9</v>
      </c>
      <c r="Q581" s="4" t="n">
        <v>0.0347</v>
      </c>
      <c r="R581" s="4" t="n">
        <v>0</v>
      </c>
      <c r="S581" s="4" t="n">
        <v>0.5574</v>
      </c>
      <c r="T581" s="4" t="n">
        <v>2.483</v>
      </c>
      <c r="U581" s="4">
        <f>IF(T581="",IFERROR(VLOOKUP($C581,Assumptions!$A$4:$F$7,6,FALSE),0),T581)</f>
        <v/>
      </c>
      <c r="V581" s="4">
        <f>N(M581)*IFERROR(VLOOKUP($C581,Assumptions!$A$4:$F$7,2,FALSE),0)</f>
        <v/>
      </c>
      <c r="W581" s="4">
        <f>N(Q581)*IFERROR(VLOOKUP($C581,Assumptions!$A$4:$F$7,3,FALSE),0)*Assumptions!$B$11</f>
        <v/>
      </c>
      <c r="X581" s="4">
        <f>N(L581)*IFERROR(VLOOKUP($C581,Assumptions!$A$4:$F$7,4,FALSE),0)</f>
        <v/>
      </c>
      <c r="Y581" s="4">
        <f>N(R581)*IFERROR(VLOOKUP($C581,Assumptions!$A$4:$F$7,5,FALSE),0)</f>
        <v/>
      </c>
      <c r="Z581" s="4">
        <f>N(S581)</f>
        <v/>
      </c>
      <c r="AA581" s="4">
        <f>SUM(U581:Z581)</f>
        <v/>
      </c>
      <c r="AB581" s="4">
        <f>N(AA581)*N(K581)/90</f>
        <v/>
      </c>
      <c r="AC581" s="4">
        <f>IFERROR(AB581-VLOOKUP($C581,Assumptions!$A$29:$C$32,3,FALSE),"")</f>
        <v/>
      </c>
      <c r="AD581" s="4">
        <f>IFERROR(AC581/F581,"")</f>
        <v/>
      </c>
      <c r="AE581">
        <f>IF(AND($E581=TRUE,$C581="GKP"),AB581,"")</f>
        <v/>
      </c>
      <c r="AF581">
        <f>IF(AND($E581=TRUE,$C581="DEF"),AB581,"")</f>
        <v/>
      </c>
      <c r="AG581">
        <f>IF(AND($E581=TRUE,$C581="MID"),AB581,"")</f>
        <v/>
      </c>
      <c r="AH581">
        <f>IF(AND($E581=TRUE,$C581="FWD"),AB581,"")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b">
        <v>1</v>
      </c>
      <c r="F582" s="2" t="n">
        <v>4</v>
      </c>
      <c r="G582" t="inlineStr">
        <is>
          <t>i</t>
        </is>
      </c>
      <c r="H582" t="inlineStr">
        <is>
          <t>Knee injury - Unknown return date</t>
        </is>
      </c>
      <c r="I582" s="2" t="n"/>
      <c r="K582" s="3" t="n"/>
      <c r="L582" s="3" t="n">
        <v>0.263</v>
      </c>
      <c r="M582" s="4" t="n"/>
      <c r="N582" t="inlineStr"/>
      <c r="O582" s="4" t="n"/>
      <c r="P582" s="4" t="n"/>
      <c r="Q582" s="4" t="n"/>
      <c r="R582" s="4" t="n">
        <v>0</v>
      </c>
      <c r="S582" s="4" t="n"/>
      <c r="T582" s="4" t="n"/>
      <c r="U582" s="4">
        <f>IF(T582="",IFERROR(VLOOKUP($C582,Assumptions!$A$4:$F$7,6,FALSE),0),T582)</f>
        <v/>
      </c>
      <c r="V582" s="4">
        <f>N(M582)*IFERROR(VLOOKUP($C582,Assumptions!$A$4:$F$7,2,FALSE),0)</f>
        <v/>
      </c>
      <c r="W582" s="4">
        <f>N(Q582)*IFERROR(VLOOKUP($C582,Assumptions!$A$4:$F$7,3,FALSE),0)*Assumptions!$B$11</f>
        <v/>
      </c>
      <c r="X582" s="4">
        <f>N(L582)*IFERROR(VLOOKUP($C582,Assumptions!$A$4:$F$7,4,FALSE),0)</f>
        <v/>
      </c>
      <c r="Y582" s="4">
        <f>N(R582)*IFERROR(VLOOKUP($C582,Assumptions!$A$4:$F$7,5,FALSE),0)</f>
        <v/>
      </c>
      <c r="Z582" s="4">
        <f>N(S582)</f>
        <v/>
      </c>
      <c r="AA582" s="4">
        <f>SUM(U582:Z582)</f>
        <v/>
      </c>
      <c r="AB582" s="4">
        <f>N(AA582)*N(K582)/90</f>
        <v/>
      </c>
      <c r="AC582" s="4">
        <f>IFERROR(AB582-VLOOKUP($C582,Assumptions!$A$29:$C$32,3,FALSE),"")</f>
        <v/>
      </c>
      <c r="AD582" s="4">
        <f>IFERROR(AC582/F582,"")</f>
        <v/>
      </c>
      <c r="AE582">
        <f>IF(AND($E582=TRUE,$C582="GKP"),AB582,"")</f>
        <v/>
      </c>
      <c r="AF582">
        <f>IF(AND($E582=TRUE,$C582="DEF"),AB582,"")</f>
        <v/>
      </c>
      <c r="AG582">
        <f>IF(AND($E582=TRUE,$C582="MID"),AB582,"")</f>
        <v/>
      </c>
      <c r="AH582">
        <f>IF(AND($E582=TRUE,$C582="FWD"),AB582,"")</f>
        <v/>
      </c>
    </row>
    <row r="583">
      <c r="A583" t="inlineStr">
        <is>
          <t>Marshall Munetsi</t>
        </is>
      </c>
      <c r="D583" t="inlineStr">
        <is>
          <t>MID</t>
        </is>
      </c>
      <c r="E583" t="b">
        <v>0</v>
      </c>
      <c r="F583" s="2" t="n"/>
      <c r="I583" s="2" t="n">
        <v>873</v>
      </c>
      <c r="K583" s="3" t="n">
        <v>873</v>
      </c>
      <c r="L583" s="3" t="n"/>
      <c r="M583" s="4" t="n">
        <v>0.1618</v>
      </c>
      <c r="N583" t="inlineStr">
        <is>
          <t>adjusted xGOT</t>
        </is>
      </c>
      <c r="O583" s="4" t="n">
        <v>0.957</v>
      </c>
      <c r="P583" s="4" t="n">
        <v>5</v>
      </c>
      <c r="Q583" s="4" t="n">
        <v>0.0393</v>
      </c>
      <c r="R583" s="4" t="n">
        <v>0.333</v>
      </c>
      <c r="S583" s="4" t="n">
        <v>0.1031</v>
      </c>
      <c r="T583" s="4" t="n">
        <v>2.268</v>
      </c>
      <c r="U583" s="4">
        <f>IF(T583="",IFERROR(VLOOKUP($C583,Assumptions!$A$4:$F$7,6,FALSE),0),T583)</f>
        <v/>
      </c>
      <c r="V583" s="4">
        <f>N(M583)*IFERROR(VLOOKUP($C583,Assumptions!$A$4:$F$7,2,FALSE),0)</f>
        <v/>
      </c>
      <c r="W583" s="4">
        <f>N(Q583)*IFERROR(VLOOKUP($C583,Assumptions!$A$4:$F$7,3,FALSE),0)*Assumptions!$B$11</f>
        <v/>
      </c>
      <c r="X583" s="4">
        <f>N(L583)*IFERROR(VLOOKUP($C583,Assumptions!$A$4:$F$7,4,FALSE),0)</f>
        <v/>
      </c>
      <c r="Y583" s="4">
        <f>N(R583)*IFERROR(VLOOKUP($C583,Assumptions!$A$4:$F$7,5,FALSE),0)</f>
        <v/>
      </c>
      <c r="Z583" s="4">
        <f>N(S583)</f>
        <v/>
      </c>
      <c r="AA583" s="4">
        <f>SUM(U583:Z583)</f>
        <v/>
      </c>
      <c r="AB583" s="4">
        <f>N(AA583)*N(K583)/90</f>
        <v/>
      </c>
      <c r="AC583" s="4">
        <f>IFERROR(AB583-VLOOKUP($C583,Assumptions!$A$29:$C$32,3,FALSE),"")</f>
        <v/>
      </c>
      <c r="AD583" s="4">
        <f>IFERROR(AC583/F583,"")</f>
        <v/>
      </c>
      <c r="AE583">
        <f>IF(AND($E583=TRUE,$C583="GKP"),AB583,"")</f>
        <v/>
      </c>
      <c r="AF583">
        <f>IF(AND($E583=TRUE,$C583="DEF"),AB583,"")</f>
        <v/>
      </c>
      <c r="AG583">
        <f>IF(AND($E583=TRUE,$C583="MID"),AB583,"")</f>
        <v/>
      </c>
      <c r="AH583">
        <f>IF(AND($E583=TRUE,$C583="FWD"),AB583,"")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b">
        <v>1</v>
      </c>
      <c r="F584" s="2" t="n">
        <v>4</v>
      </c>
      <c r="G584" t="inlineStr">
        <is>
          <t>i</t>
        </is>
      </c>
      <c r="H584" t="inlineStr">
        <is>
          <t>Hamstring injury - Expected back 29 Aug</t>
        </is>
      </c>
      <c r="I584" s="2" t="n"/>
      <c r="K584" s="3" t="n"/>
      <c r="L584" s="3" t="n"/>
      <c r="M584" s="4" t="n"/>
      <c r="N584" t="inlineStr"/>
      <c r="O584" s="4" t="n"/>
      <c r="P584" s="4" t="n"/>
      <c r="Q584" s="4" t="n"/>
      <c r="R584" s="4" t="n"/>
      <c r="S584" s="4" t="n"/>
      <c r="T584" s="4" t="n"/>
      <c r="U584" s="4">
        <f>IF(T584="",IFERROR(VLOOKUP($C584,Assumptions!$A$4:$F$7,6,FALSE),0),T584)</f>
        <v/>
      </c>
      <c r="V584" s="4">
        <f>N(M584)*IFERROR(VLOOKUP($C584,Assumptions!$A$4:$F$7,2,FALSE),0)</f>
        <v/>
      </c>
      <c r="W584" s="4">
        <f>N(Q584)*IFERROR(VLOOKUP($C584,Assumptions!$A$4:$F$7,3,FALSE),0)*Assumptions!$B$11</f>
        <v/>
      </c>
      <c r="X584" s="4">
        <f>N(L584)*IFERROR(VLOOKUP($C584,Assumptions!$A$4:$F$7,4,FALSE),0)</f>
        <v/>
      </c>
      <c r="Y584" s="4">
        <f>N(R584)*IFERROR(VLOOKUP($C584,Assumptions!$A$4:$F$7,5,FALSE),0)</f>
        <v/>
      </c>
      <c r="Z584" s="4">
        <f>N(S584)</f>
        <v/>
      </c>
      <c r="AA584" s="4">
        <f>SUM(U584:Z584)</f>
        <v/>
      </c>
      <c r="AB584" s="4">
        <f>N(AA584)*N(K584)/90</f>
        <v/>
      </c>
      <c r="AC584" s="4">
        <f>IFERROR(AB584-VLOOKUP($C584,Assumptions!$A$29:$C$32,3,FALSE),"")</f>
        <v/>
      </c>
      <c r="AD584" s="4">
        <f>IFERROR(AC584/F584,"")</f>
        <v/>
      </c>
      <c r="AE584">
        <f>IF(AND($E584=TRUE,$C584="GKP"),AB584,"")</f>
        <v/>
      </c>
      <c r="AF584">
        <f>IF(AND($E584=TRUE,$C584="DEF"),AB584,"")</f>
        <v/>
      </c>
      <c r="AG584">
        <f>IF(AND($E584=TRUE,$C584="MID"),AB584,"")</f>
        <v/>
      </c>
      <c r="AH584">
        <f>IF(AND($E584=TRUE,$C584="FWD"),AB584,"")</f>
        <v/>
      </c>
    </row>
    <row r="585">
      <c r="A585" t="inlineStr">
        <is>
          <t>Lyle Foster</t>
        </is>
      </c>
      <c r="D585" t="inlineStr">
        <is>
          <t>FWD</t>
        </is>
      </c>
      <c r="E585" t="b">
        <v>0</v>
      </c>
      <c r="F585" s="2" t="n"/>
      <c r="I585" s="2" t="n">
        <v>1372</v>
      </c>
      <c r="K585" s="3" t="n">
        <v>1372</v>
      </c>
      <c r="L585" s="3" t="n"/>
      <c r="M585" s="4" t="n">
        <v>0.2373</v>
      </c>
      <c r="N585" t="inlineStr">
        <is>
          <t>adjusted xGOT</t>
        </is>
      </c>
      <c r="O585" s="4" t="n">
        <v>1.123</v>
      </c>
      <c r="P585" s="4" t="n">
        <v>7.6</v>
      </c>
      <c r="Q585" s="4" t="n">
        <v>0.0752</v>
      </c>
      <c r="R585" s="4" t="n">
        <v>0</v>
      </c>
      <c r="S585" s="4" t="n">
        <v>0.2624</v>
      </c>
      <c r="T585" s="4" t="n">
        <v>2.624</v>
      </c>
      <c r="U585" s="4">
        <f>IF(T585="",IFERROR(VLOOKUP($C585,Assumptions!$A$4:$F$7,6,FALSE),0),T585)</f>
        <v/>
      </c>
      <c r="V585" s="4">
        <f>N(M585)*IFERROR(VLOOKUP($C585,Assumptions!$A$4:$F$7,2,FALSE),0)</f>
        <v/>
      </c>
      <c r="W585" s="4">
        <f>N(Q585)*IFERROR(VLOOKUP($C585,Assumptions!$A$4:$F$7,3,FALSE),0)*Assumptions!$B$11</f>
        <v/>
      </c>
      <c r="X585" s="4">
        <f>N(L585)*IFERROR(VLOOKUP($C585,Assumptions!$A$4:$F$7,4,FALSE),0)</f>
        <v/>
      </c>
      <c r="Y585" s="4">
        <f>N(R585)*IFERROR(VLOOKUP($C585,Assumptions!$A$4:$F$7,5,FALSE),0)</f>
        <v/>
      </c>
      <c r="Z585" s="4">
        <f>N(S585)</f>
        <v/>
      </c>
      <c r="AA585" s="4">
        <f>SUM(U585:Z585)</f>
        <v/>
      </c>
      <c r="AB585" s="4">
        <f>N(AA585)*N(K585)/90</f>
        <v/>
      </c>
      <c r="AC585" s="4">
        <f>IFERROR(AB585-VLOOKUP($C585,Assumptions!$A$29:$C$32,3,FALSE),"")</f>
        <v/>
      </c>
      <c r="AD585" s="4">
        <f>IFERROR(AC585/F585,"")</f>
        <v/>
      </c>
      <c r="AE585">
        <f>IF(AND($E585=TRUE,$C585="GKP"),AB585,"")</f>
        <v/>
      </c>
      <c r="AF585">
        <f>IF(AND($E585=TRUE,$C585="DEF"),AB585,"")</f>
        <v/>
      </c>
      <c r="AG585">
        <f>IF(AND($E585=TRUE,$C585="MID"),AB585,"")</f>
        <v/>
      </c>
      <c r="AH585">
        <f>IF(AND($E585=TRUE,$C585="FWD"),AB585,"")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b">
        <v>1</v>
      </c>
      <c r="F586" s="2" t="n">
        <v>4</v>
      </c>
      <c r="G586" t="inlineStr">
        <is>
          <t>a</t>
        </is>
      </c>
      <c r="I586" s="2" t="n"/>
      <c r="K586" s="3" t="n"/>
      <c r="L586" s="3" t="n"/>
      <c r="M586" s="4" t="n"/>
      <c r="N586" t="inlineStr"/>
      <c r="O586" s="4" t="n"/>
      <c r="P586" s="4" t="n"/>
      <c r="Q586" s="4" t="n"/>
      <c r="R586" s="4" t="n"/>
      <c r="S586" s="4" t="n"/>
      <c r="T586" s="4" t="n"/>
      <c r="U586" s="4">
        <f>IF(T586="",IFERROR(VLOOKUP($C586,Assumptions!$A$4:$F$7,6,FALSE),0),T586)</f>
        <v/>
      </c>
      <c r="V586" s="4">
        <f>N(M586)*IFERROR(VLOOKUP($C586,Assumptions!$A$4:$F$7,2,FALSE),0)</f>
        <v/>
      </c>
      <c r="W586" s="4">
        <f>N(Q586)*IFERROR(VLOOKUP($C586,Assumptions!$A$4:$F$7,3,FALSE),0)*Assumptions!$B$11</f>
        <v/>
      </c>
      <c r="X586" s="4">
        <f>N(L586)*IFERROR(VLOOKUP($C586,Assumptions!$A$4:$F$7,4,FALSE),0)</f>
        <v/>
      </c>
      <c r="Y586" s="4">
        <f>N(R586)*IFERROR(VLOOKUP($C586,Assumptions!$A$4:$F$7,5,FALSE),0)</f>
        <v/>
      </c>
      <c r="Z586" s="4">
        <f>N(S586)</f>
        <v/>
      </c>
      <c r="AA586" s="4">
        <f>SUM(U586:Z586)</f>
        <v/>
      </c>
      <c r="AB586" s="4">
        <f>N(AA586)*N(K586)/90</f>
        <v/>
      </c>
      <c r="AC586" s="4">
        <f>IFERROR(AB586-VLOOKUP($C586,Assumptions!$A$29:$C$32,3,FALSE),"")</f>
        <v/>
      </c>
      <c r="AD586" s="4">
        <f>IFERROR(AC586/F586,"")</f>
        <v/>
      </c>
      <c r="AE586">
        <f>IF(AND($E586=TRUE,$C586="GKP"),AB586,"")</f>
        <v/>
      </c>
      <c r="AF586">
        <f>IF(AND($E586=TRUE,$C586="DEF"),AB586,"")</f>
        <v/>
      </c>
      <c r="AG586">
        <f>IF(AND($E586=TRUE,$C586="MID"),AB586,"")</f>
        <v/>
      </c>
      <c r="AH586">
        <f>IF(AND($E586=TRUE,$C586="FWD"),AB586,"")</f>
        <v/>
      </c>
    </row>
    <row r="587">
      <c r="A587" t="inlineStr">
        <is>
          <t>Mike Trésor</t>
        </is>
      </c>
      <c r="D587" t="inlineStr">
        <is>
          <t>MID</t>
        </is>
      </c>
      <c r="E587" t="b">
        <v>0</v>
      </c>
      <c r="F587" s="2" t="n"/>
      <c r="I587" s="2" t="n">
        <v>37</v>
      </c>
      <c r="K587" s="3" t="n">
        <v>37</v>
      </c>
      <c r="L587" s="3" t="n"/>
      <c r="M587" s="4" t="n">
        <v>0</v>
      </c>
      <c r="N587" t="inlineStr">
        <is>
          <t>adjusted xGOT</t>
        </is>
      </c>
      <c r="O587" s="4" t="n">
        <v>0.956</v>
      </c>
      <c r="P587" s="4" t="n">
        <v>0.4</v>
      </c>
      <c r="Q587" s="4" t="n">
        <v>0</v>
      </c>
      <c r="R587" s="4" t="n"/>
      <c r="S587" s="4" t="n">
        <v>0</v>
      </c>
      <c r="T587" s="4" t="n">
        <v>14.595</v>
      </c>
      <c r="U587" s="4">
        <f>IF(T587="",IFERROR(VLOOKUP($C587,Assumptions!$A$4:$F$7,6,FALSE),0),T587)</f>
        <v/>
      </c>
      <c r="V587" s="4">
        <f>N(M587)*IFERROR(VLOOKUP($C587,Assumptions!$A$4:$F$7,2,FALSE),0)</f>
        <v/>
      </c>
      <c r="W587" s="4">
        <f>N(Q587)*IFERROR(VLOOKUP($C587,Assumptions!$A$4:$F$7,3,FALSE),0)*Assumptions!$B$11</f>
        <v/>
      </c>
      <c r="X587" s="4">
        <f>N(L587)*IFERROR(VLOOKUP($C587,Assumptions!$A$4:$F$7,4,FALSE),0)</f>
        <v/>
      </c>
      <c r="Y587" s="4">
        <f>N(R587)*IFERROR(VLOOKUP($C587,Assumptions!$A$4:$F$7,5,FALSE),0)</f>
        <v/>
      </c>
      <c r="Z587" s="4">
        <f>N(S587)</f>
        <v/>
      </c>
      <c r="AA587" s="4">
        <f>SUM(U587:Z587)</f>
        <v/>
      </c>
      <c r="AB587" s="4">
        <f>N(AA587)*N(K587)/90</f>
        <v/>
      </c>
      <c r="AC587" s="4">
        <f>IFERROR(AB587-VLOOKUP($C587,Assumptions!$A$29:$C$32,3,FALSE),"")</f>
        <v/>
      </c>
      <c r="AD587" s="4">
        <f>IFERROR(AC587/F587,"")</f>
        <v/>
      </c>
      <c r="AE587">
        <f>IF(AND($E587=TRUE,$C587="GKP"),AB587,"")</f>
        <v/>
      </c>
      <c r="AF587">
        <f>IF(AND($E587=TRUE,$C587="DEF"),AB587,"")</f>
        <v/>
      </c>
      <c r="AG587">
        <f>IF(AND($E587=TRUE,$C587="MID"),AB587,"")</f>
        <v/>
      </c>
      <c r="AH587">
        <f>IF(AND($E587=TRUE,$C587="FWD"),AB587,"")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b">
        <v>1</v>
      </c>
      <c r="F588" s="2" t="n">
        <v>6.5</v>
      </c>
      <c r="G588" t="inlineStr">
        <is>
          <t>a</t>
        </is>
      </c>
      <c r="I588" s="2" t="n"/>
      <c r="K588" s="3" t="n"/>
      <c r="L588" s="3" t="n">
        <v>0.5</v>
      </c>
      <c r="M588" s="4" t="n"/>
      <c r="N588" t="inlineStr"/>
      <c r="O588" s="4" t="n"/>
      <c r="P588" s="4" t="n"/>
      <c r="Q588" s="4" t="n"/>
      <c r="R588" s="4" t="n"/>
      <c r="S588" s="4" t="n"/>
      <c r="T588" s="4" t="n"/>
      <c r="U588" s="4">
        <f>IF(T588="",IFERROR(VLOOKUP($C588,Assumptions!$A$4:$F$7,6,FALSE),0),T588)</f>
        <v/>
      </c>
      <c r="V588" s="4">
        <f>N(M588)*IFERROR(VLOOKUP($C588,Assumptions!$A$4:$F$7,2,FALSE),0)</f>
        <v/>
      </c>
      <c r="W588" s="4">
        <f>N(Q588)*IFERROR(VLOOKUP($C588,Assumptions!$A$4:$F$7,3,FALSE),0)*Assumptions!$B$11</f>
        <v/>
      </c>
      <c r="X588" s="4">
        <f>N(L588)*IFERROR(VLOOKUP($C588,Assumptions!$A$4:$F$7,4,FALSE),0)</f>
        <v/>
      </c>
      <c r="Y588" s="4">
        <f>N(R588)*IFERROR(VLOOKUP($C588,Assumptions!$A$4:$F$7,5,FALSE),0)</f>
        <v/>
      </c>
      <c r="Z588" s="4">
        <f>N(S588)</f>
        <v/>
      </c>
      <c r="AA588" s="4">
        <f>SUM(U588:Z588)</f>
        <v/>
      </c>
      <c r="AB588" s="4">
        <f>N(AA588)*N(K588)/90</f>
        <v/>
      </c>
      <c r="AC588" s="4">
        <f>IFERROR(AB588-VLOOKUP($C588,Assumptions!$A$29:$C$32,3,FALSE),"")</f>
        <v/>
      </c>
      <c r="AD588" s="4">
        <f>IFERROR(AC588/F588,"")</f>
        <v/>
      </c>
      <c r="AE588">
        <f>IF(AND($E588=TRUE,$C588="GKP"),AB588,"")</f>
        <v/>
      </c>
      <c r="AF588">
        <f>IF(AND($E588=TRUE,$C588="DEF"),AB588,"")</f>
        <v/>
      </c>
      <c r="AG588">
        <f>IF(AND($E588=TRUE,$C588="MID"),AB588,"")</f>
        <v/>
      </c>
      <c r="AH588">
        <f>IF(AND($E588=TRUE,$C588="FWD"),AB588,"")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b">
        <v>1</v>
      </c>
      <c r="F589" s="2" t="n">
        <v>5</v>
      </c>
      <c r="G589" t="inlineStr">
        <is>
          <t>a</t>
        </is>
      </c>
      <c r="I589" s="2" t="n"/>
      <c r="K589" s="3" t="n"/>
      <c r="L589" s="3" t="n"/>
      <c r="M589" s="4" t="n"/>
      <c r="N589" t="inlineStr"/>
      <c r="O589" s="4" t="n"/>
      <c r="P589" s="4" t="n"/>
      <c r="Q589" s="4" t="n"/>
      <c r="R589" s="4" t="n"/>
      <c r="S589" s="4" t="n"/>
      <c r="T589" s="4" t="n"/>
      <c r="U589" s="4">
        <f>IF(T589="",IFERROR(VLOOKUP($C589,Assumptions!$A$4:$F$7,6,FALSE),0),T589)</f>
        <v/>
      </c>
      <c r="V589" s="4">
        <f>N(M589)*IFERROR(VLOOKUP($C589,Assumptions!$A$4:$F$7,2,FALSE),0)</f>
        <v/>
      </c>
      <c r="W589" s="4">
        <f>N(Q589)*IFERROR(VLOOKUP($C589,Assumptions!$A$4:$F$7,3,FALSE),0)*Assumptions!$B$11</f>
        <v/>
      </c>
      <c r="X589" s="4">
        <f>N(L589)*IFERROR(VLOOKUP($C589,Assumptions!$A$4:$F$7,4,FALSE),0)</f>
        <v/>
      </c>
      <c r="Y589" s="4">
        <f>N(R589)*IFERROR(VLOOKUP($C589,Assumptions!$A$4:$F$7,5,FALSE),0)</f>
        <v/>
      </c>
      <c r="Z589" s="4">
        <f>N(S589)</f>
        <v/>
      </c>
      <c r="AA589" s="4">
        <f>SUM(U589:Z589)</f>
        <v/>
      </c>
      <c r="AB589" s="4">
        <f>N(AA589)*N(K589)/90</f>
        <v/>
      </c>
      <c r="AC589" s="4">
        <f>IFERROR(AB589-VLOOKUP($C589,Assumptions!$A$29:$C$32,3,FALSE),"")</f>
        <v/>
      </c>
      <c r="AD589" s="4">
        <f>IFERROR(AC589/F589,"")</f>
        <v/>
      </c>
      <c r="AE589">
        <f>IF(AND($E589=TRUE,$C589="GKP"),AB589,"")</f>
        <v/>
      </c>
      <c r="AF589">
        <f>IF(AND($E589=TRUE,$C589="DEF"),AB589,"")</f>
        <v/>
      </c>
      <c r="AG589">
        <f>IF(AND($E589=TRUE,$C589="MID"),AB589,"")</f>
        <v/>
      </c>
      <c r="AH589">
        <f>IF(AND($E589=TRUE,$C589="FWD"),AB589,"")</f>
        <v/>
      </c>
    </row>
    <row r="590">
      <c r="A590" t="inlineStr">
        <is>
          <t>Armando Broja</t>
        </is>
      </c>
      <c r="D590" t="inlineStr">
        <is>
          <t>FWD</t>
        </is>
      </c>
      <c r="E590" t="b">
        <v>0</v>
      </c>
      <c r="F590" s="2" t="n"/>
      <c r="I590" s="2" t="n">
        <v>849</v>
      </c>
      <c r="K590" s="3" t="n">
        <v>849</v>
      </c>
      <c r="L590" s="3" t="n"/>
      <c r="M590" s="4" t="n">
        <v>0.228</v>
      </c>
      <c r="N590" t="inlineStr">
        <is>
          <t>adjusted xGOT</t>
        </is>
      </c>
      <c r="O590" s="4" t="n">
        <v>1.005</v>
      </c>
      <c r="P590" s="4" t="n">
        <v>5.3</v>
      </c>
      <c r="Q590" s="4" t="n">
        <v>0.0646</v>
      </c>
      <c r="R590" s="4" t="n">
        <v>0.125</v>
      </c>
      <c r="S590" s="4" t="n">
        <v>0.212</v>
      </c>
      <c r="T590" s="4" t="n">
        <v>3.392</v>
      </c>
      <c r="U590" s="4">
        <f>IF(T590="",IFERROR(VLOOKUP($C590,Assumptions!$A$4:$F$7,6,FALSE),0),T590)</f>
        <v/>
      </c>
      <c r="V590" s="4">
        <f>N(M590)*IFERROR(VLOOKUP($C590,Assumptions!$A$4:$F$7,2,FALSE),0)</f>
        <v/>
      </c>
      <c r="W590" s="4">
        <f>N(Q590)*IFERROR(VLOOKUP($C590,Assumptions!$A$4:$F$7,3,FALSE),0)*Assumptions!$B$11</f>
        <v/>
      </c>
      <c r="X590" s="4">
        <f>N(L590)*IFERROR(VLOOKUP($C590,Assumptions!$A$4:$F$7,4,FALSE),0)</f>
        <v/>
      </c>
      <c r="Y590" s="4">
        <f>N(R590)*IFERROR(VLOOKUP($C590,Assumptions!$A$4:$F$7,5,FALSE),0)</f>
        <v/>
      </c>
      <c r="Z590" s="4">
        <f>N(S590)</f>
        <v/>
      </c>
      <c r="AA590" s="4">
        <f>SUM(U590:Z590)</f>
        <v/>
      </c>
      <c r="AB590" s="4">
        <f>N(AA590)*N(K590)/90</f>
        <v/>
      </c>
      <c r="AC590" s="4">
        <f>IFERROR(AB590-VLOOKUP($C590,Assumptions!$A$29:$C$32,3,FALSE),"")</f>
        <v/>
      </c>
      <c r="AD590" s="4">
        <f>IFERROR(AC590/F590,"")</f>
        <v/>
      </c>
      <c r="AE590">
        <f>IF(AND($E590=TRUE,$C590="GKP"),AB590,"")</f>
        <v/>
      </c>
      <c r="AF590">
        <f>IF(AND($E590=TRUE,$C590="DEF"),AB590,"")</f>
        <v/>
      </c>
      <c r="AG590">
        <f>IF(AND($E590=TRUE,$C590="MID"),AB590,"")</f>
        <v/>
      </c>
      <c r="AH590">
        <f>IF(AND($E590=TRUE,$C590="FWD"),AB590,"")</f>
        <v/>
      </c>
    </row>
    <row r="591">
      <c r="A591" t="inlineStr">
        <is>
          <t>Ki-Jana Hoever</t>
        </is>
      </c>
      <c r="D591" t="inlineStr">
        <is>
          <t>DEF</t>
        </is>
      </c>
      <c r="E591" t="b">
        <v>0</v>
      </c>
      <c r="F591" s="2" t="n"/>
      <c r="I591" s="2" t="n">
        <v>428</v>
      </c>
      <c r="K591" s="3" t="n">
        <v>428</v>
      </c>
      <c r="L591" s="3" t="n"/>
      <c r="M591" s="4" t="n">
        <v>0.0042</v>
      </c>
      <c r="N591" t="inlineStr">
        <is>
          <t>adjusted xGOT</t>
        </is>
      </c>
      <c r="O591" s="4" t="n">
        <v>0.998</v>
      </c>
      <c r="P591" s="4" t="n">
        <v>0</v>
      </c>
      <c r="Q591" s="4" t="n">
        <v>0.0712</v>
      </c>
      <c r="R591" s="4" t="n">
        <v>0.167</v>
      </c>
      <c r="S591" s="4" t="n">
        <v>0</v>
      </c>
      <c r="T591" s="4" t="n">
        <v>2.523</v>
      </c>
      <c r="U591" s="4">
        <f>IF(T591="",IFERROR(VLOOKUP($C591,Assumptions!$A$4:$F$7,6,FALSE),0),T591)</f>
        <v/>
      </c>
      <c r="V591" s="4">
        <f>N(M591)*IFERROR(VLOOKUP($C591,Assumptions!$A$4:$F$7,2,FALSE),0)</f>
        <v/>
      </c>
      <c r="W591" s="4">
        <f>N(Q591)*IFERROR(VLOOKUP($C591,Assumptions!$A$4:$F$7,3,FALSE),0)*Assumptions!$B$11</f>
        <v/>
      </c>
      <c r="X591" s="4">
        <f>N(L591)*IFERROR(VLOOKUP($C591,Assumptions!$A$4:$F$7,4,FALSE),0)</f>
        <v/>
      </c>
      <c r="Y591" s="4">
        <f>N(R591)*IFERROR(VLOOKUP($C591,Assumptions!$A$4:$F$7,5,FALSE),0)</f>
        <v/>
      </c>
      <c r="Z591" s="4">
        <f>N(S591)</f>
        <v/>
      </c>
      <c r="AA591" s="4">
        <f>SUM(U591:Z591)</f>
        <v/>
      </c>
      <c r="AB591" s="4">
        <f>N(AA591)*N(K591)/90</f>
        <v/>
      </c>
      <c r="AC591" s="4">
        <f>IFERROR(AB591-VLOOKUP($C591,Assumptions!$A$29:$C$32,3,FALSE),"")</f>
        <v/>
      </c>
      <c r="AD591" s="4">
        <f>IFERROR(AC591/F591,"")</f>
        <v/>
      </c>
      <c r="AE591">
        <f>IF(AND($E591=TRUE,$C591="GKP"),AB591,"")</f>
        <v/>
      </c>
      <c r="AF591">
        <f>IF(AND($E591=TRUE,$C591="DEF"),AB591,"")</f>
        <v/>
      </c>
      <c r="AG591">
        <f>IF(AND($E591=TRUE,$C591="MID"),AB591,"")</f>
        <v/>
      </c>
      <c r="AH591">
        <f>IF(AND($E591=TRUE,$C591="FWD"),AB591,"")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b">
        <v>1</v>
      </c>
      <c r="F592" s="2" t="n">
        <v>5.5</v>
      </c>
      <c r="G592" t="inlineStr">
        <is>
          <t>a</t>
        </is>
      </c>
      <c r="I592" s="2" t="n"/>
      <c r="K592" s="3" t="n"/>
      <c r="L592" s="3" t="n"/>
      <c r="M592" s="4" t="n"/>
      <c r="N592" t="inlineStr"/>
      <c r="O592" s="4" t="n"/>
      <c r="P592" s="4" t="n"/>
      <c r="Q592" s="4" t="n"/>
      <c r="R592" s="4" t="n"/>
      <c r="S592" s="4" t="n"/>
      <c r="T592" s="4" t="n"/>
      <c r="U592" s="4">
        <f>IF(T592="",IFERROR(VLOOKUP($C592,Assumptions!$A$4:$F$7,6,FALSE),0),T592)</f>
        <v/>
      </c>
      <c r="V592" s="4">
        <f>N(M592)*IFERROR(VLOOKUP($C592,Assumptions!$A$4:$F$7,2,FALSE),0)</f>
        <v/>
      </c>
      <c r="W592" s="4">
        <f>N(Q592)*IFERROR(VLOOKUP($C592,Assumptions!$A$4:$F$7,3,FALSE),0)*Assumptions!$B$11</f>
        <v/>
      </c>
      <c r="X592" s="4">
        <f>N(L592)*IFERROR(VLOOKUP($C592,Assumptions!$A$4:$F$7,4,FALSE),0)</f>
        <v/>
      </c>
      <c r="Y592" s="4">
        <f>N(R592)*IFERROR(VLOOKUP($C592,Assumptions!$A$4:$F$7,5,FALSE),0)</f>
        <v/>
      </c>
      <c r="Z592" s="4">
        <f>N(S592)</f>
        <v/>
      </c>
      <c r="AA592" s="4">
        <f>SUM(U592:Z592)</f>
        <v/>
      </c>
      <c r="AB592" s="4">
        <f>N(AA592)*N(K592)/90</f>
        <v/>
      </c>
      <c r="AC592" s="4">
        <f>IFERROR(AB592-VLOOKUP($C592,Assumptions!$A$29:$C$32,3,FALSE),"")</f>
        <v/>
      </c>
      <c r="AD592" s="4">
        <f>IFERROR(AC592/F592,"")</f>
        <v/>
      </c>
      <c r="AE592">
        <f>IF(AND($E592=TRUE,$C592="GKP"),AB592,"")</f>
        <v/>
      </c>
      <c r="AF592">
        <f>IF(AND($E592=TRUE,$C592="DEF"),AB592,"")</f>
        <v/>
      </c>
      <c r="AG592">
        <f>IF(AND($E592=TRUE,$C592="MID"),AB592,"")</f>
        <v/>
      </c>
      <c r="AH592">
        <f>IF(AND($E592=TRUE,$C592="FWD"),AB592,"")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b">
        <v>1</v>
      </c>
      <c r="F593" s="2" t="n">
        <v>5.5</v>
      </c>
      <c r="G593" t="inlineStr">
        <is>
          <t>a</t>
        </is>
      </c>
      <c r="I593" s="2" t="n"/>
      <c r="K593" s="3" t="n"/>
      <c r="L593" s="3" t="n"/>
      <c r="M593" s="4" t="n"/>
      <c r="N593" t="inlineStr"/>
      <c r="O593" s="4" t="n"/>
      <c r="P593" s="4" t="n"/>
      <c r="Q593" s="4" t="n"/>
      <c r="R593" s="4" t="n"/>
      <c r="S593" s="4" t="n"/>
      <c r="T593" s="4" t="n"/>
      <c r="U593" s="4">
        <f>IF(T593="",IFERROR(VLOOKUP($C593,Assumptions!$A$4:$F$7,6,FALSE),0),T593)</f>
        <v/>
      </c>
      <c r="V593" s="4">
        <f>N(M593)*IFERROR(VLOOKUP($C593,Assumptions!$A$4:$F$7,2,FALSE),0)</f>
        <v/>
      </c>
      <c r="W593" s="4">
        <f>N(Q593)*IFERROR(VLOOKUP($C593,Assumptions!$A$4:$F$7,3,FALSE),0)*Assumptions!$B$11</f>
        <v/>
      </c>
      <c r="X593" s="4">
        <f>N(L593)*IFERROR(VLOOKUP($C593,Assumptions!$A$4:$F$7,4,FALSE),0)</f>
        <v/>
      </c>
      <c r="Y593" s="4">
        <f>N(R593)*IFERROR(VLOOKUP($C593,Assumptions!$A$4:$F$7,5,FALSE),0)</f>
        <v/>
      </c>
      <c r="Z593" s="4">
        <f>N(S593)</f>
        <v/>
      </c>
      <c r="AA593" s="4">
        <f>SUM(U593:Z593)</f>
        <v/>
      </c>
      <c r="AB593" s="4">
        <f>N(AA593)*N(K593)/90</f>
        <v/>
      </c>
      <c r="AC593" s="4">
        <f>IFERROR(AB593-VLOOKUP($C593,Assumptions!$A$29:$C$32,3,FALSE),"")</f>
        <v/>
      </c>
      <c r="AD593" s="4">
        <f>IFERROR(AC593/F593,"")</f>
        <v/>
      </c>
      <c r="AE593">
        <f>IF(AND($E593=TRUE,$C593="GKP"),AB593,"")</f>
        <v/>
      </c>
      <c r="AF593">
        <f>IF(AND($E593=TRUE,$C593="DEF"),AB593,"")</f>
        <v/>
      </c>
      <c r="AG593">
        <f>IF(AND($E593=TRUE,$C593="MID"),AB593,"")</f>
        <v/>
      </c>
      <c r="AH593">
        <f>IF(AND($E593=TRUE,$C593="FWD"),AB593,"")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b">
        <v>1</v>
      </c>
      <c r="F594" s="2" t="n">
        <v>4</v>
      </c>
      <c r="G594" t="inlineStr">
        <is>
          <t>a</t>
        </is>
      </c>
      <c r="I594" s="2" t="n"/>
      <c r="K594" s="3" t="n"/>
      <c r="L594" s="3" t="n"/>
      <c r="M594" s="4" t="n"/>
      <c r="N594" t="inlineStr"/>
      <c r="O594" s="4" t="n"/>
      <c r="P594" s="4" t="n"/>
      <c r="Q594" s="4" t="n"/>
      <c r="R594" s="4" t="n">
        <v>0</v>
      </c>
      <c r="S594" s="4" t="n"/>
      <c r="T594" s="4" t="n"/>
      <c r="U594" s="4">
        <f>IF(T594="",IFERROR(VLOOKUP($C594,Assumptions!$A$4:$F$7,6,FALSE),0),T594)</f>
        <v/>
      </c>
      <c r="V594" s="4">
        <f>N(M594)*IFERROR(VLOOKUP($C594,Assumptions!$A$4:$F$7,2,FALSE),0)</f>
        <v/>
      </c>
      <c r="W594" s="4">
        <f>N(Q594)*IFERROR(VLOOKUP($C594,Assumptions!$A$4:$F$7,3,FALSE),0)*Assumptions!$B$11</f>
        <v/>
      </c>
      <c r="X594" s="4">
        <f>N(L594)*IFERROR(VLOOKUP($C594,Assumptions!$A$4:$F$7,4,FALSE),0)</f>
        <v/>
      </c>
      <c r="Y594" s="4">
        <f>N(R594)*IFERROR(VLOOKUP($C594,Assumptions!$A$4:$F$7,5,FALSE),0)</f>
        <v/>
      </c>
      <c r="Z594" s="4">
        <f>N(S594)</f>
        <v/>
      </c>
      <c r="AA594" s="4">
        <f>SUM(U594:Z594)</f>
        <v/>
      </c>
      <c r="AB594" s="4">
        <f>N(AA594)*N(K594)/90</f>
        <v/>
      </c>
      <c r="AC594" s="4">
        <f>IFERROR(AB594-VLOOKUP($C594,Assumptions!$A$29:$C$32,3,FALSE),"")</f>
        <v/>
      </c>
      <c r="AD594" s="4">
        <f>IFERROR(AC594/F594,"")</f>
        <v/>
      </c>
      <c r="AE594">
        <f>IF(AND($E594=TRUE,$C594="GKP"),AB594,"")</f>
        <v/>
      </c>
      <c r="AF594">
        <f>IF(AND($E594=TRUE,$C594="DEF"),AB594,"")</f>
        <v/>
      </c>
      <c r="AG594">
        <f>IF(AND($E594=TRUE,$C594="MID"),AB594,"")</f>
        <v/>
      </c>
      <c r="AH594">
        <f>IF(AND($E594=TRUE,$C594="FWD"),AB594,"")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b">
        <v>1</v>
      </c>
      <c r="F595" s="2" t="n">
        <v>5</v>
      </c>
      <c r="G595" t="inlineStr">
        <is>
          <t>a</t>
        </is>
      </c>
      <c r="I595" s="2" t="n"/>
      <c r="K595" s="3" t="n"/>
      <c r="L595" s="3" t="n"/>
      <c r="M595" s="4" t="n"/>
      <c r="N595" t="inlineStr"/>
      <c r="O595" s="4" t="n"/>
      <c r="P595" s="4" t="n"/>
      <c r="Q595" s="4" t="n"/>
      <c r="R595" s="4" t="n"/>
      <c r="S595" s="4" t="n"/>
      <c r="T595" s="4" t="n"/>
      <c r="U595" s="4">
        <f>IF(T595="",IFERROR(VLOOKUP($C595,Assumptions!$A$4:$F$7,6,FALSE),0),T595)</f>
        <v/>
      </c>
      <c r="V595" s="4">
        <f>N(M595)*IFERROR(VLOOKUP($C595,Assumptions!$A$4:$F$7,2,FALSE),0)</f>
        <v/>
      </c>
      <c r="W595" s="4">
        <f>N(Q595)*IFERROR(VLOOKUP($C595,Assumptions!$A$4:$F$7,3,FALSE),0)*Assumptions!$B$11</f>
        <v/>
      </c>
      <c r="X595" s="4">
        <f>N(L595)*IFERROR(VLOOKUP($C595,Assumptions!$A$4:$F$7,4,FALSE),0)</f>
        <v/>
      </c>
      <c r="Y595" s="4">
        <f>N(R595)*IFERROR(VLOOKUP($C595,Assumptions!$A$4:$F$7,5,FALSE),0)</f>
        <v/>
      </c>
      <c r="Z595" s="4">
        <f>N(S595)</f>
        <v/>
      </c>
      <c r="AA595" s="4">
        <f>SUM(U595:Z595)</f>
        <v/>
      </c>
      <c r="AB595" s="4">
        <f>N(AA595)*N(K595)/90</f>
        <v/>
      </c>
      <c r="AC595" s="4">
        <f>IFERROR(AB595-VLOOKUP($C595,Assumptions!$A$29:$C$32,3,FALSE),"")</f>
        <v/>
      </c>
      <c r="AD595" s="4">
        <f>IFERROR(AC595/F595,"")</f>
        <v/>
      </c>
      <c r="AE595">
        <f>IF(AND($E595=TRUE,$C595="GKP"),AB595,"")</f>
        <v/>
      </c>
      <c r="AF595">
        <f>IF(AND($E595=TRUE,$C595="DEF"),AB595,"")</f>
        <v/>
      </c>
      <c r="AG595">
        <f>IF(AND($E595=TRUE,$C595="MID"),AB595,"")</f>
        <v/>
      </c>
      <c r="AH595">
        <f>IF(AND($E595=TRUE,$C595="FWD"),AB595,"")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b">
        <v>1</v>
      </c>
      <c r="F596" s="2" t="n">
        <v>5.5</v>
      </c>
      <c r="G596" t="inlineStr">
        <is>
          <t>a</t>
        </is>
      </c>
      <c r="I596" s="2" t="n"/>
      <c r="K596" s="3" t="n"/>
      <c r="L596" s="3" t="n">
        <v>0.263</v>
      </c>
      <c r="M596" s="4" t="n"/>
      <c r="N596" t="inlineStr"/>
      <c r="O596" s="4" t="n"/>
      <c r="P596" s="4" t="n"/>
      <c r="Q596" s="4" t="n"/>
      <c r="R596" s="4" t="n"/>
      <c r="S596" s="4" t="n"/>
      <c r="T596" s="4" t="n"/>
      <c r="U596" s="4">
        <f>IF(T596="",IFERROR(VLOOKUP($C596,Assumptions!$A$4:$F$7,6,FALSE),0),T596)</f>
        <v/>
      </c>
      <c r="V596" s="4">
        <f>N(M596)*IFERROR(VLOOKUP($C596,Assumptions!$A$4:$F$7,2,FALSE),0)</f>
        <v/>
      </c>
      <c r="W596" s="4">
        <f>N(Q596)*IFERROR(VLOOKUP($C596,Assumptions!$A$4:$F$7,3,FALSE),0)*Assumptions!$B$11</f>
        <v/>
      </c>
      <c r="X596" s="4">
        <f>N(L596)*IFERROR(VLOOKUP($C596,Assumptions!$A$4:$F$7,4,FALSE),0)</f>
        <v/>
      </c>
      <c r="Y596" s="4">
        <f>N(R596)*IFERROR(VLOOKUP($C596,Assumptions!$A$4:$F$7,5,FALSE),0)</f>
        <v/>
      </c>
      <c r="Z596" s="4">
        <f>N(S596)</f>
        <v/>
      </c>
      <c r="AA596" s="4">
        <f>SUM(U596:Z596)</f>
        <v/>
      </c>
      <c r="AB596" s="4">
        <f>N(AA596)*N(K596)/90</f>
        <v/>
      </c>
      <c r="AC596" s="4">
        <f>IFERROR(AB596-VLOOKUP($C596,Assumptions!$A$29:$C$32,3,FALSE),"")</f>
        <v/>
      </c>
      <c r="AD596" s="4">
        <f>IFERROR(AC596/F596,"")</f>
        <v/>
      </c>
      <c r="AE596">
        <f>IF(AND($E596=TRUE,$C596="GKP"),AB596,"")</f>
        <v/>
      </c>
      <c r="AF596">
        <f>IF(AND($E596=TRUE,$C596="DEF"),AB596,"")</f>
        <v/>
      </c>
      <c r="AG596">
        <f>IF(AND($E596=TRUE,$C596="MID"),AB596,"")</f>
        <v/>
      </c>
      <c r="AH596">
        <f>IF(AND($E596=TRUE,$C596="FWD"),AB596,"")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b">
        <v>1</v>
      </c>
      <c r="F597" s="2" t="n">
        <v>4</v>
      </c>
      <c r="G597" t="inlineStr">
        <is>
          <t>d</t>
        </is>
      </c>
      <c r="H597" t="inlineStr">
        <is>
          <t>Hip injury - 75% chance of playing</t>
        </is>
      </c>
      <c r="I597" s="2" t="n"/>
      <c r="K597" s="3" t="n"/>
      <c r="L597" s="3" t="n"/>
      <c r="M597" s="4" t="n"/>
      <c r="N597" t="inlineStr"/>
      <c r="O597" s="4" t="n"/>
      <c r="P597" s="4" t="n"/>
      <c r="Q597" s="4" t="n"/>
      <c r="R597" s="4" t="n"/>
      <c r="S597" s="4" t="n"/>
      <c r="T597" s="4" t="n"/>
      <c r="U597" s="4">
        <f>IF(T597="",IFERROR(VLOOKUP($C597,Assumptions!$A$4:$F$7,6,FALSE),0),T597)</f>
        <v/>
      </c>
      <c r="V597" s="4">
        <f>N(M597)*IFERROR(VLOOKUP($C597,Assumptions!$A$4:$F$7,2,FALSE),0)</f>
        <v/>
      </c>
      <c r="W597" s="4">
        <f>N(Q597)*IFERROR(VLOOKUP($C597,Assumptions!$A$4:$F$7,3,FALSE),0)*Assumptions!$B$11</f>
        <v/>
      </c>
      <c r="X597" s="4">
        <f>N(L597)*IFERROR(VLOOKUP($C597,Assumptions!$A$4:$F$7,4,FALSE),0)</f>
        <v/>
      </c>
      <c r="Y597" s="4">
        <f>N(R597)*IFERROR(VLOOKUP($C597,Assumptions!$A$4:$F$7,5,FALSE),0)</f>
        <v/>
      </c>
      <c r="Z597" s="4">
        <f>N(S597)</f>
        <v/>
      </c>
      <c r="AA597" s="4">
        <f>SUM(U597:Z597)</f>
        <v/>
      </c>
      <c r="AB597" s="4">
        <f>N(AA597)*N(K597)/90</f>
        <v/>
      </c>
      <c r="AC597" s="4">
        <f>IFERROR(AB597-VLOOKUP($C597,Assumptions!$A$29:$C$32,3,FALSE),"")</f>
        <v/>
      </c>
      <c r="AD597" s="4">
        <f>IFERROR(AC597/F597,"")</f>
        <v/>
      </c>
      <c r="AE597">
        <f>IF(AND($E597=TRUE,$C597="GKP"),AB597,"")</f>
        <v/>
      </c>
      <c r="AF597">
        <f>IF(AND($E597=TRUE,$C597="DEF"),AB597,"")</f>
        <v/>
      </c>
      <c r="AG597">
        <f>IF(AND($E597=TRUE,$C597="MID"),AB597,"")</f>
        <v/>
      </c>
      <c r="AH597">
        <f>IF(AND($E597=TRUE,$C597="FWD"),AB597,"")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b">
        <v>1</v>
      </c>
      <c r="F598" s="2" t="n">
        <v>4</v>
      </c>
      <c r="G598" t="inlineStr">
        <is>
          <t>a</t>
        </is>
      </c>
      <c r="I598" s="2" t="n"/>
      <c r="K598" s="3" t="n"/>
      <c r="L598" s="3" t="n"/>
      <c r="M598" s="4" t="n"/>
      <c r="N598" t="inlineStr"/>
      <c r="O598" s="4" t="n"/>
      <c r="P598" s="4" t="n"/>
      <c r="Q598" s="4" t="n"/>
      <c r="R598" s="4" t="n"/>
      <c r="S598" s="4" t="n"/>
      <c r="T598" s="4" t="n"/>
      <c r="U598" s="4">
        <f>IF(T598="",IFERROR(VLOOKUP($C598,Assumptions!$A$4:$F$7,6,FALSE),0),T598)</f>
        <v/>
      </c>
      <c r="V598" s="4">
        <f>N(M598)*IFERROR(VLOOKUP($C598,Assumptions!$A$4:$F$7,2,FALSE),0)</f>
        <v/>
      </c>
      <c r="W598" s="4">
        <f>N(Q598)*IFERROR(VLOOKUP($C598,Assumptions!$A$4:$F$7,3,FALSE),0)*Assumptions!$B$11</f>
        <v/>
      </c>
      <c r="X598" s="4">
        <f>N(L598)*IFERROR(VLOOKUP($C598,Assumptions!$A$4:$F$7,4,FALSE),0)</f>
        <v/>
      </c>
      <c r="Y598" s="4">
        <f>N(R598)*IFERROR(VLOOKUP($C598,Assumptions!$A$4:$F$7,5,FALSE),0)</f>
        <v/>
      </c>
      <c r="Z598" s="4">
        <f>N(S598)</f>
        <v/>
      </c>
      <c r="AA598" s="4">
        <f>SUM(U598:Z598)</f>
        <v/>
      </c>
      <c r="AB598" s="4">
        <f>N(AA598)*N(K598)/90</f>
        <v/>
      </c>
      <c r="AC598" s="4">
        <f>IFERROR(AB598-VLOOKUP($C598,Assumptions!$A$29:$C$32,3,FALSE),"")</f>
        <v/>
      </c>
      <c r="AD598" s="4">
        <f>IFERROR(AC598/F598,"")</f>
        <v/>
      </c>
      <c r="AE598">
        <f>IF(AND($E598=TRUE,$C598="GKP"),AB598,"")</f>
        <v/>
      </c>
      <c r="AF598">
        <f>IF(AND($E598=TRUE,$C598="DEF"),AB598,"")</f>
        <v/>
      </c>
      <c r="AG598">
        <f>IF(AND($E598=TRUE,$C598="MID"),AB598,"")</f>
        <v/>
      </c>
      <c r="AH598">
        <f>IF(AND($E598=TRUE,$C598="FWD"),AB598,"")</f>
        <v/>
      </c>
    </row>
    <row r="599">
      <c r="A599" t="inlineStr">
        <is>
          <t>Crysencio Summerville</t>
        </is>
      </c>
      <c r="D599" t="inlineStr">
        <is>
          <t>MID</t>
        </is>
      </c>
      <c r="E599" t="b">
        <v>0</v>
      </c>
      <c r="F599" s="2" t="n"/>
      <c r="I599" s="2" t="n">
        <v>2480</v>
      </c>
      <c r="K599" s="3" t="n">
        <v>2480</v>
      </c>
      <c r="L599" s="3" t="n"/>
      <c r="M599" s="4" t="n">
        <v>0.2029</v>
      </c>
      <c r="N599" t="inlineStr">
        <is>
          <t>adjusted xGOT</t>
        </is>
      </c>
      <c r="O599" s="4" t="n">
        <v>1.03</v>
      </c>
      <c r="P599" s="4" t="n">
        <v>9.9</v>
      </c>
      <c r="Q599" s="4" t="n">
        <v>0.1174</v>
      </c>
      <c r="R599" s="4" t="n">
        <v>0.207</v>
      </c>
      <c r="S599" s="4" t="n">
        <v>0.3266</v>
      </c>
      <c r="T599" s="4" t="n">
        <v>2.141</v>
      </c>
      <c r="U599" s="4">
        <f>IF(T599="",IFERROR(VLOOKUP($C599,Assumptions!$A$4:$F$7,6,FALSE),0),T599)</f>
        <v/>
      </c>
      <c r="V599" s="4">
        <f>N(M599)*IFERROR(VLOOKUP($C599,Assumptions!$A$4:$F$7,2,FALSE),0)</f>
        <v/>
      </c>
      <c r="W599" s="4">
        <f>N(Q599)*IFERROR(VLOOKUP($C599,Assumptions!$A$4:$F$7,3,FALSE),0)*Assumptions!$B$11</f>
        <v/>
      </c>
      <c r="X599" s="4">
        <f>N(L599)*IFERROR(VLOOKUP($C599,Assumptions!$A$4:$F$7,4,FALSE),0)</f>
        <v/>
      </c>
      <c r="Y599" s="4">
        <f>N(R599)*IFERROR(VLOOKUP($C599,Assumptions!$A$4:$F$7,5,FALSE),0)</f>
        <v/>
      </c>
      <c r="Z599" s="4">
        <f>N(S599)</f>
        <v/>
      </c>
      <c r="AA599" s="4">
        <f>SUM(U599:Z599)</f>
        <v/>
      </c>
      <c r="AB599" s="4">
        <f>N(AA599)*N(K599)/90</f>
        <v/>
      </c>
      <c r="AC599" s="4">
        <f>IFERROR(AB599-VLOOKUP($C599,Assumptions!$A$29:$C$32,3,FALSE),"")</f>
        <v/>
      </c>
      <c r="AD599" s="4">
        <f>IFERROR(AC599/F599,"")</f>
        <v/>
      </c>
      <c r="AE599">
        <f>IF(AND($E599=TRUE,$C599="GKP"),AB599,"")</f>
        <v/>
      </c>
      <c r="AF599">
        <f>IF(AND($E599=TRUE,$C599="DEF"),AB599,"")</f>
        <v/>
      </c>
      <c r="AG599">
        <f>IF(AND($E599=TRUE,$C599="MID"),AB599,"")</f>
        <v/>
      </c>
      <c r="AH599">
        <f>IF(AND($E599=TRUE,$C599="FWD"),AB599,"")</f>
        <v/>
      </c>
    </row>
    <row r="600">
      <c r="A600" t="inlineStr">
        <is>
          <t>Myles Peart-Harris</t>
        </is>
      </c>
      <c r="D600" t="inlineStr">
        <is>
          <t>MID</t>
        </is>
      </c>
      <c r="E600" t="b">
        <v>0</v>
      </c>
      <c r="F600" s="2" t="n"/>
      <c r="I600" s="2" t="n">
        <v>1</v>
      </c>
      <c r="K600" s="3" t="n">
        <v>1</v>
      </c>
      <c r="L600" s="3" t="n"/>
      <c r="M600" s="4" t="n">
        <v>0</v>
      </c>
      <c r="N600" t="inlineStr">
        <is>
          <t>blended xG</t>
        </is>
      </c>
      <c r="O600" s="4" t="n">
        <v>1</v>
      </c>
      <c r="P600" s="4" t="n">
        <v>0</v>
      </c>
      <c r="Q600" s="4" t="n">
        <v>0</v>
      </c>
      <c r="R600" s="4" t="n"/>
      <c r="S600" s="4" t="n">
        <v>0</v>
      </c>
      <c r="T600" s="4" t="n">
        <v>90</v>
      </c>
      <c r="U600" s="4">
        <f>IF(T600="",IFERROR(VLOOKUP($C600,Assumptions!$A$4:$F$7,6,FALSE),0),T600)</f>
        <v/>
      </c>
      <c r="V600" s="4">
        <f>N(M600)*IFERROR(VLOOKUP($C600,Assumptions!$A$4:$F$7,2,FALSE),0)</f>
        <v/>
      </c>
      <c r="W600" s="4">
        <f>N(Q600)*IFERROR(VLOOKUP($C600,Assumptions!$A$4:$F$7,3,FALSE),0)*Assumptions!$B$11</f>
        <v/>
      </c>
      <c r="X600" s="4">
        <f>N(L600)*IFERROR(VLOOKUP($C600,Assumptions!$A$4:$F$7,4,FALSE),0)</f>
        <v/>
      </c>
      <c r="Y600" s="4">
        <f>N(R600)*IFERROR(VLOOKUP($C600,Assumptions!$A$4:$F$7,5,FALSE),0)</f>
        <v/>
      </c>
      <c r="Z600" s="4">
        <f>N(S600)</f>
        <v/>
      </c>
      <c r="AA600" s="4">
        <f>SUM(U600:Z600)</f>
        <v/>
      </c>
      <c r="AB600" s="4">
        <f>N(AA600)*N(K600)/90</f>
        <v/>
      </c>
      <c r="AC600" s="4">
        <f>IFERROR(AB600-VLOOKUP($C600,Assumptions!$A$29:$C$32,3,FALSE),"")</f>
        <v/>
      </c>
      <c r="AD600" s="4">
        <f>IFERROR(AC600/F600,"")</f>
        <v/>
      </c>
      <c r="AE600">
        <f>IF(AND($E600=TRUE,$C600="GKP"),AB600,"")</f>
        <v/>
      </c>
      <c r="AF600">
        <f>IF(AND($E600=TRUE,$C600="DEF"),AB600,"")</f>
        <v/>
      </c>
      <c r="AG600">
        <f>IF(AND($E600=TRUE,$C600="MID"),AB600,"")</f>
        <v/>
      </c>
      <c r="AH600">
        <f>IF(AND($E600=TRUE,$C600="FWD"),AB600,"")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b">
        <v>1</v>
      </c>
      <c r="F601" s="2" t="n">
        <v>4</v>
      </c>
      <c r="G601" t="inlineStr">
        <is>
          <t>a</t>
        </is>
      </c>
      <c r="I601" s="2" t="n"/>
      <c r="K601" s="3" t="n"/>
      <c r="L601" s="3" t="n"/>
      <c r="M601" s="4" t="n"/>
      <c r="N601" t="inlineStr"/>
      <c r="O601" s="4" t="n"/>
      <c r="P601" s="4" t="n"/>
      <c r="Q601" s="4" t="n"/>
      <c r="R601" s="4" t="n"/>
      <c r="S601" s="4" t="n"/>
      <c r="T601" s="4" t="n"/>
      <c r="U601" s="4">
        <f>IF(T601="",IFERROR(VLOOKUP($C601,Assumptions!$A$4:$F$7,6,FALSE),0),T601)</f>
        <v/>
      </c>
      <c r="V601" s="4">
        <f>N(M601)*IFERROR(VLOOKUP($C601,Assumptions!$A$4:$F$7,2,FALSE),0)</f>
        <v/>
      </c>
      <c r="W601" s="4">
        <f>N(Q601)*IFERROR(VLOOKUP($C601,Assumptions!$A$4:$F$7,3,FALSE),0)*Assumptions!$B$11</f>
        <v/>
      </c>
      <c r="X601" s="4">
        <f>N(L601)*IFERROR(VLOOKUP($C601,Assumptions!$A$4:$F$7,4,FALSE),0)</f>
        <v/>
      </c>
      <c r="Y601" s="4">
        <f>N(R601)*IFERROR(VLOOKUP($C601,Assumptions!$A$4:$F$7,5,FALSE),0)</f>
        <v/>
      </c>
      <c r="Z601" s="4">
        <f>N(S601)</f>
        <v/>
      </c>
      <c r="AA601" s="4">
        <f>SUM(U601:Z601)</f>
        <v/>
      </c>
      <c r="AB601" s="4">
        <f>N(AA601)*N(K601)/90</f>
        <v/>
      </c>
      <c r="AC601" s="4">
        <f>IFERROR(AB601-VLOOKUP($C601,Assumptions!$A$29:$C$32,3,FALSE),"")</f>
        <v/>
      </c>
      <c r="AD601" s="4">
        <f>IFERROR(AC601/F601,"")</f>
        <v/>
      </c>
      <c r="AE601">
        <f>IF(AND($E601=TRUE,$C601="GKP"),AB601,"")</f>
        <v/>
      </c>
      <c r="AF601">
        <f>IF(AND($E601=TRUE,$C601="DEF"),AB601,"")</f>
        <v/>
      </c>
      <c r="AG601">
        <f>IF(AND($E601=TRUE,$C601="MID"),AB601,"")</f>
        <v/>
      </c>
      <c r="AH601">
        <f>IF(AND($E601=TRUE,$C601="FWD"),AB601,"")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b">
        <v>1</v>
      </c>
      <c r="F602" s="2" t="n">
        <v>4.5</v>
      </c>
      <c r="G602" t="inlineStr">
        <is>
          <t>a</t>
        </is>
      </c>
      <c r="I602" s="2" t="n"/>
      <c r="K602" s="3" t="n"/>
      <c r="L602" s="3" t="n">
        <v>0.263</v>
      </c>
      <c r="M602" s="4" t="n"/>
      <c r="N602" t="inlineStr"/>
      <c r="O602" s="4" t="n"/>
      <c r="P602" s="4" t="n"/>
      <c r="Q602" s="4" t="n"/>
      <c r="R602" s="4" t="n"/>
      <c r="S602" s="4" t="n"/>
      <c r="T602" s="4" t="n"/>
      <c r="U602" s="4">
        <f>IF(T602="",IFERROR(VLOOKUP($C602,Assumptions!$A$4:$F$7,6,FALSE),0),T602)</f>
        <v/>
      </c>
      <c r="V602" s="4">
        <f>N(M602)*IFERROR(VLOOKUP($C602,Assumptions!$A$4:$F$7,2,FALSE),0)</f>
        <v/>
      </c>
      <c r="W602" s="4">
        <f>N(Q602)*IFERROR(VLOOKUP($C602,Assumptions!$A$4:$F$7,3,FALSE),0)*Assumptions!$B$11</f>
        <v/>
      </c>
      <c r="X602" s="4">
        <f>N(L602)*IFERROR(VLOOKUP($C602,Assumptions!$A$4:$F$7,4,FALSE),0)</f>
        <v/>
      </c>
      <c r="Y602" s="4">
        <f>N(R602)*IFERROR(VLOOKUP($C602,Assumptions!$A$4:$F$7,5,FALSE),0)</f>
        <v/>
      </c>
      <c r="Z602" s="4">
        <f>N(S602)</f>
        <v/>
      </c>
      <c r="AA602" s="4">
        <f>SUM(U602:Z602)</f>
        <v/>
      </c>
      <c r="AB602" s="4">
        <f>N(AA602)*N(K602)/90</f>
        <v/>
      </c>
      <c r="AC602" s="4">
        <f>IFERROR(AB602-VLOOKUP($C602,Assumptions!$A$29:$C$32,3,FALSE),"")</f>
        <v/>
      </c>
      <c r="AD602" s="4">
        <f>IFERROR(AC602/F602,"")</f>
        <v/>
      </c>
      <c r="AE602">
        <f>IF(AND($E602=TRUE,$C602="GKP"),AB602,"")</f>
        <v/>
      </c>
      <c r="AF602">
        <f>IF(AND($E602=TRUE,$C602="DEF"),AB602,"")</f>
        <v/>
      </c>
      <c r="AG602">
        <f>IF(AND($E602=TRUE,$C602="MID"),AB602,"")</f>
        <v/>
      </c>
      <c r="AH602">
        <f>IF(AND($E602=TRUE,$C602="FWD"),AB602,"")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b">
        <v>1</v>
      </c>
      <c r="F603" s="2" t="n">
        <v>5</v>
      </c>
      <c r="G603" t="inlineStr">
        <is>
          <t>a</t>
        </is>
      </c>
      <c r="I603" s="2" t="n"/>
      <c r="K603" s="3" t="n"/>
      <c r="L603" s="3" t="n">
        <v>0.263</v>
      </c>
      <c r="M603" s="4" t="n"/>
      <c r="N603" t="inlineStr"/>
      <c r="O603" s="4" t="n"/>
      <c r="P603" s="4" t="n"/>
      <c r="Q603" s="4" t="n"/>
      <c r="R603" s="4" t="n"/>
      <c r="S603" s="4" t="n"/>
      <c r="T603" s="4" t="n"/>
      <c r="U603" s="4">
        <f>IF(T603="",IFERROR(VLOOKUP($C603,Assumptions!$A$4:$F$7,6,FALSE),0),T603)</f>
        <v/>
      </c>
      <c r="V603" s="4">
        <f>N(M603)*IFERROR(VLOOKUP($C603,Assumptions!$A$4:$F$7,2,FALSE),0)</f>
        <v/>
      </c>
      <c r="W603" s="4">
        <f>N(Q603)*IFERROR(VLOOKUP($C603,Assumptions!$A$4:$F$7,3,FALSE),0)*Assumptions!$B$11</f>
        <v/>
      </c>
      <c r="X603" s="4">
        <f>N(L603)*IFERROR(VLOOKUP($C603,Assumptions!$A$4:$F$7,4,FALSE),0)</f>
        <v/>
      </c>
      <c r="Y603" s="4">
        <f>N(R603)*IFERROR(VLOOKUP($C603,Assumptions!$A$4:$F$7,5,FALSE),0)</f>
        <v/>
      </c>
      <c r="Z603" s="4">
        <f>N(S603)</f>
        <v/>
      </c>
      <c r="AA603" s="4">
        <f>SUM(U603:Z603)</f>
        <v/>
      </c>
      <c r="AB603" s="4">
        <f>N(AA603)*N(K603)/90</f>
        <v/>
      </c>
      <c r="AC603" s="4">
        <f>IFERROR(AB603-VLOOKUP($C603,Assumptions!$A$29:$C$32,3,FALSE),"")</f>
        <v/>
      </c>
      <c r="AD603" s="4">
        <f>IFERROR(AC603/F603,"")</f>
        <v/>
      </c>
      <c r="AE603">
        <f>IF(AND($E603=TRUE,$C603="GKP"),AB603,"")</f>
        <v/>
      </c>
      <c r="AF603">
        <f>IF(AND($E603=TRUE,$C603="DEF"),AB603,"")</f>
        <v/>
      </c>
      <c r="AG603">
        <f>IF(AND($E603=TRUE,$C603="MID"),AB603,"")</f>
        <v/>
      </c>
      <c r="AH603">
        <f>IF(AND($E603=TRUE,$C603="FWD"),AB603,"")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b">
        <v>1</v>
      </c>
      <c r="F604" s="2" t="n">
        <v>4</v>
      </c>
      <c r="G604" t="inlineStr">
        <is>
          <t>a</t>
        </is>
      </c>
      <c r="I604" s="2" t="n"/>
      <c r="K604" s="3" t="n"/>
      <c r="L604" s="3" t="n"/>
      <c r="M604" s="4" t="n"/>
      <c r="N604" t="inlineStr"/>
      <c r="O604" s="4" t="n"/>
      <c r="P604" s="4" t="n"/>
      <c r="Q604" s="4" t="n"/>
      <c r="R604" s="4" t="n"/>
      <c r="S604" s="4" t="n"/>
      <c r="T604" s="4" t="n"/>
      <c r="U604" s="4">
        <f>IF(T604="",IFERROR(VLOOKUP($C604,Assumptions!$A$4:$F$7,6,FALSE),0),T604)</f>
        <v/>
      </c>
      <c r="V604" s="4">
        <f>N(M604)*IFERROR(VLOOKUP($C604,Assumptions!$A$4:$F$7,2,FALSE),0)</f>
        <v/>
      </c>
      <c r="W604" s="4">
        <f>N(Q604)*IFERROR(VLOOKUP($C604,Assumptions!$A$4:$F$7,3,FALSE),0)*Assumptions!$B$11</f>
        <v/>
      </c>
      <c r="X604" s="4">
        <f>N(L604)*IFERROR(VLOOKUP($C604,Assumptions!$A$4:$F$7,4,FALSE),0)</f>
        <v/>
      </c>
      <c r="Y604" s="4">
        <f>N(R604)*IFERROR(VLOOKUP($C604,Assumptions!$A$4:$F$7,5,FALSE),0)</f>
        <v/>
      </c>
      <c r="Z604" s="4">
        <f>N(S604)</f>
        <v/>
      </c>
      <c r="AA604" s="4">
        <f>SUM(U604:Z604)</f>
        <v/>
      </c>
      <c r="AB604" s="4">
        <f>N(AA604)*N(K604)/90</f>
        <v/>
      </c>
      <c r="AC604" s="4">
        <f>IFERROR(AB604-VLOOKUP($C604,Assumptions!$A$29:$C$32,3,FALSE),"")</f>
        <v/>
      </c>
      <c r="AD604" s="4">
        <f>IFERROR(AC604/F604,"")</f>
        <v/>
      </c>
      <c r="AE604">
        <f>IF(AND($E604=TRUE,$C604="GKP"),AB604,"")</f>
        <v/>
      </c>
      <c r="AF604">
        <f>IF(AND($E604=TRUE,$C604="DEF"),AB604,"")</f>
        <v/>
      </c>
      <c r="AG604">
        <f>IF(AND($E604=TRUE,$C604="MID"),AB604,"")</f>
        <v/>
      </c>
      <c r="AH604">
        <f>IF(AND($E604=TRUE,$C604="FWD"),AB604,"")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b">
        <v>1</v>
      </c>
      <c r="F605" s="2" t="n">
        <v>4</v>
      </c>
      <c r="G605" t="inlineStr">
        <is>
          <t>a</t>
        </is>
      </c>
      <c r="I605" s="2" t="n"/>
      <c r="K605" s="3" t="n"/>
      <c r="L605" s="3" t="n"/>
      <c r="M605" s="4" t="n"/>
      <c r="N605" t="inlineStr"/>
      <c r="O605" s="4" t="n"/>
      <c r="P605" s="4" t="n"/>
      <c r="Q605" s="4" t="n"/>
      <c r="R605" s="4" t="n"/>
      <c r="S605" s="4" t="n"/>
      <c r="T605" s="4" t="n"/>
      <c r="U605" s="4">
        <f>IF(T605="",IFERROR(VLOOKUP($C605,Assumptions!$A$4:$F$7,6,FALSE),0),T605)</f>
        <v/>
      </c>
      <c r="V605" s="4">
        <f>N(M605)*IFERROR(VLOOKUP($C605,Assumptions!$A$4:$F$7,2,FALSE),0)</f>
        <v/>
      </c>
      <c r="W605" s="4">
        <f>N(Q605)*IFERROR(VLOOKUP($C605,Assumptions!$A$4:$F$7,3,FALSE),0)*Assumptions!$B$11</f>
        <v/>
      </c>
      <c r="X605" s="4">
        <f>N(L605)*IFERROR(VLOOKUP($C605,Assumptions!$A$4:$F$7,4,FALSE),0)</f>
        <v/>
      </c>
      <c r="Y605" s="4">
        <f>N(R605)*IFERROR(VLOOKUP($C605,Assumptions!$A$4:$F$7,5,FALSE),0)</f>
        <v/>
      </c>
      <c r="Z605" s="4">
        <f>N(S605)</f>
        <v/>
      </c>
      <c r="AA605" s="4">
        <f>SUM(U605:Z605)</f>
        <v/>
      </c>
      <c r="AB605" s="4">
        <f>N(AA605)*N(K605)/90</f>
        <v/>
      </c>
      <c r="AC605" s="4">
        <f>IFERROR(AB605-VLOOKUP($C605,Assumptions!$A$29:$C$32,3,FALSE),"")</f>
        <v/>
      </c>
      <c r="AD605" s="4">
        <f>IFERROR(AC605/F605,"")</f>
        <v/>
      </c>
      <c r="AE605">
        <f>IF(AND($E605=TRUE,$C605="GKP"),AB605,"")</f>
        <v/>
      </c>
      <c r="AF605">
        <f>IF(AND($E605=TRUE,$C605="DEF"),AB605,"")</f>
        <v/>
      </c>
      <c r="AG605">
        <f>IF(AND($E605=TRUE,$C605="MID"),AB605,"")</f>
        <v/>
      </c>
      <c r="AH605">
        <f>IF(AND($E605=TRUE,$C605="FWD"),AB605,"")</f>
        <v/>
      </c>
    </row>
    <row r="606">
      <c r="A606" t="inlineStr">
        <is>
          <t>Bashir Humphreys</t>
        </is>
      </c>
      <c r="D606" t="inlineStr">
        <is>
          <t>DEF</t>
        </is>
      </c>
      <c r="E606" t="b">
        <v>0</v>
      </c>
      <c r="F606" s="2" t="n"/>
      <c r="I606" s="2" t="n">
        <v>1578</v>
      </c>
      <c r="K606" s="3" t="n">
        <v>1578</v>
      </c>
      <c r="L606" s="3" t="n"/>
      <c r="M606" s="4" t="n">
        <v>0.0245</v>
      </c>
      <c r="N606" t="inlineStr">
        <is>
          <t>adjusted xGOT</t>
        </is>
      </c>
      <c r="O606" s="4" t="n">
        <v>1.021</v>
      </c>
      <c r="P606" s="4" t="n">
        <v>0.4</v>
      </c>
      <c r="Q606" s="4" t="n">
        <v>0.0493</v>
      </c>
      <c r="R606" s="4" t="n">
        <v>0.353</v>
      </c>
      <c r="S606" s="4" t="n">
        <v>0</v>
      </c>
      <c r="T606" s="4" t="n">
        <v>2.167</v>
      </c>
      <c r="U606" s="4">
        <f>IF(T606="",IFERROR(VLOOKUP($C606,Assumptions!$A$4:$F$7,6,FALSE),0),T606)</f>
        <v/>
      </c>
      <c r="V606" s="4">
        <f>N(M606)*IFERROR(VLOOKUP($C606,Assumptions!$A$4:$F$7,2,FALSE),0)</f>
        <v/>
      </c>
      <c r="W606" s="4">
        <f>N(Q606)*IFERROR(VLOOKUP($C606,Assumptions!$A$4:$F$7,3,FALSE),0)*Assumptions!$B$11</f>
        <v/>
      </c>
      <c r="X606" s="4">
        <f>N(L606)*IFERROR(VLOOKUP($C606,Assumptions!$A$4:$F$7,4,FALSE),0)</f>
        <v/>
      </c>
      <c r="Y606" s="4">
        <f>N(R606)*IFERROR(VLOOKUP($C606,Assumptions!$A$4:$F$7,5,FALSE),0)</f>
        <v/>
      </c>
      <c r="Z606" s="4">
        <f>N(S606)</f>
        <v/>
      </c>
      <c r="AA606" s="4">
        <f>SUM(U606:Z606)</f>
        <v/>
      </c>
      <c r="AB606" s="4">
        <f>N(AA606)*N(K606)/90</f>
        <v/>
      </c>
      <c r="AC606" s="4">
        <f>IFERROR(AB606-VLOOKUP($C606,Assumptions!$A$29:$C$32,3,FALSE),"")</f>
        <v/>
      </c>
      <c r="AD606" s="4">
        <f>IFERROR(AC606/F606,"")</f>
        <v/>
      </c>
      <c r="AE606">
        <f>IF(AND($E606=TRUE,$C606="GKP"),AB606,"")</f>
        <v/>
      </c>
      <c r="AF606">
        <f>IF(AND($E606=TRUE,$C606="DEF"),AB606,"")</f>
        <v/>
      </c>
      <c r="AG606">
        <f>IF(AND($E606=TRUE,$C606="MID"),AB606,"")</f>
        <v/>
      </c>
      <c r="AH606">
        <f>IF(AND($E606=TRUE,$C606="FWD"),AB606,"")</f>
        <v/>
      </c>
    </row>
    <row r="607">
      <c r="A607" t="inlineStr">
        <is>
          <t>Dennis Cirkin</t>
        </is>
      </c>
      <c r="D607" t="inlineStr">
        <is>
          <t>DEF</t>
        </is>
      </c>
      <c r="E607" t="b">
        <v>0</v>
      </c>
      <c r="F607" s="2" t="n"/>
      <c r="I607" s="2" t="n">
        <v>320</v>
      </c>
      <c r="K607" s="3" t="n">
        <v>320</v>
      </c>
      <c r="L607" s="3" t="n"/>
      <c r="M607" s="4" t="n">
        <v>0.0222</v>
      </c>
      <c r="N607" t="inlineStr">
        <is>
          <t>adjusted xGOT</t>
        </is>
      </c>
      <c r="O607" s="4" t="n">
        <v>0.99</v>
      </c>
      <c r="P607" s="4" t="n">
        <v>0.1</v>
      </c>
      <c r="Q607" s="4" t="n">
        <v>0</v>
      </c>
      <c r="R607" s="4" t="n">
        <v>0.333</v>
      </c>
      <c r="S607" s="4" t="n">
        <v>0</v>
      </c>
      <c r="T607" s="4" t="n">
        <v>2.812</v>
      </c>
      <c r="U607" s="4">
        <f>IF(T607="",IFERROR(VLOOKUP($C607,Assumptions!$A$4:$F$7,6,FALSE),0),T607)</f>
        <v/>
      </c>
      <c r="V607" s="4">
        <f>N(M607)*IFERROR(VLOOKUP($C607,Assumptions!$A$4:$F$7,2,FALSE),0)</f>
        <v/>
      </c>
      <c r="W607" s="4">
        <f>N(Q607)*IFERROR(VLOOKUP($C607,Assumptions!$A$4:$F$7,3,FALSE),0)*Assumptions!$B$11</f>
        <v/>
      </c>
      <c r="X607" s="4">
        <f>N(L607)*IFERROR(VLOOKUP($C607,Assumptions!$A$4:$F$7,4,FALSE),0)</f>
        <v/>
      </c>
      <c r="Y607" s="4">
        <f>N(R607)*IFERROR(VLOOKUP($C607,Assumptions!$A$4:$F$7,5,FALSE),0)</f>
        <v/>
      </c>
      <c r="Z607" s="4">
        <f>N(S607)</f>
        <v/>
      </c>
      <c r="AA607" s="4">
        <f>SUM(U607:Z607)</f>
        <v/>
      </c>
      <c r="AB607" s="4">
        <f>N(AA607)*N(K607)/90</f>
        <v/>
      </c>
      <c r="AC607" s="4">
        <f>IFERROR(AB607-VLOOKUP($C607,Assumptions!$A$29:$C$32,3,FALSE),"")</f>
        <v/>
      </c>
      <c r="AD607" s="4">
        <f>IFERROR(AC607/F607,"")</f>
        <v/>
      </c>
      <c r="AE607">
        <f>IF(AND($E607=TRUE,$C607="GKP"),AB607,"")</f>
        <v/>
      </c>
      <c r="AF607">
        <f>IF(AND($E607=TRUE,$C607="DEF"),AB607,"")</f>
        <v/>
      </c>
      <c r="AG607">
        <f>IF(AND($E607=TRUE,$C607="MID"),AB607,"")</f>
        <v/>
      </c>
      <c r="AH607">
        <f>IF(AND($E607=TRUE,$C607="FWD"),AB607,"")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b">
        <v>1</v>
      </c>
      <c r="F608" s="2" t="n">
        <v>4.5</v>
      </c>
      <c r="G608" t="inlineStr">
        <is>
          <t>a</t>
        </is>
      </c>
      <c r="I608" s="2" t="n"/>
      <c r="K608" s="3" t="n"/>
      <c r="L608" s="3" t="n"/>
      <c r="M608" s="4" t="n"/>
      <c r="N608" t="inlineStr"/>
      <c r="O608" s="4" t="n"/>
      <c r="P608" s="4" t="n"/>
      <c r="Q608" s="4" t="n"/>
      <c r="R608" s="4" t="n"/>
      <c r="S608" s="4" t="n"/>
      <c r="T608" s="4" t="n"/>
      <c r="U608" s="4">
        <f>IF(T608="",IFERROR(VLOOKUP($C608,Assumptions!$A$4:$F$7,6,FALSE),0),T608)</f>
        <v/>
      </c>
      <c r="V608" s="4">
        <f>N(M608)*IFERROR(VLOOKUP($C608,Assumptions!$A$4:$F$7,2,FALSE),0)</f>
        <v/>
      </c>
      <c r="W608" s="4">
        <f>N(Q608)*IFERROR(VLOOKUP($C608,Assumptions!$A$4:$F$7,3,FALSE),0)*Assumptions!$B$11</f>
        <v/>
      </c>
      <c r="X608" s="4">
        <f>N(L608)*IFERROR(VLOOKUP($C608,Assumptions!$A$4:$F$7,4,FALSE),0)</f>
        <v/>
      </c>
      <c r="Y608" s="4">
        <f>N(R608)*IFERROR(VLOOKUP($C608,Assumptions!$A$4:$F$7,5,FALSE),0)</f>
        <v/>
      </c>
      <c r="Z608" s="4">
        <f>N(S608)</f>
        <v/>
      </c>
      <c r="AA608" s="4">
        <f>SUM(U608:Z608)</f>
        <v/>
      </c>
      <c r="AB608" s="4">
        <f>N(AA608)*N(K608)/90</f>
        <v/>
      </c>
      <c r="AC608" s="4">
        <f>IFERROR(AB608-VLOOKUP($C608,Assumptions!$A$29:$C$32,3,FALSE),"")</f>
        <v/>
      </c>
      <c r="AD608" s="4">
        <f>IFERROR(AC608/F608,"")</f>
        <v/>
      </c>
      <c r="AE608">
        <f>IF(AND($E608=TRUE,$C608="GKP"),AB608,"")</f>
        <v/>
      </c>
      <c r="AF608">
        <f>IF(AND($E608=TRUE,$C608="DEF"),AB608,"")</f>
        <v/>
      </c>
      <c r="AG608">
        <f>IF(AND($E608=TRUE,$C608="MID"),AB608,"")</f>
        <v/>
      </c>
      <c r="AH608">
        <f>IF(AND($E608=TRUE,$C608="FWD"),AB608,"")</f>
        <v/>
      </c>
    </row>
    <row r="609">
      <c r="A609" t="inlineStr">
        <is>
          <t>Jean-Clair Todibo</t>
        </is>
      </c>
      <c r="D609" t="inlineStr">
        <is>
          <t>DEF</t>
        </is>
      </c>
      <c r="E609" t="b">
        <v>0</v>
      </c>
      <c r="F609" s="2" t="n"/>
      <c r="I609" s="2" t="n">
        <v>1817</v>
      </c>
      <c r="K609" s="3" t="n">
        <v>1817</v>
      </c>
      <c r="L609" s="3" t="n"/>
      <c r="M609" s="4" t="n">
        <v>0.0115</v>
      </c>
      <c r="N609" t="inlineStr">
        <is>
          <t>adjusted xGOT</t>
        </is>
      </c>
      <c r="O609" s="4" t="n">
        <v>0.929</v>
      </c>
      <c r="P609" s="4" t="n">
        <v>0.6</v>
      </c>
      <c r="Q609" s="4" t="n">
        <v>0.0188</v>
      </c>
      <c r="R609" s="4" t="n">
        <v>0.364</v>
      </c>
      <c r="S609" s="4" t="n">
        <v>0.0495</v>
      </c>
      <c r="T609" s="4" t="n">
        <v>2.08</v>
      </c>
      <c r="U609" s="4">
        <f>IF(T609="",IFERROR(VLOOKUP($C609,Assumptions!$A$4:$F$7,6,FALSE),0),T609)</f>
        <v/>
      </c>
      <c r="V609" s="4">
        <f>N(M609)*IFERROR(VLOOKUP($C609,Assumptions!$A$4:$F$7,2,FALSE),0)</f>
        <v/>
      </c>
      <c r="W609" s="4">
        <f>N(Q609)*IFERROR(VLOOKUP($C609,Assumptions!$A$4:$F$7,3,FALSE),0)*Assumptions!$B$11</f>
        <v/>
      </c>
      <c r="X609" s="4">
        <f>N(L609)*IFERROR(VLOOKUP($C609,Assumptions!$A$4:$F$7,4,FALSE),0)</f>
        <v/>
      </c>
      <c r="Y609" s="4">
        <f>N(R609)*IFERROR(VLOOKUP($C609,Assumptions!$A$4:$F$7,5,FALSE),0)</f>
        <v/>
      </c>
      <c r="Z609" s="4">
        <f>N(S609)</f>
        <v/>
      </c>
      <c r="AA609" s="4">
        <f>SUM(U609:Z609)</f>
        <v/>
      </c>
      <c r="AB609" s="4">
        <f>N(AA609)*N(K609)/90</f>
        <v/>
      </c>
      <c r="AC609" s="4">
        <f>IFERROR(AB609-VLOOKUP($C609,Assumptions!$A$29:$C$32,3,FALSE),"")</f>
        <v/>
      </c>
      <c r="AD609" s="4">
        <f>IFERROR(AC609/F609,"")</f>
        <v/>
      </c>
      <c r="AE609">
        <f>IF(AND($E609=TRUE,$C609="GKP"),AB609,"")</f>
        <v/>
      </c>
      <c r="AF609">
        <f>IF(AND($E609=TRUE,$C609="DEF"),AB609,"")</f>
        <v/>
      </c>
      <c r="AG609">
        <f>IF(AND($E609=TRUE,$C609="MID"),AB609,"")</f>
        <v/>
      </c>
      <c r="AH609">
        <f>IF(AND($E609=TRUE,$C609="FWD"),AB609,"")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b">
        <v>1</v>
      </c>
      <c r="F610" s="2" t="n">
        <v>5</v>
      </c>
      <c r="G610" t="inlineStr">
        <is>
          <t>a</t>
        </is>
      </c>
      <c r="I610" s="2" t="n"/>
      <c r="K610" s="3" t="n"/>
      <c r="L610" s="3" t="n"/>
      <c r="M610" s="4" t="n"/>
      <c r="N610" t="inlineStr"/>
      <c r="O610" s="4" t="n"/>
      <c r="P610" s="4" t="n"/>
      <c r="Q610" s="4" t="n"/>
      <c r="R610" s="4" t="n"/>
      <c r="S610" s="4" t="n"/>
      <c r="T610" s="4" t="n"/>
      <c r="U610" s="4">
        <f>IF(T610="",IFERROR(VLOOKUP($C610,Assumptions!$A$4:$F$7,6,FALSE),0),T610)</f>
        <v/>
      </c>
      <c r="V610" s="4">
        <f>N(M610)*IFERROR(VLOOKUP($C610,Assumptions!$A$4:$F$7,2,FALSE),0)</f>
        <v/>
      </c>
      <c r="W610" s="4">
        <f>N(Q610)*IFERROR(VLOOKUP($C610,Assumptions!$A$4:$F$7,3,FALSE),0)*Assumptions!$B$11</f>
        <v/>
      </c>
      <c r="X610" s="4">
        <f>N(L610)*IFERROR(VLOOKUP($C610,Assumptions!$A$4:$F$7,4,FALSE),0)</f>
        <v/>
      </c>
      <c r="Y610" s="4">
        <f>N(R610)*IFERROR(VLOOKUP($C610,Assumptions!$A$4:$F$7,5,FALSE),0)</f>
        <v/>
      </c>
      <c r="Z610" s="4">
        <f>N(S610)</f>
        <v/>
      </c>
      <c r="AA610" s="4">
        <f>SUM(U610:Z610)</f>
        <v/>
      </c>
      <c r="AB610" s="4">
        <f>N(AA610)*N(K610)/90</f>
        <v/>
      </c>
      <c r="AC610" s="4">
        <f>IFERROR(AB610-VLOOKUP($C610,Assumptions!$A$29:$C$32,3,FALSE),"")</f>
        <v/>
      </c>
      <c r="AD610" s="4">
        <f>IFERROR(AC610/F610,"")</f>
        <v/>
      </c>
      <c r="AE610">
        <f>IF(AND($E610=TRUE,$C610="GKP"),AB610,"")</f>
        <v/>
      </c>
      <c r="AF610">
        <f>IF(AND($E610=TRUE,$C610="DEF"),AB610,"")</f>
        <v/>
      </c>
      <c r="AG610">
        <f>IF(AND($E610=TRUE,$C610="MID"),AB610,"")</f>
        <v/>
      </c>
      <c r="AH610">
        <f>IF(AND($E610=TRUE,$C610="FWD"),AB610,"")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b">
        <v>1</v>
      </c>
      <c r="F611" s="2" t="n">
        <v>5</v>
      </c>
      <c r="G611" t="inlineStr">
        <is>
          <t>a</t>
        </is>
      </c>
      <c r="I611" s="2" t="n"/>
      <c r="K611" s="3" t="n"/>
      <c r="L611" s="3" t="n">
        <v>0.237</v>
      </c>
      <c r="M611" s="4" t="n"/>
      <c r="N611" t="inlineStr"/>
      <c r="O611" s="4" t="n"/>
      <c r="P611" s="4" t="n"/>
      <c r="Q611" s="4" t="n"/>
      <c r="R611" s="4" t="n"/>
      <c r="S611" s="4" t="n"/>
      <c r="T611" s="4" t="n"/>
      <c r="U611" s="4">
        <f>IF(T611="",IFERROR(VLOOKUP($C611,Assumptions!$A$4:$F$7,6,FALSE),0),T611)</f>
        <v/>
      </c>
      <c r="V611" s="4">
        <f>N(M611)*IFERROR(VLOOKUP($C611,Assumptions!$A$4:$F$7,2,FALSE),0)</f>
        <v/>
      </c>
      <c r="W611" s="4">
        <f>N(Q611)*IFERROR(VLOOKUP($C611,Assumptions!$A$4:$F$7,3,FALSE),0)*Assumptions!$B$11</f>
        <v/>
      </c>
      <c r="X611" s="4">
        <f>N(L611)*IFERROR(VLOOKUP($C611,Assumptions!$A$4:$F$7,4,FALSE),0)</f>
        <v/>
      </c>
      <c r="Y611" s="4">
        <f>N(R611)*IFERROR(VLOOKUP($C611,Assumptions!$A$4:$F$7,5,FALSE),0)</f>
        <v/>
      </c>
      <c r="Z611" s="4">
        <f>N(S611)</f>
        <v/>
      </c>
      <c r="AA611" s="4">
        <f>SUM(U611:Z611)</f>
        <v/>
      </c>
      <c r="AB611" s="4">
        <f>N(AA611)*N(K611)/90</f>
        <v/>
      </c>
      <c r="AC611" s="4">
        <f>IFERROR(AB611-VLOOKUP($C611,Assumptions!$A$29:$C$32,3,FALSE),"")</f>
        <v/>
      </c>
      <c r="AD611" s="4">
        <f>IFERROR(AC611/F611,"")</f>
        <v/>
      </c>
      <c r="AE611">
        <f>IF(AND($E611=TRUE,$C611="GKP"),AB611,"")</f>
        <v/>
      </c>
      <c r="AF611">
        <f>IF(AND($E611=TRUE,$C611="DEF"),AB611,"")</f>
        <v/>
      </c>
      <c r="AG611">
        <f>IF(AND($E611=TRUE,$C611="MID"),AB611,"")</f>
        <v/>
      </c>
      <c r="AH611">
        <f>IF(AND($E611=TRUE,$C611="FWD"),AB611,"")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b">
        <v>1</v>
      </c>
      <c r="F612" s="2" t="n">
        <v>4</v>
      </c>
      <c r="G612" t="inlineStr">
        <is>
          <t>a</t>
        </is>
      </c>
      <c r="I612" s="2" t="n"/>
      <c r="K612" s="3" t="n"/>
      <c r="L612" s="3" t="n">
        <v>0.263</v>
      </c>
      <c r="M612" s="4" t="n"/>
      <c r="N612" t="inlineStr"/>
      <c r="O612" s="4" t="n"/>
      <c r="P612" s="4" t="n"/>
      <c r="Q612" s="4" t="n"/>
      <c r="R612" s="4" t="n">
        <v>0</v>
      </c>
      <c r="S612" s="4" t="n"/>
      <c r="T612" s="4" t="n"/>
      <c r="U612" s="4">
        <f>IF(T612="",IFERROR(VLOOKUP($C612,Assumptions!$A$4:$F$7,6,FALSE),0),T612)</f>
        <v/>
      </c>
      <c r="V612" s="4">
        <f>N(M612)*IFERROR(VLOOKUP($C612,Assumptions!$A$4:$F$7,2,FALSE),0)</f>
        <v/>
      </c>
      <c r="W612" s="4">
        <f>N(Q612)*IFERROR(VLOOKUP($C612,Assumptions!$A$4:$F$7,3,FALSE),0)*Assumptions!$B$11</f>
        <v/>
      </c>
      <c r="X612" s="4">
        <f>N(L612)*IFERROR(VLOOKUP($C612,Assumptions!$A$4:$F$7,4,FALSE),0)</f>
        <v/>
      </c>
      <c r="Y612" s="4">
        <f>N(R612)*IFERROR(VLOOKUP($C612,Assumptions!$A$4:$F$7,5,FALSE),0)</f>
        <v/>
      </c>
      <c r="Z612" s="4">
        <f>N(S612)</f>
        <v/>
      </c>
      <c r="AA612" s="4">
        <f>SUM(U612:Z612)</f>
        <v/>
      </c>
      <c r="AB612" s="4">
        <f>N(AA612)*N(K612)/90</f>
        <v/>
      </c>
      <c r="AC612" s="4">
        <f>IFERROR(AB612-VLOOKUP($C612,Assumptions!$A$29:$C$32,3,FALSE),"")</f>
        <v/>
      </c>
      <c r="AD612" s="4">
        <f>IFERROR(AC612/F612,"")</f>
        <v/>
      </c>
      <c r="AE612">
        <f>IF(AND($E612=TRUE,$C612="GKP"),AB612,"")</f>
        <v/>
      </c>
      <c r="AF612">
        <f>IF(AND($E612=TRUE,$C612="DEF"),AB612,"")</f>
        <v/>
      </c>
      <c r="AG612">
        <f>IF(AND($E612=TRUE,$C612="MID"),AB612,"")</f>
        <v/>
      </c>
      <c r="AH612">
        <f>IF(AND($E612=TRUE,$C612="FWD"),AB612,"")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b">
        <v>1</v>
      </c>
      <c r="F613" s="2" t="n">
        <v>4</v>
      </c>
      <c r="G613" t="inlineStr">
        <is>
          <t>a</t>
        </is>
      </c>
      <c r="I613" s="2" t="n"/>
      <c r="K613" s="3" t="n"/>
      <c r="L613" s="3" t="n"/>
      <c r="M613" s="4" t="n"/>
      <c r="N613" t="inlineStr"/>
      <c r="O613" s="4" t="n"/>
      <c r="P613" s="4" t="n"/>
      <c r="Q613" s="4" t="n"/>
      <c r="R613" s="4" t="n"/>
      <c r="S613" s="4" t="n"/>
      <c r="T613" s="4" t="n"/>
      <c r="U613" s="4">
        <f>IF(T613="",IFERROR(VLOOKUP($C613,Assumptions!$A$4:$F$7,6,FALSE),0),T613)</f>
        <v/>
      </c>
      <c r="V613" s="4">
        <f>N(M613)*IFERROR(VLOOKUP($C613,Assumptions!$A$4:$F$7,2,FALSE),0)</f>
        <v/>
      </c>
      <c r="W613" s="4">
        <f>N(Q613)*IFERROR(VLOOKUP($C613,Assumptions!$A$4:$F$7,3,FALSE),0)*Assumptions!$B$11</f>
        <v/>
      </c>
      <c r="X613" s="4">
        <f>N(L613)*IFERROR(VLOOKUP($C613,Assumptions!$A$4:$F$7,4,FALSE),0)</f>
        <v/>
      </c>
      <c r="Y613" s="4">
        <f>N(R613)*IFERROR(VLOOKUP($C613,Assumptions!$A$4:$F$7,5,FALSE),0)</f>
        <v/>
      </c>
      <c r="Z613" s="4">
        <f>N(S613)</f>
        <v/>
      </c>
      <c r="AA613" s="4">
        <f>SUM(U613:Z613)</f>
        <v/>
      </c>
      <c r="AB613" s="4">
        <f>N(AA613)*N(K613)/90</f>
        <v/>
      </c>
      <c r="AC613" s="4">
        <f>IFERROR(AB613-VLOOKUP($C613,Assumptions!$A$29:$C$32,3,FALSE),"")</f>
        <v/>
      </c>
      <c r="AD613" s="4">
        <f>IFERROR(AC613/F613,"")</f>
        <v/>
      </c>
      <c r="AE613">
        <f>IF(AND($E613=TRUE,$C613="GKP"),AB613,"")</f>
        <v/>
      </c>
      <c r="AF613">
        <f>IF(AND($E613=TRUE,$C613="DEF"),AB613,"")</f>
        <v/>
      </c>
      <c r="AG613">
        <f>IF(AND($E613=TRUE,$C613="MID"),AB613,"")</f>
        <v/>
      </c>
      <c r="AH613">
        <f>IF(AND($E613=TRUE,$C613="FWD"),AB613,"")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b">
        <v>1</v>
      </c>
      <c r="F614" s="2" t="n">
        <v>4.5</v>
      </c>
      <c r="G614" t="inlineStr">
        <is>
          <t>i</t>
        </is>
      </c>
      <c r="H614" t="inlineStr">
        <is>
          <t>Knee injury - Unknown return date</t>
        </is>
      </c>
      <c r="I614" s="2" t="n"/>
      <c r="K614" s="3" t="n"/>
      <c r="L614" s="3" t="n"/>
      <c r="M614" s="4" t="n"/>
      <c r="N614" t="inlineStr"/>
      <c r="O614" s="4" t="n"/>
      <c r="P614" s="4" t="n"/>
      <c r="Q614" s="4" t="n"/>
      <c r="R614" s="4" t="n"/>
      <c r="S614" s="4" t="n"/>
      <c r="T614" s="4" t="n"/>
      <c r="U614" s="4">
        <f>IF(T614="",IFERROR(VLOOKUP($C614,Assumptions!$A$4:$F$7,6,FALSE),0),T614)</f>
        <v/>
      </c>
      <c r="V614" s="4">
        <f>N(M614)*IFERROR(VLOOKUP($C614,Assumptions!$A$4:$F$7,2,FALSE),0)</f>
        <v/>
      </c>
      <c r="W614" s="4">
        <f>N(Q614)*IFERROR(VLOOKUP($C614,Assumptions!$A$4:$F$7,3,FALSE),0)*Assumptions!$B$11</f>
        <v/>
      </c>
      <c r="X614" s="4">
        <f>N(L614)*IFERROR(VLOOKUP($C614,Assumptions!$A$4:$F$7,4,FALSE),0)</f>
        <v/>
      </c>
      <c r="Y614" s="4">
        <f>N(R614)*IFERROR(VLOOKUP($C614,Assumptions!$A$4:$F$7,5,FALSE),0)</f>
        <v/>
      </c>
      <c r="Z614" s="4">
        <f>N(S614)</f>
        <v/>
      </c>
      <c r="AA614" s="4">
        <f>SUM(U614:Z614)</f>
        <v/>
      </c>
      <c r="AB614" s="4">
        <f>N(AA614)*N(K614)/90</f>
        <v/>
      </c>
      <c r="AC614" s="4">
        <f>IFERROR(AB614-VLOOKUP($C614,Assumptions!$A$29:$C$32,3,FALSE),"")</f>
        <v/>
      </c>
      <c r="AD614" s="4">
        <f>IFERROR(AC614/F614,"")</f>
        <v/>
      </c>
      <c r="AE614">
        <f>IF(AND($E614=TRUE,$C614="GKP"),AB614,"")</f>
        <v/>
      </c>
      <c r="AF614">
        <f>IF(AND($E614=TRUE,$C614="DEF"),AB614,"")</f>
        <v/>
      </c>
      <c r="AG614">
        <f>IF(AND($E614=TRUE,$C614="MID"),AB614,"")</f>
        <v/>
      </c>
      <c r="AH614">
        <f>IF(AND($E614=TRUE,$C614="FWD"),AB614,"")</f>
        <v/>
      </c>
    </row>
    <row r="615">
      <c r="A615" t="inlineStr">
        <is>
          <t>Hannibal Mejbri</t>
        </is>
      </c>
      <c r="D615" t="inlineStr">
        <is>
          <t>MID</t>
        </is>
      </c>
      <c r="E615" t="b">
        <v>0</v>
      </c>
      <c r="F615" s="2" t="n"/>
      <c r="I615" s="2" t="n">
        <v>1231</v>
      </c>
      <c r="K615" s="3" t="n">
        <v>1231</v>
      </c>
      <c r="L615" s="3" t="n"/>
      <c r="M615" s="4" t="n">
        <v>0.06619999999999999</v>
      </c>
      <c r="N615" t="inlineStr">
        <is>
          <t>adjusted xGOT</t>
        </is>
      </c>
      <c r="O615" s="4" t="n">
        <v>0.996</v>
      </c>
      <c r="P615" s="4" t="n">
        <v>0.9</v>
      </c>
      <c r="Q615" s="4" t="n">
        <v>0.2075</v>
      </c>
      <c r="R615" s="4" t="n">
        <v>0.2</v>
      </c>
      <c r="S615" s="4" t="n">
        <v>0.2924</v>
      </c>
      <c r="T615" s="4" t="n">
        <v>2.851</v>
      </c>
      <c r="U615" s="4">
        <f>IF(T615="",IFERROR(VLOOKUP($C615,Assumptions!$A$4:$F$7,6,FALSE),0),T615)</f>
        <v/>
      </c>
      <c r="V615" s="4">
        <f>N(M615)*IFERROR(VLOOKUP($C615,Assumptions!$A$4:$F$7,2,FALSE),0)</f>
        <v/>
      </c>
      <c r="W615" s="4">
        <f>N(Q615)*IFERROR(VLOOKUP($C615,Assumptions!$A$4:$F$7,3,FALSE),0)*Assumptions!$B$11</f>
        <v/>
      </c>
      <c r="X615" s="4">
        <f>N(L615)*IFERROR(VLOOKUP($C615,Assumptions!$A$4:$F$7,4,FALSE),0)</f>
        <v/>
      </c>
      <c r="Y615" s="4">
        <f>N(R615)*IFERROR(VLOOKUP($C615,Assumptions!$A$4:$F$7,5,FALSE),0)</f>
        <v/>
      </c>
      <c r="Z615" s="4">
        <f>N(S615)</f>
        <v/>
      </c>
      <c r="AA615" s="4">
        <f>SUM(U615:Z615)</f>
        <v/>
      </c>
      <c r="AB615" s="4">
        <f>N(AA615)*N(K615)/90</f>
        <v/>
      </c>
      <c r="AC615" s="4">
        <f>IFERROR(AB615-VLOOKUP($C615,Assumptions!$A$29:$C$32,3,FALSE),"")</f>
        <v/>
      </c>
      <c r="AD615" s="4">
        <f>IFERROR(AC615/F615,"")</f>
        <v/>
      </c>
      <c r="AE615">
        <f>IF(AND($E615=TRUE,$C615="GKP"),AB615,"")</f>
        <v/>
      </c>
      <c r="AF615">
        <f>IF(AND($E615=TRUE,$C615="DEF"),AB615,"")</f>
        <v/>
      </c>
      <c r="AG615">
        <f>IF(AND($E615=TRUE,$C615="MID"),AB615,"")</f>
        <v/>
      </c>
      <c r="AH615">
        <f>IF(AND($E615=TRUE,$C615="FWD"),AB615,"")</f>
        <v/>
      </c>
    </row>
    <row r="616">
      <c r="A616" t="inlineStr">
        <is>
          <t>Mads Hermansen</t>
        </is>
      </c>
      <c r="D616" t="inlineStr">
        <is>
          <t>GKP</t>
        </is>
      </c>
      <c r="E616" t="b">
        <v>0</v>
      </c>
      <c r="F616" s="2" t="n"/>
      <c r="I616" s="2" t="n">
        <v>1620</v>
      </c>
      <c r="K616" s="3" t="n">
        <v>1620</v>
      </c>
      <c r="L616" s="3" t="n"/>
      <c r="M616" s="4" t="n">
        <v>0</v>
      </c>
      <c r="N616" t="inlineStr">
        <is>
          <t>blended xG</t>
        </is>
      </c>
      <c r="O616" s="4" t="n">
        <v>1</v>
      </c>
      <c r="P616" s="4" t="n">
        <v>0</v>
      </c>
      <c r="Q616" s="4" t="n">
        <v>0.0021</v>
      </c>
      <c r="R616" s="4" t="n">
        <v>0</v>
      </c>
      <c r="S616" s="4" t="n">
        <v>0.4444</v>
      </c>
      <c r="T616" s="4" t="n">
        <v>2</v>
      </c>
      <c r="U616" s="4">
        <f>IF(T616="",IFERROR(VLOOKUP($C616,Assumptions!$A$4:$F$7,6,FALSE),0),T616)</f>
        <v/>
      </c>
      <c r="V616" s="4">
        <f>N(M616)*IFERROR(VLOOKUP($C616,Assumptions!$A$4:$F$7,2,FALSE),0)</f>
        <v/>
      </c>
      <c r="W616" s="4">
        <f>N(Q616)*IFERROR(VLOOKUP($C616,Assumptions!$A$4:$F$7,3,FALSE),0)*Assumptions!$B$11</f>
        <v/>
      </c>
      <c r="X616" s="4">
        <f>N(L616)*IFERROR(VLOOKUP($C616,Assumptions!$A$4:$F$7,4,FALSE),0)</f>
        <v/>
      </c>
      <c r="Y616" s="4">
        <f>N(R616)*IFERROR(VLOOKUP($C616,Assumptions!$A$4:$F$7,5,FALSE),0)</f>
        <v/>
      </c>
      <c r="Z616" s="4">
        <f>N(S616)</f>
        <v/>
      </c>
      <c r="AA616" s="4">
        <f>SUM(U616:Z616)</f>
        <v/>
      </c>
      <c r="AB616" s="4">
        <f>N(AA616)*N(K616)/90</f>
        <v/>
      </c>
      <c r="AC616" s="4">
        <f>IFERROR(AB616-VLOOKUP($C616,Assumptions!$A$29:$C$32,3,FALSE),"")</f>
        <v/>
      </c>
      <c r="AD616" s="4">
        <f>IFERROR(AC616/F616,"")</f>
        <v/>
      </c>
      <c r="AE616">
        <f>IF(AND($E616=TRUE,$C616="GKP"),AB616,"")</f>
        <v/>
      </c>
      <c r="AF616">
        <f>IF(AND($E616=TRUE,$C616="DEF"),AB616,"")</f>
        <v/>
      </c>
      <c r="AG616">
        <f>IF(AND($E616=TRUE,$C616="MID"),AB616,"")</f>
        <v/>
      </c>
      <c r="AH616">
        <f>IF(AND($E616=TRUE,$C616="FWD"),AB616,"")</f>
        <v/>
      </c>
    </row>
    <row r="617">
      <c r="A617" t="inlineStr">
        <is>
          <t>Lorenzo Lucca</t>
        </is>
      </c>
      <c r="D617" t="inlineStr">
        <is>
          <t>FWD</t>
        </is>
      </c>
      <c r="E617" t="b">
        <v>0</v>
      </c>
      <c r="F617" s="2" t="n"/>
      <c r="I617" s="2" t="n">
        <v>127</v>
      </c>
      <c r="K617" s="3" t="n">
        <v>127</v>
      </c>
      <c r="L617" s="3" t="n"/>
      <c r="M617" s="4" t="n">
        <v>0.5223</v>
      </c>
      <c r="N617" t="inlineStr">
        <is>
          <t>adjusted xGOT</t>
        </is>
      </c>
      <c r="O617" s="4" t="n">
        <v>0.9330000000000001</v>
      </c>
      <c r="P617" s="4" t="n">
        <v>0.8</v>
      </c>
      <c r="Q617" s="4" t="n">
        <v>0.026</v>
      </c>
      <c r="R617" s="4" t="n">
        <v>0</v>
      </c>
      <c r="S617" s="4" t="n">
        <v>0</v>
      </c>
      <c r="T617" s="4" t="n">
        <v>3.543</v>
      </c>
      <c r="U617" s="4">
        <f>IF(T617="",IFERROR(VLOOKUP($C617,Assumptions!$A$4:$F$7,6,FALSE),0),T617)</f>
        <v/>
      </c>
      <c r="V617" s="4">
        <f>N(M617)*IFERROR(VLOOKUP($C617,Assumptions!$A$4:$F$7,2,FALSE),0)</f>
        <v/>
      </c>
      <c r="W617" s="4">
        <f>N(Q617)*IFERROR(VLOOKUP($C617,Assumptions!$A$4:$F$7,3,FALSE),0)*Assumptions!$B$11</f>
        <v/>
      </c>
      <c r="X617" s="4">
        <f>N(L617)*IFERROR(VLOOKUP($C617,Assumptions!$A$4:$F$7,4,FALSE),0)</f>
        <v/>
      </c>
      <c r="Y617" s="4">
        <f>N(R617)*IFERROR(VLOOKUP($C617,Assumptions!$A$4:$F$7,5,FALSE),0)</f>
        <v/>
      </c>
      <c r="Z617" s="4">
        <f>N(S617)</f>
        <v/>
      </c>
      <c r="AA617" s="4">
        <f>SUM(U617:Z617)</f>
        <v/>
      </c>
      <c r="AB617" s="4">
        <f>N(AA617)*N(K617)/90</f>
        <v/>
      </c>
      <c r="AC617" s="4">
        <f>IFERROR(AB617-VLOOKUP($C617,Assumptions!$A$29:$C$32,3,FALSE),"")</f>
        <v/>
      </c>
      <c r="AD617" s="4">
        <f>IFERROR(AC617/F617,"")</f>
        <v/>
      </c>
      <c r="AE617">
        <f>IF(AND($E617=TRUE,$C617="GKP"),AB617,"")</f>
        <v/>
      </c>
      <c r="AF617">
        <f>IF(AND($E617=TRUE,$C617="DEF"),AB617,"")</f>
        <v/>
      </c>
      <c r="AG617">
        <f>IF(AND($E617=TRUE,$C617="MID"),AB617,"")</f>
        <v/>
      </c>
      <c r="AH617">
        <f>IF(AND($E617=TRUE,$C617="FWD"),AB617,"")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b">
        <v>1</v>
      </c>
      <c r="F618" s="2" t="n">
        <v>5</v>
      </c>
      <c r="G618" t="inlineStr">
        <is>
          <t>a</t>
        </is>
      </c>
      <c r="I618" s="2" t="n"/>
      <c r="K618" s="3" t="n"/>
      <c r="L618" s="3" t="n">
        <v>0.21</v>
      </c>
      <c r="M618" s="4" t="n"/>
      <c r="N618" t="inlineStr"/>
      <c r="O618" s="4" t="n"/>
      <c r="P618" s="4" t="n"/>
      <c r="Q618" s="4" t="n"/>
      <c r="R618" s="4" t="n">
        <v>0</v>
      </c>
      <c r="S618" s="4" t="n"/>
      <c r="T618" s="4" t="n"/>
      <c r="U618" s="4">
        <f>IF(T618="",IFERROR(VLOOKUP($C618,Assumptions!$A$4:$F$7,6,FALSE),0),T618)</f>
        <v/>
      </c>
      <c r="V618" s="4">
        <f>N(M618)*IFERROR(VLOOKUP($C618,Assumptions!$A$4:$F$7,2,FALSE),0)</f>
        <v/>
      </c>
      <c r="W618" s="4">
        <f>N(Q618)*IFERROR(VLOOKUP($C618,Assumptions!$A$4:$F$7,3,FALSE),0)*Assumptions!$B$11</f>
        <v/>
      </c>
      <c r="X618" s="4">
        <f>N(L618)*IFERROR(VLOOKUP($C618,Assumptions!$A$4:$F$7,4,FALSE),0)</f>
        <v/>
      </c>
      <c r="Y618" s="4">
        <f>N(R618)*IFERROR(VLOOKUP($C618,Assumptions!$A$4:$F$7,5,FALSE),0)</f>
        <v/>
      </c>
      <c r="Z618" s="4">
        <f>N(S618)</f>
        <v/>
      </c>
      <c r="AA618" s="4">
        <f>SUM(U618:Z618)</f>
        <v/>
      </c>
      <c r="AB618" s="4">
        <f>N(AA618)*N(K618)/90</f>
        <v/>
      </c>
      <c r="AC618" s="4">
        <f>IFERROR(AB618-VLOOKUP($C618,Assumptions!$A$29:$C$32,3,FALSE),"")</f>
        <v/>
      </c>
      <c r="AD618" s="4">
        <f>IFERROR(AC618/F618,"")</f>
        <v/>
      </c>
      <c r="AE618">
        <f>IF(AND($E618=TRUE,$C618="GKP"),AB618,"")</f>
        <v/>
      </c>
      <c r="AF618">
        <f>IF(AND($E618=TRUE,$C618="DEF"),AB618,"")</f>
        <v/>
      </c>
      <c r="AG618">
        <f>IF(AND($E618=TRUE,$C618="MID"),AB618,"")</f>
        <v/>
      </c>
      <c r="AH618">
        <f>IF(AND($E618=TRUE,$C618="FWD"),AB618,"")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b">
        <v>1</v>
      </c>
      <c r="F619" s="2" t="n">
        <v>4.5</v>
      </c>
      <c r="G619" t="inlineStr">
        <is>
          <t>a</t>
        </is>
      </c>
      <c r="I619" s="2" t="n"/>
      <c r="K619" s="3" t="n"/>
      <c r="L619" s="3" t="n"/>
      <c r="M619" s="4" t="n"/>
      <c r="N619" t="inlineStr"/>
      <c r="O619" s="4" t="n"/>
      <c r="P619" s="4" t="n"/>
      <c r="Q619" s="4" t="n"/>
      <c r="R619" s="4" t="n">
        <v>0</v>
      </c>
      <c r="S619" s="4" t="n"/>
      <c r="T619" s="4" t="n"/>
      <c r="U619" s="4">
        <f>IF(T619="",IFERROR(VLOOKUP($C619,Assumptions!$A$4:$F$7,6,FALSE),0),T619)</f>
        <v/>
      </c>
      <c r="V619" s="4">
        <f>N(M619)*IFERROR(VLOOKUP($C619,Assumptions!$A$4:$F$7,2,FALSE),0)</f>
        <v/>
      </c>
      <c r="W619" s="4">
        <f>N(Q619)*IFERROR(VLOOKUP($C619,Assumptions!$A$4:$F$7,3,FALSE),0)*Assumptions!$B$11</f>
        <v/>
      </c>
      <c r="X619" s="4">
        <f>N(L619)*IFERROR(VLOOKUP($C619,Assumptions!$A$4:$F$7,4,FALSE),0)</f>
        <v/>
      </c>
      <c r="Y619" s="4">
        <f>N(R619)*IFERROR(VLOOKUP($C619,Assumptions!$A$4:$F$7,5,FALSE),0)</f>
        <v/>
      </c>
      <c r="Z619" s="4">
        <f>N(S619)</f>
        <v/>
      </c>
      <c r="AA619" s="4">
        <f>SUM(U619:Z619)</f>
        <v/>
      </c>
      <c r="AB619" s="4">
        <f>N(AA619)*N(K619)/90</f>
        <v/>
      </c>
      <c r="AC619" s="4">
        <f>IFERROR(AB619-VLOOKUP($C619,Assumptions!$A$29:$C$32,3,FALSE),"")</f>
        <v/>
      </c>
      <c r="AD619" s="4">
        <f>IFERROR(AC619/F619,"")</f>
        <v/>
      </c>
      <c r="AE619">
        <f>IF(AND($E619=TRUE,$C619="GKP"),AB619,"")</f>
        <v/>
      </c>
      <c r="AF619">
        <f>IF(AND($E619=TRUE,$C619="DEF"),AB619,"")</f>
        <v/>
      </c>
      <c r="AG619">
        <f>IF(AND($E619=TRUE,$C619="MID"),AB619,"")</f>
        <v/>
      </c>
      <c r="AH619">
        <f>IF(AND($E619=TRUE,$C619="FWD"),AB619,"")</f>
        <v/>
      </c>
    </row>
    <row r="620">
      <c r="A620" t="inlineStr">
        <is>
          <t>Maxime Estève</t>
        </is>
      </c>
      <c r="D620" t="inlineStr">
        <is>
          <t>DEF</t>
        </is>
      </c>
      <c r="E620" t="b">
        <v>0</v>
      </c>
      <c r="F620" s="2" t="n"/>
      <c r="I620" s="2" t="n">
        <v>2937</v>
      </c>
      <c r="K620" s="3" t="n">
        <v>2937</v>
      </c>
      <c r="L620" s="3" t="n"/>
      <c r="M620" s="4" t="n">
        <v>0.0201</v>
      </c>
      <c r="N620" t="inlineStr">
        <is>
          <t>adjusted xGOT</t>
        </is>
      </c>
      <c r="O620" s="4" t="n">
        <v>0.9</v>
      </c>
      <c r="P620" s="4" t="n">
        <v>1</v>
      </c>
      <c r="Q620" s="4" t="n">
        <v>0.0215</v>
      </c>
      <c r="R620" s="4" t="n">
        <v>0.5590000000000001</v>
      </c>
      <c r="S620" s="4" t="n">
        <v>0</v>
      </c>
      <c r="T620" s="4" t="n">
        <v>2.053</v>
      </c>
      <c r="U620" s="4">
        <f>IF(T620="",IFERROR(VLOOKUP($C620,Assumptions!$A$4:$F$7,6,FALSE),0),T620)</f>
        <v/>
      </c>
      <c r="V620" s="4">
        <f>N(M620)*IFERROR(VLOOKUP($C620,Assumptions!$A$4:$F$7,2,FALSE),0)</f>
        <v/>
      </c>
      <c r="W620" s="4">
        <f>N(Q620)*IFERROR(VLOOKUP($C620,Assumptions!$A$4:$F$7,3,FALSE),0)*Assumptions!$B$11</f>
        <v/>
      </c>
      <c r="X620" s="4">
        <f>N(L620)*IFERROR(VLOOKUP($C620,Assumptions!$A$4:$F$7,4,FALSE),0)</f>
        <v/>
      </c>
      <c r="Y620" s="4">
        <f>N(R620)*IFERROR(VLOOKUP($C620,Assumptions!$A$4:$F$7,5,FALSE),0)</f>
        <v/>
      </c>
      <c r="Z620" s="4">
        <f>N(S620)</f>
        <v/>
      </c>
      <c r="AA620" s="4">
        <f>SUM(U620:Z620)</f>
        <v/>
      </c>
      <c r="AB620" s="4">
        <f>N(AA620)*N(K620)/90</f>
        <v/>
      </c>
      <c r="AC620" s="4">
        <f>IFERROR(AB620-VLOOKUP($C620,Assumptions!$A$29:$C$32,3,FALSE),"")</f>
        <v/>
      </c>
      <c r="AD620" s="4">
        <f>IFERROR(AC620/F620,"")</f>
        <v/>
      </c>
      <c r="AE620">
        <f>IF(AND($E620=TRUE,$C620="GKP"),AB620,"")</f>
        <v/>
      </c>
      <c r="AF620">
        <f>IF(AND($E620=TRUE,$C620="DEF"),AB620,"")</f>
        <v/>
      </c>
      <c r="AG620">
        <f>IF(AND($E620=TRUE,$C620="MID"),AB620,"")</f>
        <v/>
      </c>
      <c r="AH620">
        <f>IF(AND($E620=TRUE,$C620="FWD"),AB620,"")</f>
        <v/>
      </c>
    </row>
    <row r="621">
      <c r="A621" t="inlineStr">
        <is>
          <t>Hjalmar Ekdal</t>
        </is>
      </c>
      <c r="D621" t="inlineStr">
        <is>
          <t>DEF</t>
        </is>
      </c>
      <c r="E621" t="b">
        <v>0</v>
      </c>
      <c r="F621" s="2" t="n"/>
      <c r="I621" s="2" t="n">
        <v>1539</v>
      </c>
      <c r="K621" s="3" t="n">
        <v>1539</v>
      </c>
      <c r="L621" s="3" t="n"/>
      <c r="M621" s="4" t="n">
        <v>0.0143</v>
      </c>
      <c r="N621" t="inlineStr">
        <is>
          <t>adjusted xGOT</t>
        </is>
      </c>
      <c r="O621" s="4" t="n">
        <v>0.975</v>
      </c>
      <c r="P621" s="4" t="n">
        <v>0.3</v>
      </c>
      <c r="Q621" s="4" t="n">
        <v>0.0098</v>
      </c>
      <c r="R621" s="4" t="n">
        <v>0.529</v>
      </c>
      <c r="S621" s="4" t="n">
        <v>0.117</v>
      </c>
      <c r="T621" s="4" t="n">
        <v>2.105</v>
      </c>
      <c r="U621" s="4">
        <f>IF(T621="",IFERROR(VLOOKUP($C621,Assumptions!$A$4:$F$7,6,FALSE),0),T621)</f>
        <v/>
      </c>
      <c r="V621" s="4">
        <f>N(M621)*IFERROR(VLOOKUP($C621,Assumptions!$A$4:$F$7,2,FALSE),0)</f>
        <v/>
      </c>
      <c r="W621" s="4">
        <f>N(Q621)*IFERROR(VLOOKUP($C621,Assumptions!$A$4:$F$7,3,FALSE),0)*Assumptions!$B$11</f>
        <v/>
      </c>
      <c r="X621" s="4">
        <f>N(L621)*IFERROR(VLOOKUP($C621,Assumptions!$A$4:$F$7,4,FALSE),0)</f>
        <v/>
      </c>
      <c r="Y621" s="4">
        <f>N(R621)*IFERROR(VLOOKUP($C621,Assumptions!$A$4:$F$7,5,FALSE),0)</f>
        <v/>
      </c>
      <c r="Z621" s="4">
        <f>N(S621)</f>
        <v/>
      </c>
      <c r="AA621" s="4">
        <f>SUM(U621:Z621)</f>
        <v/>
      </c>
      <c r="AB621" s="4">
        <f>N(AA621)*N(K621)/90</f>
        <v/>
      </c>
      <c r="AC621" s="4">
        <f>IFERROR(AB621-VLOOKUP($C621,Assumptions!$A$29:$C$32,3,FALSE),"")</f>
        <v/>
      </c>
      <c r="AD621" s="4">
        <f>IFERROR(AC621/F621,"")</f>
        <v/>
      </c>
      <c r="AE621">
        <f>IF(AND($E621=TRUE,$C621="GKP"),AB621,"")</f>
        <v/>
      </c>
      <c r="AF621">
        <f>IF(AND($E621=TRUE,$C621="DEF"),AB621,"")</f>
        <v/>
      </c>
      <c r="AG621">
        <f>IF(AND($E621=TRUE,$C621="MID"),AB621,"")</f>
        <v/>
      </c>
      <c r="AH621">
        <f>IF(AND($E621=TRUE,$C621="FWD"),AB621,"")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b">
        <v>1</v>
      </c>
      <c r="F622" s="2" t="n">
        <v>5</v>
      </c>
      <c r="G622" t="inlineStr">
        <is>
          <t>d</t>
        </is>
      </c>
      <c r="H622" t="inlineStr">
        <is>
          <t>Shoulder injury - 75% chance of playing</t>
        </is>
      </c>
      <c r="I622" s="2" t="n"/>
      <c r="K622" s="3" t="n"/>
      <c r="L622" s="3" t="n"/>
      <c r="M622" s="4" t="n"/>
      <c r="N622" t="inlineStr"/>
      <c r="O622" s="4" t="n"/>
      <c r="P622" s="4" t="n"/>
      <c r="Q622" s="4" t="n"/>
      <c r="R622" s="4" t="n"/>
      <c r="S622" s="4" t="n"/>
      <c r="T622" s="4" t="n"/>
      <c r="U622" s="4">
        <f>IF(T622="",IFERROR(VLOOKUP($C622,Assumptions!$A$4:$F$7,6,FALSE),0),T622)</f>
        <v/>
      </c>
      <c r="V622" s="4">
        <f>N(M622)*IFERROR(VLOOKUP($C622,Assumptions!$A$4:$F$7,2,FALSE),0)</f>
        <v/>
      </c>
      <c r="W622" s="4">
        <f>N(Q622)*IFERROR(VLOOKUP($C622,Assumptions!$A$4:$F$7,3,FALSE),0)*Assumptions!$B$11</f>
        <v/>
      </c>
      <c r="X622" s="4">
        <f>N(L622)*IFERROR(VLOOKUP($C622,Assumptions!$A$4:$F$7,4,FALSE),0)</f>
        <v/>
      </c>
      <c r="Y622" s="4">
        <f>N(R622)*IFERROR(VLOOKUP($C622,Assumptions!$A$4:$F$7,5,FALSE),0)</f>
        <v/>
      </c>
      <c r="Z622" s="4">
        <f>N(S622)</f>
        <v/>
      </c>
      <c r="AA622" s="4">
        <f>SUM(U622:Z622)</f>
        <v/>
      </c>
      <c r="AB622" s="4">
        <f>N(AA622)*N(K622)/90</f>
        <v/>
      </c>
      <c r="AC622" s="4">
        <f>IFERROR(AB622-VLOOKUP($C622,Assumptions!$A$29:$C$32,3,FALSE),"")</f>
        <v/>
      </c>
      <c r="AD622" s="4">
        <f>IFERROR(AC622/F622,"")</f>
        <v/>
      </c>
      <c r="AE622">
        <f>IF(AND($E622=TRUE,$C622="GKP"),AB622,"")</f>
        <v/>
      </c>
      <c r="AF622">
        <f>IF(AND($E622=TRUE,$C622="DEF"),AB622,"")</f>
        <v/>
      </c>
      <c r="AG622">
        <f>IF(AND($E622=TRUE,$C622="MID"),AB622,"")</f>
        <v/>
      </c>
      <c r="AH622">
        <f>IF(AND($E622=TRUE,$C622="FWD"),AB622,"")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b">
        <v>1</v>
      </c>
      <c r="F623" s="2" t="n">
        <v>5.5</v>
      </c>
      <c r="G623" t="inlineStr">
        <is>
          <t>a</t>
        </is>
      </c>
      <c r="I623" s="2" t="n"/>
      <c r="K623" s="3" t="n"/>
      <c r="L623" s="3" t="n"/>
      <c r="M623" s="4" t="n"/>
      <c r="N623" t="inlineStr"/>
      <c r="O623" s="4" t="n"/>
      <c r="P623" s="4" t="n"/>
      <c r="Q623" s="4" t="n"/>
      <c r="R623" s="4" t="n"/>
      <c r="S623" s="4" t="n"/>
      <c r="T623" s="4" t="n"/>
      <c r="U623" s="4">
        <f>IF(T623="",IFERROR(VLOOKUP($C623,Assumptions!$A$4:$F$7,6,FALSE),0),T623)</f>
        <v/>
      </c>
      <c r="V623" s="4">
        <f>N(M623)*IFERROR(VLOOKUP($C623,Assumptions!$A$4:$F$7,2,FALSE),0)</f>
        <v/>
      </c>
      <c r="W623" s="4">
        <f>N(Q623)*IFERROR(VLOOKUP($C623,Assumptions!$A$4:$F$7,3,FALSE),0)*Assumptions!$B$11</f>
        <v/>
      </c>
      <c r="X623" s="4">
        <f>N(L623)*IFERROR(VLOOKUP($C623,Assumptions!$A$4:$F$7,4,FALSE),0)</f>
        <v/>
      </c>
      <c r="Y623" s="4">
        <f>N(R623)*IFERROR(VLOOKUP($C623,Assumptions!$A$4:$F$7,5,FALSE),0)</f>
        <v/>
      </c>
      <c r="Z623" s="4">
        <f>N(S623)</f>
        <v/>
      </c>
      <c r="AA623" s="4">
        <f>SUM(U623:Z623)</f>
        <v/>
      </c>
      <c r="AB623" s="4">
        <f>N(AA623)*N(K623)/90</f>
        <v/>
      </c>
      <c r="AC623" s="4">
        <f>IFERROR(AB623-VLOOKUP($C623,Assumptions!$A$29:$C$32,3,FALSE),"")</f>
        <v/>
      </c>
      <c r="AD623" s="4">
        <f>IFERROR(AC623/F623,"")</f>
        <v/>
      </c>
      <c r="AE623">
        <f>IF(AND($E623=TRUE,$C623="GKP"),AB623,"")</f>
        <v/>
      </c>
      <c r="AF623">
        <f>IF(AND($E623=TRUE,$C623="DEF"),AB623,"")</f>
        <v/>
      </c>
      <c r="AG623">
        <f>IF(AND($E623=TRUE,$C623="MID"),AB623,"")</f>
        <v/>
      </c>
      <c r="AH623">
        <f>IF(AND($E623=TRUE,$C623="FWD"),AB623,"")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b">
        <v>1</v>
      </c>
      <c r="F624" s="2" t="n">
        <v>5</v>
      </c>
      <c r="G624" t="inlineStr">
        <is>
          <t>a</t>
        </is>
      </c>
      <c r="I624" s="2" t="n"/>
      <c r="K624" s="3" t="n"/>
      <c r="L624" s="3" t="n">
        <v>0.29</v>
      </c>
      <c r="M624" s="4" t="n"/>
      <c r="N624" t="inlineStr"/>
      <c r="O624" s="4" t="n"/>
      <c r="P624" s="4" t="n"/>
      <c r="Q624" s="4" t="n"/>
      <c r="R624" s="4" t="n"/>
      <c r="S624" s="4" t="n"/>
      <c r="T624" s="4" t="n"/>
      <c r="U624" s="4">
        <f>IF(T624="",IFERROR(VLOOKUP($C624,Assumptions!$A$4:$F$7,6,FALSE),0),T624)</f>
        <v/>
      </c>
      <c r="V624" s="4">
        <f>N(M624)*IFERROR(VLOOKUP($C624,Assumptions!$A$4:$F$7,2,FALSE),0)</f>
        <v/>
      </c>
      <c r="W624" s="4">
        <f>N(Q624)*IFERROR(VLOOKUP($C624,Assumptions!$A$4:$F$7,3,FALSE),0)*Assumptions!$B$11</f>
        <v/>
      </c>
      <c r="X624" s="4">
        <f>N(L624)*IFERROR(VLOOKUP($C624,Assumptions!$A$4:$F$7,4,FALSE),0)</f>
        <v/>
      </c>
      <c r="Y624" s="4">
        <f>N(R624)*IFERROR(VLOOKUP($C624,Assumptions!$A$4:$F$7,5,FALSE),0)</f>
        <v/>
      </c>
      <c r="Z624" s="4">
        <f>N(S624)</f>
        <v/>
      </c>
      <c r="AA624" s="4">
        <f>SUM(U624:Z624)</f>
        <v/>
      </c>
      <c r="AB624" s="4">
        <f>N(AA624)*N(K624)/90</f>
        <v/>
      </c>
      <c r="AC624" s="4">
        <f>IFERROR(AB624-VLOOKUP($C624,Assumptions!$A$29:$C$32,3,FALSE),"")</f>
        <v/>
      </c>
      <c r="AD624" s="4">
        <f>IFERROR(AC624/F624,"")</f>
        <v/>
      </c>
      <c r="AE624">
        <f>IF(AND($E624=TRUE,$C624="GKP"),AB624,"")</f>
        <v/>
      </c>
      <c r="AF624">
        <f>IF(AND($E624=TRUE,$C624="DEF"),AB624,"")</f>
        <v/>
      </c>
      <c r="AG624">
        <f>IF(AND($E624=TRUE,$C624="MID"),AB624,"")</f>
        <v/>
      </c>
      <c r="AH624">
        <f>IF(AND($E624=TRUE,$C624="FWD"),AB624,"")</f>
        <v/>
      </c>
    </row>
    <row r="625">
      <c r="A625" t="inlineStr">
        <is>
          <t>Rodrigo Gomes</t>
        </is>
      </c>
      <c r="D625" t="inlineStr">
        <is>
          <t>DEF</t>
        </is>
      </c>
      <c r="E625" t="b">
        <v>0</v>
      </c>
      <c r="F625" s="2" t="n"/>
      <c r="I625" s="2" t="n">
        <v>960</v>
      </c>
      <c r="K625" s="3" t="n">
        <v>960</v>
      </c>
      <c r="L625" s="3" t="n"/>
      <c r="M625" s="4" t="n">
        <v>0.1877</v>
      </c>
      <c r="N625" t="inlineStr">
        <is>
          <t>adjusted xGOT</t>
        </is>
      </c>
      <c r="O625" s="4" t="n">
        <v>0.9399999999999999</v>
      </c>
      <c r="P625" s="4" t="n">
        <v>2.8</v>
      </c>
      <c r="Q625" s="4" t="n">
        <v>0.0142</v>
      </c>
      <c r="R625" s="4" t="n">
        <v>0</v>
      </c>
      <c r="S625" s="4" t="n">
        <v>0</v>
      </c>
      <c r="T625" s="4" t="n">
        <v>2.719</v>
      </c>
      <c r="U625" s="4">
        <f>IF(T625="",IFERROR(VLOOKUP($C625,Assumptions!$A$4:$F$7,6,FALSE),0),T625)</f>
        <v/>
      </c>
      <c r="V625" s="4">
        <f>N(M625)*IFERROR(VLOOKUP($C625,Assumptions!$A$4:$F$7,2,FALSE),0)</f>
        <v/>
      </c>
      <c r="W625" s="4">
        <f>N(Q625)*IFERROR(VLOOKUP($C625,Assumptions!$A$4:$F$7,3,FALSE),0)*Assumptions!$B$11</f>
        <v/>
      </c>
      <c r="X625" s="4">
        <f>N(L625)*IFERROR(VLOOKUP($C625,Assumptions!$A$4:$F$7,4,FALSE),0)</f>
        <v/>
      </c>
      <c r="Y625" s="4">
        <f>N(R625)*IFERROR(VLOOKUP($C625,Assumptions!$A$4:$F$7,5,FALSE),0)</f>
        <v/>
      </c>
      <c r="Z625" s="4">
        <f>N(S625)</f>
        <v/>
      </c>
      <c r="AA625" s="4">
        <f>SUM(U625:Z625)</f>
        <v/>
      </c>
      <c r="AB625" s="4">
        <f>N(AA625)*N(K625)/90</f>
        <v/>
      </c>
      <c r="AC625" s="4">
        <f>IFERROR(AB625-VLOOKUP($C625,Assumptions!$A$29:$C$32,3,FALSE),"")</f>
        <v/>
      </c>
      <c r="AD625" s="4">
        <f>IFERROR(AC625/F625,"")</f>
        <v/>
      </c>
      <c r="AE625">
        <f>IF(AND($E625=TRUE,$C625="GKP"),AB625,"")</f>
        <v/>
      </c>
      <c r="AF625">
        <f>IF(AND($E625=TRUE,$C625="DEF"),AB625,"")</f>
        <v/>
      </c>
      <c r="AG625">
        <f>IF(AND($E625=TRUE,$C625="MID"),AB625,"")</f>
        <v/>
      </c>
      <c r="AH625">
        <f>IF(AND($E625=TRUE,$C625="FWD"),AB625,"")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b">
        <v>1</v>
      </c>
      <c r="F626" s="2" t="n">
        <v>4</v>
      </c>
      <c r="G626" t="inlineStr">
        <is>
          <t>a</t>
        </is>
      </c>
      <c r="I626" s="2" t="n"/>
      <c r="K626" s="3" t="n"/>
      <c r="L626" s="3" t="n"/>
      <c r="M626" s="4" t="n"/>
      <c r="N626" t="inlineStr"/>
      <c r="O626" s="4" t="n"/>
      <c r="P626" s="4" t="n"/>
      <c r="Q626" s="4" t="n"/>
      <c r="R626" s="4" t="n">
        <v>0</v>
      </c>
      <c r="S626" s="4" t="n"/>
      <c r="T626" s="4" t="n"/>
      <c r="U626" s="4">
        <f>IF(T626="",IFERROR(VLOOKUP($C626,Assumptions!$A$4:$F$7,6,FALSE),0),T626)</f>
        <v/>
      </c>
      <c r="V626" s="4">
        <f>N(M626)*IFERROR(VLOOKUP($C626,Assumptions!$A$4:$F$7,2,FALSE),0)</f>
        <v/>
      </c>
      <c r="W626" s="4">
        <f>N(Q626)*IFERROR(VLOOKUP($C626,Assumptions!$A$4:$F$7,3,FALSE),0)*Assumptions!$B$11</f>
        <v/>
      </c>
      <c r="X626" s="4">
        <f>N(L626)*IFERROR(VLOOKUP($C626,Assumptions!$A$4:$F$7,4,FALSE),0)</f>
        <v/>
      </c>
      <c r="Y626" s="4">
        <f>N(R626)*IFERROR(VLOOKUP($C626,Assumptions!$A$4:$F$7,5,FALSE),0)</f>
        <v/>
      </c>
      <c r="Z626" s="4">
        <f>N(S626)</f>
        <v/>
      </c>
      <c r="AA626" s="4">
        <f>SUM(U626:Z626)</f>
        <v/>
      </c>
      <c r="AB626" s="4">
        <f>N(AA626)*N(K626)/90</f>
        <v/>
      </c>
      <c r="AC626" s="4">
        <f>IFERROR(AB626-VLOOKUP($C626,Assumptions!$A$29:$C$32,3,FALSE),"")</f>
        <v/>
      </c>
      <c r="AD626" s="4">
        <f>IFERROR(AC626/F626,"")</f>
        <v/>
      </c>
      <c r="AE626">
        <f>IF(AND($E626=TRUE,$C626="GKP"),AB626,"")</f>
        <v/>
      </c>
      <c r="AF626">
        <f>IF(AND($E626=TRUE,$C626="DEF"),AB626,"")</f>
        <v/>
      </c>
      <c r="AG626">
        <f>IF(AND($E626=TRUE,$C626="MID"),AB626,"")</f>
        <v/>
      </c>
      <c r="AH626">
        <f>IF(AND($E626=TRUE,$C626="FWD"),AB626,"")</f>
        <v/>
      </c>
    </row>
    <row r="627">
      <c r="A627" t="inlineStr">
        <is>
          <t>Tolu Arokodare</t>
        </is>
      </c>
      <c r="D627" t="inlineStr">
        <is>
          <t>FWD</t>
        </is>
      </c>
      <c r="E627" t="b">
        <v>0</v>
      </c>
      <c r="F627" s="2" t="n"/>
      <c r="I627" s="2" t="n">
        <v>1407</v>
      </c>
      <c r="K627" s="3" t="n">
        <v>1407</v>
      </c>
      <c r="L627" s="3" t="n"/>
      <c r="M627" s="4" t="n">
        <v>0.3124</v>
      </c>
      <c r="N627" t="inlineStr">
        <is>
          <t>adjusted xGOT</t>
        </is>
      </c>
      <c r="O627" s="4" t="n">
        <v>0.89</v>
      </c>
      <c r="P627" s="4" t="n">
        <v>5.5</v>
      </c>
      <c r="Q627" s="4" t="n">
        <v>0.0742</v>
      </c>
      <c r="R627" s="4" t="n">
        <v>0.077</v>
      </c>
      <c r="S627" s="4" t="n">
        <v>0.3198</v>
      </c>
      <c r="T627" s="4" t="n">
        <v>3.006</v>
      </c>
      <c r="U627" s="4">
        <f>IF(T627="",IFERROR(VLOOKUP($C627,Assumptions!$A$4:$F$7,6,FALSE),0),T627)</f>
        <v/>
      </c>
      <c r="V627" s="4">
        <f>N(M627)*IFERROR(VLOOKUP($C627,Assumptions!$A$4:$F$7,2,FALSE),0)</f>
        <v/>
      </c>
      <c r="W627" s="4">
        <f>N(Q627)*IFERROR(VLOOKUP($C627,Assumptions!$A$4:$F$7,3,FALSE),0)*Assumptions!$B$11</f>
        <v/>
      </c>
      <c r="X627" s="4">
        <f>N(L627)*IFERROR(VLOOKUP($C627,Assumptions!$A$4:$F$7,4,FALSE),0)</f>
        <v/>
      </c>
      <c r="Y627" s="4">
        <f>N(R627)*IFERROR(VLOOKUP($C627,Assumptions!$A$4:$F$7,5,FALSE),0)</f>
        <v/>
      </c>
      <c r="Z627" s="4">
        <f>N(S627)</f>
        <v/>
      </c>
      <c r="AA627" s="4">
        <f>SUM(U627:Z627)</f>
        <v/>
      </c>
      <c r="AB627" s="4">
        <f>N(AA627)*N(K627)/90</f>
        <v/>
      </c>
      <c r="AC627" s="4">
        <f>IFERROR(AB627-VLOOKUP($C627,Assumptions!$A$29:$C$32,3,FALSE),"")</f>
        <v/>
      </c>
      <c r="AD627" s="4">
        <f>IFERROR(AC627/F627,"")</f>
        <v/>
      </c>
      <c r="AE627">
        <f>IF(AND($E627=TRUE,$C627="GKP"),AB627,"")</f>
        <v/>
      </c>
      <c r="AF627">
        <f>IF(AND($E627=TRUE,$C627="DEF"),AB627,"")</f>
        <v/>
      </c>
      <c r="AG627">
        <f>IF(AND($E627=TRUE,$C627="MID"),AB627,"")</f>
        <v/>
      </c>
      <c r="AH627">
        <f>IF(AND($E627=TRUE,$C627="FWD"),AB627,"")</f>
        <v/>
      </c>
    </row>
    <row r="628">
      <c r="A628" t="inlineStr">
        <is>
          <t>Freddie Potts</t>
        </is>
      </c>
      <c r="D628" t="inlineStr">
        <is>
          <t>MID</t>
        </is>
      </c>
      <c r="E628" t="b">
        <v>0</v>
      </c>
      <c r="F628" s="2" t="n"/>
      <c r="I628" s="2" t="n">
        <v>1167</v>
      </c>
      <c r="K628" s="3" t="n">
        <v>1167</v>
      </c>
      <c r="L628" s="3" t="n"/>
      <c r="M628" s="4" t="n">
        <v>0.0167</v>
      </c>
      <c r="N628" t="inlineStr">
        <is>
          <t>adjusted xGOT</t>
        </is>
      </c>
      <c r="O628" s="4" t="n">
        <v>1.035</v>
      </c>
      <c r="P628" s="4" t="n">
        <v>0.2</v>
      </c>
      <c r="Q628" s="4" t="n">
        <v>0.0931</v>
      </c>
      <c r="R628" s="4" t="n">
        <v>0.333</v>
      </c>
      <c r="S628" s="4" t="n">
        <v>0</v>
      </c>
      <c r="T628" s="4" t="n">
        <v>2.468</v>
      </c>
      <c r="U628" s="4">
        <f>IF(T628="",IFERROR(VLOOKUP($C628,Assumptions!$A$4:$F$7,6,FALSE),0),T628)</f>
        <v/>
      </c>
      <c r="V628" s="4">
        <f>N(M628)*IFERROR(VLOOKUP($C628,Assumptions!$A$4:$F$7,2,FALSE),0)</f>
        <v/>
      </c>
      <c r="W628" s="4">
        <f>N(Q628)*IFERROR(VLOOKUP($C628,Assumptions!$A$4:$F$7,3,FALSE),0)*Assumptions!$B$11</f>
        <v/>
      </c>
      <c r="X628" s="4">
        <f>N(L628)*IFERROR(VLOOKUP($C628,Assumptions!$A$4:$F$7,4,FALSE),0)</f>
        <v/>
      </c>
      <c r="Y628" s="4">
        <f>N(R628)*IFERROR(VLOOKUP($C628,Assumptions!$A$4:$F$7,5,FALSE),0)</f>
        <v/>
      </c>
      <c r="Z628" s="4">
        <f>N(S628)</f>
        <v/>
      </c>
      <c r="AA628" s="4">
        <f>SUM(U628:Z628)</f>
        <v/>
      </c>
      <c r="AB628" s="4">
        <f>N(AA628)*N(K628)/90</f>
        <v/>
      </c>
      <c r="AC628" s="4">
        <f>IFERROR(AB628-VLOOKUP($C628,Assumptions!$A$29:$C$32,3,FALSE),"")</f>
        <v/>
      </c>
      <c r="AD628" s="4">
        <f>IFERROR(AC628/F628,"")</f>
        <v/>
      </c>
      <c r="AE628">
        <f>IF(AND($E628=TRUE,$C628="GKP"),AB628,"")</f>
        <v/>
      </c>
      <c r="AF628">
        <f>IF(AND($E628=TRUE,$C628="DEF"),AB628,"")</f>
        <v/>
      </c>
      <c r="AG628">
        <f>IF(AND($E628=TRUE,$C628="MID"),AB628,"")</f>
        <v/>
      </c>
      <c r="AH628">
        <f>IF(AND($E628=TRUE,$C628="FWD"),AB628,"")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b">
        <v>1</v>
      </c>
      <c r="F629" s="2" t="n">
        <v>5</v>
      </c>
      <c r="G629" t="inlineStr">
        <is>
          <t>u</t>
        </is>
      </c>
      <c r="H629" t="inlineStr">
        <is>
          <t>Has joined Portsmouth permanently</t>
        </is>
      </c>
      <c r="I629" s="2" t="n"/>
      <c r="K629" s="3" t="n"/>
      <c r="L629" s="3" t="n"/>
      <c r="M629" s="4" t="n"/>
      <c r="N629" t="inlineStr"/>
      <c r="O629" s="4" t="n"/>
      <c r="P629" s="4" t="n"/>
      <c r="Q629" s="4" t="n"/>
      <c r="R629" s="4" t="n"/>
      <c r="S629" s="4" t="n"/>
      <c r="T629" s="4" t="n"/>
      <c r="U629" s="4">
        <f>IF(T629="",IFERROR(VLOOKUP($C629,Assumptions!$A$4:$F$7,6,FALSE),0),T629)</f>
        <v/>
      </c>
      <c r="V629" s="4">
        <f>N(M629)*IFERROR(VLOOKUP($C629,Assumptions!$A$4:$F$7,2,FALSE),0)</f>
        <v/>
      </c>
      <c r="W629" s="4">
        <f>N(Q629)*IFERROR(VLOOKUP($C629,Assumptions!$A$4:$F$7,3,FALSE),0)*Assumptions!$B$11</f>
        <v/>
      </c>
      <c r="X629" s="4">
        <f>N(L629)*IFERROR(VLOOKUP($C629,Assumptions!$A$4:$F$7,4,FALSE),0)</f>
        <v/>
      </c>
      <c r="Y629" s="4">
        <f>N(R629)*IFERROR(VLOOKUP($C629,Assumptions!$A$4:$F$7,5,FALSE),0)</f>
        <v/>
      </c>
      <c r="Z629" s="4">
        <f>N(S629)</f>
        <v/>
      </c>
      <c r="AA629" s="4">
        <f>SUM(U629:Z629)</f>
        <v/>
      </c>
      <c r="AB629" s="4">
        <f>N(AA629)*N(K629)/90</f>
        <v/>
      </c>
      <c r="AC629" s="4">
        <f>IFERROR(AB629-VLOOKUP($C629,Assumptions!$A$29:$C$32,3,FALSE),"")</f>
        <v/>
      </c>
      <c r="AD629" s="4">
        <f>IFERROR(AC629/F629,"")</f>
        <v/>
      </c>
      <c r="AE629">
        <f>IF(AND($E629=TRUE,$C629="GKP"),AB629,"")</f>
        <v/>
      </c>
      <c r="AF629">
        <f>IF(AND($E629=TRUE,$C629="DEF"),AB629,"")</f>
        <v/>
      </c>
      <c r="AG629">
        <f>IF(AND($E629=TRUE,$C629="MID"),AB629,"")</f>
        <v/>
      </c>
      <c r="AH629">
        <f>IF(AND($E629=TRUE,$C629="FWD"),AB629,"")</f>
        <v/>
      </c>
    </row>
    <row r="630">
      <c r="A630" t="inlineStr">
        <is>
          <t>Hugo Bueno</t>
        </is>
      </c>
      <c r="D630" t="inlineStr">
        <is>
          <t>DEF</t>
        </is>
      </c>
      <c r="E630" t="b">
        <v>0</v>
      </c>
      <c r="F630" s="2" t="n"/>
      <c r="I630" s="2" t="n">
        <v>2364</v>
      </c>
      <c r="K630" s="3" t="n">
        <v>2364</v>
      </c>
      <c r="L630" s="3" t="n"/>
      <c r="M630" s="4" t="n">
        <v>0.0326</v>
      </c>
      <c r="N630" t="inlineStr">
        <is>
          <t>adjusted xGOT</t>
        </is>
      </c>
      <c r="O630" s="4" t="n">
        <v>0.996</v>
      </c>
      <c r="P630" s="4" t="n">
        <v>1.3</v>
      </c>
      <c r="Q630" s="4" t="n">
        <v>0.1402</v>
      </c>
      <c r="R630" s="4" t="n">
        <v>0.115</v>
      </c>
      <c r="S630" s="4" t="n">
        <v>0.1904</v>
      </c>
      <c r="T630" s="4" t="n">
        <v>2.246</v>
      </c>
      <c r="U630" s="4">
        <f>IF(T630="",IFERROR(VLOOKUP($C630,Assumptions!$A$4:$F$7,6,FALSE),0),T630)</f>
        <v/>
      </c>
      <c r="V630" s="4">
        <f>N(M630)*IFERROR(VLOOKUP($C630,Assumptions!$A$4:$F$7,2,FALSE),0)</f>
        <v/>
      </c>
      <c r="W630" s="4">
        <f>N(Q630)*IFERROR(VLOOKUP($C630,Assumptions!$A$4:$F$7,3,FALSE),0)*Assumptions!$B$11</f>
        <v/>
      </c>
      <c r="X630" s="4">
        <f>N(L630)*IFERROR(VLOOKUP($C630,Assumptions!$A$4:$F$7,4,FALSE),0)</f>
        <v/>
      </c>
      <c r="Y630" s="4">
        <f>N(R630)*IFERROR(VLOOKUP($C630,Assumptions!$A$4:$F$7,5,FALSE),0)</f>
        <v/>
      </c>
      <c r="Z630" s="4">
        <f>N(S630)</f>
        <v/>
      </c>
      <c r="AA630" s="4">
        <f>SUM(U630:Z630)</f>
        <v/>
      </c>
      <c r="AB630" s="4">
        <f>N(AA630)*N(K630)/90</f>
        <v/>
      </c>
      <c r="AC630" s="4">
        <f>IFERROR(AB630-VLOOKUP($C630,Assumptions!$A$29:$C$32,3,FALSE),"")</f>
        <v/>
      </c>
      <c r="AD630" s="4">
        <f>IFERROR(AC630/F630,"")</f>
        <v/>
      </c>
      <c r="AE630">
        <f>IF(AND($E630=TRUE,$C630="GKP"),AB630,"")</f>
        <v/>
      </c>
      <c r="AF630">
        <f>IF(AND($E630=TRUE,$C630="DEF"),AB630,"")</f>
        <v/>
      </c>
      <c r="AG630">
        <f>IF(AND($E630=TRUE,$C630="MID"),AB630,"")</f>
        <v/>
      </c>
      <c r="AH630">
        <f>IF(AND($E630=TRUE,$C630="FWD"),AB630,"")</f>
        <v/>
      </c>
    </row>
    <row r="631">
      <c r="A631" t="inlineStr">
        <is>
          <t>George Earthy</t>
        </is>
      </c>
      <c r="D631" t="inlineStr">
        <is>
          <t>MID</t>
        </is>
      </c>
      <c r="E631" t="b">
        <v>0</v>
      </c>
      <c r="F631" s="2" t="n"/>
      <c r="I631" s="2" t="n">
        <v>8</v>
      </c>
      <c r="K631" s="3" t="n">
        <v>8</v>
      </c>
      <c r="L631" s="3" t="n"/>
      <c r="M631" s="4" t="n">
        <v>0</v>
      </c>
      <c r="N631" t="inlineStr">
        <is>
          <t>adjusted xGOT</t>
        </is>
      </c>
      <c r="O631" s="4" t="n">
        <v>1.054</v>
      </c>
      <c r="P631" s="4" t="n">
        <v>0.4</v>
      </c>
      <c r="Q631" s="4" t="n">
        <v>0</v>
      </c>
      <c r="R631" s="4" t="n"/>
      <c r="S631" s="4" t="n">
        <v>0</v>
      </c>
      <c r="T631" s="4" t="n">
        <v>11.25</v>
      </c>
      <c r="U631" s="4">
        <f>IF(T631="",IFERROR(VLOOKUP($C631,Assumptions!$A$4:$F$7,6,FALSE),0),T631)</f>
        <v/>
      </c>
      <c r="V631" s="4">
        <f>N(M631)*IFERROR(VLOOKUP($C631,Assumptions!$A$4:$F$7,2,FALSE),0)</f>
        <v/>
      </c>
      <c r="W631" s="4">
        <f>N(Q631)*IFERROR(VLOOKUP($C631,Assumptions!$A$4:$F$7,3,FALSE),0)*Assumptions!$B$11</f>
        <v/>
      </c>
      <c r="X631" s="4">
        <f>N(L631)*IFERROR(VLOOKUP($C631,Assumptions!$A$4:$F$7,4,FALSE),0)</f>
        <v/>
      </c>
      <c r="Y631" s="4">
        <f>N(R631)*IFERROR(VLOOKUP($C631,Assumptions!$A$4:$F$7,5,FALSE),0)</f>
        <v/>
      </c>
      <c r="Z631" s="4">
        <f>N(S631)</f>
        <v/>
      </c>
      <c r="AA631" s="4">
        <f>SUM(U631:Z631)</f>
        <v/>
      </c>
      <c r="AB631" s="4">
        <f>N(AA631)*N(K631)/90</f>
        <v/>
      </c>
      <c r="AC631" s="4">
        <f>IFERROR(AB631-VLOOKUP($C631,Assumptions!$A$29:$C$32,3,FALSE),"")</f>
        <v/>
      </c>
      <c r="AD631" s="4">
        <f>IFERROR(AC631/F631,"")</f>
        <v/>
      </c>
      <c r="AE631">
        <f>IF(AND($E631=TRUE,$C631="GKP"),AB631,"")</f>
        <v/>
      </c>
      <c r="AF631">
        <f>IF(AND($E631=TRUE,$C631="DEF"),AB631,"")</f>
        <v/>
      </c>
      <c r="AG631">
        <f>IF(AND($E631=TRUE,$C631="MID"),AB631,"")</f>
        <v/>
      </c>
      <c r="AH631">
        <f>IF(AND($E631=TRUE,$C631="FWD"),AB631,"")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b">
        <v>1</v>
      </c>
      <c r="F632" s="2" t="n">
        <v>4.5</v>
      </c>
      <c r="G632" t="inlineStr">
        <is>
          <t>a</t>
        </is>
      </c>
      <c r="I632" s="2" t="n"/>
      <c r="K632" s="3" t="n"/>
      <c r="L632" s="3" t="n"/>
      <c r="M632" s="4" t="n"/>
      <c r="N632" t="inlineStr"/>
      <c r="O632" s="4" t="n"/>
      <c r="P632" s="4" t="n"/>
      <c r="Q632" s="4" t="n"/>
      <c r="R632" s="4" t="n"/>
      <c r="S632" s="4" t="n"/>
      <c r="T632" s="4" t="n"/>
      <c r="U632" s="4">
        <f>IF(T632="",IFERROR(VLOOKUP($C632,Assumptions!$A$4:$F$7,6,FALSE),0),T632)</f>
        <v/>
      </c>
      <c r="V632" s="4">
        <f>N(M632)*IFERROR(VLOOKUP($C632,Assumptions!$A$4:$F$7,2,FALSE),0)</f>
        <v/>
      </c>
      <c r="W632" s="4">
        <f>N(Q632)*IFERROR(VLOOKUP($C632,Assumptions!$A$4:$F$7,3,FALSE),0)*Assumptions!$B$11</f>
        <v/>
      </c>
      <c r="X632" s="4">
        <f>N(L632)*IFERROR(VLOOKUP($C632,Assumptions!$A$4:$F$7,4,FALSE),0)</f>
        <v/>
      </c>
      <c r="Y632" s="4">
        <f>N(R632)*IFERROR(VLOOKUP($C632,Assumptions!$A$4:$F$7,5,FALSE),0)</f>
        <v/>
      </c>
      <c r="Z632" s="4">
        <f>N(S632)</f>
        <v/>
      </c>
      <c r="AA632" s="4">
        <f>SUM(U632:Z632)</f>
        <v/>
      </c>
      <c r="AB632" s="4">
        <f>N(AA632)*N(K632)/90</f>
        <v/>
      </c>
      <c r="AC632" s="4">
        <f>IFERROR(AB632-VLOOKUP($C632,Assumptions!$A$29:$C$32,3,FALSE),"")</f>
        <v/>
      </c>
      <c r="AD632" s="4">
        <f>IFERROR(AC632/F632,"")</f>
        <v/>
      </c>
      <c r="AE632">
        <f>IF(AND($E632=TRUE,$C632="GKP"),AB632,"")</f>
        <v/>
      </c>
      <c r="AF632">
        <f>IF(AND($E632=TRUE,$C632="DEF"),AB632,"")</f>
        <v/>
      </c>
      <c r="AG632">
        <f>IF(AND($E632=TRUE,$C632="MID"),AB632,"")</f>
        <v/>
      </c>
      <c r="AH632">
        <f>IF(AND($E632=TRUE,$C632="FWD"),AB632,"")</f>
        <v/>
      </c>
    </row>
    <row r="633">
      <c r="A633" t="inlineStr">
        <is>
          <t>Zeki Amdouni</t>
        </is>
      </c>
      <c r="D633" t="inlineStr">
        <is>
          <t>FWD</t>
        </is>
      </c>
      <c r="E633" t="b">
        <v>0</v>
      </c>
      <c r="F633" s="2" t="n"/>
      <c r="I633" s="2" t="n">
        <v>69</v>
      </c>
      <c r="K633" s="3" t="n">
        <v>69</v>
      </c>
      <c r="L633" s="3" t="n"/>
      <c r="M633" s="4" t="n">
        <v>0.3196</v>
      </c>
      <c r="N633" t="inlineStr">
        <is>
          <t>adjusted xGOT</t>
        </is>
      </c>
      <c r="O633" s="4" t="n">
        <v>1.022</v>
      </c>
      <c r="P633" s="4" t="n">
        <v>5.8</v>
      </c>
      <c r="Q633" s="4" t="n">
        <v>0</v>
      </c>
      <c r="R633" s="4" t="n"/>
      <c r="S633" s="4" t="n">
        <v>0</v>
      </c>
      <c r="T633" s="4" t="n">
        <v>5.217</v>
      </c>
      <c r="U633" s="4">
        <f>IF(T633="",IFERROR(VLOOKUP($C633,Assumptions!$A$4:$F$7,6,FALSE),0),T633)</f>
        <v/>
      </c>
      <c r="V633" s="4">
        <f>N(M633)*IFERROR(VLOOKUP($C633,Assumptions!$A$4:$F$7,2,FALSE),0)</f>
        <v/>
      </c>
      <c r="W633" s="4">
        <f>N(Q633)*IFERROR(VLOOKUP($C633,Assumptions!$A$4:$F$7,3,FALSE),0)*Assumptions!$B$11</f>
        <v/>
      </c>
      <c r="X633" s="4">
        <f>N(L633)*IFERROR(VLOOKUP($C633,Assumptions!$A$4:$F$7,4,FALSE),0)</f>
        <v/>
      </c>
      <c r="Y633" s="4">
        <f>N(R633)*IFERROR(VLOOKUP($C633,Assumptions!$A$4:$F$7,5,FALSE),0)</f>
        <v/>
      </c>
      <c r="Z633" s="4">
        <f>N(S633)</f>
        <v/>
      </c>
      <c r="AA633" s="4">
        <f>SUM(U633:Z633)</f>
        <v/>
      </c>
      <c r="AB633" s="4">
        <f>N(AA633)*N(K633)/90</f>
        <v/>
      </c>
      <c r="AC633" s="4">
        <f>IFERROR(AB633-VLOOKUP($C633,Assumptions!$A$29:$C$32,3,FALSE),"")</f>
        <v/>
      </c>
      <c r="AD633" s="4">
        <f>IFERROR(AC633/F633,"")</f>
        <v/>
      </c>
      <c r="AE633">
        <f>IF(AND($E633=TRUE,$C633="GKP"),AB633,"")</f>
        <v/>
      </c>
      <c r="AF633">
        <f>IF(AND($E633=TRUE,$C633="DEF"),AB633,"")</f>
        <v/>
      </c>
      <c r="AG633">
        <f>IF(AND($E633=TRUE,$C633="MID"),AB633,"")</f>
        <v/>
      </c>
      <c r="AH633">
        <f>IF(AND($E633=TRUE,$C633="FWD"),AB633,"")</f>
        <v/>
      </c>
    </row>
    <row r="634">
      <c r="A634" t="inlineStr">
        <is>
          <t>Radu Dragusin</t>
        </is>
      </c>
      <c r="D634" t="inlineStr">
        <is>
          <t>DEF</t>
        </is>
      </c>
      <c r="E634" t="b">
        <v>0</v>
      </c>
      <c r="F634" s="2" t="n"/>
      <c r="I634" s="2" t="n">
        <v>515</v>
      </c>
      <c r="K634" s="3" t="n">
        <v>515</v>
      </c>
      <c r="L634" s="3" t="n"/>
      <c r="M634" s="4" t="n">
        <v>0.0505</v>
      </c>
      <c r="N634" t="inlineStr">
        <is>
          <t>adjusted xGOT</t>
        </is>
      </c>
      <c r="O634" s="4" t="n">
        <v>0.9320000000000001</v>
      </c>
      <c r="P634" s="4" t="n">
        <v>0.6</v>
      </c>
      <c r="Q634" s="4" t="n">
        <v>0</v>
      </c>
      <c r="R634" s="4" t="n">
        <v>0.8</v>
      </c>
      <c r="S634" s="4" t="n">
        <v>0</v>
      </c>
      <c r="T634" s="4" t="n">
        <v>2.621</v>
      </c>
      <c r="U634" s="4">
        <f>IF(T634="",IFERROR(VLOOKUP($C634,Assumptions!$A$4:$F$7,6,FALSE),0),T634)</f>
        <v/>
      </c>
      <c r="V634" s="4">
        <f>N(M634)*IFERROR(VLOOKUP($C634,Assumptions!$A$4:$F$7,2,FALSE),0)</f>
        <v/>
      </c>
      <c r="W634" s="4">
        <f>N(Q634)*IFERROR(VLOOKUP($C634,Assumptions!$A$4:$F$7,3,FALSE),0)*Assumptions!$B$11</f>
        <v/>
      </c>
      <c r="X634" s="4">
        <f>N(L634)*IFERROR(VLOOKUP($C634,Assumptions!$A$4:$F$7,4,FALSE),0)</f>
        <v/>
      </c>
      <c r="Y634" s="4">
        <f>N(R634)*IFERROR(VLOOKUP($C634,Assumptions!$A$4:$F$7,5,FALSE),0)</f>
        <v/>
      </c>
      <c r="Z634" s="4">
        <f>N(S634)</f>
        <v/>
      </c>
      <c r="AA634" s="4">
        <f>SUM(U634:Z634)</f>
        <v/>
      </c>
      <c r="AB634" s="4">
        <f>N(AA634)*N(K634)/90</f>
        <v/>
      </c>
      <c r="AC634" s="4">
        <f>IFERROR(AB634-VLOOKUP($C634,Assumptions!$A$29:$C$32,3,FALSE),"")</f>
        <v/>
      </c>
      <c r="AD634" s="4">
        <f>IFERROR(AC634/F634,"")</f>
        <v/>
      </c>
      <c r="AE634">
        <f>IF(AND($E634=TRUE,$C634="GKP"),AB634,"")</f>
        <v/>
      </c>
      <c r="AF634">
        <f>IF(AND($E634=TRUE,$C634="DEF"),AB634,"")</f>
        <v/>
      </c>
      <c r="AG634">
        <f>IF(AND($E634=TRUE,$C634="MID"),AB634,"")</f>
        <v/>
      </c>
      <c r="AH634">
        <f>IF(AND($E634=TRUE,$C634="FWD"),AB634,"")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b">
        <v>1</v>
      </c>
      <c r="F635" s="2" t="n">
        <v>4.5</v>
      </c>
      <c r="G635" t="inlineStr">
        <is>
          <t>a</t>
        </is>
      </c>
      <c r="I635" s="2" t="n"/>
      <c r="K635" s="3" t="n"/>
      <c r="L635" s="3" t="n">
        <v>0.29</v>
      </c>
      <c r="M635" s="4" t="n"/>
      <c r="N635" t="inlineStr"/>
      <c r="O635" s="4" t="n"/>
      <c r="P635" s="4" t="n"/>
      <c r="Q635" s="4" t="n"/>
      <c r="R635" s="4" t="n"/>
      <c r="S635" s="4" t="n"/>
      <c r="T635" s="4" t="n"/>
      <c r="U635" s="4">
        <f>IF(T635="",IFERROR(VLOOKUP($C635,Assumptions!$A$4:$F$7,6,FALSE),0),T635)</f>
        <v/>
      </c>
      <c r="V635" s="4">
        <f>N(M635)*IFERROR(VLOOKUP($C635,Assumptions!$A$4:$F$7,2,FALSE),0)</f>
        <v/>
      </c>
      <c r="W635" s="4">
        <f>N(Q635)*IFERROR(VLOOKUP($C635,Assumptions!$A$4:$F$7,3,FALSE),0)*Assumptions!$B$11</f>
        <v/>
      </c>
      <c r="X635" s="4">
        <f>N(L635)*IFERROR(VLOOKUP($C635,Assumptions!$A$4:$F$7,4,FALSE),0)</f>
        <v/>
      </c>
      <c r="Y635" s="4">
        <f>N(R635)*IFERROR(VLOOKUP($C635,Assumptions!$A$4:$F$7,5,FALSE),0)</f>
        <v/>
      </c>
      <c r="Z635" s="4">
        <f>N(S635)</f>
        <v/>
      </c>
      <c r="AA635" s="4">
        <f>SUM(U635:Z635)</f>
        <v/>
      </c>
      <c r="AB635" s="4">
        <f>N(AA635)*N(K635)/90</f>
        <v/>
      </c>
      <c r="AC635" s="4">
        <f>IFERROR(AB635-VLOOKUP($C635,Assumptions!$A$29:$C$32,3,FALSE),"")</f>
        <v/>
      </c>
      <c r="AD635" s="4">
        <f>IFERROR(AC635/F635,"")</f>
        <v/>
      </c>
      <c r="AE635">
        <f>IF(AND($E635=TRUE,$C635="GKP"),AB635,"")</f>
        <v/>
      </c>
      <c r="AF635">
        <f>IF(AND($E635=TRUE,$C635="DEF"),AB635,"")</f>
        <v/>
      </c>
      <c r="AG635">
        <f>IF(AND($E635=TRUE,$C635="MID"),AB635,"")</f>
        <v/>
      </c>
      <c r="AH635">
        <f>IF(AND($E635=TRUE,$C635="FWD"),AB635,"")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b">
        <v>1</v>
      </c>
      <c r="F636" s="2" t="n">
        <v>4</v>
      </c>
      <c r="G636" t="inlineStr">
        <is>
          <t>u</t>
        </is>
      </c>
      <c r="H636" t="inlineStr">
        <is>
          <t>Has joined Grimsby Town on loan for the rest of the season</t>
        </is>
      </c>
      <c r="I636" s="2" t="n"/>
      <c r="K636" s="3" t="n"/>
      <c r="L636" s="3" t="n"/>
      <c r="M636" s="4" t="n"/>
      <c r="N636" t="inlineStr"/>
      <c r="O636" s="4" t="n"/>
      <c r="P636" s="4" t="n"/>
      <c r="Q636" s="4" t="n"/>
      <c r="R636" s="4" t="n">
        <v>0</v>
      </c>
      <c r="S636" s="4" t="n"/>
      <c r="T636" s="4" t="n"/>
      <c r="U636" s="4">
        <f>IF(T636="",IFERROR(VLOOKUP($C636,Assumptions!$A$4:$F$7,6,FALSE),0),T636)</f>
        <v/>
      </c>
      <c r="V636" s="4">
        <f>N(M636)*IFERROR(VLOOKUP($C636,Assumptions!$A$4:$F$7,2,FALSE),0)</f>
        <v/>
      </c>
      <c r="W636" s="4">
        <f>N(Q636)*IFERROR(VLOOKUP($C636,Assumptions!$A$4:$F$7,3,FALSE),0)*Assumptions!$B$11</f>
        <v/>
      </c>
      <c r="X636" s="4">
        <f>N(L636)*IFERROR(VLOOKUP($C636,Assumptions!$A$4:$F$7,4,FALSE),0)</f>
        <v/>
      </c>
      <c r="Y636" s="4">
        <f>N(R636)*IFERROR(VLOOKUP($C636,Assumptions!$A$4:$F$7,5,FALSE),0)</f>
        <v/>
      </c>
      <c r="Z636" s="4">
        <f>N(S636)</f>
        <v/>
      </c>
      <c r="AA636" s="4">
        <f>SUM(U636:Z636)</f>
        <v/>
      </c>
      <c r="AB636" s="4">
        <f>N(AA636)*N(K636)/90</f>
        <v/>
      </c>
      <c r="AC636" s="4">
        <f>IFERROR(AB636-VLOOKUP($C636,Assumptions!$A$29:$C$32,3,FALSE),"")</f>
        <v/>
      </c>
      <c r="AD636" s="4">
        <f>IFERROR(AC636/F636,"")</f>
        <v/>
      </c>
      <c r="AE636">
        <f>IF(AND($E636=TRUE,$C636="GKP"),AB636,"")</f>
        <v/>
      </c>
      <c r="AF636">
        <f>IF(AND($E636=TRUE,$C636="DEF"),AB636,"")</f>
        <v/>
      </c>
      <c r="AG636">
        <f>IF(AND($E636=TRUE,$C636="MID"),AB636,"")</f>
        <v/>
      </c>
      <c r="AH636">
        <f>IF(AND($E636=TRUE,$C636="FWD"),AB636,"")</f>
        <v/>
      </c>
    </row>
    <row r="637">
      <c r="A637" t="inlineStr">
        <is>
          <t>Quilindschy Hartman</t>
        </is>
      </c>
      <c r="D637" t="inlineStr">
        <is>
          <t>DEF</t>
        </is>
      </c>
      <c r="E637" t="b">
        <v>0</v>
      </c>
      <c r="F637" s="2" t="n"/>
      <c r="I637" s="2" t="n">
        <v>1830</v>
      </c>
      <c r="K637" s="3" t="n">
        <v>1830</v>
      </c>
      <c r="L637" s="3" t="n"/>
      <c r="M637" s="4" t="n">
        <v>0.0155</v>
      </c>
      <c r="N637" t="inlineStr">
        <is>
          <t>adjusted xGOT</t>
        </is>
      </c>
      <c r="O637" s="4" t="n">
        <v>0.986</v>
      </c>
      <c r="P637" s="4" t="n">
        <v>0.3</v>
      </c>
      <c r="Q637" s="4" t="n">
        <v>0.1372</v>
      </c>
      <c r="R637" s="4" t="n">
        <v>0.143</v>
      </c>
      <c r="S637" s="4" t="n">
        <v>0</v>
      </c>
      <c r="T637" s="4" t="n">
        <v>2.066</v>
      </c>
      <c r="U637" s="4">
        <f>IF(T637="",IFERROR(VLOOKUP($C637,Assumptions!$A$4:$F$7,6,FALSE),0),T637)</f>
        <v/>
      </c>
      <c r="V637" s="4">
        <f>N(M637)*IFERROR(VLOOKUP($C637,Assumptions!$A$4:$F$7,2,FALSE),0)</f>
        <v/>
      </c>
      <c r="W637" s="4">
        <f>N(Q637)*IFERROR(VLOOKUP($C637,Assumptions!$A$4:$F$7,3,FALSE),0)*Assumptions!$B$11</f>
        <v/>
      </c>
      <c r="X637" s="4">
        <f>N(L637)*IFERROR(VLOOKUP($C637,Assumptions!$A$4:$F$7,4,FALSE),0)</f>
        <v/>
      </c>
      <c r="Y637" s="4">
        <f>N(R637)*IFERROR(VLOOKUP($C637,Assumptions!$A$4:$F$7,5,FALSE),0)</f>
        <v/>
      </c>
      <c r="Z637" s="4">
        <f>N(S637)</f>
        <v/>
      </c>
      <c r="AA637" s="4">
        <f>SUM(U637:Z637)</f>
        <v/>
      </c>
      <c r="AB637" s="4">
        <f>N(AA637)*N(K637)/90</f>
        <v/>
      </c>
      <c r="AC637" s="4">
        <f>IFERROR(AB637-VLOOKUP($C637,Assumptions!$A$29:$C$32,3,FALSE),"")</f>
        <v/>
      </c>
      <c r="AD637" s="4">
        <f>IFERROR(AC637/F637,"")</f>
        <v/>
      </c>
      <c r="AE637">
        <f>IF(AND($E637=TRUE,$C637="GKP"),AB637,"")</f>
        <v/>
      </c>
      <c r="AF637">
        <f>IF(AND($E637=TRUE,$C637="DEF"),AB637,"")</f>
        <v/>
      </c>
      <c r="AG637">
        <f>IF(AND($E637=TRUE,$C637="MID"),AB637,"")</f>
        <v/>
      </c>
      <c r="AH637">
        <f>IF(AND($E637=TRUE,$C637="FWD"),AB637,"")</f>
        <v/>
      </c>
    </row>
    <row r="638">
      <c r="A638" t="inlineStr">
        <is>
          <t>Tawanda Chirewa</t>
        </is>
      </c>
      <c r="D638" t="inlineStr">
        <is>
          <t>MID</t>
        </is>
      </c>
      <c r="E638" t="b">
        <v>0</v>
      </c>
      <c r="F638" s="2" t="n"/>
      <c r="I638" s="2" t="n">
        <v>25</v>
      </c>
      <c r="K638" s="3" t="n">
        <v>25</v>
      </c>
      <c r="L638" s="3" t="n"/>
      <c r="M638" s="4" t="n">
        <v>0</v>
      </c>
      <c r="N638" t="inlineStr">
        <is>
          <t>adjusted xGOT</t>
        </is>
      </c>
      <c r="O638" s="4" t="n">
        <v>0.993</v>
      </c>
      <c r="P638" s="4" t="n">
        <v>0.2</v>
      </c>
      <c r="Q638" s="4" t="n">
        <v>0</v>
      </c>
      <c r="R638" s="4" t="n"/>
      <c r="S638" s="4" t="n">
        <v>0</v>
      </c>
      <c r="T638" s="4" t="n">
        <v>7.2</v>
      </c>
      <c r="U638" s="4">
        <f>IF(T638="",IFERROR(VLOOKUP($C638,Assumptions!$A$4:$F$7,6,FALSE),0),T638)</f>
        <v/>
      </c>
      <c r="V638" s="4">
        <f>N(M638)*IFERROR(VLOOKUP($C638,Assumptions!$A$4:$F$7,2,FALSE),0)</f>
        <v/>
      </c>
      <c r="W638" s="4">
        <f>N(Q638)*IFERROR(VLOOKUP($C638,Assumptions!$A$4:$F$7,3,FALSE),0)*Assumptions!$B$11</f>
        <v/>
      </c>
      <c r="X638" s="4">
        <f>N(L638)*IFERROR(VLOOKUP($C638,Assumptions!$A$4:$F$7,4,FALSE),0)</f>
        <v/>
      </c>
      <c r="Y638" s="4">
        <f>N(R638)*IFERROR(VLOOKUP($C638,Assumptions!$A$4:$F$7,5,FALSE),0)</f>
        <v/>
      </c>
      <c r="Z638" s="4">
        <f>N(S638)</f>
        <v/>
      </c>
      <c r="AA638" s="4">
        <f>SUM(U638:Z638)</f>
        <v/>
      </c>
      <c r="AB638" s="4">
        <f>N(AA638)*N(K638)/90</f>
        <v/>
      </c>
      <c r="AC638" s="4">
        <f>IFERROR(AB638-VLOOKUP($C638,Assumptions!$A$29:$C$32,3,FALSE),"")</f>
        <v/>
      </c>
      <c r="AD638" s="4">
        <f>IFERROR(AC638/F638,"")</f>
        <v/>
      </c>
      <c r="AE638">
        <f>IF(AND($E638=TRUE,$C638="GKP"),AB638,"")</f>
        <v/>
      </c>
      <c r="AF638">
        <f>IF(AND($E638=TRUE,$C638="DEF"),AB638,"")</f>
        <v/>
      </c>
      <c r="AG638">
        <f>IF(AND($E638=TRUE,$C638="MID"),AB638,"")</f>
        <v/>
      </c>
      <c r="AH638">
        <f>IF(AND($E638=TRUE,$C638="FWD"),AB638,"")</f>
        <v/>
      </c>
    </row>
    <row r="639">
      <c r="A639" t="inlineStr">
        <is>
          <t>David Møller Wolfe</t>
        </is>
      </c>
      <c r="D639" t="inlineStr">
        <is>
          <t>DEF</t>
        </is>
      </c>
      <c r="E639" t="b">
        <v>0</v>
      </c>
      <c r="F639" s="2" t="n"/>
      <c r="I639" s="2" t="n">
        <v>1049</v>
      </c>
      <c r="K639" s="3" t="n">
        <v>1049</v>
      </c>
      <c r="L639" s="3" t="n"/>
      <c r="M639" s="4" t="n">
        <v>0.011</v>
      </c>
      <c r="N639" t="inlineStr">
        <is>
          <t>adjusted xGOT</t>
        </is>
      </c>
      <c r="O639" s="4" t="n">
        <v>0.984</v>
      </c>
      <c r="P639" s="4" t="n">
        <v>0.1</v>
      </c>
      <c r="Q639" s="4" t="n">
        <v>0.1119</v>
      </c>
      <c r="R639" s="4" t="n">
        <v>0</v>
      </c>
      <c r="S639" s="4" t="n">
        <v>0</v>
      </c>
      <c r="T639" s="4" t="n">
        <v>2.745</v>
      </c>
      <c r="U639" s="4">
        <f>IF(T639="",IFERROR(VLOOKUP($C639,Assumptions!$A$4:$F$7,6,FALSE),0),T639)</f>
        <v/>
      </c>
      <c r="V639" s="4">
        <f>N(M639)*IFERROR(VLOOKUP($C639,Assumptions!$A$4:$F$7,2,FALSE),0)</f>
        <v/>
      </c>
      <c r="W639" s="4">
        <f>N(Q639)*IFERROR(VLOOKUP($C639,Assumptions!$A$4:$F$7,3,FALSE),0)*Assumptions!$B$11</f>
        <v/>
      </c>
      <c r="X639" s="4">
        <f>N(L639)*IFERROR(VLOOKUP($C639,Assumptions!$A$4:$F$7,4,FALSE),0)</f>
        <v/>
      </c>
      <c r="Y639" s="4">
        <f>N(R639)*IFERROR(VLOOKUP($C639,Assumptions!$A$4:$F$7,5,FALSE),0)</f>
        <v/>
      </c>
      <c r="Z639" s="4">
        <f>N(S639)</f>
        <v/>
      </c>
      <c r="AA639" s="4">
        <f>SUM(U639:Z639)</f>
        <v/>
      </c>
      <c r="AB639" s="4">
        <f>N(AA639)*N(K639)/90</f>
        <v/>
      </c>
      <c r="AC639" s="4">
        <f>IFERROR(AB639-VLOOKUP($C639,Assumptions!$A$29:$C$32,3,FALSE),"")</f>
        <v/>
      </c>
      <c r="AD639" s="4">
        <f>IFERROR(AC639/F639,"")</f>
        <v/>
      </c>
      <c r="AE639">
        <f>IF(AND($E639=TRUE,$C639="GKP"),AB639,"")</f>
        <v/>
      </c>
      <c r="AF639">
        <f>IF(AND($E639=TRUE,$C639="DEF"),AB639,"")</f>
        <v/>
      </c>
      <c r="AG639">
        <f>IF(AND($E639=TRUE,$C639="MID"),AB639,"")</f>
        <v/>
      </c>
      <c r="AH639">
        <f>IF(AND($E639=TRUE,$C639="FWD"),AB639,"")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b">
        <v>1</v>
      </c>
      <c r="F640" s="2" t="n">
        <v>5</v>
      </c>
      <c r="G640" t="inlineStr">
        <is>
          <t>a</t>
        </is>
      </c>
      <c r="I640" s="2" t="n"/>
      <c r="K640" s="3" t="n"/>
      <c r="L640" s="3" t="n">
        <v>0.237</v>
      </c>
      <c r="M640" s="4" t="n"/>
      <c r="N640" t="inlineStr"/>
      <c r="O640" s="4" t="n"/>
      <c r="P640" s="4" t="n"/>
      <c r="Q640" s="4" t="n"/>
      <c r="R640" s="4" t="n"/>
      <c r="S640" s="4" t="n"/>
      <c r="T640" s="4" t="n"/>
      <c r="U640" s="4">
        <f>IF(T640="",IFERROR(VLOOKUP($C640,Assumptions!$A$4:$F$7,6,FALSE),0),T640)</f>
        <v/>
      </c>
      <c r="V640" s="4">
        <f>N(M640)*IFERROR(VLOOKUP($C640,Assumptions!$A$4:$F$7,2,FALSE),0)</f>
        <v/>
      </c>
      <c r="W640" s="4">
        <f>N(Q640)*IFERROR(VLOOKUP($C640,Assumptions!$A$4:$F$7,3,FALSE),0)*Assumptions!$B$11</f>
        <v/>
      </c>
      <c r="X640" s="4">
        <f>N(L640)*IFERROR(VLOOKUP($C640,Assumptions!$A$4:$F$7,4,FALSE),0)</f>
        <v/>
      </c>
      <c r="Y640" s="4">
        <f>N(R640)*IFERROR(VLOOKUP($C640,Assumptions!$A$4:$F$7,5,FALSE),0)</f>
        <v/>
      </c>
      <c r="Z640" s="4">
        <f>N(S640)</f>
        <v/>
      </c>
      <c r="AA640" s="4">
        <f>SUM(U640:Z640)</f>
        <v/>
      </c>
      <c r="AB640" s="4">
        <f>N(AA640)*N(K640)/90</f>
        <v/>
      </c>
      <c r="AC640" s="4">
        <f>IFERROR(AB640-VLOOKUP($C640,Assumptions!$A$29:$C$32,3,FALSE),"")</f>
        <v/>
      </c>
      <c r="AD640" s="4">
        <f>IFERROR(AC640/F640,"")</f>
        <v/>
      </c>
      <c r="AE640">
        <f>IF(AND($E640=TRUE,$C640="GKP"),AB640,"")</f>
        <v/>
      </c>
      <c r="AF640">
        <f>IF(AND($E640=TRUE,$C640="DEF"),AB640,"")</f>
        <v/>
      </c>
      <c r="AG640">
        <f>IF(AND($E640=TRUE,$C640="MID"),AB640,"")</f>
        <v/>
      </c>
      <c r="AH640">
        <f>IF(AND($E640=TRUE,$C640="FWD"),AB640,"")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b">
        <v>1</v>
      </c>
      <c r="F641" s="2" t="n">
        <v>4.5</v>
      </c>
      <c r="G641" t="inlineStr">
        <is>
          <t>a</t>
        </is>
      </c>
      <c r="I641" s="2" t="n"/>
      <c r="K641" s="3" t="n"/>
      <c r="L641" s="3" t="n"/>
      <c r="M641" s="4" t="n"/>
      <c r="N641" t="inlineStr"/>
      <c r="O641" s="4" t="n"/>
      <c r="P641" s="4" t="n"/>
      <c r="Q641" s="4" t="n"/>
      <c r="R641" s="4" t="n"/>
      <c r="S641" s="4" t="n"/>
      <c r="T641" s="4" t="n"/>
      <c r="U641" s="4">
        <f>IF(T641="",IFERROR(VLOOKUP($C641,Assumptions!$A$4:$F$7,6,FALSE),0),T641)</f>
        <v/>
      </c>
      <c r="V641" s="4">
        <f>N(M641)*IFERROR(VLOOKUP($C641,Assumptions!$A$4:$F$7,2,FALSE),0)</f>
        <v/>
      </c>
      <c r="W641" s="4">
        <f>N(Q641)*IFERROR(VLOOKUP($C641,Assumptions!$A$4:$F$7,3,FALSE),0)*Assumptions!$B$11</f>
        <v/>
      </c>
      <c r="X641" s="4">
        <f>N(L641)*IFERROR(VLOOKUP($C641,Assumptions!$A$4:$F$7,4,FALSE),0)</f>
        <v/>
      </c>
      <c r="Y641" s="4">
        <f>N(R641)*IFERROR(VLOOKUP($C641,Assumptions!$A$4:$F$7,5,FALSE),0)</f>
        <v/>
      </c>
      <c r="Z641" s="4">
        <f>N(S641)</f>
        <v/>
      </c>
      <c r="AA641" s="4">
        <f>SUM(U641:Z641)</f>
        <v/>
      </c>
      <c r="AB641" s="4">
        <f>N(AA641)*N(K641)/90</f>
        <v/>
      </c>
      <c r="AC641" s="4">
        <f>IFERROR(AB641-VLOOKUP($C641,Assumptions!$A$29:$C$32,3,FALSE),"")</f>
        <v/>
      </c>
      <c r="AD641" s="4">
        <f>IFERROR(AC641/F641,"")</f>
        <v/>
      </c>
      <c r="AE641">
        <f>IF(AND($E641=TRUE,$C641="GKP"),AB641,"")</f>
        <v/>
      </c>
      <c r="AF641">
        <f>IF(AND($E641=TRUE,$C641="DEF"),AB641,"")</f>
        <v/>
      </c>
      <c r="AG641">
        <f>IF(AND($E641=TRUE,$C641="MID"),AB641,"")</f>
        <v/>
      </c>
      <c r="AH641">
        <f>IF(AND($E641=TRUE,$C641="FWD"),AB641,"")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b">
        <v>1</v>
      </c>
      <c r="F642" s="2" t="n">
        <v>5</v>
      </c>
      <c r="G642" t="inlineStr">
        <is>
          <t>a</t>
        </is>
      </c>
      <c r="I642" s="2" t="n"/>
      <c r="K642" s="3" t="n"/>
      <c r="L642" s="3" t="n"/>
      <c r="M642" s="4" t="n"/>
      <c r="N642" t="inlineStr"/>
      <c r="O642" s="4" t="n"/>
      <c r="P642" s="4" t="n"/>
      <c r="Q642" s="4" t="n"/>
      <c r="R642" s="4" t="n"/>
      <c r="S642" s="4" t="n"/>
      <c r="T642" s="4" t="n"/>
      <c r="U642" s="4">
        <f>IF(T642="",IFERROR(VLOOKUP($C642,Assumptions!$A$4:$F$7,6,FALSE),0),T642)</f>
        <v/>
      </c>
      <c r="V642" s="4">
        <f>N(M642)*IFERROR(VLOOKUP($C642,Assumptions!$A$4:$F$7,2,FALSE),0)</f>
        <v/>
      </c>
      <c r="W642" s="4">
        <f>N(Q642)*IFERROR(VLOOKUP($C642,Assumptions!$A$4:$F$7,3,FALSE),0)*Assumptions!$B$11</f>
        <v/>
      </c>
      <c r="X642" s="4">
        <f>N(L642)*IFERROR(VLOOKUP($C642,Assumptions!$A$4:$F$7,4,FALSE),0)</f>
        <v/>
      </c>
      <c r="Y642" s="4">
        <f>N(R642)*IFERROR(VLOOKUP($C642,Assumptions!$A$4:$F$7,5,FALSE),0)</f>
        <v/>
      </c>
      <c r="Z642" s="4">
        <f>N(S642)</f>
        <v/>
      </c>
      <c r="AA642" s="4">
        <f>SUM(U642:Z642)</f>
        <v/>
      </c>
      <c r="AB642" s="4">
        <f>N(AA642)*N(K642)/90</f>
        <v/>
      </c>
      <c r="AC642" s="4">
        <f>IFERROR(AB642-VLOOKUP($C642,Assumptions!$A$29:$C$32,3,FALSE),"")</f>
        <v/>
      </c>
      <c r="AD642" s="4">
        <f>IFERROR(AC642/F642,"")</f>
        <v/>
      </c>
      <c r="AE642">
        <f>IF(AND($E642=TRUE,$C642="GKP"),AB642,"")</f>
        <v/>
      </c>
      <c r="AF642">
        <f>IF(AND($E642=TRUE,$C642="DEF"),AB642,"")</f>
        <v/>
      </c>
      <c r="AG642">
        <f>IF(AND($E642=TRUE,$C642="MID"),AB642,"")</f>
        <v/>
      </c>
      <c r="AH642">
        <f>IF(AND($E642=TRUE,$C642="FWD"),AB642,"")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b">
        <v>1</v>
      </c>
      <c r="F643" s="2" t="n">
        <v>5</v>
      </c>
      <c r="G643" t="inlineStr">
        <is>
          <t>a</t>
        </is>
      </c>
      <c r="I643" s="2" t="n"/>
      <c r="K643" s="3" t="n"/>
      <c r="L643" s="3" t="n"/>
      <c r="M643" s="4" t="n"/>
      <c r="N643" t="inlineStr"/>
      <c r="O643" s="4" t="n"/>
      <c r="P643" s="4" t="n"/>
      <c r="Q643" s="4" t="n"/>
      <c r="R643" s="4" t="n"/>
      <c r="S643" s="4" t="n"/>
      <c r="T643" s="4" t="n"/>
      <c r="U643" s="4">
        <f>IF(T643="",IFERROR(VLOOKUP($C643,Assumptions!$A$4:$F$7,6,FALSE),0),T643)</f>
        <v/>
      </c>
      <c r="V643" s="4">
        <f>N(M643)*IFERROR(VLOOKUP($C643,Assumptions!$A$4:$F$7,2,FALSE),0)</f>
        <v/>
      </c>
      <c r="W643" s="4">
        <f>N(Q643)*IFERROR(VLOOKUP($C643,Assumptions!$A$4:$F$7,3,FALSE),0)*Assumptions!$B$11</f>
        <v/>
      </c>
      <c r="X643" s="4">
        <f>N(L643)*IFERROR(VLOOKUP($C643,Assumptions!$A$4:$F$7,4,FALSE),0)</f>
        <v/>
      </c>
      <c r="Y643" s="4">
        <f>N(R643)*IFERROR(VLOOKUP($C643,Assumptions!$A$4:$F$7,5,FALSE),0)</f>
        <v/>
      </c>
      <c r="Z643" s="4">
        <f>N(S643)</f>
        <v/>
      </c>
      <c r="AA643" s="4">
        <f>SUM(U643:Z643)</f>
        <v/>
      </c>
      <c r="AB643" s="4">
        <f>N(AA643)*N(K643)/90</f>
        <v/>
      </c>
      <c r="AC643" s="4">
        <f>IFERROR(AB643-VLOOKUP($C643,Assumptions!$A$29:$C$32,3,FALSE),"")</f>
        <v/>
      </c>
      <c r="AD643" s="4">
        <f>IFERROR(AC643/F643,"")</f>
        <v/>
      </c>
      <c r="AE643">
        <f>IF(AND($E643=TRUE,$C643="GKP"),AB643,"")</f>
        <v/>
      </c>
      <c r="AF643">
        <f>IF(AND($E643=TRUE,$C643="DEF"),AB643,"")</f>
        <v/>
      </c>
      <c r="AG643">
        <f>IF(AND($E643=TRUE,$C643="MID"),AB643,"")</f>
        <v/>
      </c>
      <c r="AH643">
        <f>IF(AND($E643=TRUE,$C643="FWD"),AB643,"")</f>
        <v/>
      </c>
    </row>
    <row r="644">
      <c r="A644" t="inlineStr">
        <is>
          <t>Yerson Mosquera</t>
        </is>
      </c>
      <c r="D644" t="inlineStr">
        <is>
          <t>DEF</t>
        </is>
      </c>
      <c r="E644" t="b">
        <v>0</v>
      </c>
      <c r="F644" s="2" t="n"/>
      <c r="I644" s="2" t="n">
        <v>2142</v>
      </c>
      <c r="K644" s="3" t="n">
        <v>2142</v>
      </c>
      <c r="L644" s="3" t="n"/>
      <c r="M644" s="4" t="n">
        <v>0.0837</v>
      </c>
      <c r="N644" t="inlineStr">
        <is>
          <t>adjusted xGOT</t>
        </is>
      </c>
      <c r="O644" s="4" t="n">
        <v>0.793</v>
      </c>
      <c r="P644" s="4" t="n">
        <v>2.8</v>
      </c>
      <c r="Q644" s="4" t="n">
        <v>0.0505</v>
      </c>
      <c r="R644" s="4" t="n">
        <v>0.417</v>
      </c>
      <c r="S644" s="4" t="n">
        <v>0.1261</v>
      </c>
      <c r="T644" s="4" t="n">
        <v>2.143</v>
      </c>
      <c r="U644" s="4">
        <f>IF(T644="",IFERROR(VLOOKUP($C644,Assumptions!$A$4:$F$7,6,FALSE),0),T644)</f>
        <v/>
      </c>
      <c r="V644" s="4">
        <f>N(M644)*IFERROR(VLOOKUP($C644,Assumptions!$A$4:$F$7,2,FALSE),0)</f>
        <v/>
      </c>
      <c r="W644" s="4">
        <f>N(Q644)*IFERROR(VLOOKUP($C644,Assumptions!$A$4:$F$7,3,FALSE),0)*Assumptions!$B$11</f>
        <v/>
      </c>
      <c r="X644" s="4">
        <f>N(L644)*IFERROR(VLOOKUP($C644,Assumptions!$A$4:$F$7,4,FALSE),0)</f>
        <v/>
      </c>
      <c r="Y644" s="4">
        <f>N(R644)*IFERROR(VLOOKUP($C644,Assumptions!$A$4:$F$7,5,FALSE),0)</f>
        <v/>
      </c>
      <c r="Z644" s="4">
        <f>N(S644)</f>
        <v/>
      </c>
      <c r="AA644" s="4">
        <f>SUM(U644:Z644)</f>
        <v/>
      </c>
      <c r="AB644" s="4">
        <f>N(AA644)*N(K644)/90</f>
        <v/>
      </c>
      <c r="AC644" s="4">
        <f>IFERROR(AB644-VLOOKUP($C644,Assumptions!$A$29:$C$32,3,FALSE),"")</f>
        <v/>
      </c>
      <c r="AD644" s="4">
        <f>IFERROR(AC644/F644,"")</f>
        <v/>
      </c>
      <c r="AE644">
        <f>IF(AND($E644=TRUE,$C644="GKP"),AB644,"")</f>
        <v/>
      </c>
      <c r="AF644">
        <f>IF(AND($E644=TRUE,$C644="DEF"),AB644,"")</f>
        <v/>
      </c>
      <c r="AG644">
        <f>IF(AND($E644=TRUE,$C644="MID"),AB644,"")</f>
        <v/>
      </c>
      <c r="AH644">
        <f>IF(AND($E644=TRUE,$C644="FWD"),AB644,"")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b">
        <v>1</v>
      </c>
      <c r="F645" s="2" t="n">
        <v>4</v>
      </c>
      <c r="G645" t="inlineStr">
        <is>
          <t>i</t>
        </is>
      </c>
      <c r="H645" t="inlineStr">
        <is>
          <t>Groin injury - Unknown return date</t>
        </is>
      </c>
      <c r="I645" s="2" t="n"/>
      <c r="K645" s="3" t="n"/>
      <c r="L645" s="3" t="n"/>
      <c r="M645" s="4" t="n"/>
      <c r="N645" t="inlineStr"/>
      <c r="O645" s="4" t="n"/>
      <c r="P645" s="4" t="n"/>
      <c r="Q645" s="4" t="n"/>
      <c r="R645" s="4" t="n"/>
      <c r="S645" s="4" t="n"/>
      <c r="T645" s="4" t="n"/>
      <c r="U645" s="4">
        <f>IF(T645="",IFERROR(VLOOKUP($C645,Assumptions!$A$4:$F$7,6,FALSE),0),T645)</f>
        <v/>
      </c>
      <c r="V645" s="4">
        <f>N(M645)*IFERROR(VLOOKUP($C645,Assumptions!$A$4:$F$7,2,FALSE),0)</f>
        <v/>
      </c>
      <c r="W645" s="4">
        <f>N(Q645)*IFERROR(VLOOKUP($C645,Assumptions!$A$4:$F$7,3,FALSE),0)*Assumptions!$B$11</f>
        <v/>
      </c>
      <c r="X645" s="4">
        <f>N(L645)*IFERROR(VLOOKUP($C645,Assumptions!$A$4:$F$7,4,FALSE),0)</f>
        <v/>
      </c>
      <c r="Y645" s="4">
        <f>N(R645)*IFERROR(VLOOKUP($C645,Assumptions!$A$4:$F$7,5,FALSE),0)</f>
        <v/>
      </c>
      <c r="Z645" s="4">
        <f>N(S645)</f>
        <v/>
      </c>
      <c r="AA645" s="4">
        <f>SUM(U645:Z645)</f>
        <v/>
      </c>
      <c r="AB645" s="4">
        <f>N(AA645)*N(K645)/90</f>
        <v/>
      </c>
      <c r="AC645" s="4">
        <f>IFERROR(AB645-VLOOKUP($C645,Assumptions!$A$29:$C$32,3,FALSE),"")</f>
        <v/>
      </c>
      <c r="AD645" s="4">
        <f>IFERROR(AC645/F645,"")</f>
        <v/>
      </c>
      <c r="AE645">
        <f>IF(AND($E645=TRUE,$C645="GKP"),AB645,"")</f>
        <v/>
      </c>
      <c r="AF645">
        <f>IF(AND($E645=TRUE,$C645="DEF"),AB645,"")</f>
        <v/>
      </c>
      <c r="AG645">
        <f>IF(AND($E645=TRUE,$C645="MID"),AB645,"")</f>
        <v/>
      </c>
      <c r="AH645">
        <f>IF(AND($E645=TRUE,$C645="FWD"),AB645,"")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b">
        <v>1</v>
      </c>
      <c r="F646" s="2" t="n">
        <v>5</v>
      </c>
      <c r="G646" t="inlineStr">
        <is>
          <t>d</t>
        </is>
      </c>
      <c r="H646" t="inlineStr">
        <is>
          <t>Hamstring injury - 75% chance of playing</t>
        </is>
      </c>
      <c r="I646" s="2" t="n"/>
      <c r="K646" s="3" t="n"/>
      <c r="L646" s="3" t="n">
        <v>0.237</v>
      </c>
      <c r="M646" s="4" t="n"/>
      <c r="N646" t="inlineStr"/>
      <c r="O646" s="4" t="n"/>
      <c r="P646" s="4" t="n"/>
      <c r="Q646" s="4" t="n"/>
      <c r="R646" s="4" t="n"/>
      <c r="S646" s="4" t="n"/>
      <c r="T646" s="4" t="n"/>
      <c r="U646" s="4">
        <f>IF(T646="",IFERROR(VLOOKUP($C646,Assumptions!$A$4:$F$7,6,FALSE),0),T646)</f>
        <v/>
      </c>
      <c r="V646" s="4">
        <f>N(M646)*IFERROR(VLOOKUP($C646,Assumptions!$A$4:$F$7,2,FALSE),0)</f>
        <v/>
      </c>
      <c r="W646" s="4">
        <f>N(Q646)*IFERROR(VLOOKUP($C646,Assumptions!$A$4:$F$7,3,FALSE),0)*Assumptions!$B$11</f>
        <v/>
      </c>
      <c r="X646" s="4">
        <f>N(L646)*IFERROR(VLOOKUP($C646,Assumptions!$A$4:$F$7,4,FALSE),0)</f>
        <v/>
      </c>
      <c r="Y646" s="4">
        <f>N(R646)*IFERROR(VLOOKUP($C646,Assumptions!$A$4:$F$7,5,FALSE),0)</f>
        <v/>
      </c>
      <c r="Z646" s="4">
        <f>N(S646)</f>
        <v/>
      </c>
      <c r="AA646" s="4">
        <f>SUM(U646:Z646)</f>
        <v/>
      </c>
      <c r="AB646" s="4">
        <f>N(AA646)*N(K646)/90</f>
        <v/>
      </c>
      <c r="AC646" s="4">
        <f>IFERROR(AB646-VLOOKUP($C646,Assumptions!$A$29:$C$32,3,FALSE),"")</f>
        <v/>
      </c>
      <c r="AD646" s="4">
        <f>IFERROR(AC646/F646,"")</f>
        <v/>
      </c>
      <c r="AE646">
        <f>IF(AND($E646=TRUE,$C646="GKP"),AB646,"")</f>
        <v/>
      </c>
      <c r="AF646">
        <f>IF(AND($E646=TRUE,$C646="DEF"),AB646,"")</f>
        <v/>
      </c>
      <c r="AG646">
        <f>IF(AND($E646=TRUE,$C646="MID"),AB646,"")</f>
        <v/>
      </c>
      <c r="AH646">
        <f>IF(AND($E646=TRUE,$C646="FWD"),AB646,"")</f>
        <v/>
      </c>
    </row>
    <row r="647">
      <c r="A647" t="inlineStr">
        <is>
          <t>Lesley Ugochukwu</t>
        </is>
      </c>
      <c r="D647" t="inlineStr">
        <is>
          <t>MID</t>
        </is>
      </c>
      <c r="E647" t="b">
        <v>0</v>
      </c>
      <c r="F647" s="2" t="n"/>
      <c r="I647" s="2" t="n">
        <v>2350</v>
      </c>
      <c r="K647" s="3" t="n">
        <v>2350</v>
      </c>
      <c r="L647" s="3" t="n"/>
      <c r="M647" s="4" t="n">
        <v>0.0936</v>
      </c>
      <c r="N647" t="inlineStr">
        <is>
          <t>adjusted xGOT</t>
        </is>
      </c>
      <c r="O647" s="4" t="n">
        <v>0.978</v>
      </c>
      <c r="P647" s="4" t="n">
        <v>3.4</v>
      </c>
      <c r="Q647" s="4" t="n">
        <v>0.0172</v>
      </c>
      <c r="R647" s="4" t="n">
        <v>0.296</v>
      </c>
      <c r="S647" s="4" t="n">
        <v>0.1532</v>
      </c>
      <c r="T647" s="4" t="n">
        <v>2.336</v>
      </c>
      <c r="U647" s="4">
        <f>IF(T647="",IFERROR(VLOOKUP($C647,Assumptions!$A$4:$F$7,6,FALSE),0),T647)</f>
        <v/>
      </c>
      <c r="V647" s="4">
        <f>N(M647)*IFERROR(VLOOKUP($C647,Assumptions!$A$4:$F$7,2,FALSE),0)</f>
        <v/>
      </c>
      <c r="W647" s="4">
        <f>N(Q647)*IFERROR(VLOOKUP($C647,Assumptions!$A$4:$F$7,3,FALSE),0)*Assumptions!$B$11</f>
        <v/>
      </c>
      <c r="X647" s="4">
        <f>N(L647)*IFERROR(VLOOKUP($C647,Assumptions!$A$4:$F$7,4,FALSE),0)</f>
        <v/>
      </c>
      <c r="Y647" s="4">
        <f>N(R647)*IFERROR(VLOOKUP($C647,Assumptions!$A$4:$F$7,5,FALSE),0)</f>
        <v/>
      </c>
      <c r="Z647" s="4">
        <f>N(S647)</f>
        <v/>
      </c>
      <c r="AA647" s="4">
        <f>SUM(U647:Z647)</f>
        <v/>
      </c>
      <c r="AB647" s="4">
        <f>N(AA647)*N(K647)/90</f>
        <v/>
      </c>
      <c r="AC647" s="4">
        <f>IFERROR(AB647-VLOOKUP($C647,Assumptions!$A$29:$C$32,3,FALSE),"")</f>
        <v/>
      </c>
      <c r="AD647" s="4">
        <f>IFERROR(AC647/F647,"")</f>
        <v/>
      </c>
      <c r="AE647">
        <f>IF(AND($E647=TRUE,$C647="GKP"),AB647,"")</f>
        <v/>
      </c>
      <c r="AF647">
        <f>IF(AND($E647=TRUE,$C647="DEF"),AB647,"")</f>
        <v/>
      </c>
      <c r="AG647">
        <f>IF(AND($E647=TRUE,$C647="MID"),AB647,"")</f>
        <v/>
      </c>
      <c r="AH647">
        <f>IF(AND($E647=TRUE,$C647="FWD"),AB647,"")</f>
        <v/>
      </c>
    </row>
    <row r="648">
      <c r="A648" t="inlineStr">
        <is>
          <t>André</t>
        </is>
      </c>
      <c r="D648" t="inlineStr">
        <is>
          <t>MID</t>
        </is>
      </c>
      <c r="E648" t="b">
        <v>0</v>
      </c>
      <c r="F648" s="2" t="n"/>
      <c r="I648" s="2" t="n">
        <v>2766</v>
      </c>
      <c r="K648" s="3" t="n">
        <v>2766</v>
      </c>
      <c r="L648" s="3" t="n"/>
      <c r="M648" s="4" t="n">
        <v>0.0154</v>
      </c>
      <c r="N648" t="inlineStr">
        <is>
          <t>adjusted xGOT</t>
        </is>
      </c>
      <c r="O648" s="4" t="n">
        <v>0.907</v>
      </c>
      <c r="P648" s="4" t="n">
        <v>0.9</v>
      </c>
      <c r="Q648" s="4" t="n">
        <v>0.0406</v>
      </c>
      <c r="R648" s="4" t="n">
        <v>0.733</v>
      </c>
      <c r="S648" s="4" t="n">
        <v>0.1302</v>
      </c>
      <c r="T648" s="4" t="n">
        <v>2.115</v>
      </c>
      <c r="U648" s="4">
        <f>IF(T648="",IFERROR(VLOOKUP($C648,Assumptions!$A$4:$F$7,6,FALSE),0),T648)</f>
        <v/>
      </c>
      <c r="V648" s="4">
        <f>N(M648)*IFERROR(VLOOKUP($C648,Assumptions!$A$4:$F$7,2,FALSE),0)</f>
        <v/>
      </c>
      <c r="W648" s="4">
        <f>N(Q648)*IFERROR(VLOOKUP($C648,Assumptions!$A$4:$F$7,3,FALSE),0)*Assumptions!$B$11</f>
        <v/>
      </c>
      <c r="X648" s="4">
        <f>N(L648)*IFERROR(VLOOKUP($C648,Assumptions!$A$4:$F$7,4,FALSE),0)</f>
        <v/>
      </c>
      <c r="Y648" s="4">
        <f>N(R648)*IFERROR(VLOOKUP($C648,Assumptions!$A$4:$F$7,5,FALSE),0)</f>
        <v/>
      </c>
      <c r="Z648" s="4">
        <f>N(S648)</f>
        <v/>
      </c>
      <c r="AA648" s="4">
        <f>SUM(U648:Z648)</f>
        <v/>
      </c>
      <c r="AB648" s="4">
        <f>N(AA648)*N(K648)/90</f>
        <v/>
      </c>
      <c r="AC648" s="4">
        <f>IFERROR(AB648-VLOOKUP($C648,Assumptions!$A$29:$C$32,3,FALSE),"")</f>
        <v/>
      </c>
      <c r="AD648" s="4">
        <f>IFERROR(AC648/F648,"")</f>
        <v/>
      </c>
      <c r="AE648">
        <f>IF(AND($E648=TRUE,$C648="GKP"),AB648,"")</f>
        <v/>
      </c>
      <c r="AF648">
        <f>IF(AND($E648=TRUE,$C648="DEF"),AB648,"")</f>
        <v/>
      </c>
      <c r="AG648">
        <f>IF(AND($E648=TRUE,$C648="MID"),AB648,"")</f>
        <v/>
      </c>
      <c r="AH648">
        <f>IF(AND($E648=TRUE,$C648="FWD"),AB648,"")</f>
        <v/>
      </c>
    </row>
    <row r="649">
      <c r="A649" t="inlineStr">
        <is>
          <t>Toti Gomes</t>
        </is>
      </c>
      <c r="D649" t="inlineStr">
        <is>
          <t>DEF</t>
        </is>
      </c>
      <c r="E649" t="b">
        <v>0</v>
      </c>
      <c r="F649" s="2" t="n"/>
      <c r="I649" s="2" t="n">
        <v>1427</v>
      </c>
      <c r="K649" s="3" t="n">
        <v>1427</v>
      </c>
      <c r="L649" s="3" t="n"/>
      <c r="M649" s="4" t="n">
        <v>0.0307</v>
      </c>
      <c r="N649" t="inlineStr">
        <is>
          <t>adjusted xGOT</t>
        </is>
      </c>
      <c r="O649" s="4" t="n">
        <v>0.917</v>
      </c>
      <c r="P649" s="4" t="n">
        <v>3.2</v>
      </c>
      <c r="Q649" s="4" t="n">
        <v>0.01</v>
      </c>
      <c r="R649" s="4" t="n">
        <v>0.471</v>
      </c>
      <c r="S649" s="4" t="n">
        <v>0</v>
      </c>
      <c r="T649" s="4" t="n">
        <v>2.144</v>
      </c>
      <c r="U649" s="4">
        <f>IF(T649="",IFERROR(VLOOKUP($C649,Assumptions!$A$4:$F$7,6,FALSE),0),T649)</f>
        <v/>
      </c>
      <c r="V649" s="4">
        <f>N(M649)*IFERROR(VLOOKUP($C649,Assumptions!$A$4:$F$7,2,FALSE),0)</f>
        <v/>
      </c>
      <c r="W649" s="4">
        <f>N(Q649)*IFERROR(VLOOKUP($C649,Assumptions!$A$4:$F$7,3,FALSE),0)*Assumptions!$B$11</f>
        <v/>
      </c>
      <c r="X649" s="4">
        <f>N(L649)*IFERROR(VLOOKUP($C649,Assumptions!$A$4:$F$7,4,FALSE),0)</f>
        <v/>
      </c>
      <c r="Y649" s="4">
        <f>N(R649)*IFERROR(VLOOKUP($C649,Assumptions!$A$4:$F$7,5,FALSE),0)</f>
        <v/>
      </c>
      <c r="Z649" s="4">
        <f>N(S649)</f>
        <v/>
      </c>
      <c r="AA649" s="4">
        <f>SUM(U649:Z649)</f>
        <v/>
      </c>
      <c r="AB649" s="4">
        <f>N(AA649)*N(K649)/90</f>
        <v/>
      </c>
      <c r="AC649" s="4">
        <f>IFERROR(AB649-VLOOKUP($C649,Assumptions!$A$29:$C$32,3,FALSE),"")</f>
        <v/>
      </c>
      <c r="AD649" s="4">
        <f>IFERROR(AC649/F649,"")</f>
        <v/>
      </c>
      <c r="AE649">
        <f>IF(AND($E649=TRUE,$C649="GKP"),AB649,"")</f>
        <v/>
      </c>
      <c r="AF649">
        <f>IF(AND($E649=TRUE,$C649="DEF"),AB649,"")</f>
        <v/>
      </c>
      <c r="AG649">
        <f>IF(AND($E649=TRUE,$C649="MID"),AB649,"")</f>
        <v/>
      </c>
      <c r="AH649">
        <f>IF(AND($E649=TRUE,$C649="FWD"),AB649,"")</f>
        <v/>
      </c>
    </row>
    <row r="650">
      <c r="A650" t="inlineStr">
        <is>
          <t>Jota Silva</t>
        </is>
      </c>
      <c r="D650" t="inlineStr">
        <is>
          <t>MID</t>
        </is>
      </c>
      <c r="E650" t="b">
        <v>0</v>
      </c>
      <c r="F650" s="2" t="n"/>
      <c r="I650" s="2" t="n">
        <v>11</v>
      </c>
      <c r="K650" s="3" t="n">
        <v>11</v>
      </c>
      <c r="L650" s="3" t="n"/>
      <c r="M650" s="4" t="n">
        <v>0</v>
      </c>
      <c r="N650" t="inlineStr">
        <is>
          <t>adjusted xGOT</t>
        </is>
      </c>
      <c r="O650" s="4" t="n">
        <v>0.987</v>
      </c>
      <c r="P650" s="4" t="n">
        <v>2.1</v>
      </c>
      <c r="Q650" s="4" t="n">
        <v>0</v>
      </c>
      <c r="R650" s="4" t="n"/>
      <c r="S650" s="4" t="n">
        <v>0</v>
      </c>
      <c r="T650" s="4" t="n">
        <v>8.182</v>
      </c>
      <c r="U650" s="4">
        <f>IF(T650="",IFERROR(VLOOKUP($C650,Assumptions!$A$4:$F$7,6,FALSE),0),T650)</f>
        <v/>
      </c>
      <c r="V650" s="4">
        <f>N(M650)*IFERROR(VLOOKUP($C650,Assumptions!$A$4:$F$7,2,FALSE),0)</f>
        <v/>
      </c>
      <c r="W650" s="4">
        <f>N(Q650)*IFERROR(VLOOKUP($C650,Assumptions!$A$4:$F$7,3,FALSE),0)*Assumptions!$B$11</f>
        <v/>
      </c>
      <c r="X650" s="4">
        <f>N(L650)*IFERROR(VLOOKUP($C650,Assumptions!$A$4:$F$7,4,FALSE),0)</f>
        <v/>
      </c>
      <c r="Y650" s="4">
        <f>N(R650)*IFERROR(VLOOKUP($C650,Assumptions!$A$4:$F$7,5,FALSE),0)</f>
        <v/>
      </c>
      <c r="Z650" s="4">
        <f>N(S650)</f>
        <v/>
      </c>
      <c r="AA650" s="4">
        <f>SUM(U650:Z650)</f>
        <v/>
      </c>
      <c r="AB650" s="4">
        <f>N(AA650)*N(K650)/90</f>
        <v/>
      </c>
      <c r="AC650" s="4">
        <f>IFERROR(AB650-VLOOKUP($C650,Assumptions!$A$29:$C$32,3,FALSE),"")</f>
        <v/>
      </c>
      <c r="AD650" s="4">
        <f>IFERROR(AC650/F650,"")</f>
        <v/>
      </c>
      <c r="AE650">
        <f>IF(AND($E650=TRUE,$C650="GKP"),AB650,"")</f>
        <v/>
      </c>
      <c r="AF650">
        <f>IF(AND($E650=TRUE,$C650="DEF"),AB650,"")</f>
        <v/>
      </c>
      <c r="AG650">
        <f>IF(AND($E650=TRUE,$C650="MID"),AB650,"")</f>
        <v/>
      </c>
      <c r="AH650">
        <f>IF(AND($E650=TRUE,$C650="FWD"),AB650,"")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b">
        <v>1</v>
      </c>
      <c r="F651" s="2" t="n">
        <v>4.5</v>
      </c>
      <c r="G651" t="inlineStr">
        <is>
          <t>a</t>
        </is>
      </c>
      <c r="I651" s="2" t="n"/>
      <c r="K651" s="3" t="n"/>
      <c r="L651" s="3" t="n">
        <v>0.263</v>
      </c>
      <c r="M651" s="4" t="n"/>
      <c r="N651" t="inlineStr"/>
      <c r="O651" s="4" t="n"/>
      <c r="P651" s="4" t="n"/>
      <c r="Q651" s="4" t="n"/>
      <c r="R651" s="4" t="n"/>
      <c r="S651" s="4" t="n"/>
      <c r="T651" s="4" t="n"/>
      <c r="U651" s="4">
        <f>IF(T651="",IFERROR(VLOOKUP($C651,Assumptions!$A$4:$F$7,6,FALSE),0),T651)</f>
        <v/>
      </c>
      <c r="V651" s="4">
        <f>N(M651)*IFERROR(VLOOKUP($C651,Assumptions!$A$4:$F$7,2,FALSE),0)</f>
        <v/>
      </c>
      <c r="W651" s="4">
        <f>N(Q651)*IFERROR(VLOOKUP($C651,Assumptions!$A$4:$F$7,3,FALSE),0)*Assumptions!$B$11</f>
        <v/>
      </c>
      <c r="X651" s="4">
        <f>N(L651)*IFERROR(VLOOKUP($C651,Assumptions!$A$4:$F$7,4,FALSE),0)</f>
        <v/>
      </c>
      <c r="Y651" s="4">
        <f>N(R651)*IFERROR(VLOOKUP($C651,Assumptions!$A$4:$F$7,5,FALSE),0)</f>
        <v/>
      </c>
      <c r="Z651" s="4">
        <f>N(S651)</f>
        <v/>
      </c>
      <c r="AA651" s="4">
        <f>SUM(U651:Z651)</f>
        <v/>
      </c>
      <c r="AB651" s="4">
        <f>N(AA651)*N(K651)/90</f>
        <v/>
      </c>
      <c r="AC651" s="4">
        <f>IFERROR(AB651-VLOOKUP($C651,Assumptions!$A$29:$C$32,3,FALSE),"")</f>
        <v/>
      </c>
      <c r="AD651" s="4">
        <f>IFERROR(AC651/F651,"")</f>
        <v/>
      </c>
      <c r="AE651">
        <f>IF(AND($E651=TRUE,$C651="GKP"),AB651,"")</f>
        <v/>
      </c>
      <c r="AF651">
        <f>IF(AND($E651=TRUE,$C651="DEF"),AB651,"")</f>
        <v/>
      </c>
      <c r="AG651">
        <f>IF(AND($E651=TRUE,$C651="MID"),AB651,"")</f>
        <v/>
      </c>
      <c r="AH651">
        <f>IF(AND($E651=TRUE,$C651="FWD"),AB651,"")</f>
        <v/>
      </c>
    </row>
    <row r="652">
      <c r="A652" t="inlineStr">
        <is>
          <t>Brajan Gruda</t>
        </is>
      </c>
      <c r="D652" t="inlineStr">
        <is>
          <t>MID</t>
        </is>
      </c>
      <c r="E652" t="b">
        <v>0</v>
      </c>
      <c r="F652" s="2" t="n"/>
      <c r="I652" s="2" t="n">
        <v>715</v>
      </c>
      <c r="K652" s="3" t="n">
        <v>715</v>
      </c>
      <c r="L652" s="3" t="n"/>
      <c r="M652" s="4" t="n">
        <v>0.2424</v>
      </c>
      <c r="N652" t="inlineStr">
        <is>
          <t>adjusted xGOT</t>
        </is>
      </c>
      <c r="O652" s="4" t="n">
        <v>1.035</v>
      </c>
      <c r="P652" s="4" t="n">
        <v>3</v>
      </c>
      <c r="Q652" s="4" t="n">
        <v>0.153</v>
      </c>
      <c r="R652" s="4" t="n">
        <v>0</v>
      </c>
      <c r="S652" s="4" t="n">
        <v>0.3776</v>
      </c>
      <c r="T652" s="4" t="n">
        <v>3.147</v>
      </c>
      <c r="U652" s="4">
        <f>IF(T652="",IFERROR(VLOOKUP($C652,Assumptions!$A$4:$F$7,6,FALSE),0),T652)</f>
        <v/>
      </c>
      <c r="V652" s="4">
        <f>N(M652)*IFERROR(VLOOKUP($C652,Assumptions!$A$4:$F$7,2,FALSE),0)</f>
        <v/>
      </c>
      <c r="W652" s="4">
        <f>N(Q652)*IFERROR(VLOOKUP($C652,Assumptions!$A$4:$F$7,3,FALSE),0)*Assumptions!$B$11</f>
        <v/>
      </c>
      <c r="X652" s="4">
        <f>N(L652)*IFERROR(VLOOKUP($C652,Assumptions!$A$4:$F$7,4,FALSE),0)</f>
        <v/>
      </c>
      <c r="Y652" s="4">
        <f>N(R652)*IFERROR(VLOOKUP($C652,Assumptions!$A$4:$F$7,5,FALSE),0)</f>
        <v/>
      </c>
      <c r="Z652" s="4">
        <f>N(S652)</f>
        <v/>
      </c>
      <c r="AA652" s="4">
        <f>SUM(U652:Z652)</f>
        <v/>
      </c>
      <c r="AB652" s="4">
        <f>N(AA652)*N(K652)/90</f>
        <v/>
      </c>
      <c r="AC652" s="4">
        <f>IFERROR(AB652-VLOOKUP($C652,Assumptions!$A$29:$C$32,3,FALSE),"")</f>
        <v/>
      </c>
      <c r="AD652" s="4">
        <f>IFERROR(AC652/F652,"")</f>
        <v/>
      </c>
      <c r="AE652">
        <f>IF(AND($E652=TRUE,$C652="GKP"),AB652,"")</f>
        <v/>
      </c>
      <c r="AF652">
        <f>IF(AND($E652=TRUE,$C652="DEF"),AB652,"")</f>
        <v/>
      </c>
      <c r="AG652">
        <f>IF(AND($E652=TRUE,$C652="MID"),AB652,"")</f>
        <v/>
      </c>
      <c r="AH652">
        <f>IF(AND($E652=TRUE,$C652="FWD"),AB652,"")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b">
        <v>1</v>
      </c>
      <c r="F653" s="2" t="n">
        <v>5.5</v>
      </c>
      <c r="G653" t="inlineStr">
        <is>
          <t>a</t>
        </is>
      </c>
      <c r="I653" s="2" t="n"/>
      <c r="K653" s="3" t="n"/>
      <c r="L653" s="3" t="n">
        <v>0.263</v>
      </c>
      <c r="M653" s="4" t="n"/>
      <c r="N653" t="inlineStr"/>
      <c r="O653" s="4" t="n"/>
      <c r="P653" s="4" t="n"/>
      <c r="Q653" s="4" t="n"/>
      <c r="R653" s="4" t="n"/>
      <c r="S653" s="4" t="n"/>
      <c r="T653" s="4" t="n"/>
      <c r="U653" s="4">
        <f>IF(T653="",IFERROR(VLOOKUP($C653,Assumptions!$A$4:$F$7,6,FALSE),0),T653)</f>
        <v/>
      </c>
      <c r="V653" s="4">
        <f>N(M653)*IFERROR(VLOOKUP($C653,Assumptions!$A$4:$F$7,2,FALSE),0)</f>
        <v/>
      </c>
      <c r="W653" s="4">
        <f>N(Q653)*IFERROR(VLOOKUP($C653,Assumptions!$A$4:$F$7,3,FALSE),0)*Assumptions!$B$11</f>
        <v/>
      </c>
      <c r="X653" s="4">
        <f>N(L653)*IFERROR(VLOOKUP($C653,Assumptions!$A$4:$F$7,4,FALSE),0)</f>
        <v/>
      </c>
      <c r="Y653" s="4">
        <f>N(R653)*IFERROR(VLOOKUP($C653,Assumptions!$A$4:$F$7,5,FALSE),0)</f>
        <v/>
      </c>
      <c r="Z653" s="4">
        <f>N(S653)</f>
        <v/>
      </c>
      <c r="AA653" s="4">
        <f>SUM(U653:Z653)</f>
        <v/>
      </c>
      <c r="AB653" s="4">
        <f>N(AA653)*N(K653)/90</f>
        <v/>
      </c>
      <c r="AC653" s="4">
        <f>IFERROR(AB653-VLOOKUP($C653,Assumptions!$A$29:$C$32,3,FALSE),"")</f>
        <v/>
      </c>
      <c r="AD653" s="4">
        <f>IFERROR(AC653/F653,"")</f>
        <v/>
      </c>
      <c r="AE653">
        <f>IF(AND($E653=TRUE,$C653="GKP"),AB653,"")</f>
        <v/>
      </c>
      <c r="AF653">
        <f>IF(AND($E653=TRUE,$C653="DEF"),AB653,"")</f>
        <v/>
      </c>
      <c r="AG653">
        <f>IF(AND($E653=TRUE,$C653="MID"),AB653,"")</f>
        <v/>
      </c>
      <c r="AH653">
        <f>IF(AND($E653=TRUE,$C653="FWD"),AB653,"")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b">
        <v>1</v>
      </c>
      <c r="F654" s="2" t="n">
        <v>5</v>
      </c>
      <c r="G654" t="inlineStr">
        <is>
          <t>a</t>
        </is>
      </c>
      <c r="I654" s="2" t="n"/>
      <c r="K654" s="3" t="n"/>
      <c r="L654" s="3" t="n">
        <v>0.263</v>
      </c>
      <c r="M654" s="4" t="n"/>
      <c r="N654" t="inlineStr"/>
      <c r="O654" s="4" t="n"/>
      <c r="P654" s="4" t="n"/>
      <c r="Q654" s="4" t="n"/>
      <c r="R654" s="4" t="n"/>
      <c r="S654" s="4" t="n"/>
      <c r="T654" s="4" t="n"/>
      <c r="U654" s="4">
        <f>IF(T654="",IFERROR(VLOOKUP($C654,Assumptions!$A$4:$F$7,6,FALSE),0),T654)</f>
        <v/>
      </c>
      <c r="V654" s="4">
        <f>N(M654)*IFERROR(VLOOKUP($C654,Assumptions!$A$4:$F$7,2,FALSE),0)</f>
        <v/>
      </c>
      <c r="W654" s="4">
        <f>N(Q654)*IFERROR(VLOOKUP($C654,Assumptions!$A$4:$F$7,3,FALSE),0)*Assumptions!$B$11</f>
        <v/>
      </c>
      <c r="X654" s="4">
        <f>N(L654)*IFERROR(VLOOKUP($C654,Assumptions!$A$4:$F$7,4,FALSE),0)</f>
        <v/>
      </c>
      <c r="Y654" s="4">
        <f>N(R654)*IFERROR(VLOOKUP($C654,Assumptions!$A$4:$F$7,5,FALSE),0)</f>
        <v/>
      </c>
      <c r="Z654" s="4">
        <f>N(S654)</f>
        <v/>
      </c>
      <c r="AA654" s="4">
        <f>SUM(U654:Z654)</f>
        <v/>
      </c>
      <c r="AB654" s="4">
        <f>N(AA654)*N(K654)/90</f>
        <v/>
      </c>
      <c r="AC654" s="4">
        <f>IFERROR(AB654-VLOOKUP($C654,Assumptions!$A$29:$C$32,3,FALSE),"")</f>
        <v/>
      </c>
      <c r="AD654" s="4">
        <f>IFERROR(AC654/F654,"")</f>
        <v/>
      </c>
      <c r="AE654">
        <f>IF(AND($E654=TRUE,$C654="GKP"),AB654,"")</f>
        <v/>
      </c>
      <c r="AF654">
        <f>IF(AND($E654=TRUE,$C654="DEF"),AB654,"")</f>
        <v/>
      </c>
      <c r="AG654">
        <f>IF(AND($E654=TRUE,$C654="MID"),AB654,"")</f>
        <v/>
      </c>
      <c r="AH654">
        <f>IF(AND($E654=TRUE,$C654="FWD"),AB654,"")</f>
        <v/>
      </c>
    </row>
    <row r="655">
      <c r="A655" t="inlineStr">
        <is>
          <t>Emmanuel Agbadou</t>
        </is>
      </c>
      <c r="D655" t="inlineStr">
        <is>
          <t>DEF</t>
        </is>
      </c>
      <c r="E655" t="b">
        <v>0</v>
      </c>
      <c r="F655" s="2" t="n"/>
      <c r="I655" s="2" t="n">
        <v>1101</v>
      </c>
      <c r="K655" s="3" t="n">
        <v>1101</v>
      </c>
      <c r="L655" s="3" t="n"/>
      <c r="M655" s="4" t="n">
        <v>0.0468</v>
      </c>
      <c r="N655" t="inlineStr">
        <is>
          <t>adjusted xGOT</t>
        </is>
      </c>
      <c r="O655" s="4" t="n">
        <v>1.003</v>
      </c>
      <c r="P655" s="4" t="n">
        <v>1.5</v>
      </c>
      <c r="Q655" s="4" t="n">
        <v>0.014</v>
      </c>
      <c r="R655" s="4" t="n">
        <v>0.5</v>
      </c>
      <c r="S655" s="4" t="n">
        <v>0</v>
      </c>
      <c r="T655" s="4" t="n">
        <v>2.044</v>
      </c>
      <c r="U655" s="4">
        <f>IF(T655="",IFERROR(VLOOKUP($C655,Assumptions!$A$4:$F$7,6,FALSE),0),T655)</f>
        <v/>
      </c>
      <c r="V655" s="4">
        <f>N(M655)*IFERROR(VLOOKUP($C655,Assumptions!$A$4:$F$7,2,FALSE),0)</f>
        <v/>
      </c>
      <c r="W655" s="4">
        <f>N(Q655)*IFERROR(VLOOKUP($C655,Assumptions!$A$4:$F$7,3,FALSE),0)*Assumptions!$B$11</f>
        <v/>
      </c>
      <c r="X655" s="4">
        <f>N(L655)*IFERROR(VLOOKUP($C655,Assumptions!$A$4:$F$7,4,FALSE),0)</f>
        <v/>
      </c>
      <c r="Y655" s="4">
        <f>N(R655)*IFERROR(VLOOKUP($C655,Assumptions!$A$4:$F$7,5,FALSE),0)</f>
        <v/>
      </c>
      <c r="Z655" s="4">
        <f>N(S655)</f>
        <v/>
      </c>
      <c r="AA655" s="4">
        <f>SUM(U655:Z655)</f>
        <v/>
      </c>
      <c r="AB655" s="4">
        <f>N(AA655)*N(K655)/90</f>
        <v/>
      </c>
      <c r="AC655" s="4">
        <f>IFERROR(AB655-VLOOKUP($C655,Assumptions!$A$29:$C$32,3,FALSE),"")</f>
        <v/>
      </c>
      <c r="AD655" s="4">
        <f>IFERROR(AC655/F655,"")</f>
        <v/>
      </c>
      <c r="AE655">
        <f>IF(AND($E655=TRUE,$C655="GKP"),AB655,"")</f>
        <v/>
      </c>
      <c r="AF655">
        <f>IF(AND($E655=TRUE,$C655="DEF"),AB655,"")</f>
        <v/>
      </c>
      <c r="AG655">
        <f>IF(AND($E655=TRUE,$C655="MID"),AB655,"")</f>
        <v/>
      </c>
      <c r="AH655">
        <f>IF(AND($E655=TRUE,$C655="FWD"),AB655,"")</f>
        <v/>
      </c>
    </row>
    <row r="656">
      <c r="A656" t="inlineStr">
        <is>
          <t>Max Weiss</t>
        </is>
      </c>
      <c r="D656" t="inlineStr">
        <is>
          <t>GKP</t>
        </is>
      </c>
      <c r="E656" t="b">
        <v>0</v>
      </c>
      <c r="F656" s="2" t="n"/>
      <c r="I656" s="2" t="n">
        <v>270</v>
      </c>
      <c r="K656" s="3" t="n">
        <v>270</v>
      </c>
      <c r="L656" s="3" t="n"/>
      <c r="M656" s="4" t="n">
        <v>0</v>
      </c>
      <c r="N656" t="inlineStr">
        <is>
          <t>blended xG</t>
        </is>
      </c>
      <c r="O656" s="4" t="n">
        <v>1</v>
      </c>
      <c r="P656" s="4" t="n">
        <v>0</v>
      </c>
      <c r="Q656" s="4" t="n">
        <v>0.0536</v>
      </c>
      <c r="R656" s="4" t="n">
        <v>0</v>
      </c>
      <c r="S656" s="4" t="n">
        <v>0</v>
      </c>
      <c r="T656" s="4" t="n">
        <v>2</v>
      </c>
      <c r="U656" s="4">
        <f>IF(T656="",IFERROR(VLOOKUP($C656,Assumptions!$A$4:$F$7,6,FALSE),0),T656)</f>
        <v/>
      </c>
      <c r="V656" s="4">
        <f>N(M656)*IFERROR(VLOOKUP($C656,Assumptions!$A$4:$F$7,2,FALSE),0)</f>
        <v/>
      </c>
      <c r="W656" s="4">
        <f>N(Q656)*IFERROR(VLOOKUP($C656,Assumptions!$A$4:$F$7,3,FALSE),0)*Assumptions!$B$11</f>
        <v/>
      </c>
      <c r="X656" s="4">
        <f>N(L656)*IFERROR(VLOOKUP($C656,Assumptions!$A$4:$F$7,4,FALSE),0)</f>
        <v/>
      </c>
      <c r="Y656" s="4">
        <f>N(R656)*IFERROR(VLOOKUP($C656,Assumptions!$A$4:$F$7,5,FALSE),0)</f>
        <v/>
      </c>
      <c r="Z656" s="4">
        <f>N(S656)</f>
        <v/>
      </c>
      <c r="AA656" s="4">
        <f>SUM(U656:Z656)</f>
        <v/>
      </c>
      <c r="AB656" s="4">
        <f>N(AA656)*N(K656)/90</f>
        <v/>
      </c>
      <c r="AC656" s="4">
        <f>IFERROR(AB656-VLOOKUP($C656,Assumptions!$A$29:$C$32,3,FALSE),"")</f>
        <v/>
      </c>
      <c r="AD656" s="4">
        <f>IFERROR(AC656/F656,"")</f>
        <v/>
      </c>
      <c r="AE656">
        <f>IF(AND($E656=TRUE,$C656="GKP"),AB656,"")</f>
        <v/>
      </c>
      <c r="AF656">
        <f>IF(AND($E656=TRUE,$C656="DEF"),AB656,"")</f>
        <v/>
      </c>
      <c r="AG656">
        <f>IF(AND($E656=TRUE,$C656="MID"),AB656,"")</f>
        <v/>
      </c>
      <c r="AH656">
        <f>IF(AND($E656=TRUE,$C656="FWD"),AB656,"")</f>
        <v/>
      </c>
    </row>
    <row r="657">
      <c r="A657" t="inlineStr">
        <is>
          <t>Oliver Sonne</t>
        </is>
      </c>
      <c r="D657" t="inlineStr">
        <is>
          <t>DEF</t>
        </is>
      </c>
      <c r="E657" t="b">
        <v>0</v>
      </c>
      <c r="F657" s="2" t="n"/>
      <c r="I657" s="2" t="n">
        <v>165</v>
      </c>
      <c r="K657" s="3" t="n">
        <v>165</v>
      </c>
      <c r="L657" s="3" t="n"/>
      <c r="M657" s="4" t="n">
        <v>0.3125</v>
      </c>
      <c r="N657" t="inlineStr">
        <is>
          <t>adjusted xGOT</t>
        </is>
      </c>
      <c r="O657" s="4" t="n">
        <v>1.041</v>
      </c>
      <c r="P657" s="4" t="n">
        <v>0.6</v>
      </c>
      <c r="Q657" s="4" t="n">
        <v>0.0147</v>
      </c>
      <c r="R657" s="4" t="n">
        <v>0</v>
      </c>
      <c r="S657" s="4" t="n">
        <v>0</v>
      </c>
      <c r="T657" s="4" t="n">
        <v>4.364</v>
      </c>
      <c r="U657" s="4">
        <f>IF(T657="",IFERROR(VLOOKUP($C657,Assumptions!$A$4:$F$7,6,FALSE),0),T657)</f>
        <v/>
      </c>
      <c r="V657" s="4">
        <f>N(M657)*IFERROR(VLOOKUP($C657,Assumptions!$A$4:$F$7,2,FALSE),0)</f>
        <v/>
      </c>
      <c r="W657" s="4">
        <f>N(Q657)*IFERROR(VLOOKUP($C657,Assumptions!$A$4:$F$7,3,FALSE),0)*Assumptions!$B$11</f>
        <v/>
      </c>
      <c r="X657" s="4">
        <f>N(L657)*IFERROR(VLOOKUP($C657,Assumptions!$A$4:$F$7,4,FALSE),0)</f>
        <v/>
      </c>
      <c r="Y657" s="4">
        <f>N(R657)*IFERROR(VLOOKUP($C657,Assumptions!$A$4:$F$7,5,FALSE),0)</f>
        <v/>
      </c>
      <c r="Z657" s="4">
        <f>N(S657)</f>
        <v/>
      </c>
      <c r="AA657" s="4">
        <f>SUM(U657:Z657)</f>
        <v/>
      </c>
      <c r="AB657" s="4">
        <f>N(AA657)*N(K657)/90</f>
        <v/>
      </c>
      <c r="AC657" s="4">
        <f>IFERROR(AB657-VLOOKUP($C657,Assumptions!$A$29:$C$32,3,FALSE),"")</f>
        <v/>
      </c>
      <c r="AD657" s="4">
        <f>IFERROR(AC657/F657,"")</f>
        <v/>
      </c>
      <c r="AE657">
        <f>IF(AND($E657=TRUE,$C657="GKP"),AB657,"")</f>
        <v/>
      </c>
      <c r="AF657">
        <f>IF(AND($E657=TRUE,$C657="DEF"),AB657,"")</f>
        <v/>
      </c>
      <c r="AG657">
        <f>IF(AND($E657=TRUE,$C657="MID"),AB657,"")</f>
        <v/>
      </c>
      <c r="AH657">
        <f>IF(AND($E657=TRUE,$C657="FWD"),AB657,"")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b">
        <v>1</v>
      </c>
      <c r="F658" s="2" t="n">
        <v>5</v>
      </c>
      <c r="G658" t="inlineStr">
        <is>
          <t>a</t>
        </is>
      </c>
      <c r="I658" s="2" t="n"/>
      <c r="K658" s="3" t="n"/>
      <c r="L658" s="3" t="n">
        <v>0.21</v>
      </c>
      <c r="M658" s="4" t="n"/>
      <c r="N658" t="inlineStr"/>
      <c r="O658" s="4" t="n"/>
      <c r="P658" s="4" t="n"/>
      <c r="Q658" s="4" t="n"/>
      <c r="R658" s="4" t="n"/>
      <c r="S658" s="4" t="n"/>
      <c r="T658" s="4" t="n"/>
      <c r="U658" s="4">
        <f>IF(T658="",IFERROR(VLOOKUP($C658,Assumptions!$A$4:$F$7,6,FALSE),0),T658)</f>
        <v/>
      </c>
      <c r="V658" s="4">
        <f>N(M658)*IFERROR(VLOOKUP($C658,Assumptions!$A$4:$F$7,2,FALSE),0)</f>
        <v/>
      </c>
      <c r="W658" s="4">
        <f>N(Q658)*IFERROR(VLOOKUP($C658,Assumptions!$A$4:$F$7,3,FALSE),0)*Assumptions!$B$11</f>
        <v/>
      </c>
      <c r="X658" s="4">
        <f>N(L658)*IFERROR(VLOOKUP($C658,Assumptions!$A$4:$F$7,4,FALSE),0)</f>
        <v/>
      </c>
      <c r="Y658" s="4">
        <f>N(R658)*IFERROR(VLOOKUP($C658,Assumptions!$A$4:$F$7,5,FALSE),0)</f>
        <v/>
      </c>
      <c r="Z658" s="4">
        <f>N(S658)</f>
        <v/>
      </c>
      <c r="AA658" s="4">
        <f>SUM(U658:Z658)</f>
        <v/>
      </c>
      <c r="AB658" s="4">
        <f>N(AA658)*N(K658)/90</f>
        <v/>
      </c>
      <c r="AC658" s="4">
        <f>IFERROR(AB658-VLOOKUP($C658,Assumptions!$A$29:$C$32,3,FALSE),"")</f>
        <v/>
      </c>
      <c r="AD658" s="4">
        <f>IFERROR(AC658/F658,"")</f>
        <v/>
      </c>
      <c r="AE658">
        <f>IF(AND($E658=TRUE,$C658="GKP"),AB658,"")</f>
        <v/>
      </c>
      <c r="AF658">
        <f>IF(AND($E658=TRUE,$C658="DEF"),AB658,"")</f>
        <v/>
      </c>
      <c r="AG658">
        <f>IF(AND($E658=TRUE,$C658="MID"),AB658,"")</f>
        <v/>
      </c>
      <c r="AH658">
        <f>IF(AND($E658=TRUE,$C658="FWD"),AB658,"")</f>
        <v/>
      </c>
    </row>
    <row r="659">
      <c r="A659" t="inlineStr">
        <is>
          <t>Jackson Tchatchoua</t>
        </is>
      </c>
      <c r="D659" t="inlineStr">
        <is>
          <t>DEF</t>
        </is>
      </c>
      <c r="E659" t="b">
        <v>0</v>
      </c>
      <c r="F659" s="2" t="n"/>
      <c r="I659" s="2" t="n">
        <v>1837</v>
      </c>
      <c r="K659" s="3" t="n">
        <v>1837</v>
      </c>
      <c r="L659" s="3" t="n"/>
      <c r="M659" s="4" t="n">
        <v>0.0159</v>
      </c>
      <c r="N659" t="inlineStr">
        <is>
          <t>adjusted xGOT</t>
        </is>
      </c>
      <c r="O659" s="4" t="n">
        <v>0.984</v>
      </c>
      <c r="P659" s="4" t="n">
        <v>0.3</v>
      </c>
      <c r="Q659" s="4" t="n">
        <v>0.1099</v>
      </c>
      <c r="R659" s="4" t="n">
        <v>0.105</v>
      </c>
      <c r="S659" s="4" t="n">
        <v>0</v>
      </c>
      <c r="T659" s="4" t="n">
        <v>2.352</v>
      </c>
      <c r="U659" s="4">
        <f>IF(T659="",IFERROR(VLOOKUP($C659,Assumptions!$A$4:$F$7,6,FALSE),0),T659)</f>
        <v/>
      </c>
      <c r="V659" s="4">
        <f>N(M659)*IFERROR(VLOOKUP($C659,Assumptions!$A$4:$F$7,2,FALSE),0)</f>
        <v/>
      </c>
      <c r="W659" s="4">
        <f>N(Q659)*IFERROR(VLOOKUP($C659,Assumptions!$A$4:$F$7,3,FALSE),0)*Assumptions!$B$11</f>
        <v/>
      </c>
      <c r="X659" s="4">
        <f>N(L659)*IFERROR(VLOOKUP($C659,Assumptions!$A$4:$F$7,4,FALSE),0)</f>
        <v/>
      </c>
      <c r="Y659" s="4">
        <f>N(R659)*IFERROR(VLOOKUP($C659,Assumptions!$A$4:$F$7,5,FALSE),0)</f>
        <v/>
      </c>
      <c r="Z659" s="4">
        <f>N(S659)</f>
        <v/>
      </c>
      <c r="AA659" s="4">
        <f>SUM(U659:Z659)</f>
        <v/>
      </c>
      <c r="AB659" s="4">
        <f>N(AA659)*N(K659)/90</f>
        <v/>
      </c>
      <c r="AC659" s="4">
        <f>IFERROR(AB659-VLOOKUP($C659,Assumptions!$A$29:$C$32,3,FALSE),"")</f>
        <v/>
      </c>
      <c r="AD659" s="4">
        <f>IFERROR(AC659/F659,"")</f>
        <v/>
      </c>
      <c r="AE659">
        <f>IF(AND($E659=TRUE,$C659="GKP"),AB659,"")</f>
        <v/>
      </c>
      <c r="AF659">
        <f>IF(AND($E659=TRUE,$C659="DEF"),AB659,"")</f>
        <v/>
      </c>
      <c r="AG659">
        <f>IF(AND($E659=TRUE,$C659="MID"),AB659,"")</f>
        <v/>
      </c>
      <c r="AH659">
        <f>IF(AND($E659=TRUE,$C659="FWD"),AB659,"")</f>
        <v/>
      </c>
    </row>
    <row r="660">
      <c r="A660" t="inlineStr">
        <is>
          <t>Kaden Rodney</t>
        </is>
      </c>
      <c r="D660" t="inlineStr">
        <is>
          <t>MID</t>
        </is>
      </c>
      <c r="E660" t="b">
        <v>0</v>
      </c>
      <c r="F660" s="2" t="n"/>
      <c r="I660" s="2" t="n">
        <v>3</v>
      </c>
      <c r="K660" s="3" t="n">
        <v>3</v>
      </c>
      <c r="L660" s="3" t="n"/>
      <c r="M660" s="4" t="n"/>
      <c r="N660" t="inlineStr"/>
      <c r="O660" s="4" t="n">
        <v>1</v>
      </c>
      <c r="P660" s="4" t="n">
        <v>0</v>
      </c>
      <c r="Q660" s="4" t="n"/>
      <c r="R660" s="4" t="n"/>
      <c r="S660" s="4" t="n">
        <v>0</v>
      </c>
      <c r="T660" s="4" t="n">
        <v>30</v>
      </c>
      <c r="U660" s="4">
        <f>IF(T660="",IFERROR(VLOOKUP($C660,Assumptions!$A$4:$F$7,6,FALSE),0),T660)</f>
        <v/>
      </c>
      <c r="V660" s="4">
        <f>N(M660)*IFERROR(VLOOKUP($C660,Assumptions!$A$4:$F$7,2,FALSE),0)</f>
        <v/>
      </c>
      <c r="W660" s="4">
        <f>N(Q660)*IFERROR(VLOOKUP($C660,Assumptions!$A$4:$F$7,3,FALSE),0)*Assumptions!$B$11</f>
        <v/>
      </c>
      <c r="X660" s="4">
        <f>N(L660)*IFERROR(VLOOKUP($C660,Assumptions!$A$4:$F$7,4,FALSE),0)</f>
        <v/>
      </c>
      <c r="Y660" s="4">
        <f>N(R660)*IFERROR(VLOOKUP($C660,Assumptions!$A$4:$F$7,5,FALSE),0)</f>
        <v/>
      </c>
      <c r="Z660" s="4">
        <f>N(S660)</f>
        <v/>
      </c>
      <c r="AA660" s="4">
        <f>SUM(U660:Z660)</f>
        <v/>
      </c>
      <c r="AB660" s="4">
        <f>N(AA660)*N(K660)/90</f>
        <v/>
      </c>
      <c r="AC660" s="4">
        <f>IFERROR(AB660-VLOOKUP($C660,Assumptions!$A$29:$C$32,3,FALSE),"")</f>
        <v/>
      </c>
      <c r="AD660" s="4">
        <f>IFERROR(AC660/F660,"")</f>
        <v/>
      </c>
      <c r="AE660">
        <f>IF(AND($E660=TRUE,$C660="GKP"),AB660,"")</f>
        <v/>
      </c>
      <c r="AF660">
        <f>IF(AND($E660=TRUE,$C660="DEF"),AB660,"")</f>
        <v/>
      </c>
      <c r="AG660">
        <f>IF(AND($E660=TRUE,$C660="MID"),AB660,"")</f>
        <v/>
      </c>
      <c r="AH660">
        <f>IF(AND($E660=TRUE,$C660="FWD"),AB660,"")</f>
        <v/>
      </c>
    </row>
    <row r="661">
      <c r="A661" t="inlineStr">
        <is>
          <t>Pablo</t>
        </is>
      </c>
      <c r="D661" t="inlineStr">
        <is>
          <t>FWD</t>
        </is>
      </c>
      <c r="E661" t="b">
        <v>0</v>
      </c>
      <c r="F661" s="2" t="n"/>
      <c r="I661" s="2" t="n">
        <v>826</v>
      </c>
      <c r="K661" s="3" t="n">
        <v>826</v>
      </c>
      <c r="L661" s="3" t="n"/>
      <c r="M661" s="4" t="n">
        <v>0.1074</v>
      </c>
      <c r="N661" t="inlineStr">
        <is>
          <t>adjusted xGOT</t>
        </is>
      </c>
      <c r="O661" s="4" t="n">
        <v>0.9389999999999999</v>
      </c>
      <c r="P661" s="4" t="n">
        <v>1</v>
      </c>
      <c r="Q661" s="4" t="n">
        <v>0.1409</v>
      </c>
      <c r="R661" s="4" t="n">
        <v>0.3</v>
      </c>
      <c r="S661" s="4" t="n">
        <v>0</v>
      </c>
      <c r="T661" s="4" t="n">
        <v>2.506</v>
      </c>
      <c r="U661" s="4">
        <f>IF(T661="",IFERROR(VLOOKUP($C661,Assumptions!$A$4:$F$7,6,FALSE),0),T661)</f>
        <v/>
      </c>
      <c r="V661" s="4">
        <f>N(M661)*IFERROR(VLOOKUP($C661,Assumptions!$A$4:$F$7,2,FALSE),0)</f>
        <v/>
      </c>
      <c r="W661" s="4">
        <f>N(Q661)*IFERROR(VLOOKUP($C661,Assumptions!$A$4:$F$7,3,FALSE),0)*Assumptions!$B$11</f>
        <v/>
      </c>
      <c r="X661" s="4">
        <f>N(L661)*IFERROR(VLOOKUP($C661,Assumptions!$A$4:$F$7,4,FALSE),0)</f>
        <v/>
      </c>
      <c r="Y661" s="4">
        <f>N(R661)*IFERROR(VLOOKUP($C661,Assumptions!$A$4:$F$7,5,FALSE),0)</f>
        <v/>
      </c>
      <c r="Z661" s="4">
        <f>N(S661)</f>
        <v/>
      </c>
      <c r="AA661" s="4">
        <f>SUM(U661:Z661)</f>
        <v/>
      </c>
      <c r="AB661" s="4">
        <f>N(AA661)*N(K661)/90</f>
        <v/>
      </c>
      <c r="AC661" s="4">
        <f>IFERROR(AB661-VLOOKUP($C661,Assumptions!$A$29:$C$32,3,FALSE),"")</f>
        <v/>
      </c>
      <c r="AD661" s="4">
        <f>IFERROR(AC661/F661,"")</f>
        <v/>
      </c>
      <c r="AE661">
        <f>IF(AND($E661=TRUE,$C661="GKP"),AB661,"")</f>
        <v/>
      </c>
      <c r="AF661">
        <f>IF(AND($E661=TRUE,$C661="DEF"),AB661,"")</f>
        <v/>
      </c>
      <c r="AG661">
        <f>IF(AND($E661=TRUE,$C661="MID"),AB661,"")</f>
        <v/>
      </c>
      <c r="AH661">
        <f>IF(AND($E661=TRUE,$C661="FWD"),AB661,"")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b">
        <v>1</v>
      </c>
      <c r="F662" s="2" t="n">
        <v>5.5</v>
      </c>
      <c r="G662" t="inlineStr">
        <is>
          <t>a</t>
        </is>
      </c>
      <c r="I662" s="2" t="n"/>
      <c r="K662" s="3" t="n"/>
      <c r="L662" s="3" t="n"/>
      <c r="M662" s="4" t="n"/>
      <c r="N662" t="inlineStr"/>
      <c r="O662" s="4" t="n"/>
      <c r="P662" s="4" t="n"/>
      <c r="Q662" s="4" t="n"/>
      <c r="R662" s="4" t="n"/>
      <c r="S662" s="4" t="n"/>
      <c r="T662" s="4" t="n"/>
      <c r="U662" s="4">
        <f>IF(T662="",IFERROR(VLOOKUP($C662,Assumptions!$A$4:$F$7,6,FALSE),0),T662)</f>
        <v/>
      </c>
      <c r="V662" s="4">
        <f>N(M662)*IFERROR(VLOOKUP($C662,Assumptions!$A$4:$F$7,2,FALSE),0)</f>
        <v/>
      </c>
      <c r="W662" s="4">
        <f>N(Q662)*IFERROR(VLOOKUP($C662,Assumptions!$A$4:$F$7,3,FALSE),0)*Assumptions!$B$11</f>
        <v/>
      </c>
      <c r="X662" s="4">
        <f>N(L662)*IFERROR(VLOOKUP($C662,Assumptions!$A$4:$F$7,4,FALSE),0)</f>
        <v/>
      </c>
      <c r="Y662" s="4">
        <f>N(R662)*IFERROR(VLOOKUP($C662,Assumptions!$A$4:$F$7,5,FALSE),0)</f>
        <v/>
      </c>
      <c r="Z662" s="4">
        <f>N(S662)</f>
        <v/>
      </c>
      <c r="AA662" s="4">
        <f>SUM(U662:Z662)</f>
        <v/>
      </c>
      <c r="AB662" s="4">
        <f>N(AA662)*N(K662)/90</f>
        <v/>
      </c>
      <c r="AC662" s="4">
        <f>IFERROR(AB662-VLOOKUP($C662,Assumptions!$A$29:$C$32,3,FALSE),"")</f>
        <v/>
      </c>
      <c r="AD662" s="4">
        <f>IFERROR(AC662/F662,"")</f>
        <v/>
      </c>
      <c r="AE662">
        <f>IF(AND($E662=TRUE,$C662="GKP"),AB662,"")</f>
        <v/>
      </c>
      <c r="AF662">
        <f>IF(AND($E662=TRUE,$C662="DEF"),AB662,"")</f>
        <v/>
      </c>
      <c r="AG662">
        <f>IF(AND($E662=TRUE,$C662="MID"),AB662,"")</f>
        <v/>
      </c>
      <c r="AH662">
        <f>IF(AND($E662=TRUE,$C662="FWD"),AB662,"")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b">
        <v>1</v>
      </c>
      <c r="F663" s="2" t="n">
        <v>4.5</v>
      </c>
      <c r="G663" t="inlineStr">
        <is>
          <t>u</t>
        </is>
      </c>
      <c r="H663" t="inlineStr">
        <is>
          <t>Has joined Sheffield Wednesday on loan for the rest of the season</t>
        </is>
      </c>
      <c r="I663" s="2" t="n"/>
      <c r="K663" s="3" t="n"/>
      <c r="L663" s="3" t="n"/>
      <c r="M663" s="4" t="n"/>
      <c r="N663" t="inlineStr"/>
      <c r="O663" s="4" t="n"/>
      <c r="P663" s="4" t="n"/>
      <c r="Q663" s="4" t="n"/>
      <c r="R663" s="4" t="n"/>
      <c r="S663" s="4" t="n"/>
      <c r="T663" s="4" t="n"/>
      <c r="U663" s="4">
        <f>IF(T663="",IFERROR(VLOOKUP($C663,Assumptions!$A$4:$F$7,6,FALSE),0),T663)</f>
        <v/>
      </c>
      <c r="V663" s="4">
        <f>N(M663)*IFERROR(VLOOKUP($C663,Assumptions!$A$4:$F$7,2,FALSE),0)</f>
        <v/>
      </c>
      <c r="W663" s="4">
        <f>N(Q663)*IFERROR(VLOOKUP($C663,Assumptions!$A$4:$F$7,3,FALSE),0)*Assumptions!$B$11</f>
        <v/>
      </c>
      <c r="X663" s="4">
        <f>N(L663)*IFERROR(VLOOKUP($C663,Assumptions!$A$4:$F$7,4,FALSE),0)</f>
        <v/>
      </c>
      <c r="Y663" s="4">
        <f>N(R663)*IFERROR(VLOOKUP($C663,Assumptions!$A$4:$F$7,5,FALSE),0)</f>
        <v/>
      </c>
      <c r="Z663" s="4">
        <f>N(S663)</f>
        <v/>
      </c>
      <c r="AA663" s="4">
        <f>SUM(U663:Z663)</f>
        <v/>
      </c>
      <c r="AB663" s="4">
        <f>N(AA663)*N(K663)/90</f>
        <v/>
      </c>
      <c r="AC663" s="4">
        <f>IFERROR(AB663-VLOOKUP($C663,Assumptions!$A$29:$C$32,3,FALSE),"")</f>
        <v/>
      </c>
      <c r="AD663" s="4">
        <f>IFERROR(AC663/F663,"")</f>
        <v/>
      </c>
      <c r="AE663">
        <f>IF(AND($E663=TRUE,$C663="GKP"),AB663,"")</f>
        <v/>
      </c>
      <c r="AF663">
        <f>IF(AND($E663=TRUE,$C663="DEF"),AB663,"")</f>
        <v/>
      </c>
      <c r="AG663">
        <f>IF(AND($E663=TRUE,$C663="MID"),AB663,"")</f>
        <v/>
      </c>
      <c r="AH663">
        <f>IF(AND($E663=TRUE,$C663="FWD"),AB663,"")</f>
        <v/>
      </c>
    </row>
    <row r="664">
      <c r="A664" t="inlineStr">
        <is>
          <t>Ollie Scarles</t>
        </is>
      </c>
      <c r="D664" t="inlineStr">
        <is>
          <t>DEF</t>
        </is>
      </c>
      <c r="E664" t="b">
        <v>0</v>
      </c>
      <c r="F664" s="2" t="n"/>
      <c r="I664" s="2" t="n">
        <v>659</v>
      </c>
      <c r="K664" s="3" t="n">
        <v>659</v>
      </c>
      <c r="L664" s="3" t="n"/>
      <c r="M664" s="4" t="n">
        <v>0.0238</v>
      </c>
      <c r="N664" t="inlineStr">
        <is>
          <t>adjusted xGOT</t>
        </is>
      </c>
      <c r="O664" s="4" t="n">
        <v>0.965</v>
      </c>
      <c r="P664" s="4" t="n">
        <v>0.3</v>
      </c>
      <c r="Q664" s="4" t="n">
        <v>0.1333</v>
      </c>
      <c r="R664" s="4" t="n">
        <v>0.222</v>
      </c>
      <c r="S664" s="4" t="n">
        <v>0</v>
      </c>
      <c r="T664" s="4" t="n">
        <v>2.731</v>
      </c>
      <c r="U664" s="4">
        <f>IF(T664="",IFERROR(VLOOKUP($C664,Assumptions!$A$4:$F$7,6,FALSE),0),T664)</f>
        <v/>
      </c>
      <c r="V664" s="4">
        <f>N(M664)*IFERROR(VLOOKUP($C664,Assumptions!$A$4:$F$7,2,FALSE),0)</f>
        <v/>
      </c>
      <c r="W664" s="4">
        <f>N(Q664)*IFERROR(VLOOKUP($C664,Assumptions!$A$4:$F$7,3,FALSE),0)*Assumptions!$B$11</f>
        <v/>
      </c>
      <c r="X664" s="4">
        <f>N(L664)*IFERROR(VLOOKUP($C664,Assumptions!$A$4:$F$7,4,FALSE),0)</f>
        <v/>
      </c>
      <c r="Y664" s="4">
        <f>N(R664)*IFERROR(VLOOKUP($C664,Assumptions!$A$4:$F$7,5,FALSE),0)</f>
        <v/>
      </c>
      <c r="Z664" s="4">
        <f>N(S664)</f>
        <v/>
      </c>
      <c r="AA664" s="4">
        <f>SUM(U664:Z664)</f>
        <v/>
      </c>
      <c r="AB664" s="4">
        <f>N(AA664)*N(K664)/90</f>
        <v/>
      </c>
      <c r="AC664" s="4">
        <f>IFERROR(AB664-VLOOKUP($C664,Assumptions!$A$29:$C$32,3,FALSE),"")</f>
        <v/>
      </c>
      <c r="AD664" s="4">
        <f>IFERROR(AC664/F664,"")</f>
        <v/>
      </c>
      <c r="AE664">
        <f>IF(AND($E664=TRUE,$C664="GKP"),AB664,"")</f>
        <v/>
      </c>
      <c r="AF664">
        <f>IF(AND($E664=TRUE,$C664="DEF"),AB664,"")</f>
        <v/>
      </c>
      <c r="AG664">
        <f>IF(AND($E664=TRUE,$C664="MID"),AB664,"")</f>
        <v/>
      </c>
      <c r="AH664">
        <f>IF(AND($E664=TRUE,$C664="FWD"),AB664,"")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b">
        <v>1</v>
      </c>
      <c r="F665" s="2" t="n">
        <v>4</v>
      </c>
      <c r="G665" t="inlineStr">
        <is>
          <t>a</t>
        </is>
      </c>
      <c r="I665" s="2" t="n"/>
      <c r="K665" s="3" t="n"/>
      <c r="L665" s="3" t="n">
        <v>0.237</v>
      </c>
      <c r="M665" s="4" t="n"/>
      <c r="N665" t="inlineStr"/>
      <c r="O665" s="4" t="n"/>
      <c r="P665" s="4" t="n"/>
      <c r="Q665" s="4" t="n"/>
      <c r="R665" s="4" t="n"/>
      <c r="S665" s="4" t="n"/>
      <c r="T665" s="4" t="n"/>
      <c r="U665" s="4">
        <f>IF(T665="",IFERROR(VLOOKUP($C665,Assumptions!$A$4:$F$7,6,FALSE),0),T665)</f>
        <v/>
      </c>
      <c r="V665" s="4">
        <f>N(M665)*IFERROR(VLOOKUP($C665,Assumptions!$A$4:$F$7,2,FALSE),0)</f>
        <v/>
      </c>
      <c r="W665" s="4">
        <f>N(Q665)*IFERROR(VLOOKUP($C665,Assumptions!$A$4:$F$7,3,FALSE),0)*Assumptions!$B$11</f>
        <v/>
      </c>
      <c r="X665" s="4">
        <f>N(L665)*IFERROR(VLOOKUP($C665,Assumptions!$A$4:$F$7,4,FALSE),0)</f>
        <v/>
      </c>
      <c r="Y665" s="4">
        <f>N(R665)*IFERROR(VLOOKUP($C665,Assumptions!$A$4:$F$7,5,FALSE),0)</f>
        <v/>
      </c>
      <c r="Z665" s="4">
        <f>N(S665)</f>
        <v/>
      </c>
      <c r="AA665" s="4">
        <f>SUM(U665:Z665)</f>
        <v/>
      </c>
      <c r="AB665" s="4">
        <f>N(AA665)*N(K665)/90</f>
        <v/>
      </c>
      <c r="AC665" s="4">
        <f>IFERROR(AB665-VLOOKUP($C665,Assumptions!$A$29:$C$32,3,FALSE),"")</f>
        <v/>
      </c>
      <c r="AD665" s="4">
        <f>IFERROR(AC665/F665,"")</f>
        <v/>
      </c>
      <c r="AE665">
        <f>IF(AND($E665=TRUE,$C665="GKP"),AB665,"")</f>
        <v/>
      </c>
      <c r="AF665">
        <f>IF(AND($E665=TRUE,$C665="DEF"),AB665,"")</f>
        <v/>
      </c>
      <c r="AG665">
        <f>IF(AND($E665=TRUE,$C665="MID"),AB665,"")</f>
        <v/>
      </c>
      <c r="AH665">
        <f>IF(AND($E665=TRUE,$C665="FWD"),AB665,"")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b">
        <v>1</v>
      </c>
      <c r="F666" s="2" t="n">
        <v>4</v>
      </c>
      <c r="G666" t="inlineStr">
        <is>
          <t>a</t>
        </is>
      </c>
      <c r="I666" s="2" t="n"/>
      <c r="K666" s="3" t="n"/>
      <c r="L666" s="3" t="n"/>
      <c r="M666" s="4" t="n"/>
      <c r="N666" t="inlineStr"/>
      <c r="O666" s="4" t="n"/>
      <c r="P666" s="4" t="n"/>
      <c r="Q666" s="4" t="n"/>
      <c r="R666" s="4" t="n"/>
      <c r="S666" s="4" t="n"/>
      <c r="T666" s="4" t="n"/>
      <c r="U666" s="4">
        <f>IF(T666="",IFERROR(VLOOKUP($C666,Assumptions!$A$4:$F$7,6,FALSE),0),T666)</f>
        <v/>
      </c>
      <c r="V666" s="4">
        <f>N(M666)*IFERROR(VLOOKUP($C666,Assumptions!$A$4:$F$7,2,FALSE),0)</f>
        <v/>
      </c>
      <c r="W666" s="4">
        <f>N(Q666)*IFERROR(VLOOKUP($C666,Assumptions!$A$4:$F$7,3,FALSE),0)*Assumptions!$B$11</f>
        <v/>
      </c>
      <c r="X666" s="4">
        <f>N(L666)*IFERROR(VLOOKUP($C666,Assumptions!$A$4:$F$7,4,FALSE),0)</f>
        <v/>
      </c>
      <c r="Y666" s="4">
        <f>N(R666)*IFERROR(VLOOKUP($C666,Assumptions!$A$4:$F$7,5,FALSE),0)</f>
        <v/>
      </c>
      <c r="Z666" s="4">
        <f>N(S666)</f>
        <v/>
      </c>
      <c r="AA666" s="4">
        <f>SUM(U666:Z666)</f>
        <v/>
      </c>
      <c r="AB666" s="4">
        <f>N(AA666)*N(K666)/90</f>
        <v/>
      </c>
      <c r="AC666" s="4">
        <f>IFERROR(AB666-VLOOKUP($C666,Assumptions!$A$29:$C$32,3,FALSE),"")</f>
        <v/>
      </c>
      <c r="AD666" s="4">
        <f>IFERROR(AC666/F666,"")</f>
        <v/>
      </c>
      <c r="AE666">
        <f>IF(AND($E666=TRUE,$C666="GKP"),AB666,"")</f>
        <v/>
      </c>
      <c r="AF666">
        <f>IF(AND($E666=TRUE,$C666="DEF"),AB666,"")</f>
        <v/>
      </c>
      <c r="AG666">
        <f>IF(AND($E666=TRUE,$C666="MID"),AB666,"")</f>
        <v/>
      </c>
      <c r="AH666">
        <f>IF(AND($E666=TRUE,$C666="FWD"),AB666,"")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b">
        <v>1</v>
      </c>
      <c r="F667" s="2" t="n">
        <v>5</v>
      </c>
      <c r="G667" t="inlineStr">
        <is>
          <t>a</t>
        </is>
      </c>
      <c r="I667" s="2" t="n"/>
      <c r="K667" s="3" t="n"/>
      <c r="L667" s="3" t="n"/>
      <c r="M667" s="4" t="n"/>
      <c r="N667" t="inlineStr"/>
      <c r="O667" s="4" t="n"/>
      <c r="P667" s="4" t="n"/>
      <c r="Q667" s="4" t="n"/>
      <c r="R667" s="4" t="n"/>
      <c r="S667" s="4" t="n"/>
      <c r="T667" s="4" t="n"/>
      <c r="U667" s="4">
        <f>IF(T667="",IFERROR(VLOOKUP($C667,Assumptions!$A$4:$F$7,6,FALSE),0),T667)</f>
        <v/>
      </c>
      <c r="V667" s="4">
        <f>N(M667)*IFERROR(VLOOKUP($C667,Assumptions!$A$4:$F$7,2,FALSE),0)</f>
        <v/>
      </c>
      <c r="W667" s="4">
        <f>N(Q667)*IFERROR(VLOOKUP($C667,Assumptions!$A$4:$F$7,3,FALSE),0)*Assumptions!$B$11</f>
        <v/>
      </c>
      <c r="X667" s="4">
        <f>N(L667)*IFERROR(VLOOKUP($C667,Assumptions!$A$4:$F$7,4,FALSE),0)</f>
        <v/>
      </c>
      <c r="Y667" s="4">
        <f>N(R667)*IFERROR(VLOOKUP($C667,Assumptions!$A$4:$F$7,5,FALSE),0)</f>
        <v/>
      </c>
      <c r="Z667" s="4">
        <f>N(S667)</f>
        <v/>
      </c>
      <c r="AA667" s="4">
        <f>SUM(U667:Z667)</f>
        <v/>
      </c>
      <c r="AB667" s="4">
        <f>N(AA667)*N(K667)/90</f>
        <v/>
      </c>
      <c r="AC667" s="4">
        <f>IFERROR(AB667-VLOOKUP($C667,Assumptions!$A$29:$C$32,3,FALSE),"")</f>
        <v/>
      </c>
      <c r="AD667" s="4">
        <f>IFERROR(AC667/F667,"")</f>
        <v/>
      </c>
      <c r="AE667">
        <f>IF(AND($E667=TRUE,$C667="GKP"),AB667,"")</f>
        <v/>
      </c>
      <c r="AF667">
        <f>IF(AND($E667=TRUE,$C667="DEF"),AB667,"")</f>
        <v/>
      </c>
      <c r="AG667">
        <f>IF(AND($E667=TRUE,$C667="MID"),AB667,"")</f>
        <v/>
      </c>
      <c r="AH667">
        <f>IF(AND($E667=TRUE,$C667="FWD"),AB667,"")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b">
        <v>1</v>
      </c>
      <c r="F668" s="2" t="n">
        <v>5.5</v>
      </c>
      <c r="G668" t="inlineStr">
        <is>
          <t>a</t>
        </is>
      </c>
      <c r="I668" s="2" t="n"/>
      <c r="K668" s="3" t="n"/>
      <c r="L668" s="3" t="n">
        <v>0.237</v>
      </c>
      <c r="M668" s="4" t="n"/>
      <c r="N668" t="inlineStr"/>
      <c r="O668" s="4" t="n"/>
      <c r="P668" s="4" t="n"/>
      <c r="Q668" s="4" t="n"/>
      <c r="R668" s="4" t="n"/>
      <c r="S668" s="4" t="n"/>
      <c r="T668" s="4" t="n"/>
      <c r="U668" s="4">
        <f>IF(T668="",IFERROR(VLOOKUP($C668,Assumptions!$A$4:$F$7,6,FALSE),0),T668)</f>
        <v/>
      </c>
      <c r="V668" s="4">
        <f>N(M668)*IFERROR(VLOOKUP($C668,Assumptions!$A$4:$F$7,2,FALSE),0)</f>
        <v/>
      </c>
      <c r="W668" s="4">
        <f>N(Q668)*IFERROR(VLOOKUP($C668,Assumptions!$A$4:$F$7,3,FALSE),0)*Assumptions!$B$11</f>
        <v/>
      </c>
      <c r="X668" s="4">
        <f>N(L668)*IFERROR(VLOOKUP($C668,Assumptions!$A$4:$F$7,4,FALSE),0)</f>
        <v/>
      </c>
      <c r="Y668" s="4">
        <f>N(R668)*IFERROR(VLOOKUP($C668,Assumptions!$A$4:$F$7,5,FALSE),0)</f>
        <v/>
      </c>
      <c r="Z668" s="4">
        <f>N(S668)</f>
        <v/>
      </c>
      <c r="AA668" s="4">
        <f>SUM(U668:Z668)</f>
        <v/>
      </c>
      <c r="AB668" s="4">
        <f>N(AA668)*N(K668)/90</f>
        <v/>
      </c>
      <c r="AC668" s="4">
        <f>IFERROR(AB668-VLOOKUP($C668,Assumptions!$A$29:$C$32,3,FALSE),"")</f>
        <v/>
      </c>
      <c r="AD668" s="4">
        <f>IFERROR(AC668/F668,"")</f>
        <v/>
      </c>
      <c r="AE668">
        <f>IF(AND($E668=TRUE,$C668="GKP"),AB668,"")</f>
        <v/>
      </c>
      <c r="AF668">
        <f>IF(AND($E668=TRUE,$C668="DEF"),AB668,"")</f>
        <v/>
      </c>
      <c r="AG668">
        <f>IF(AND($E668=TRUE,$C668="MID"),AB668,"")</f>
        <v/>
      </c>
      <c r="AH668">
        <f>IF(AND($E668=TRUE,$C668="FWD"),AB668,"")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b">
        <v>1</v>
      </c>
      <c r="F669" s="2" t="n">
        <v>5.5</v>
      </c>
      <c r="G669" t="inlineStr">
        <is>
          <t>a</t>
        </is>
      </c>
      <c r="I669" s="2" t="n"/>
      <c r="K669" s="3" t="n"/>
      <c r="L669" s="3" t="n"/>
      <c r="M669" s="4" t="n"/>
      <c r="N669" t="inlineStr"/>
      <c r="O669" s="4" t="n"/>
      <c r="P669" s="4" t="n"/>
      <c r="Q669" s="4" t="n"/>
      <c r="R669" s="4" t="n"/>
      <c r="S669" s="4" t="n"/>
      <c r="T669" s="4" t="n"/>
      <c r="U669" s="4">
        <f>IF(T669="",IFERROR(VLOOKUP($C669,Assumptions!$A$4:$F$7,6,FALSE),0),T669)</f>
        <v/>
      </c>
      <c r="V669" s="4">
        <f>N(M669)*IFERROR(VLOOKUP($C669,Assumptions!$A$4:$F$7,2,FALSE),0)</f>
        <v/>
      </c>
      <c r="W669" s="4">
        <f>N(Q669)*IFERROR(VLOOKUP($C669,Assumptions!$A$4:$F$7,3,FALSE),0)*Assumptions!$B$11</f>
        <v/>
      </c>
      <c r="X669" s="4">
        <f>N(L669)*IFERROR(VLOOKUP($C669,Assumptions!$A$4:$F$7,4,FALSE),0)</f>
        <v/>
      </c>
      <c r="Y669" s="4">
        <f>N(R669)*IFERROR(VLOOKUP($C669,Assumptions!$A$4:$F$7,5,FALSE),0)</f>
        <v/>
      </c>
      <c r="Z669" s="4">
        <f>N(S669)</f>
        <v/>
      </c>
      <c r="AA669" s="4">
        <f>SUM(U669:Z669)</f>
        <v/>
      </c>
      <c r="AB669" s="4">
        <f>N(AA669)*N(K669)/90</f>
        <v/>
      </c>
      <c r="AC669" s="4">
        <f>IFERROR(AB669-VLOOKUP($C669,Assumptions!$A$29:$C$32,3,FALSE),"")</f>
        <v/>
      </c>
      <c r="AD669" s="4">
        <f>IFERROR(AC669/F669,"")</f>
        <v/>
      </c>
      <c r="AE669">
        <f>IF(AND($E669=TRUE,$C669="GKP"),AB669,"")</f>
        <v/>
      </c>
      <c r="AF669">
        <f>IF(AND($E669=TRUE,$C669="DEF"),AB669,"")</f>
        <v/>
      </c>
      <c r="AG669">
        <f>IF(AND($E669=TRUE,$C669="MID"),AB669,"")</f>
        <v/>
      </c>
      <c r="AH669">
        <f>IF(AND($E669=TRUE,$C669="FWD"),AB669,"")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b">
        <v>1</v>
      </c>
      <c r="F670" s="2" t="n">
        <v>4.5</v>
      </c>
      <c r="G670" t="inlineStr">
        <is>
          <t>a</t>
        </is>
      </c>
      <c r="I670" s="2" t="n"/>
      <c r="K670" s="3" t="n"/>
      <c r="L670" s="3" t="n"/>
      <c r="M670" s="4" t="n"/>
      <c r="N670" t="inlineStr"/>
      <c r="O670" s="4" t="n"/>
      <c r="P670" s="4" t="n"/>
      <c r="Q670" s="4" t="n"/>
      <c r="R670" s="4" t="n">
        <v>0</v>
      </c>
      <c r="S670" s="4" t="n"/>
      <c r="T670" s="4" t="n"/>
      <c r="U670" s="4">
        <f>IF(T670="",IFERROR(VLOOKUP($C670,Assumptions!$A$4:$F$7,6,FALSE),0),T670)</f>
        <v/>
      </c>
      <c r="V670" s="4">
        <f>N(M670)*IFERROR(VLOOKUP($C670,Assumptions!$A$4:$F$7,2,FALSE),0)</f>
        <v/>
      </c>
      <c r="W670" s="4">
        <f>N(Q670)*IFERROR(VLOOKUP($C670,Assumptions!$A$4:$F$7,3,FALSE),0)*Assumptions!$B$11</f>
        <v/>
      </c>
      <c r="X670" s="4">
        <f>N(L670)*IFERROR(VLOOKUP($C670,Assumptions!$A$4:$F$7,4,FALSE),0)</f>
        <v/>
      </c>
      <c r="Y670" s="4">
        <f>N(R670)*IFERROR(VLOOKUP($C670,Assumptions!$A$4:$F$7,5,FALSE),0)</f>
        <v/>
      </c>
      <c r="Z670" s="4">
        <f>N(S670)</f>
        <v/>
      </c>
      <c r="AA670" s="4">
        <f>SUM(U670:Z670)</f>
        <v/>
      </c>
      <c r="AB670" s="4">
        <f>N(AA670)*N(K670)/90</f>
        <v/>
      </c>
      <c r="AC670" s="4">
        <f>IFERROR(AB670-VLOOKUP($C670,Assumptions!$A$29:$C$32,3,FALSE),"")</f>
        <v/>
      </c>
      <c r="AD670" s="4">
        <f>IFERROR(AC670/F670,"")</f>
        <v/>
      </c>
      <c r="AE670">
        <f>IF(AND($E670=TRUE,$C670="GKP"),AB670,"")</f>
        <v/>
      </c>
      <c r="AF670">
        <f>IF(AND($E670=TRUE,$C670="DEF"),AB670,"")</f>
        <v/>
      </c>
      <c r="AG670">
        <f>IF(AND($E670=TRUE,$C670="MID"),AB670,"")</f>
        <v/>
      </c>
      <c r="AH670">
        <f>IF(AND($E670=TRUE,$C670="FWD"),AB670,"")</f>
        <v/>
      </c>
    </row>
    <row r="671">
      <c r="A671" t="inlineStr">
        <is>
          <t>Lucas Pires</t>
        </is>
      </c>
      <c r="D671" t="inlineStr">
        <is>
          <t>DEF</t>
        </is>
      </c>
      <c r="E671" t="b">
        <v>0</v>
      </c>
      <c r="F671" s="2" t="n"/>
      <c r="I671" s="2" t="n">
        <v>1406</v>
      </c>
      <c r="K671" s="3" t="n">
        <v>1406</v>
      </c>
      <c r="L671" s="3" t="n"/>
      <c r="M671" s="4" t="n">
        <v>0.0371</v>
      </c>
      <c r="N671" t="inlineStr">
        <is>
          <t>adjusted xGOT</t>
        </is>
      </c>
      <c r="O671" s="4" t="n">
        <v>0.965</v>
      </c>
      <c r="P671" s="4" t="n">
        <v>0.6</v>
      </c>
      <c r="Q671" s="4" t="n">
        <v>0.0973</v>
      </c>
      <c r="R671" s="4" t="n">
        <v>0.067</v>
      </c>
      <c r="S671" s="4" t="n">
        <v>0</v>
      </c>
      <c r="T671" s="4" t="n">
        <v>2.176</v>
      </c>
      <c r="U671" s="4">
        <f>IF(T671="",IFERROR(VLOOKUP($C671,Assumptions!$A$4:$F$7,6,FALSE),0),T671)</f>
        <v/>
      </c>
      <c r="V671" s="4">
        <f>N(M671)*IFERROR(VLOOKUP($C671,Assumptions!$A$4:$F$7,2,FALSE),0)</f>
        <v/>
      </c>
      <c r="W671" s="4">
        <f>N(Q671)*IFERROR(VLOOKUP($C671,Assumptions!$A$4:$F$7,3,FALSE),0)*Assumptions!$B$11</f>
        <v/>
      </c>
      <c r="X671" s="4">
        <f>N(L671)*IFERROR(VLOOKUP($C671,Assumptions!$A$4:$F$7,4,FALSE),0)</f>
        <v/>
      </c>
      <c r="Y671" s="4">
        <f>N(R671)*IFERROR(VLOOKUP($C671,Assumptions!$A$4:$F$7,5,FALSE),0)</f>
        <v/>
      </c>
      <c r="Z671" s="4">
        <f>N(S671)</f>
        <v/>
      </c>
      <c r="AA671" s="4">
        <f>SUM(U671:Z671)</f>
        <v/>
      </c>
      <c r="AB671" s="4">
        <f>N(AA671)*N(K671)/90</f>
        <v/>
      </c>
      <c r="AC671" s="4">
        <f>IFERROR(AB671-VLOOKUP($C671,Assumptions!$A$29:$C$32,3,FALSE),"")</f>
        <v/>
      </c>
      <c r="AD671" s="4">
        <f>IFERROR(AC671/F671,"")</f>
        <v/>
      </c>
      <c r="AE671">
        <f>IF(AND($E671=TRUE,$C671="GKP"),AB671,"")</f>
        <v/>
      </c>
      <c r="AF671">
        <f>IF(AND($E671=TRUE,$C671="DEF"),AB671,"")</f>
        <v/>
      </c>
      <c r="AG671">
        <f>IF(AND($E671=TRUE,$C671="MID"),AB671,"")</f>
        <v/>
      </c>
      <c r="AH671">
        <f>IF(AND($E671=TRUE,$C671="FWD"),AB671,"")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b">
        <v>1</v>
      </c>
      <c r="F672" s="2" t="n">
        <v>4.5</v>
      </c>
      <c r="G672" t="inlineStr">
        <is>
          <t>u</t>
        </is>
      </c>
      <c r="H672" t="inlineStr">
        <is>
          <t>Has joined KVC Westerlo on loan for the rest of the season</t>
        </is>
      </c>
      <c r="I672" s="2" t="n"/>
      <c r="K672" s="3" t="n"/>
      <c r="L672" s="3" t="n"/>
      <c r="M672" s="4" t="n"/>
      <c r="N672" t="inlineStr"/>
      <c r="O672" s="4" t="n"/>
      <c r="P672" s="4" t="n"/>
      <c r="Q672" s="4" t="n"/>
      <c r="R672" s="4" t="n"/>
      <c r="S672" s="4" t="n"/>
      <c r="T672" s="4" t="n"/>
      <c r="U672" s="4">
        <f>IF(T672="",IFERROR(VLOOKUP($C672,Assumptions!$A$4:$F$7,6,FALSE),0),T672)</f>
        <v/>
      </c>
      <c r="V672" s="4">
        <f>N(M672)*IFERROR(VLOOKUP($C672,Assumptions!$A$4:$F$7,2,FALSE),0)</f>
        <v/>
      </c>
      <c r="W672" s="4">
        <f>N(Q672)*IFERROR(VLOOKUP($C672,Assumptions!$A$4:$F$7,3,FALSE),0)*Assumptions!$B$11</f>
        <v/>
      </c>
      <c r="X672" s="4">
        <f>N(L672)*IFERROR(VLOOKUP($C672,Assumptions!$A$4:$F$7,4,FALSE),0)</f>
        <v/>
      </c>
      <c r="Y672" s="4">
        <f>N(R672)*IFERROR(VLOOKUP($C672,Assumptions!$A$4:$F$7,5,FALSE),0)</f>
        <v/>
      </c>
      <c r="Z672" s="4">
        <f>N(S672)</f>
        <v/>
      </c>
      <c r="AA672" s="4">
        <f>SUM(U672:Z672)</f>
        <v/>
      </c>
      <c r="AB672" s="4">
        <f>N(AA672)*N(K672)/90</f>
        <v/>
      </c>
      <c r="AC672" s="4">
        <f>IFERROR(AB672-VLOOKUP($C672,Assumptions!$A$29:$C$32,3,FALSE),"")</f>
        <v/>
      </c>
      <c r="AD672" s="4">
        <f>IFERROR(AC672/F672,"")</f>
        <v/>
      </c>
      <c r="AE672">
        <f>IF(AND($E672=TRUE,$C672="GKP"),AB672,"")</f>
        <v/>
      </c>
      <c r="AF672">
        <f>IF(AND($E672=TRUE,$C672="DEF"),AB672,"")</f>
        <v/>
      </c>
      <c r="AG672">
        <f>IF(AND($E672=TRUE,$C672="MID"),AB672,"")</f>
        <v/>
      </c>
      <c r="AH672">
        <f>IF(AND($E672=TRUE,$C672="FWD"),AB672,"")</f>
        <v/>
      </c>
    </row>
    <row r="673">
      <c r="A673" t="inlineStr">
        <is>
          <t>Jaydon Banel</t>
        </is>
      </c>
      <c r="D673" t="inlineStr">
        <is>
          <t>MID</t>
        </is>
      </c>
      <c r="E673" t="b">
        <v>0</v>
      </c>
      <c r="F673" s="2" t="n"/>
      <c r="I673" s="2" t="n">
        <v>9</v>
      </c>
      <c r="K673" s="3" t="n">
        <v>9</v>
      </c>
      <c r="L673" s="3" t="n"/>
      <c r="M673" s="4" t="n">
        <v>0</v>
      </c>
      <c r="N673" t="inlineStr">
        <is>
          <t>blended xG</t>
        </is>
      </c>
      <c r="O673" s="4" t="n">
        <v>1</v>
      </c>
      <c r="P673" s="4" t="n">
        <v>0</v>
      </c>
      <c r="Q673" s="4" t="n">
        <v>0</v>
      </c>
      <c r="R673" s="4" t="n"/>
      <c r="S673" s="4" t="n">
        <v>0</v>
      </c>
      <c r="T673" s="4" t="n">
        <v>10</v>
      </c>
      <c r="U673" s="4">
        <f>IF(T673="",IFERROR(VLOOKUP($C673,Assumptions!$A$4:$F$7,6,FALSE),0),T673)</f>
        <v/>
      </c>
      <c r="V673" s="4">
        <f>N(M673)*IFERROR(VLOOKUP($C673,Assumptions!$A$4:$F$7,2,FALSE),0)</f>
        <v/>
      </c>
      <c r="W673" s="4">
        <f>N(Q673)*IFERROR(VLOOKUP($C673,Assumptions!$A$4:$F$7,3,FALSE),0)*Assumptions!$B$11</f>
        <v/>
      </c>
      <c r="X673" s="4">
        <f>N(L673)*IFERROR(VLOOKUP($C673,Assumptions!$A$4:$F$7,4,FALSE),0)</f>
        <v/>
      </c>
      <c r="Y673" s="4">
        <f>N(R673)*IFERROR(VLOOKUP($C673,Assumptions!$A$4:$F$7,5,FALSE),0)</f>
        <v/>
      </c>
      <c r="Z673" s="4">
        <f>N(S673)</f>
        <v/>
      </c>
      <c r="AA673" s="4">
        <f>SUM(U673:Z673)</f>
        <v/>
      </c>
      <c r="AB673" s="4">
        <f>N(AA673)*N(K673)/90</f>
        <v/>
      </c>
      <c r="AC673" s="4">
        <f>IFERROR(AB673-VLOOKUP($C673,Assumptions!$A$29:$C$32,3,FALSE),"")</f>
        <v/>
      </c>
      <c r="AD673" s="4">
        <f>IFERROR(AC673/F673,"")</f>
        <v/>
      </c>
      <c r="AE673">
        <f>IF(AND($E673=TRUE,$C673="GKP"),AB673,"")</f>
        <v/>
      </c>
      <c r="AF673">
        <f>IF(AND($E673=TRUE,$C673="DEF"),AB673,"")</f>
        <v/>
      </c>
      <c r="AG673">
        <f>IF(AND($E673=TRUE,$C673="MID"),AB673,"")</f>
        <v/>
      </c>
      <c r="AH673">
        <f>IF(AND($E673=TRUE,$C673="FWD"),AB673,"")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b">
        <v>1</v>
      </c>
      <c r="F674" s="2" t="n">
        <v>5</v>
      </c>
      <c r="G674" t="inlineStr">
        <is>
          <t>a</t>
        </is>
      </c>
      <c r="I674" s="2" t="n"/>
      <c r="K674" s="3" t="n"/>
      <c r="L674" s="3" t="n"/>
      <c r="M674" s="4" t="n"/>
      <c r="N674" t="inlineStr"/>
      <c r="O674" s="4" t="n"/>
      <c r="P674" s="4" t="n"/>
      <c r="Q674" s="4" t="n"/>
      <c r="R674" s="4" t="n"/>
      <c r="S674" s="4" t="n"/>
      <c r="T674" s="4" t="n"/>
      <c r="U674" s="4">
        <f>IF(T674="",IFERROR(VLOOKUP($C674,Assumptions!$A$4:$F$7,6,FALSE),0),T674)</f>
        <v/>
      </c>
      <c r="V674" s="4">
        <f>N(M674)*IFERROR(VLOOKUP($C674,Assumptions!$A$4:$F$7,2,FALSE),0)</f>
        <v/>
      </c>
      <c r="W674" s="4">
        <f>N(Q674)*IFERROR(VLOOKUP($C674,Assumptions!$A$4:$F$7,3,FALSE),0)*Assumptions!$B$11</f>
        <v/>
      </c>
      <c r="X674" s="4">
        <f>N(L674)*IFERROR(VLOOKUP($C674,Assumptions!$A$4:$F$7,4,FALSE),0)</f>
        <v/>
      </c>
      <c r="Y674" s="4">
        <f>N(R674)*IFERROR(VLOOKUP($C674,Assumptions!$A$4:$F$7,5,FALSE),0)</f>
        <v/>
      </c>
      <c r="Z674" s="4">
        <f>N(S674)</f>
        <v/>
      </c>
      <c r="AA674" s="4">
        <f>SUM(U674:Z674)</f>
        <v/>
      </c>
      <c r="AB674" s="4">
        <f>N(AA674)*N(K674)/90</f>
        <v/>
      </c>
      <c r="AC674" s="4">
        <f>IFERROR(AB674-VLOOKUP($C674,Assumptions!$A$29:$C$32,3,FALSE),"")</f>
        <v/>
      </c>
      <c r="AD674" s="4">
        <f>IFERROR(AC674/F674,"")</f>
        <v/>
      </c>
      <c r="AE674">
        <f>IF(AND($E674=TRUE,$C674="GKP"),AB674,"")</f>
        <v/>
      </c>
      <c r="AF674">
        <f>IF(AND($E674=TRUE,$C674="DEF"),AB674,"")</f>
        <v/>
      </c>
      <c r="AG674">
        <f>IF(AND($E674=TRUE,$C674="MID"),AB674,"")</f>
        <v/>
      </c>
      <c r="AH674">
        <f>IF(AND($E674=TRUE,$C674="FWD"),AB674,"")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b">
        <v>1</v>
      </c>
      <c r="F675" s="2" t="n">
        <v>6</v>
      </c>
      <c r="G675" t="inlineStr">
        <is>
          <t>a</t>
        </is>
      </c>
      <c r="I675" s="2" t="n"/>
      <c r="K675" s="3" t="n"/>
      <c r="L675" s="3" t="n">
        <v>0.237</v>
      </c>
      <c r="M675" s="4" t="n"/>
      <c r="N675" t="inlineStr"/>
      <c r="O675" s="4" t="n"/>
      <c r="P675" s="4" t="n"/>
      <c r="Q675" s="4" t="n"/>
      <c r="R675" s="4" t="n"/>
      <c r="S675" s="4" t="n"/>
      <c r="T675" s="4" t="n"/>
      <c r="U675" s="4">
        <f>IF(T675="",IFERROR(VLOOKUP($C675,Assumptions!$A$4:$F$7,6,FALSE),0),T675)</f>
        <v/>
      </c>
      <c r="V675" s="4">
        <f>N(M675)*IFERROR(VLOOKUP($C675,Assumptions!$A$4:$F$7,2,FALSE),0)</f>
        <v/>
      </c>
      <c r="W675" s="4">
        <f>N(Q675)*IFERROR(VLOOKUP($C675,Assumptions!$A$4:$F$7,3,FALSE),0)*Assumptions!$B$11</f>
        <v/>
      </c>
      <c r="X675" s="4">
        <f>N(L675)*IFERROR(VLOOKUP($C675,Assumptions!$A$4:$F$7,4,FALSE),0)</f>
        <v/>
      </c>
      <c r="Y675" s="4">
        <f>N(R675)*IFERROR(VLOOKUP($C675,Assumptions!$A$4:$F$7,5,FALSE),0)</f>
        <v/>
      </c>
      <c r="Z675" s="4">
        <f>N(S675)</f>
        <v/>
      </c>
      <c r="AA675" s="4">
        <f>SUM(U675:Z675)</f>
        <v/>
      </c>
      <c r="AB675" s="4">
        <f>N(AA675)*N(K675)/90</f>
        <v/>
      </c>
      <c r="AC675" s="4">
        <f>IFERROR(AB675-VLOOKUP($C675,Assumptions!$A$29:$C$32,3,FALSE),"")</f>
        <v/>
      </c>
      <c r="AD675" s="4">
        <f>IFERROR(AC675/F675,"")</f>
        <v/>
      </c>
      <c r="AE675">
        <f>IF(AND($E675=TRUE,$C675="GKP"),AB675,"")</f>
        <v/>
      </c>
      <c r="AF675">
        <f>IF(AND($E675=TRUE,$C675="DEF"),AB675,"")</f>
        <v/>
      </c>
      <c r="AG675">
        <f>IF(AND($E675=TRUE,$C675="MID"),AB675,"")</f>
        <v/>
      </c>
      <c r="AH675">
        <f>IF(AND($E675=TRUE,$C675="FWD"),AB675,"")</f>
        <v/>
      </c>
    </row>
    <row r="676">
      <c r="A676" t="inlineStr">
        <is>
          <t>Álex Jiménez</t>
        </is>
      </c>
      <c r="D676" t="inlineStr">
        <is>
          <t>DEF</t>
        </is>
      </c>
      <c r="E676" t="b">
        <v>0</v>
      </c>
      <c r="F676" s="2" t="n"/>
      <c r="I676" s="2" t="n">
        <v>2323</v>
      </c>
      <c r="K676" s="3" t="n">
        <v>2323</v>
      </c>
      <c r="L676" s="3" t="n"/>
      <c r="M676" s="4" t="n">
        <v>0.0423</v>
      </c>
      <c r="N676" t="inlineStr">
        <is>
          <t>adjusted xGOT</t>
        </is>
      </c>
      <c r="O676" s="4" t="n">
        <v>1.001</v>
      </c>
      <c r="P676" s="4" t="n">
        <v>1.1</v>
      </c>
      <c r="Q676" s="4" t="n">
        <v>0.066</v>
      </c>
      <c r="R676" s="4" t="n">
        <v>0.077</v>
      </c>
      <c r="S676" s="4" t="n">
        <v>0.1162</v>
      </c>
      <c r="T676" s="4" t="n">
        <v>2.17</v>
      </c>
      <c r="U676" s="4">
        <f>IF(T676="",IFERROR(VLOOKUP($C676,Assumptions!$A$4:$F$7,6,FALSE),0),T676)</f>
        <v/>
      </c>
      <c r="V676" s="4">
        <f>N(M676)*IFERROR(VLOOKUP($C676,Assumptions!$A$4:$F$7,2,FALSE),0)</f>
        <v/>
      </c>
      <c r="W676" s="4">
        <f>N(Q676)*IFERROR(VLOOKUP($C676,Assumptions!$A$4:$F$7,3,FALSE),0)*Assumptions!$B$11</f>
        <v/>
      </c>
      <c r="X676" s="4">
        <f>N(L676)*IFERROR(VLOOKUP($C676,Assumptions!$A$4:$F$7,4,FALSE),0)</f>
        <v/>
      </c>
      <c r="Y676" s="4">
        <f>N(R676)*IFERROR(VLOOKUP($C676,Assumptions!$A$4:$F$7,5,FALSE),0)</f>
        <v/>
      </c>
      <c r="Z676" s="4">
        <f>N(S676)</f>
        <v/>
      </c>
      <c r="AA676" s="4">
        <f>SUM(U676:Z676)</f>
        <v/>
      </c>
      <c r="AB676" s="4">
        <f>N(AA676)*N(K676)/90</f>
        <v/>
      </c>
      <c r="AC676" s="4">
        <f>IFERROR(AB676-VLOOKUP($C676,Assumptions!$A$29:$C$32,3,FALSE),"")</f>
        <v/>
      </c>
      <c r="AD676" s="4">
        <f>IFERROR(AC676/F676,"")</f>
        <v/>
      </c>
      <c r="AE676">
        <f>IF(AND($E676=TRUE,$C676="GKP"),AB676,"")</f>
        <v/>
      </c>
      <c r="AF676">
        <f>IF(AND($E676=TRUE,$C676="DEF"),AB676,"")</f>
        <v/>
      </c>
      <c r="AG676">
        <f>IF(AND($E676=TRUE,$C676="MID"),AB676,"")</f>
        <v/>
      </c>
      <c r="AH676">
        <f>IF(AND($E676=TRUE,$C676="FWD"),AB676,"")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b">
        <v>1</v>
      </c>
      <c r="F677" s="2" t="n">
        <v>6.5</v>
      </c>
      <c r="G677" t="inlineStr">
        <is>
          <t>a</t>
        </is>
      </c>
      <c r="I677" s="2" t="n"/>
      <c r="K677" s="3" t="n"/>
      <c r="L677" s="3" t="n">
        <v>0.263</v>
      </c>
      <c r="M677" s="4" t="n"/>
      <c r="N677" t="inlineStr"/>
      <c r="O677" s="4" t="n"/>
      <c r="P677" s="4" t="n"/>
      <c r="Q677" s="4" t="n"/>
      <c r="R677" s="4" t="n"/>
      <c r="S677" s="4" t="n"/>
      <c r="T677" s="4" t="n"/>
      <c r="U677" s="4">
        <f>IF(T677="",IFERROR(VLOOKUP($C677,Assumptions!$A$4:$F$7,6,FALSE),0),T677)</f>
        <v/>
      </c>
      <c r="V677" s="4">
        <f>N(M677)*IFERROR(VLOOKUP($C677,Assumptions!$A$4:$F$7,2,FALSE),0)</f>
        <v/>
      </c>
      <c r="W677" s="4">
        <f>N(Q677)*IFERROR(VLOOKUP($C677,Assumptions!$A$4:$F$7,3,FALSE),0)*Assumptions!$B$11</f>
        <v/>
      </c>
      <c r="X677" s="4">
        <f>N(L677)*IFERROR(VLOOKUP($C677,Assumptions!$A$4:$F$7,4,FALSE),0)</f>
        <v/>
      </c>
      <c r="Y677" s="4">
        <f>N(R677)*IFERROR(VLOOKUP($C677,Assumptions!$A$4:$F$7,5,FALSE),0)</f>
        <v/>
      </c>
      <c r="Z677" s="4">
        <f>N(S677)</f>
        <v/>
      </c>
      <c r="AA677" s="4">
        <f>SUM(U677:Z677)</f>
        <v/>
      </c>
      <c r="AB677" s="4">
        <f>N(AA677)*N(K677)/90</f>
        <v/>
      </c>
      <c r="AC677" s="4">
        <f>IFERROR(AB677-VLOOKUP($C677,Assumptions!$A$29:$C$32,3,FALSE),"")</f>
        <v/>
      </c>
      <c r="AD677" s="4">
        <f>IFERROR(AC677/F677,"")</f>
        <v/>
      </c>
      <c r="AE677">
        <f>IF(AND($E677=TRUE,$C677="GKP"),AB677,"")</f>
        <v/>
      </c>
      <c r="AF677">
        <f>IF(AND($E677=TRUE,$C677="DEF"),AB677,"")</f>
        <v/>
      </c>
      <c r="AG677">
        <f>IF(AND($E677=TRUE,$C677="MID"),AB677,"")</f>
        <v/>
      </c>
      <c r="AH677">
        <f>IF(AND($E677=TRUE,$C677="FWD"),AB677,"")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b">
        <v>1</v>
      </c>
      <c r="F678" s="2" t="n">
        <v>5</v>
      </c>
      <c r="G678" t="inlineStr">
        <is>
          <t>a</t>
        </is>
      </c>
      <c r="I678" s="2" t="n"/>
      <c r="K678" s="3" t="n"/>
      <c r="L678" s="3" t="n"/>
      <c r="M678" s="4" t="n"/>
      <c r="N678" t="inlineStr"/>
      <c r="O678" s="4" t="n"/>
      <c r="P678" s="4" t="n"/>
      <c r="Q678" s="4" t="n"/>
      <c r="R678" s="4" t="n"/>
      <c r="S678" s="4" t="n"/>
      <c r="T678" s="4" t="n"/>
      <c r="U678" s="4">
        <f>IF(T678="",IFERROR(VLOOKUP($C678,Assumptions!$A$4:$F$7,6,FALSE),0),T678)</f>
        <v/>
      </c>
      <c r="V678" s="4">
        <f>N(M678)*IFERROR(VLOOKUP($C678,Assumptions!$A$4:$F$7,2,FALSE),0)</f>
        <v/>
      </c>
      <c r="W678" s="4">
        <f>N(Q678)*IFERROR(VLOOKUP($C678,Assumptions!$A$4:$F$7,3,FALSE),0)*Assumptions!$B$11</f>
        <v/>
      </c>
      <c r="X678" s="4">
        <f>N(L678)*IFERROR(VLOOKUP($C678,Assumptions!$A$4:$F$7,4,FALSE),0)</f>
        <v/>
      </c>
      <c r="Y678" s="4">
        <f>N(R678)*IFERROR(VLOOKUP($C678,Assumptions!$A$4:$F$7,5,FALSE),0)</f>
        <v/>
      </c>
      <c r="Z678" s="4">
        <f>N(S678)</f>
        <v/>
      </c>
      <c r="AA678" s="4">
        <f>SUM(U678:Z678)</f>
        <v/>
      </c>
      <c r="AB678" s="4">
        <f>N(AA678)*N(K678)/90</f>
        <v/>
      </c>
      <c r="AC678" s="4">
        <f>IFERROR(AB678-VLOOKUP($C678,Assumptions!$A$29:$C$32,3,FALSE),"")</f>
        <v/>
      </c>
      <c r="AD678" s="4">
        <f>IFERROR(AC678/F678,"")</f>
        <v/>
      </c>
      <c r="AE678">
        <f>IF(AND($E678=TRUE,$C678="GKP"),AB678,"")</f>
        <v/>
      </c>
      <c r="AF678">
        <f>IF(AND($E678=TRUE,$C678="DEF"),AB678,"")</f>
        <v/>
      </c>
      <c r="AG678">
        <f>IF(AND($E678=TRUE,$C678="MID"),AB678,"")</f>
        <v/>
      </c>
      <c r="AH678">
        <f>IF(AND($E678=TRUE,$C678="FWD"),AB678,"")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b">
        <v>1</v>
      </c>
      <c r="F679" s="2" t="n">
        <v>4.5</v>
      </c>
      <c r="G679" t="inlineStr">
        <is>
          <t>i</t>
        </is>
      </c>
      <c r="H679" t="inlineStr">
        <is>
          <t>Thigh injury - Unknown return date</t>
        </is>
      </c>
      <c r="I679" s="2" t="n"/>
      <c r="K679" s="3" t="n"/>
      <c r="L679" s="3" t="n"/>
      <c r="M679" s="4" t="n"/>
      <c r="N679" t="inlineStr"/>
      <c r="O679" s="4" t="n"/>
      <c r="P679" s="4" t="n"/>
      <c r="Q679" s="4" t="n"/>
      <c r="R679" s="4" t="n"/>
      <c r="S679" s="4" t="n"/>
      <c r="T679" s="4" t="n"/>
      <c r="U679" s="4">
        <f>IF(T679="",IFERROR(VLOOKUP($C679,Assumptions!$A$4:$F$7,6,FALSE),0),T679)</f>
        <v/>
      </c>
      <c r="V679" s="4">
        <f>N(M679)*IFERROR(VLOOKUP($C679,Assumptions!$A$4:$F$7,2,FALSE),0)</f>
        <v/>
      </c>
      <c r="W679" s="4">
        <f>N(Q679)*IFERROR(VLOOKUP($C679,Assumptions!$A$4:$F$7,3,FALSE),0)*Assumptions!$B$11</f>
        <v/>
      </c>
      <c r="X679" s="4">
        <f>N(L679)*IFERROR(VLOOKUP($C679,Assumptions!$A$4:$F$7,4,FALSE),0)</f>
        <v/>
      </c>
      <c r="Y679" s="4">
        <f>N(R679)*IFERROR(VLOOKUP($C679,Assumptions!$A$4:$F$7,5,FALSE),0)</f>
        <v/>
      </c>
      <c r="Z679" s="4">
        <f>N(S679)</f>
        <v/>
      </c>
      <c r="AA679" s="4">
        <f>SUM(U679:Z679)</f>
        <v/>
      </c>
      <c r="AB679" s="4">
        <f>N(AA679)*N(K679)/90</f>
        <v/>
      </c>
      <c r="AC679" s="4">
        <f>IFERROR(AB679-VLOOKUP($C679,Assumptions!$A$29:$C$32,3,FALSE),"")</f>
        <v/>
      </c>
      <c r="AD679" s="4">
        <f>IFERROR(AC679/F679,"")</f>
        <v/>
      </c>
      <c r="AE679">
        <f>IF(AND($E679=TRUE,$C679="GKP"),AB679,"")</f>
        <v/>
      </c>
      <c r="AF679">
        <f>IF(AND($E679=TRUE,$C679="DEF"),AB679,"")</f>
        <v/>
      </c>
      <c r="AG679">
        <f>IF(AND($E679=TRUE,$C679="MID"),AB679,"")</f>
        <v/>
      </c>
      <c r="AH679">
        <f>IF(AND($E679=TRUE,$C679="FWD"),AB679,"")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b">
        <v>1</v>
      </c>
      <c r="F680" s="2" t="n">
        <v>4.5</v>
      </c>
      <c r="G680" t="inlineStr">
        <is>
          <t>a</t>
        </is>
      </c>
      <c r="I680" s="2" t="n"/>
      <c r="K680" s="3" t="n"/>
      <c r="L680" s="3" t="n">
        <v>0.21</v>
      </c>
      <c r="M680" s="4" t="n"/>
      <c r="N680" t="inlineStr"/>
      <c r="O680" s="4" t="n"/>
      <c r="P680" s="4" t="n"/>
      <c r="Q680" s="4" t="n"/>
      <c r="R680" s="4" t="n">
        <v>0</v>
      </c>
      <c r="S680" s="4" t="n"/>
      <c r="T680" s="4" t="n"/>
      <c r="U680" s="4">
        <f>IF(T680="",IFERROR(VLOOKUP($C680,Assumptions!$A$4:$F$7,6,FALSE),0),T680)</f>
        <v/>
      </c>
      <c r="V680" s="4">
        <f>N(M680)*IFERROR(VLOOKUP($C680,Assumptions!$A$4:$F$7,2,FALSE),0)</f>
        <v/>
      </c>
      <c r="W680" s="4">
        <f>N(Q680)*IFERROR(VLOOKUP($C680,Assumptions!$A$4:$F$7,3,FALSE),0)*Assumptions!$B$11</f>
        <v/>
      </c>
      <c r="X680" s="4">
        <f>N(L680)*IFERROR(VLOOKUP($C680,Assumptions!$A$4:$F$7,4,FALSE),0)</f>
        <v/>
      </c>
      <c r="Y680" s="4">
        <f>N(R680)*IFERROR(VLOOKUP($C680,Assumptions!$A$4:$F$7,5,FALSE),0)</f>
        <v/>
      </c>
      <c r="Z680" s="4">
        <f>N(S680)</f>
        <v/>
      </c>
      <c r="AA680" s="4">
        <f>SUM(U680:Z680)</f>
        <v/>
      </c>
      <c r="AB680" s="4">
        <f>N(AA680)*N(K680)/90</f>
        <v/>
      </c>
      <c r="AC680" s="4">
        <f>IFERROR(AB680-VLOOKUP($C680,Assumptions!$A$29:$C$32,3,FALSE),"")</f>
        <v/>
      </c>
      <c r="AD680" s="4">
        <f>IFERROR(AC680/F680,"")</f>
        <v/>
      </c>
      <c r="AE680">
        <f>IF(AND($E680=TRUE,$C680="GKP"),AB680,"")</f>
        <v/>
      </c>
      <c r="AF680">
        <f>IF(AND($E680=TRUE,$C680="DEF"),AB680,"")</f>
        <v/>
      </c>
      <c r="AG680">
        <f>IF(AND($E680=TRUE,$C680="MID"),AB680,"")</f>
        <v/>
      </c>
      <c r="AH680">
        <f>IF(AND($E680=TRUE,$C680="FWD"),AB680,"")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b">
        <v>1</v>
      </c>
      <c r="F681" s="2" t="n">
        <v>4.5</v>
      </c>
      <c r="G681" t="inlineStr">
        <is>
          <t>a</t>
        </is>
      </c>
      <c r="I681" s="2" t="n"/>
      <c r="K681" s="3" t="n"/>
      <c r="L681" s="3" t="n"/>
      <c r="M681" s="4" t="n"/>
      <c r="N681" t="inlineStr"/>
      <c r="O681" s="4" t="n"/>
      <c r="P681" s="4" t="n"/>
      <c r="Q681" s="4" t="n"/>
      <c r="R681" s="4" t="n"/>
      <c r="S681" s="4" t="n"/>
      <c r="T681" s="4" t="n"/>
      <c r="U681" s="4">
        <f>IF(T681="",IFERROR(VLOOKUP($C681,Assumptions!$A$4:$F$7,6,FALSE),0),T681)</f>
        <v/>
      </c>
      <c r="V681" s="4">
        <f>N(M681)*IFERROR(VLOOKUP($C681,Assumptions!$A$4:$F$7,2,FALSE),0)</f>
        <v/>
      </c>
      <c r="W681" s="4">
        <f>N(Q681)*IFERROR(VLOOKUP($C681,Assumptions!$A$4:$F$7,3,FALSE),0)*Assumptions!$B$11</f>
        <v/>
      </c>
      <c r="X681" s="4">
        <f>N(L681)*IFERROR(VLOOKUP($C681,Assumptions!$A$4:$F$7,4,FALSE),0)</f>
        <v/>
      </c>
      <c r="Y681" s="4">
        <f>N(R681)*IFERROR(VLOOKUP($C681,Assumptions!$A$4:$F$7,5,FALSE),0)</f>
        <v/>
      </c>
      <c r="Z681" s="4">
        <f>N(S681)</f>
        <v/>
      </c>
      <c r="AA681" s="4">
        <f>SUM(U681:Z681)</f>
        <v/>
      </c>
      <c r="AB681" s="4">
        <f>N(AA681)*N(K681)/90</f>
        <v/>
      </c>
      <c r="AC681" s="4">
        <f>IFERROR(AB681-VLOOKUP($C681,Assumptions!$A$29:$C$32,3,FALSE),"")</f>
        <v/>
      </c>
      <c r="AD681" s="4">
        <f>IFERROR(AC681/F681,"")</f>
        <v/>
      </c>
      <c r="AE681">
        <f>IF(AND($E681=TRUE,$C681="GKP"),AB681,"")</f>
        <v/>
      </c>
      <c r="AF681">
        <f>IF(AND($E681=TRUE,$C681="DEF"),AB681,"")</f>
        <v/>
      </c>
      <c r="AG681">
        <f>IF(AND($E681=TRUE,$C681="MID"),AB681,"")</f>
        <v/>
      </c>
      <c r="AH681">
        <f>IF(AND($E681=TRUE,$C681="FWD"),AB681,"")</f>
        <v/>
      </c>
    </row>
    <row r="682">
      <c r="A682" t="inlineStr">
        <is>
          <t>Jamaldeen Jimoh-Aloba</t>
        </is>
      </c>
      <c r="D682" t="inlineStr">
        <is>
          <t>MID</t>
        </is>
      </c>
      <c r="E682" t="b">
        <v>0</v>
      </c>
      <c r="F682" s="2" t="n"/>
      <c r="I682" s="2" t="n">
        <v>8</v>
      </c>
      <c r="K682" s="3" t="n">
        <v>8</v>
      </c>
      <c r="L682" s="3" t="n"/>
      <c r="M682" s="4" t="n"/>
      <c r="N682" t="inlineStr"/>
      <c r="O682" s="4" t="n">
        <v>1</v>
      </c>
      <c r="P682" s="4" t="n">
        <v>0</v>
      </c>
      <c r="Q682" s="4" t="n"/>
      <c r="R682" s="4" t="n"/>
      <c r="S682" s="4" t="n">
        <v>0</v>
      </c>
      <c r="T682" s="4" t="n">
        <v>11.25</v>
      </c>
      <c r="U682" s="4">
        <f>IF(T682="",IFERROR(VLOOKUP($C682,Assumptions!$A$4:$F$7,6,FALSE),0),T682)</f>
        <v/>
      </c>
      <c r="V682" s="4">
        <f>N(M682)*IFERROR(VLOOKUP($C682,Assumptions!$A$4:$F$7,2,FALSE),0)</f>
        <v/>
      </c>
      <c r="W682" s="4">
        <f>N(Q682)*IFERROR(VLOOKUP($C682,Assumptions!$A$4:$F$7,3,FALSE),0)*Assumptions!$B$11</f>
        <v/>
      </c>
      <c r="X682" s="4">
        <f>N(L682)*IFERROR(VLOOKUP($C682,Assumptions!$A$4:$F$7,4,FALSE),0)</f>
        <v/>
      </c>
      <c r="Y682" s="4">
        <f>N(R682)*IFERROR(VLOOKUP($C682,Assumptions!$A$4:$F$7,5,FALSE),0)</f>
        <v/>
      </c>
      <c r="Z682" s="4">
        <f>N(S682)</f>
        <v/>
      </c>
      <c r="AA682" s="4">
        <f>SUM(U682:Z682)</f>
        <v/>
      </c>
      <c r="AB682" s="4">
        <f>N(AA682)*N(K682)/90</f>
        <v/>
      </c>
      <c r="AC682" s="4">
        <f>IFERROR(AB682-VLOOKUP($C682,Assumptions!$A$29:$C$32,3,FALSE),"")</f>
        <v/>
      </c>
      <c r="AD682" s="4">
        <f>IFERROR(AC682/F682,"")</f>
        <v/>
      </c>
      <c r="AE682">
        <f>IF(AND($E682=TRUE,$C682="GKP"),AB682,"")</f>
        <v/>
      </c>
      <c r="AF682">
        <f>IF(AND($E682=TRUE,$C682="DEF"),AB682,"")</f>
        <v/>
      </c>
      <c r="AG682">
        <f>IF(AND($E682=TRUE,$C682="MID"),AB682,"")</f>
        <v/>
      </c>
      <c r="AH682">
        <f>IF(AND($E682=TRUE,$C682="FWD"),AB682,"")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b">
        <v>1</v>
      </c>
      <c r="F683" s="2" t="n">
        <v>6</v>
      </c>
      <c r="G683" t="inlineStr">
        <is>
          <t>a</t>
        </is>
      </c>
      <c r="I683" s="2" t="n"/>
      <c r="K683" s="3" t="n"/>
      <c r="L683" s="3" t="n">
        <v>0.29</v>
      </c>
      <c r="M683" s="4" t="n"/>
      <c r="N683" t="inlineStr"/>
      <c r="O683" s="4" t="n"/>
      <c r="P683" s="4" t="n"/>
      <c r="Q683" s="4" t="n"/>
      <c r="R683" s="4" t="n"/>
      <c r="S683" s="4" t="n"/>
      <c r="T683" s="4" t="n"/>
      <c r="U683" s="4">
        <f>IF(T683="",IFERROR(VLOOKUP($C683,Assumptions!$A$4:$F$7,6,FALSE),0),T683)</f>
        <v/>
      </c>
      <c r="V683" s="4">
        <f>N(M683)*IFERROR(VLOOKUP($C683,Assumptions!$A$4:$F$7,2,FALSE),0)</f>
        <v/>
      </c>
      <c r="W683" s="4">
        <f>N(Q683)*IFERROR(VLOOKUP($C683,Assumptions!$A$4:$F$7,3,FALSE),0)*Assumptions!$B$11</f>
        <v/>
      </c>
      <c r="X683" s="4">
        <f>N(L683)*IFERROR(VLOOKUP($C683,Assumptions!$A$4:$F$7,4,FALSE),0)</f>
        <v/>
      </c>
      <c r="Y683" s="4">
        <f>N(R683)*IFERROR(VLOOKUP($C683,Assumptions!$A$4:$F$7,5,FALSE),0)</f>
        <v/>
      </c>
      <c r="Z683" s="4">
        <f>N(S683)</f>
        <v/>
      </c>
      <c r="AA683" s="4">
        <f>SUM(U683:Z683)</f>
        <v/>
      </c>
      <c r="AB683" s="4">
        <f>N(AA683)*N(K683)/90</f>
        <v/>
      </c>
      <c r="AC683" s="4">
        <f>IFERROR(AB683-VLOOKUP($C683,Assumptions!$A$29:$C$32,3,FALSE),"")</f>
        <v/>
      </c>
      <c r="AD683" s="4">
        <f>IFERROR(AC683/F683,"")</f>
        <v/>
      </c>
      <c r="AE683">
        <f>IF(AND($E683=TRUE,$C683="GKP"),AB683,"")</f>
        <v/>
      </c>
      <c r="AF683">
        <f>IF(AND($E683=TRUE,$C683="DEF"),AB683,"")</f>
        <v/>
      </c>
      <c r="AG683">
        <f>IF(AND($E683=TRUE,$C683="MID"),AB683,"")</f>
        <v/>
      </c>
      <c r="AH683">
        <f>IF(AND($E683=TRUE,$C683="FWD"),AB683,"")</f>
        <v/>
      </c>
    </row>
    <row r="684">
      <c r="A684" t="inlineStr">
        <is>
          <t>Eliezer Mayenda</t>
        </is>
      </c>
      <c r="D684" t="inlineStr">
        <is>
          <t>FWD</t>
        </is>
      </c>
      <c r="E684" t="b">
        <v>0</v>
      </c>
      <c r="F684" s="2" t="n"/>
      <c r="I684" s="2" t="n">
        <v>756</v>
      </c>
      <c r="K684" s="3" t="n">
        <v>756</v>
      </c>
      <c r="L684" s="3" t="n"/>
      <c r="M684" s="4" t="n">
        <v>0.2954</v>
      </c>
      <c r="N684" t="inlineStr">
        <is>
          <t>adjusted xGOT</t>
        </is>
      </c>
      <c r="O684" s="4" t="n">
        <v>1.165</v>
      </c>
      <c r="P684" s="4" t="n">
        <v>2.1</v>
      </c>
      <c r="Q684" s="4" t="n">
        <v>0.08840000000000001</v>
      </c>
      <c r="R684" s="4" t="n">
        <v>0</v>
      </c>
      <c r="S684" s="4" t="n">
        <v>0.5952</v>
      </c>
      <c r="T684" s="4" t="n">
        <v>3.214</v>
      </c>
      <c r="U684" s="4">
        <f>IF(T684="",IFERROR(VLOOKUP($C684,Assumptions!$A$4:$F$7,6,FALSE),0),T684)</f>
        <v/>
      </c>
      <c r="V684" s="4">
        <f>N(M684)*IFERROR(VLOOKUP($C684,Assumptions!$A$4:$F$7,2,FALSE),0)</f>
        <v/>
      </c>
      <c r="W684" s="4">
        <f>N(Q684)*IFERROR(VLOOKUP($C684,Assumptions!$A$4:$F$7,3,FALSE),0)*Assumptions!$B$11</f>
        <v/>
      </c>
      <c r="X684" s="4">
        <f>N(L684)*IFERROR(VLOOKUP($C684,Assumptions!$A$4:$F$7,4,FALSE),0)</f>
        <v/>
      </c>
      <c r="Y684" s="4">
        <f>N(R684)*IFERROR(VLOOKUP($C684,Assumptions!$A$4:$F$7,5,FALSE),0)</f>
        <v/>
      </c>
      <c r="Z684" s="4">
        <f>N(S684)</f>
        <v/>
      </c>
      <c r="AA684" s="4">
        <f>SUM(U684:Z684)</f>
        <v/>
      </c>
      <c r="AB684" s="4">
        <f>N(AA684)*N(K684)/90</f>
        <v/>
      </c>
      <c r="AC684" s="4">
        <f>IFERROR(AB684-VLOOKUP($C684,Assumptions!$A$29:$C$32,3,FALSE),"")</f>
        <v/>
      </c>
      <c r="AD684" s="4">
        <f>IFERROR(AC684/F684,"")</f>
        <v/>
      </c>
      <c r="AE684">
        <f>IF(AND($E684=TRUE,$C684="GKP"),AB684,"")</f>
        <v/>
      </c>
      <c r="AF684">
        <f>IF(AND($E684=TRUE,$C684="DEF"),AB684,"")</f>
        <v/>
      </c>
      <c r="AG684">
        <f>IF(AND($E684=TRUE,$C684="MID"),AB684,"")</f>
        <v/>
      </c>
      <c r="AH684">
        <f>IF(AND($E684=TRUE,$C684="FWD"),AB684,"")</f>
        <v/>
      </c>
    </row>
    <row r="685">
      <c r="A685" t="inlineStr">
        <is>
          <t>Soungoutou Magassa</t>
        </is>
      </c>
      <c r="D685" t="inlineStr">
        <is>
          <t>MID</t>
        </is>
      </c>
      <c r="E685" t="b">
        <v>0</v>
      </c>
      <c r="F685" s="2" t="n"/>
      <c r="I685" s="2" t="n">
        <v>979</v>
      </c>
      <c r="K685" s="3" t="n">
        <v>979</v>
      </c>
      <c r="L685" s="3" t="n"/>
      <c r="M685" s="4" t="n">
        <v>0.0431</v>
      </c>
      <c r="N685" t="inlineStr">
        <is>
          <t>adjusted xGOT</t>
        </is>
      </c>
      <c r="O685" s="4" t="n">
        <v>1.066</v>
      </c>
      <c r="P685" s="4" t="n">
        <v>0.4</v>
      </c>
      <c r="Q685" s="4" t="n">
        <v>0.06859999999999999</v>
      </c>
      <c r="R685" s="4" t="n">
        <v>0.364</v>
      </c>
      <c r="S685" s="4" t="n">
        <v>0.1839</v>
      </c>
      <c r="T685" s="4" t="n">
        <v>2.85</v>
      </c>
      <c r="U685" s="4">
        <f>IF(T685="",IFERROR(VLOOKUP($C685,Assumptions!$A$4:$F$7,6,FALSE),0),T685)</f>
        <v/>
      </c>
      <c r="V685" s="4">
        <f>N(M685)*IFERROR(VLOOKUP($C685,Assumptions!$A$4:$F$7,2,FALSE),0)</f>
        <v/>
      </c>
      <c r="W685" s="4">
        <f>N(Q685)*IFERROR(VLOOKUP($C685,Assumptions!$A$4:$F$7,3,FALSE),0)*Assumptions!$B$11</f>
        <v/>
      </c>
      <c r="X685" s="4">
        <f>N(L685)*IFERROR(VLOOKUP($C685,Assumptions!$A$4:$F$7,4,FALSE),0)</f>
        <v/>
      </c>
      <c r="Y685" s="4">
        <f>N(R685)*IFERROR(VLOOKUP($C685,Assumptions!$A$4:$F$7,5,FALSE),0)</f>
        <v/>
      </c>
      <c r="Z685" s="4">
        <f>N(S685)</f>
        <v/>
      </c>
      <c r="AA685" s="4">
        <f>SUM(U685:Z685)</f>
        <v/>
      </c>
      <c r="AB685" s="4">
        <f>N(AA685)*N(K685)/90</f>
        <v/>
      </c>
      <c r="AC685" s="4">
        <f>IFERROR(AB685-VLOOKUP($C685,Assumptions!$A$29:$C$32,3,FALSE),"")</f>
        <v/>
      </c>
      <c r="AD685" s="4">
        <f>IFERROR(AC685/F685,"")</f>
        <v/>
      </c>
      <c r="AE685">
        <f>IF(AND($E685=TRUE,$C685="GKP"),AB685,"")</f>
        <v/>
      </c>
      <c r="AF685">
        <f>IF(AND($E685=TRUE,$C685="DEF"),AB685,"")</f>
        <v/>
      </c>
      <c r="AG685">
        <f>IF(AND($E685=TRUE,$C685="MID"),AB685,"")</f>
        <v/>
      </c>
      <c r="AH685">
        <f>IF(AND($E685=TRUE,$C685="FWD"),AB685,"")</f>
        <v/>
      </c>
    </row>
    <row r="686">
      <c r="A686" t="inlineStr">
        <is>
          <t>Callum Marshall</t>
        </is>
      </c>
      <c r="D686" t="inlineStr">
        <is>
          <t>FWD</t>
        </is>
      </c>
      <c r="E686" t="b">
        <v>0</v>
      </c>
      <c r="F686" s="2" t="n"/>
      <c r="I686" s="2" t="n">
        <v>58</v>
      </c>
      <c r="K686" s="3" t="n">
        <v>58</v>
      </c>
      <c r="L686" s="3" t="n"/>
      <c r="M686" s="4" t="n">
        <v>0.1986</v>
      </c>
      <c r="N686" t="inlineStr">
        <is>
          <t>adjusted xGOT</t>
        </is>
      </c>
      <c r="O686" s="4" t="n">
        <v>0.984</v>
      </c>
      <c r="P686" s="4" t="n">
        <v>0.1</v>
      </c>
      <c r="Q686" s="4" t="n">
        <v>0</v>
      </c>
      <c r="R686" s="4" t="n"/>
      <c r="S686" s="4" t="n">
        <v>0</v>
      </c>
      <c r="T686" s="4" t="n">
        <v>3.103</v>
      </c>
      <c r="U686" s="4">
        <f>IF(T686="",IFERROR(VLOOKUP($C686,Assumptions!$A$4:$F$7,6,FALSE),0),T686)</f>
        <v/>
      </c>
      <c r="V686" s="4">
        <f>N(M686)*IFERROR(VLOOKUP($C686,Assumptions!$A$4:$F$7,2,FALSE),0)</f>
        <v/>
      </c>
      <c r="W686" s="4">
        <f>N(Q686)*IFERROR(VLOOKUP($C686,Assumptions!$A$4:$F$7,3,FALSE),0)*Assumptions!$B$11</f>
        <v/>
      </c>
      <c r="X686" s="4">
        <f>N(L686)*IFERROR(VLOOKUP($C686,Assumptions!$A$4:$F$7,4,FALSE),0)</f>
        <v/>
      </c>
      <c r="Y686" s="4">
        <f>N(R686)*IFERROR(VLOOKUP($C686,Assumptions!$A$4:$F$7,5,FALSE),0)</f>
        <v/>
      </c>
      <c r="Z686" s="4">
        <f>N(S686)</f>
        <v/>
      </c>
      <c r="AA686" s="4">
        <f>SUM(U686:Z686)</f>
        <v/>
      </c>
      <c r="AB686" s="4">
        <f>N(AA686)*N(K686)/90</f>
        <v/>
      </c>
      <c r="AC686" s="4">
        <f>IFERROR(AB686-VLOOKUP($C686,Assumptions!$A$29:$C$32,3,FALSE),"")</f>
        <v/>
      </c>
      <c r="AD686" s="4">
        <f>IFERROR(AC686/F686,"")</f>
        <v/>
      </c>
      <c r="AE686">
        <f>IF(AND($E686=TRUE,$C686="GKP"),AB686,"")</f>
        <v/>
      </c>
      <c r="AF686">
        <f>IF(AND($E686=TRUE,$C686="DEF"),AB686,"")</f>
        <v/>
      </c>
      <c r="AG686">
        <f>IF(AND($E686=TRUE,$C686="MID"),AB686,"")</f>
        <v/>
      </c>
      <c r="AH686">
        <f>IF(AND($E686=TRUE,$C686="FWD"),AB686,"")</f>
        <v/>
      </c>
    </row>
    <row r="687">
      <c r="A687" t="inlineStr">
        <is>
          <t>Joe Knight</t>
        </is>
      </c>
      <c r="D687" t="inlineStr">
        <is>
          <t>MID</t>
        </is>
      </c>
      <c r="E687" t="b">
        <v>0</v>
      </c>
      <c r="F687" s="2" t="n"/>
      <c r="I687" s="2" t="n">
        <v>1</v>
      </c>
      <c r="K687" s="3" t="n">
        <v>1</v>
      </c>
      <c r="L687" s="3" t="n"/>
      <c r="M687" s="4" t="n">
        <v>0</v>
      </c>
      <c r="N687" t="inlineStr">
        <is>
          <t>blended xG</t>
        </is>
      </c>
      <c r="O687" s="4" t="n">
        <v>1</v>
      </c>
      <c r="P687" s="4" t="n">
        <v>0</v>
      </c>
      <c r="Q687" s="4" t="n">
        <v>0</v>
      </c>
      <c r="R687" s="4" t="n"/>
      <c r="S687" s="4" t="n">
        <v>0</v>
      </c>
      <c r="T687" s="4" t="n">
        <v>90</v>
      </c>
      <c r="U687" s="4">
        <f>IF(T687="",IFERROR(VLOOKUP($C687,Assumptions!$A$4:$F$7,6,FALSE),0),T687)</f>
        <v/>
      </c>
      <c r="V687" s="4">
        <f>N(M687)*IFERROR(VLOOKUP($C687,Assumptions!$A$4:$F$7,2,FALSE),0)</f>
        <v/>
      </c>
      <c r="W687" s="4">
        <f>N(Q687)*IFERROR(VLOOKUP($C687,Assumptions!$A$4:$F$7,3,FALSE),0)*Assumptions!$B$11</f>
        <v/>
      </c>
      <c r="X687" s="4">
        <f>N(L687)*IFERROR(VLOOKUP($C687,Assumptions!$A$4:$F$7,4,FALSE),0)</f>
        <v/>
      </c>
      <c r="Y687" s="4">
        <f>N(R687)*IFERROR(VLOOKUP($C687,Assumptions!$A$4:$F$7,5,FALSE),0)</f>
        <v/>
      </c>
      <c r="Z687" s="4">
        <f>N(S687)</f>
        <v/>
      </c>
      <c r="AA687" s="4">
        <f>SUM(U687:Z687)</f>
        <v/>
      </c>
      <c r="AB687" s="4">
        <f>N(AA687)*N(K687)/90</f>
        <v/>
      </c>
      <c r="AC687" s="4">
        <f>IFERROR(AB687-VLOOKUP($C687,Assumptions!$A$29:$C$32,3,FALSE),"")</f>
        <v/>
      </c>
      <c r="AD687" s="4">
        <f>IFERROR(AC687/F687,"")</f>
        <v/>
      </c>
      <c r="AE687">
        <f>IF(AND($E687=TRUE,$C687="GKP"),AB687,"")</f>
        <v/>
      </c>
      <c r="AF687">
        <f>IF(AND($E687=TRUE,$C687="DEF"),AB687,"")</f>
        <v/>
      </c>
      <c r="AG687">
        <f>IF(AND($E687=TRUE,$C687="MID"),AB687,"")</f>
        <v/>
      </c>
      <c r="AH687">
        <f>IF(AND($E687=TRUE,$C687="FWD"),AB687,"")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b">
        <v>1</v>
      </c>
      <c r="F688" s="2" t="n">
        <v>5.5</v>
      </c>
      <c r="G688" t="inlineStr">
        <is>
          <t>a</t>
        </is>
      </c>
      <c r="I688" s="2" t="n"/>
      <c r="K688" s="3" t="n"/>
      <c r="L688" s="3" t="n">
        <v>0.237</v>
      </c>
      <c r="M688" s="4" t="n"/>
      <c r="N688" t="inlineStr"/>
      <c r="O688" s="4" t="n"/>
      <c r="P688" s="4" t="n"/>
      <c r="Q688" s="4" t="n"/>
      <c r="R688" s="4" t="n"/>
      <c r="S688" s="4" t="n"/>
      <c r="T688" s="4" t="n"/>
      <c r="U688" s="4">
        <f>IF(T688="",IFERROR(VLOOKUP($C688,Assumptions!$A$4:$F$7,6,FALSE),0),T688)</f>
        <v/>
      </c>
      <c r="V688" s="4">
        <f>N(M688)*IFERROR(VLOOKUP($C688,Assumptions!$A$4:$F$7,2,FALSE),0)</f>
        <v/>
      </c>
      <c r="W688" s="4">
        <f>N(Q688)*IFERROR(VLOOKUP($C688,Assumptions!$A$4:$F$7,3,FALSE),0)*Assumptions!$B$11</f>
        <v/>
      </c>
      <c r="X688" s="4">
        <f>N(L688)*IFERROR(VLOOKUP($C688,Assumptions!$A$4:$F$7,4,FALSE),0)</f>
        <v/>
      </c>
      <c r="Y688" s="4">
        <f>N(R688)*IFERROR(VLOOKUP($C688,Assumptions!$A$4:$F$7,5,FALSE),0)</f>
        <v/>
      </c>
      <c r="Z688" s="4">
        <f>N(S688)</f>
        <v/>
      </c>
      <c r="AA688" s="4">
        <f>SUM(U688:Z688)</f>
        <v/>
      </c>
      <c r="AB688" s="4">
        <f>N(AA688)*N(K688)/90</f>
        <v/>
      </c>
      <c r="AC688" s="4">
        <f>IFERROR(AB688-VLOOKUP($C688,Assumptions!$A$29:$C$32,3,FALSE),"")</f>
        <v/>
      </c>
      <c r="AD688" s="4">
        <f>IFERROR(AC688/F688,"")</f>
        <v/>
      </c>
      <c r="AE688">
        <f>IF(AND($E688=TRUE,$C688="GKP"),AB688,"")</f>
        <v/>
      </c>
      <c r="AF688">
        <f>IF(AND($E688=TRUE,$C688="DEF"),AB688,"")</f>
        <v/>
      </c>
      <c r="AG688">
        <f>IF(AND($E688=TRUE,$C688="MID"),AB688,"")</f>
        <v/>
      </c>
      <c r="AH688">
        <f>IF(AND($E688=TRUE,$C688="FWD"),AB688,"")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b">
        <v>1</v>
      </c>
      <c r="F689" s="2" t="n">
        <v>5.5</v>
      </c>
      <c r="G689" t="inlineStr">
        <is>
          <t>a</t>
        </is>
      </c>
      <c r="I689" s="2" t="n"/>
      <c r="K689" s="3" t="n"/>
      <c r="L689" s="3" t="n">
        <v>0.237</v>
      </c>
      <c r="M689" s="4" t="n"/>
      <c r="N689" t="inlineStr"/>
      <c r="O689" s="4" t="n"/>
      <c r="P689" s="4" t="n"/>
      <c r="Q689" s="4" t="n"/>
      <c r="R689" s="4" t="n"/>
      <c r="S689" s="4" t="n"/>
      <c r="T689" s="4" t="n"/>
      <c r="U689" s="4">
        <f>IF(T689="",IFERROR(VLOOKUP($C689,Assumptions!$A$4:$F$7,6,FALSE),0),T689)</f>
        <v/>
      </c>
      <c r="V689" s="4">
        <f>N(M689)*IFERROR(VLOOKUP($C689,Assumptions!$A$4:$F$7,2,FALSE),0)</f>
        <v/>
      </c>
      <c r="W689" s="4">
        <f>N(Q689)*IFERROR(VLOOKUP($C689,Assumptions!$A$4:$F$7,3,FALSE),0)*Assumptions!$B$11</f>
        <v/>
      </c>
      <c r="X689" s="4">
        <f>N(L689)*IFERROR(VLOOKUP($C689,Assumptions!$A$4:$F$7,4,FALSE),0)</f>
        <v/>
      </c>
      <c r="Y689" s="4">
        <f>N(R689)*IFERROR(VLOOKUP($C689,Assumptions!$A$4:$F$7,5,FALSE),0)</f>
        <v/>
      </c>
      <c r="Z689" s="4">
        <f>N(S689)</f>
        <v/>
      </c>
      <c r="AA689" s="4">
        <f>SUM(U689:Z689)</f>
        <v/>
      </c>
      <c r="AB689" s="4">
        <f>N(AA689)*N(K689)/90</f>
        <v/>
      </c>
      <c r="AC689" s="4">
        <f>IFERROR(AB689-VLOOKUP($C689,Assumptions!$A$29:$C$32,3,FALSE),"")</f>
        <v/>
      </c>
      <c r="AD689" s="4">
        <f>IFERROR(AC689/F689,"")</f>
        <v/>
      </c>
      <c r="AE689">
        <f>IF(AND($E689=TRUE,$C689="GKP"),AB689,"")</f>
        <v/>
      </c>
      <c r="AF689">
        <f>IF(AND($E689=TRUE,$C689="DEF"),AB689,"")</f>
        <v/>
      </c>
      <c r="AG689">
        <f>IF(AND($E689=TRUE,$C689="MID"),AB689,"")</f>
        <v/>
      </c>
      <c r="AH689">
        <f>IF(AND($E689=TRUE,$C689="FWD"),AB689,"")</f>
        <v/>
      </c>
    </row>
    <row r="690">
      <c r="A690" t="inlineStr">
        <is>
          <t>Luis Guilherme</t>
        </is>
      </c>
      <c r="D690" t="inlineStr">
        <is>
          <t>MID</t>
        </is>
      </c>
      <c r="E690" t="b">
        <v>0</v>
      </c>
      <c r="F690" s="2" t="n"/>
      <c r="I690" s="2" t="n">
        <v>121</v>
      </c>
      <c r="K690" s="3" t="n">
        <v>121</v>
      </c>
      <c r="L690" s="3" t="n"/>
      <c r="M690" s="4" t="n">
        <v>0.0498</v>
      </c>
      <c r="N690" t="inlineStr">
        <is>
          <t>adjusted xGOT</t>
        </is>
      </c>
      <c r="O690" s="4" t="n">
        <v>0.954</v>
      </c>
      <c r="P690" s="4" t="n">
        <v>0.5</v>
      </c>
      <c r="Q690" s="4" t="n">
        <v>0.0385</v>
      </c>
      <c r="R690" s="4" t="n">
        <v>0</v>
      </c>
      <c r="S690" s="4" t="n">
        <v>0</v>
      </c>
      <c r="T690" s="4" t="n">
        <v>3.719</v>
      </c>
      <c r="U690" s="4">
        <f>IF(T690="",IFERROR(VLOOKUP($C690,Assumptions!$A$4:$F$7,6,FALSE),0),T690)</f>
        <v/>
      </c>
      <c r="V690" s="4">
        <f>N(M690)*IFERROR(VLOOKUP($C690,Assumptions!$A$4:$F$7,2,FALSE),0)</f>
        <v/>
      </c>
      <c r="W690" s="4">
        <f>N(Q690)*IFERROR(VLOOKUP($C690,Assumptions!$A$4:$F$7,3,FALSE),0)*Assumptions!$B$11</f>
        <v/>
      </c>
      <c r="X690" s="4">
        <f>N(L690)*IFERROR(VLOOKUP($C690,Assumptions!$A$4:$F$7,4,FALSE),0)</f>
        <v/>
      </c>
      <c r="Y690" s="4">
        <f>N(R690)*IFERROR(VLOOKUP($C690,Assumptions!$A$4:$F$7,5,FALSE),0)</f>
        <v/>
      </c>
      <c r="Z690" s="4">
        <f>N(S690)</f>
        <v/>
      </c>
      <c r="AA690" s="4">
        <f>SUM(U690:Z690)</f>
        <v/>
      </c>
      <c r="AB690" s="4">
        <f>N(AA690)*N(K690)/90</f>
        <v/>
      </c>
      <c r="AC690" s="4">
        <f>IFERROR(AB690-VLOOKUP($C690,Assumptions!$A$29:$C$32,3,FALSE),"")</f>
        <v/>
      </c>
      <c r="AD690" s="4">
        <f>IFERROR(AC690/F690,"")</f>
        <v/>
      </c>
      <c r="AE690">
        <f>IF(AND($E690=TRUE,$C690="GKP"),AB690,"")</f>
        <v/>
      </c>
      <c r="AF690">
        <f>IF(AND($E690=TRUE,$C690="DEF"),AB690,"")</f>
        <v/>
      </c>
      <c r="AG690">
        <f>IF(AND($E690=TRUE,$C690="MID"),AB690,"")</f>
        <v/>
      </c>
      <c r="AH690">
        <f>IF(AND($E690=TRUE,$C690="FWD"),AB690,"")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b">
        <v>1</v>
      </c>
      <c r="F691" s="2" t="n">
        <v>4</v>
      </c>
      <c r="G691" t="inlineStr">
        <is>
          <t>a</t>
        </is>
      </c>
      <c r="I691" s="2" t="n"/>
      <c r="K691" s="3" t="n"/>
      <c r="L691" s="3" t="n"/>
      <c r="M691" s="4" t="n"/>
      <c r="N691" t="inlineStr"/>
      <c r="O691" s="4" t="n"/>
      <c r="P691" s="4" t="n"/>
      <c r="Q691" s="4" t="n"/>
      <c r="R691" s="4" t="n"/>
      <c r="S691" s="4" t="n"/>
      <c r="T691" s="4" t="n"/>
      <c r="U691" s="4">
        <f>IF(T691="",IFERROR(VLOOKUP($C691,Assumptions!$A$4:$F$7,6,FALSE),0),T691)</f>
        <v/>
      </c>
      <c r="V691" s="4">
        <f>N(M691)*IFERROR(VLOOKUP($C691,Assumptions!$A$4:$F$7,2,FALSE),0)</f>
        <v/>
      </c>
      <c r="W691" s="4">
        <f>N(Q691)*IFERROR(VLOOKUP($C691,Assumptions!$A$4:$F$7,3,FALSE),0)*Assumptions!$B$11</f>
        <v/>
      </c>
      <c r="X691" s="4">
        <f>N(L691)*IFERROR(VLOOKUP($C691,Assumptions!$A$4:$F$7,4,FALSE),0)</f>
        <v/>
      </c>
      <c r="Y691" s="4">
        <f>N(R691)*IFERROR(VLOOKUP($C691,Assumptions!$A$4:$F$7,5,FALSE),0)</f>
        <v/>
      </c>
      <c r="Z691" s="4">
        <f>N(S691)</f>
        <v/>
      </c>
      <c r="AA691" s="4">
        <f>SUM(U691:Z691)</f>
        <v/>
      </c>
      <c r="AB691" s="4">
        <f>N(AA691)*N(K691)/90</f>
        <v/>
      </c>
      <c r="AC691" s="4">
        <f>IFERROR(AB691-VLOOKUP($C691,Assumptions!$A$29:$C$32,3,FALSE),"")</f>
        <v/>
      </c>
      <c r="AD691" s="4">
        <f>IFERROR(AC691/F691,"")</f>
        <v/>
      </c>
      <c r="AE691">
        <f>IF(AND($E691=TRUE,$C691="GKP"),AB691,"")</f>
        <v/>
      </c>
      <c r="AF691">
        <f>IF(AND($E691=TRUE,$C691="DEF"),AB691,"")</f>
        <v/>
      </c>
      <c r="AG691">
        <f>IF(AND($E691=TRUE,$C691="MID"),AB691,"")</f>
        <v/>
      </c>
      <c r="AH691">
        <f>IF(AND($E691=TRUE,$C691="FWD"),AB691,"")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b">
        <v>1</v>
      </c>
      <c r="F692" s="2" t="n">
        <v>4</v>
      </c>
      <c r="G692" t="inlineStr">
        <is>
          <t>a</t>
        </is>
      </c>
      <c r="I692" s="2" t="n"/>
      <c r="K692" s="3" t="n"/>
      <c r="L692" s="3" t="n">
        <v>0.237</v>
      </c>
      <c r="M692" s="4" t="n"/>
      <c r="N692" t="inlineStr"/>
      <c r="O692" s="4" t="n"/>
      <c r="P692" s="4" t="n"/>
      <c r="Q692" s="4" t="n"/>
      <c r="R692" s="4" t="n"/>
      <c r="S692" s="4" t="n"/>
      <c r="T692" s="4" t="n"/>
      <c r="U692" s="4">
        <f>IF(T692="",IFERROR(VLOOKUP($C692,Assumptions!$A$4:$F$7,6,FALSE),0),T692)</f>
        <v/>
      </c>
      <c r="V692" s="4">
        <f>N(M692)*IFERROR(VLOOKUP($C692,Assumptions!$A$4:$F$7,2,FALSE),0)</f>
        <v/>
      </c>
      <c r="W692" s="4">
        <f>N(Q692)*IFERROR(VLOOKUP($C692,Assumptions!$A$4:$F$7,3,FALSE),0)*Assumptions!$B$11</f>
        <v/>
      </c>
      <c r="X692" s="4">
        <f>N(L692)*IFERROR(VLOOKUP($C692,Assumptions!$A$4:$F$7,4,FALSE),0)</f>
        <v/>
      </c>
      <c r="Y692" s="4">
        <f>N(R692)*IFERROR(VLOOKUP($C692,Assumptions!$A$4:$F$7,5,FALSE),0)</f>
        <v/>
      </c>
      <c r="Z692" s="4">
        <f>N(S692)</f>
        <v/>
      </c>
      <c r="AA692" s="4">
        <f>SUM(U692:Z692)</f>
        <v/>
      </c>
      <c r="AB692" s="4">
        <f>N(AA692)*N(K692)/90</f>
        <v/>
      </c>
      <c r="AC692" s="4">
        <f>IFERROR(AB692-VLOOKUP($C692,Assumptions!$A$29:$C$32,3,FALSE),"")</f>
        <v/>
      </c>
      <c r="AD692" s="4">
        <f>IFERROR(AC692/F692,"")</f>
        <v/>
      </c>
      <c r="AE692">
        <f>IF(AND($E692=TRUE,$C692="GKP"),AB692,"")</f>
        <v/>
      </c>
      <c r="AF692">
        <f>IF(AND($E692=TRUE,$C692="DEF"),AB692,"")</f>
        <v/>
      </c>
      <c r="AG692">
        <f>IF(AND($E692=TRUE,$C692="MID"),AB692,"")</f>
        <v/>
      </c>
      <c r="AH692">
        <f>IF(AND($E692=TRUE,$C692="FWD"),AB692,"")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b">
        <v>1</v>
      </c>
      <c r="F693" s="2" t="n">
        <v>5.5</v>
      </c>
      <c r="G693" t="inlineStr">
        <is>
          <t>a</t>
        </is>
      </c>
      <c r="I693" s="2" t="n"/>
      <c r="K693" s="3" t="n"/>
      <c r="L693" s="3" t="n">
        <v>0.237</v>
      </c>
      <c r="M693" s="4" t="n"/>
      <c r="N693" t="inlineStr"/>
      <c r="O693" s="4" t="n"/>
      <c r="P693" s="4" t="n"/>
      <c r="Q693" s="4" t="n"/>
      <c r="R693" s="4" t="n"/>
      <c r="S693" s="4" t="n"/>
      <c r="T693" s="4" t="n"/>
      <c r="U693" s="4">
        <f>IF(T693="",IFERROR(VLOOKUP($C693,Assumptions!$A$4:$F$7,6,FALSE),0),T693)</f>
        <v/>
      </c>
      <c r="V693" s="4">
        <f>N(M693)*IFERROR(VLOOKUP($C693,Assumptions!$A$4:$F$7,2,FALSE),0)</f>
        <v/>
      </c>
      <c r="W693" s="4">
        <f>N(Q693)*IFERROR(VLOOKUP($C693,Assumptions!$A$4:$F$7,3,FALSE),0)*Assumptions!$B$11</f>
        <v/>
      </c>
      <c r="X693" s="4">
        <f>N(L693)*IFERROR(VLOOKUP($C693,Assumptions!$A$4:$F$7,4,FALSE),0)</f>
        <v/>
      </c>
      <c r="Y693" s="4">
        <f>N(R693)*IFERROR(VLOOKUP($C693,Assumptions!$A$4:$F$7,5,FALSE),0)</f>
        <v/>
      </c>
      <c r="Z693" s="4">
        <f>N(S693)</f>
        <v/>
      </c>
      <c r="AA693" s="4">
        <f>SUM(U693:Z693)</f>
        <v/>
      </c>
      <c r="AB693" s="4">
        <f>N(AA693)*N(K693)/90</f>
        <v/>
      </c>
      <c r="AC693" s="4">
        <f>IFERROR(AB693-VLOOKUP($C693,Assumptions!$A$29:$C$32,3,FALSE),"")</f>
        <v/>
      </c>
      <c r="AD693" s="4">
        <f>IFERROR(AC693/F693,"")</f>
        <v/>
      </c>
      <c r="AE693">
        <f>IF(AND($E693=TRUE,$C693="GKP"),AB693,"")</f>
        <v/>
      </c>
      <c r="AF693">
        <f>IF(AND($E693=TRUE,$C693="DEF"),AB693,"")</f>
        <v/>
      </c>
      <c r="AG693">
        <f>IF(AND($E693=TRUE,$C693="MID"),AB693,"")</f>
        <v/>
      </c>
      <c r="AH693">
        <f>IF(AND($E693=TRUE,$C693="FWD"),AB693,"")</f>
        <v/>
      </c>
    </row>
    <row r="694">
      <c r="A694" t="inlineStr">
        <is>
          <t>Tom Edozie</t>
        </is>
      </c>
      <c r="D694" t="inlineStr">
        <is>
          <t>MID</t>
        </is>
      </c>
      <c r="E694" t="b">
        <v>0</v>
      </c>
      <c r="F694" s="2" t="n"/>
      <c r="I694" s="2" t="n">
        <v>12</v>
      </c>
      <c r="K694" s="3" t="n">
        <v>12</v>
      </c>
      <c r="L694" s="3" t="n"/>
      <c r="M694" s="4" t="n">
        <v>1.845</v>
      </c>
      <c r="N694" t="inlineStr">
        <is>
          <t>adjusted xGOT</t>
        </is>
      </c>
      <c r="O694" s="4" t="n">
        <v>1.069</v>
      </c>
      <c r="P694" s="4" t="n">
        <v>0.2</v>
      </c>
      <c r="Q694" s="4" t="n"/>
      <c r="R694" s="4" t="n"/>
      <c r="S694" s="4" t="n">
        <v>0</v>
      </c>
      <c r="T694" s="4" t="n">
        <v>22.5</v>
      </c>
      <c r="U694" s="4">
        <f>IF(T694="",IFERROR(VLOOKUP($C694,Assumptions!$A$4:$F$7,6,FALSE),0),T694)</f>
        <v/>
      </c>
      <c r="V694" s="4">
        <f>N(M694)*IFERROR(VLOOKUP($C694,Assumptions!$A$4:$F$7,2,FALSE),0)</f>
        <v/>
      </c>
      <c r="W694" s="4">
        <f>N(Q694)*IFERROR(VLOOKUP($C694,Assumptions!$A$4:$F$7,3,FALSE),0)*Assumptions!$B$11</f>
        <v/>
      </c>
      <c r="X694" s="4">
        <f>N(L694)*IFERROR(VLOOKUP($C694,Assumptions!$A$4:$F$7,4,FALSE),0)</f>
        <v/>
      </c>
      <c r="Y694" s="4">
        <f>N(R694)*IFERROR(VLOOKUP($C694,Assumptions!$A$4:$F$7,5,FALSE),0)</f>
        <v/>
      </c>
      <c r="Z694" s="4">
        <f>N(S694)</f>
        <v/>
      </c>
      <c r="AA694" s="4">
        <f>SUM(U694:Z694)</f>
        <v/>
      </c>
      <c r="AB694" s="4">
        <f>N(AA694)*N(K694)/90</f>
        <v/>
      </c>
      <c r="AC694" s="4">
        <f>IFERROR(AB694-VLOOKUP($C694,Assumptions!$A$29:$C$32,3,FALSE),"")</f>
        <v/>
      </c>
      <c r="AD694" s="4">
        <f>IFERROR(AC694/F694,"")</f>
        <v/>
      </c>
      <c r="AE694">
        <f>IF(AND($E694=TRUE,$C694="GKP"),AB694,"")</f>
        <v/>
      </c>
      <c r="AF694">
        <f>IF(AND($E694=TRUE,$C694="DEF"),AB694,"")</f>
        <v/>
      </c>
      <c r="AG694">
        <f>IF(AND($E694=TRUE,$C694="MID"),AB694,"")</f>
        <v/>
      </c>
      <c r="AH694">
        <f>IF(AND($E694=TRUE,$C694="FWD"),AB694,"")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b">
        <v>1</v>
      </c>
      <c r="F695" s="2" t="n">
        <v>4</v>
      </c>
      <c r="G695" t="inlineStr">
        <is>
          <t>a</t>
        </is>
      </c>
      <c r="I695" s="2" t="n"/>
      <c r="K695" s="3" t="n"/>
      <c r="L695" s="3" t="n"/>
      <c r="M695" s="4" t="n"/>
      <c r="N695" t="inlineStr"/>
      <c r="O695" s="4" t="n"/>
      <c r="P695" s="4" t="n"/>
      <c r="Q695" s="4" t="n"/>
      <c r="R695" s="4" t="n"/>
      <c r="S695" s="4" t="n"/>
      <c r="T695" s="4" t="n"/>
      <c r="U695" s="4">
        <f>IF(T695="",IFERROR(VLOOKUP($C695,Assumptions!$A$4:$F$7,6,FALSE),0),T695)</f>
        <v/>
      </c>
      <c r="V695" s="4">
        <f>N(M695)*IFERROR(VLOOKUP($C695,Assumptions!$A$4:$F$7,2,FALSE),0)</f>
        <v/>
      </c>
      <c r="W695" s="4">
        <f>N(Q695)*IFERROR(VLOOKUP($C695,Assumptions!$A$4:$F$7,3,FALSE),0)*Assumptions!$B$11</f>
        <v/>
      </c>
      <c r="X695" s="4">
        <f>N(L695)*IFERROR(VLOOKUP($C695,Assumptions!$A$4:$F$7,4,FALSE),0)</f>
        <v/>
      </c>
      <c r="Y695" s="4">
        <f>N(R695)*IFERROR(VLOOKUP($C695,Assumptions!$A$4:$F$7,5,FALSE),0)</f>
        <v/>
      </c>
      <c r="Z695" s="4">
        <f>N(S695)</f>
        <v/>
      </c>
      <c r="AA695" s="4">
        <f>SUM(U695:Z695)</f>
        <v/>
      </c>
      <c r="AB695" s="4">
        <f>N(AA695)*N(K695)/90</f>
        <v/>
      </c>
      <c r="AC695" s="4">
        <f>IFERROR(AB695-VLOOKUP($C695,Assumptions!$A$29:$C$32,3,FALSE),"")</f>
        <v/>
      </c>
      <c r="AD695" s="4">
        <f>IFERROR(AC695/F695,"")</f>
        <v/>
      </c>
      <c r="AE695">
        <f>IF(AND($E695=TRUE,$C695="GKP"),AB695,"")</f>
        <v/>
      </c>
      <c r="AF695">
        <f>IF(AND($E695=TRUE,$C695="DEF"),AB695,"")</f>
        <v/>
      </c>
      <c r="AG695">
        <f>IF(AND($E695=TRUE,$C695="MID"),AB695,"")</f>
        <v/>
      </c>
      <c r="AH695">
        <f>IF(AND($E695=TRUE,$C695="FWD"),AB695,"")</f>
        <v/>
      </c>
    </row>
    <row r="696">
      <c r="A696" t="inlineStr">
        <is>
          <t>Ezra Mayers</t>
        </is>
      </c>
      <c r="D696" t="inlineStr">
        <is>
          <t>DEF</t>
        </is>
      </c>
      <c r="E696" t="b">
        <v>0</v>
      </c>
      <c r="F696" s="2" t="n"/>
      <c r="I696" s="2" t="n">
        <v>113</v>
      </c>
      <c r="K696" s="3" t="n">
        <v>113</v>
      </c>
      <c r="L696" s="3" t="n"/>
      <c r="M696" s="4" t="n">
        <v>0.094</v>
      </c>
      <c r="N696" t="inlineStr">
        <is>
          <t>adjusted xGOT</t>
        </is>
      </c>
      <c r="O696" s="4" t="n">
        <v>0.985</v>
      </c>
      <c r="P696" s="4" t="n">
        <v>0.1</v>
      </c>
      <c r="Q696" s="4" t="n">
        <v>0.0927</v>
      </c>
      <c r="R696" s="4" t="n"/>
      <c r="S696" s="4" t="n">
        <v>0</v>
      </c>
      <c r="T696" s="4" t="n">
        <v>4.779</v>
      </c>
      <c r="U696" s="4">
        <f>IF(T696="",IFERROR(VLOOKUP($C696,Assumptions!$A$4:$F$7,6,FALSE),0),T696)</f>
        <v/>
      </c>
      <c r="V696" s="4">
        <f>N(M696)*IFERROR(VLOOKUP($C696,Assumptions!$A$4:$F$7,2,FALSE),0)</f>
        <v/>
      </c>
      <c r="W696" s="4">
        <f>N(Q696)*IFERROR(VLOOKUP($C696,Assumptions!$A$4:$F$7,3,FALSE),0)*Assumptions!$B$11</f>
        <v/>
      </c>
      <c r="X696" s="4">
        <f>N(L696)*IFERROR(VLOOKUP($C696,Assumptions!$A$4:$F$7,4,FALSE),0)</f>
        <v/>
      </c>
      <c r="Y696" s="4">
        <f>N(R696)*IFERROR(VLOOKUP($C696,Assumptions!$A$4:$F$7,5,FALSE),0)</f>
        <v/>
      </c>
      <c r="Z696" s="4">
        <f>N(S696)</f>
        <v/>
      </c>
      <c r="AA696" s="4">
        <f>SUM(U696:Z696)</f>
        <v/>
      </c>
      <c r="AB696" s="4">
        <f>N(AA696)*N(K696)/90</f>
        <v/>
      </c>
      <c r="AC696" s="4">
        <f>IFERROR(AB696-VLOOKUP($C696,Assumptions!$A$29:$C$32,3,FALSE),"")</f>
        <v/>
      </c>
      <c r="AD696" s="4">
        <f>IFERROR(AC696/F696,"")</f>
        <v/>
      </c>
      <c r="AE696">
        <f>IF(AND($E696=TRUE,$C696="GKP"),AB696,"")</f>
        <v/>
      </c>
      <c r="AF696">
        <f>IF(AND($E696=TRUE,$C696="DEF"),AB696,"")</f>
        <v/>
      </c>
      <c r="AG696">
        <f>IF(AND($E696=TRUE,$C696="MID"),AB696,"")</f>
        <v/>
      </c>
      <c r="AH696">
        <f>IF(AND($E696=TRUE,$C696="FWD"),AB696,"")</f>
        <v/>
      </c>
    </row>
    <row r="697">
      <c r="A697" t="inlineStr">
        <is>
          <t>Romelle Donovan</t>
        </is>
      </c>
      <c r="D697" t="inlineStr">
        <is>
          <t>MID</t>
        </is>
      </c>
      <c r="E697" t="b">
        <v>0</v>
      </c>
      <c r="F697" s="2" t="n"/>
      <c r="I697" s="2" t="n">
        <v>38</v>
      </c>
      <c r="K697" s="3" t="n">
        <v>38</v>
      </c>
      <c r="L697" s="3" t="n"/>
      <c r="M697" s="4" t="n">
        <v>0.2108</v>
      </c>
      <c r="N697" t="inlineStr">
        <is>
          <t>adjusted xGOT</t>
        </is>
      </c>
      <c r="O697" s="4" t="n">
        <v>0.989</v>
      </c>
      <c r="P697" s="4" t="n">
        <v>0.1</v>
      </c>
      <c r="Q697" s="4" t="n">
        <v>0.0759</v>
      </c>
      <c r="R697" s="4" t="n"/>
      <c r="S697" s="4" t="n">
        <v>0</v>
      </c>
      <c r="T697" s="4" t="n">
        <v>9.474</v>
      </c>
      <c r="U697" s="4">
        <f>IF(T697="",IFERROR(VLOOKUP($C697,Assumptions!$A$4:$F$7,6,FALSE),0),T697)</f>
        <v/>
      </c>
      <c r="V697" s="4">
        <f>N(M697)*IFERROR(VLOOKUP($C697,Assumptions!$A$4:$F$7,2,FALSE),0)</f>
        <v/>
      </c>
      <c r="W697" s="4">
        <f>N(Q697)*IFERROR(VLOOKUP($C697,Assumptions!$A$4:$F$7,3,FALSE),0)*Assumptions!$B$11</f>
        <v/>
      </c>
      <c r="X697" s="4">
        <f>N(L697)*IFERROR(VLOOKUP($C697,Assumptions!$A$4:$F$7,4,FALSE),0)</f>
        <v/>
      </c>
      <c r="Y697" s="4">
        <f>N(R697)*IFERROR(VLOOKUP($C697,Assumptions!$A$4:$F$7,5,FALSE),0)</f>
        <v/>
      </c>
      <c r="Z697" s="4">
        <f>N(S697)</f>
        <v/>
      </c>
      <c r="AA697" s="4">
        <f>SUM(U697:Z697)</f>
        <v/>
      </c>
      <c r="AB697" s="4">
        <f>N(AA697)*N(K697)/90</f>
        <v/>
      </c>
      <c r="AC697" s="4">
        <f>IFERROR(AB697-VLOOKUP($C697,Assumptions!$A$29:$C$32,3,FALSE),"")</f>
        <v/>
      </c>
      <c r="AD697" s="4">
        <f>IFERROR(AC697/F697,"")</f>
        <v/>
      </c>
      <c r="AE697">
        <f>IF(AND($E697=TRUE,$C697="GKP"),AB697,"")</f>
        <v/>
      </c>
      <c r="AF697">
        <f>IF(AND($E697=TRUE,$C697="DEF"),AB697,"")</f>
        <v/>
      </c>
      <c r="AG697">
        <f>IF(AND($E697=TRUE,$C697="MID"),AB697,"")</f>
        <v/>
      </c>
      <c r="AH697">
        <f>IF(AND($E697=TRUE,$C697="FWD"),AB697,"")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b">
        <v>1</v>
      </c>
      <c r="F698" s="2" t="n">
        <v>5</v>
      </c>
      <c r="G698" t="inlineStr">
        <is>
          <t>a</t>
        </is>
      </c>
      <c r="I698" s="2" t="n"/>
      <c r="K698" s="3" t="n"/>
      <c r="L698" s="3" t="n">
        <v>0.263</v>
      </c>
      <c r="M698" s="4" t="n"/>
      <c r="N698" t="inlineStr"/>
      <c r="O698" s="4" t="n"/>
      <c r="P698" s="4" t="n"/>
      <c r="Q698" s="4" t="n"/>
      <c r="R698" s="4" t="n"/>
      <c r="S698" s="4" t="n"/>
      <c r="T698" s="4" t="n"/>
      <c r="U698" s="4">
        <f>IF(T698="",IFERROR(VLOOKUP($C698,Assumptions!$A$4:$F$7,6,FALSE),0),T698)</f>
        <v/>
      </c>
      <c r="V698" s="4">
        <f>N(M698)*IFERROR(VLOOKUP($C698,Assumptions!$A$4:$F$7,2,FALSE),0)</f>
        <v/>
      </c>
      <c r="W698" s="4">
        <f>N(Q698)*IFERROR(VLOOKUP($C698,Assumptions!$A$4:$F$7,3,FALSE),0)*Assumptions!$B$11</f>
        <v/>
      </c>
      <c r="X698" s="4">
        <f>N(L698)*IFERROR(VLOOKUP($C698,Assumptions!$A$4:$F$7,4,FALSE),0)</f>
        <v/>
      </c>
      <c r="Y698" s="4">
        <f>N(R698)*IFERROR(VLOOKUP($C698,Assumptions!$A$4:$F$7,5,FALSE),0)</f>
        <v/>
      </c>
      <c r="Z698" s="4">
        <f>N(S698)</f>
        <v/>
      </c>
      <c r="AA698" s="4">
        <f>SUM(U698:Z698)</f>
        <v/>
      </c>
      <c r="AB698" s="4">
        <f>N(AA698)*N(K698)/90</f>
        <v/>
      </c>
      <c r="AC698" s="4">
        <f>IFERROR(AB698-VLOOKUP($C698,Assumptions!$A$29:$C$32,3,FALSE),"")</f>
        <v/>
      </c>
      <c r="AD698" s="4">
        <f>IFERROR(AC698/F698,"")</f>
        <v/>
      </c>
      <c r="AE698">
        <f>IF(AND($E698=TRUE,$C698="GKP"),AB698,"")</f>
        <v/>
      </c>
      <c r="AF698">
        <f>IF(AND($E698=TRUE,$C698="DEF"),AB698,"")</f>
        <v/>
      </c>
      <c r="AG698">
        <f>IF(AND($E698=TRUE,$C698="MID"),AB698,"")</f>
        <v/>
      </c>
      <c r="AH698">
        <f>IF(AND($E698=TRUE,$C698="FWD"),AB698,"")</f>
        <v/>
      </c>
    </row>
    <row r="699">
      <c r="A699" t="inlineStr">
        <is>
          <t>Ben Winterburn</t>
        </is>
      </c>
      <c r="D699" t="inlineStr">
        <is>
          <t>MID</t>
        </is>
      </c>
      <c r="E699" t="b">
        <v>0</v>
      </c>
      <c r="F699" s="2" t="n"/>
      <c r="I699" s="2" t="n">
        <v>6</v>
      </c>
      <c r="K699" s="3" t="n">
        <v>6</v>
      </c>
      <c r="L699" s="3" t="n"/>
      <c r="M699" s="4" t="n"/>
      <c r="N699" t="inlineStr"/>
      <c r="O699" s="4" t="n">
        <v>1</v>
      </c>
      <c r="P699" s="4" t="n">
        <v>0</v>
      </c>
      <c r="Q699" s="4" t="n"/>
      <c r="R699" s="4" t="n"/>
      <c r="S699" s="4" t="n">
        <v>0</v>
      </c>
      <c r="T699" s="4" t="n">
        <v>15</v>
      </c>
      <c r="U699" s="4">
        <f>IF(T699="",IFERROR(VLOOKUP($C699,Assumptions!$A$4:$F$7,6,FALSE),0),T699)</f>
        <v/>
      </c>
      <c r="V699" s="4">
        <f>N(M699)*IFERROR(VLOOKUP($C699,Assumptions!$A$4:$F$7,2,FALSE),0)</f>
        <v/>
      </c>
      <c r="W699" s="4">
        <f>N(Q699)*IFERROR(VLOOKUP($C699,Assumptions!$A$4:$F$7,3,FALSE),0)*Assumptions!$B$11</f>
        <v/>
      </c>
      <c r="X699" s="4">
        <f>N(L699)*IFERROR(VLOOKUP($C699,Assumptions!$A$4:$F$7,4,FALSE),0)</f>
        <v/>
      </c>
      <c r="Y699" s="4">
        <f>N(R699)*IFERROR(VLOOKUP($C699,Assumptions!$A$4:$F$7,5,FALSE),0)</f>
        <v/>
      </c>
      <c r="Z699" s="4">
        <f>N(S699)</f>
        <v/>
      </c>
      <c r="AA699" s="4">
        <f>SUM(U699:Z699)</f>
        <v/>
      </c>
      <c r="AB699" s="4">
        <f>N(AA699)*N(K699)/90</f>
        <v/>
      </c>
      <c r="AC699" s="4">
        <f>IFERROR(AB699-VLOOKUP($C699,Assumptions!$A$29:$C$32,3,FALSE),"")</f>
        <v/>
      </c>
      <c r="AD699" s="4">
        <f>IFERROR(AC699/F699,"")</f>
        <v/>
      </c>
      <c r="AE699">
        <f>IF(AND($E699=TRUE,$C699="GKP"),AB699,"")</f>
        <v/>
      </c>
      <c r="AF699">
        <f>IF(AND($E699=TRUE,$C699="DEF"),AB699,"")</f>
        <v/>
      </c>
      <c r="AG699">
        <f>IF(AND($E699=TRUE,$C699="MID"),AB699,"")</f>
        <v/>
      </c>
      <c r="AH699">
        <f>IF(AND($E699=TRUE,$C699="FWD"),AB699,"")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b">
        <v>1</v>
      </c>
      <c r="F700" s="2" t="n">
        <v>4</v>
      </c>
      <c r="G700" t="inlineStr">
        <is>
          <t>a</t>
        </is>
      </c>
      <c r="I700" s="2" t="n"/>
      <c r="K700" s="3" t="n"/>
      <c r="L700" s="3" t="n"/>
      <c r="M700" s="4" t="n"/>
      <c r="N700" t="inlineStr"/>
      <c r="O700" s="4" t="n"/>
      <c r="P700" s="4" t="n"/>
      <c r="Q700" s="4" t="n"/>
      <c r="R700" s="4" t="n"/>
      <c r="S700" s="4" t="n"/>
      <c r="T700" s="4" t="n"/>
      <c r="U700" s="4">
        <f>IF(T700="",IFERROR(VLOOKUP($C700,Assumptions!$A$4:$F$7,6,FALSE),0),T700)</f>
        <v/>
      </c>
      <c r="V700" s="4">
        <f>N(M700)*IFERROR(VLOOKUP($C700,Assumptions!$A$4:$F$7,2,FALSE),0)</f>
        <v/>
      </c>
      <c r="W700" s="4">
        <f>N(Q700)*IFERROR(VLOOKUP($C700,Assumptions!$A$4:$F$7,3,FALSE),0)*Assumptions!$B$11</f>
        <v/>
      </c>
      <c r="X700" s="4">
        <f>N(L700)*IFERROR(VLOOKUP($C700,Assumptions!$A$4:$F$7,4,FALSE),0)</f>
        <v/>
      </c>
      <c r="Y700" s="4">
        <f>N(R700)*IFERROR(VLOOKUP($C700,Assumptions!$A$4:$F$7,5,FALSE),0)</f>
        <v/>
      </c>
      <c r="Z700" s="4">
        <f>N(S700)</f>
        <v/>
      </c>
      <c r="AA700" s="4">
        <f>SUM(U700:Z700)</f>
        <v/>
      </c>
      <c r="AB700" s="4">
        <f>N(AA700)*N(K700)/90</f>
        <v/>
      </c>
      <c r="AC700" s="4">
        <f>IFERROR(AB700-VLOOKUP($C700,Assumptions!$A$29:$C$32,3,FALSE),"")</f>
        <v/>
      </c>
      <c r="AD700" s="4">
        <f>IFERROR(AC700/F700,"")</f>
        <v/>
      </c>
      <c r="AE700">
        <f>IF(AND($E700=TRUE,$C700="GKP"),AB700,"")</f>
        <v/>
      </c>
      <c r="AF700">
        <f>IF(AND($E700=TRUE,$C700="DEF"),AB700,"")</f>
        <v/>
      </c>
      <c r="AG700">
        <f>IF(AND($E700=TRUE,$C700="MID"),AB700,"")</f>
        <v/>
      </c>
      <c r="AH700">
        <f>IF(AND($E700=TRUE,$C700="FWD"),AB700,"")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b">
        <v>1</v>
      </c>
      <c r="F701" s="2" t="n">
        <v>5</v>
      </c>
      <c r="G701" t="inlineStr">
        <is>
          <t>a</t>
        </is>
      </c>
      <c r="I701" s="2" t="n"/>
      <c r="K701" s="3" t="n"/>
      <c r="L701" s="3" t="n"/>
      <c r="M701" s="4" t="n"/>
      <c r="N701" t="inlineStr"/>
      <c r="O701" s="4" t="n"/>
      <c r="P701" s="4" t="n"/>
      <c r="Q701" s="4" t="n"/>
      <c r="R701" s="4" t="n"/>
      <c r="S701" s="4" t="n"/>
      <c r="T701" s="4" t="n"/>
      <c r="U701" s="4">
        <f>IF(T701="",IFERROR(VLOOKUP($C701,Assumptions!$A$4:$F$7,6,FALSE),0),T701)</f>
        <v/>
      </c>
      <c r="V701" s="4">
        <f>N(M701)*IFERROR(VLOOKUP($C701,Assumptions!$A$4:$F$7,2,FALSE),0)</f>
        <v/>
      </c>
      <c r="W701" s="4">
        <f>N(Q701)*IFERROR(VLOOKUP($C701,Assumptions!$A$4:$F$7,3,FALSE),0)*Assumptions!$B$11</f>
        <v/>
      </c>
      <c r="X701" s="4">
        <f>N(L701)*IFERROR(VLOOKUP($C701,Assumptions!$A$4:$F$7,4,FALSE),0)</f>
        <v/>
      </c>
      <c r="Y701" s="4">
        <f>N(R701)*IFERROR(VLOOKUP($C701,Assumptions!$A$4:$F$7,5,FALSE),0)</f>
        <v/>
      </c>
      <c r="Z701" s="4">
        <f>N(S701)</f>
        <v/>
      </c>
      <c r="AA701" s="4">
        <f>SUM(U701:Z701)</f>
        <v/>
      </c>
      <c r="AB701" s="4">
        <f>N(AA701)*N(K701)/90</f>
        <v/>
      </c>
      <c r="AC701" s="4">
        <f>IFERROR(AB701-VLOOKUP($C701,Assumptions!$A$29:$C$32,3,FALSE),"")</f>
        <v/>
      </c>
      <c r="AD701" s="4">
        <f>IFERROR(AC701/F701,"")</f>
        <v/>
      </c>
      <c r="AE701">
        <f>IF(AND($E701=TRUE,$C701="GKP"),AB701,"")</f>
        <v/>
      </c>
      <c r="AF701">
        <f>IF(AND($E701=TRUE,$C701="DEF"),AB701,"")</f>
        <v/>
      </c>
      <c r="AG701">
        <f>IF(AND($E701=TRUE,$C701="MID"),AB701,"")</f>
        <v/>
      </c>
      <c r="AH701">
        <f>IF(AND($E701=TRUE,$C701="FWD"),AB701,"")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b">
        <v>1</v>
      </c>
      <c r="F702" s="2" t="n">
        <v>6</v>
      </c>
      <c r="G702" t="inlineStr">
        <is>
          <t>a</t>
        </is>
      </c>
      <c r="I702" s="2" t="n"/>
      <c r="K702" s="3" t="n"/>
      <c r="L702" s="3" t="n">
        <v>0.21</v>
      </c>
      <c r="M702" s="4" t="n"/>
      <c r="N702" t="inlineStr"/>
      <c r="O702" s="4" t="n"/>
      <c r="P702" s="4" t="n"/>
      <c r="Q702" s="4" t="n"/>
      <c r="R702" s="4" t="n"/>
      <c r="S702" s="4" t="n"/>
      <c r="T702" s="4" t="n"/>
      <c r="U702" s="4">
        <f>IF(T702="",IFERROR(VLOOKUP($C702,Assumptions!$A$4:$F$7,6,FALSE),0),T702)</f>
        <v/>
      </c>
      <c r="V702" s="4">
        <f>N(M702)*IFERROR(VLOOKUP($C702,Assumptions!$A$4:$F$7,2,FALSE),0)</f>
        <v/>
      </c>
      <c r="W702" s="4">
        <f>N(Q702)*IFERROR(VLOOKUP($C702,Assumptions!$A$4:$F$7,3,FALSE),0)*Assumptions!$B$11</f>
        <v/>
      </c>
      <c r="X702" s="4">
        <f>N(L702)*IFERROR(VLOOKUP($C702,Assumptions!$A$4:$F$7,4,FALSE),0)</f>
        <v/>
      </c>
      <c r="Y702" s="4">
        <f>N(R702)*IFERROR(VLOOKUP($C702,Assumptions!$A$4:$F$7,5,FALSE),0)</f>
        <v/>
      </c>
      <c r="Z702" s="4">
        <f>N(S702)</f>
        <v/>
      </c>
      <c r="AA702" s="4">
        <f>SUM(U702:Z702)</f>
        <v/>
      </c>
      <c r="AB702" s="4">
        <f>N(AA702)*N(K702)/90</f>
        <v/>
      </c>
      <c r="AC702" s="4">
        <f>IFERROR(AB702-VLOOKUP($C702,Assumptions!$A$29:$C$32,3,FALSE),"")</f>
        <v/>
      </c>
      <c r="AD702" s="4">
        <f>IFERROR(AC702/F702,"")</f>
        <v/>
      </c>
      <c r="AE702">
        <f>IF(AND($E702=TRUE,$C702="GKP"),AB702,"")</f>
        <v/>
      </c>
      <c r="AF702">
        <f>IF(AND($E702=TRUE,$C702="DEF"),AB702,"")</f>
        <v/>
      </c>
      <c r="AG702">
        <f>IF(AND($E702=TRUE,$C702="MID"),AB702,"")</f>
        <v/>
      </c>
      <c r="AH702">
        <f>IF(AND($E702=TRUE,$C702="FWD"),AB702,"")</f>
        <v/>
      </c>
    </row>
    <row r="703">
      <c r="A703" t="inlineStr">
        <is>
          <t>El Hadji Malick Diouf</t>
        </is>
      </c>
      <c r="D703" t="inlineStr">
        <is>
          <t>DEF</t>
        </is>
      </c>
      <c r="E703" t="b">
        <v>0</v>
      </c>
      <c r="F703" s="2" t="n"/>
      <c r="I703" s="2" t="n">
        <v>2711</v>
      </c>
      <c r="K703" s="3" t="n">
        <v>2711</v>
      </c>
      <c r="L703" s="3" t="n"/>
      <c r="M703" s="4" t="n">
        <v>0.0179</v>
      </c>
      <c r="N703" t="inlineStr">
        <is>
          <t>adjusted xGOT</t>
        </is>
      </c>
      <c r="O703" s="4" t="n">
        <v>0.945</v>
      </c>
      <c r="P703" s="4" t="n">
        <v>0.6</v>
      </c>
      <c r="Q703" s="4" t="n">
        <v>0.108</v>
      </c>
      <c r="R703" s="4" t="n">
        <v>0.133</v>
      </c>
      <c r="S703" s="4" t="n">
        <v>0.09959999999999999</v>
      </c>
      <c r="T703" s="4" t="n">
        <v>2.058</v>
      </c>
      <c r="U703" s="4">
        <f>IF(T703="",IFERROR(VLOOKUP($C703,Assumptions!$A$4:$F$7,6,FALSE),0),T703)</f>
        <v/>
      </c>
      <c r="V703" s="4">
        <f>N(M703)*IFERROR(VLOOKUP($C703,Assumptions!$A$4:$F$7,2,FALSE),0)</f>
        <v/>
      </c>
      <c r="W703" s="4">
        <f>N(Q703)*IFERROR(VLOOKUP($C703,Assumptions!$A$4:$F$7,3,FALSE),0)*Assumptions!$B$11</f>
        <v/>
      </c>
      <c r="X703" s="4">
        <f>N(L703)*IFERROR(VLOOKUP($C703,Assumptions!$A$4:$F$7,4,FALSE),0)</f>
        <v/>
      </c>
      <c r="Y703" s="4">
        <f>N(R703)*IFERROR(VLOOKUP($C703,Assumptions!$A$4:$F$7,5,FALSE),0)</f>
        <v/>
      </c>
      <c r="Z703" s="4">
        <f>N(S703)</f>
        <v/>
      </c>
      <c r="AA703" s="4">
        <f>SUM(U703:Z703)</f>
        <v/>
      </c>
      <c r="AB703" s="4">
        <f>N(AA703)*N(K703)/90</f>
        <v/>
      </c>
      <c r="AC703" s="4">
        <f>IFERROR(AB703-VLOOKUP($C703,Assumptions!$A$29:$C$32,3,FALSE),"")</f>
        <v/>
      </c>
      <c r="AD703" s="4">
        <f>IFERROR(AC703/F703,"")</f>
        <v/>
      </c>
      <c r="AE703">
        <f>IF(AND($E703=TRUE,$C703="GKP"),AB703,"")</f>
        <v/>
      </c>
      <c r="AF703">
        <f>IF(AND($E703=TRUE,$C703="DEF"),AB703,"")</f>
        <v/>
      </c>
      <c r="AG703">
        <f>IF(AND($E703=TRUE,$C703="MID"),AB703,"")</f>
        <v/>
      </c>
      <c r="AH703">
        <f>IF(AND($E703=TRUE,$C703="FWD"),AB703,"")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b">
        <v>1</v>
      </c>
      <c r="F704" s="2" t="n">
        <v>6</v>
      </c>
      <c r="G704" t="inlineStr">
        <is>
          <t>a</t>
        </is>
      </c>
      <c r="I704" s="2" t="n"/>
      <c r="K704" s="3" t="n"/>
      <c r="L704" s="3" t="n">
        <v>0.237</v>
      </c>
      <c r="M704" s="4" t="n"/>
      <c r="N704" t="inlineStr"/>
      <c r="O704" s="4" t="n"/>
      <c r="P704" s="4" t="n"/>
      <c r="Q704" s="4" t="n"/>
      <c r="R704" s="4" t="n"/>
      <c r="S704" s="4" t="n"/>
      <c r="T704" s="4" t="n"/>
      <c r="U704" s="4">
        <f>IF(T704="",IFERROR(VLOOKUP($C704,Assumptions!$A$4:$F$7,6,FALSE),0),T704)</f>
        <v/>
      </c>
      <c r="V704" s="4">
        <f>N(M704)*IFERROR(VLOOKUP($C704,Assumptions!$A$4:$F$7,2,FALSE),0)</f>
        <v/>
      </c>
      <c r="W704" s="4">
        <f>N(Q704)*IFERROR(VLOOKUP($C704,Assumptions!$A$4:$F$7,3,FALSE),0)*Assumptions!$B$11</f>
        <v/>
      </c>
      <c r="X704" s="4">
        <f>N(L704)*IFERROR(VLOOKUP($C704,Assumptions!$A$4:$F$7,4,FALSE),0)</f>
        <v/>
      </c>
      <c r="Y704" s="4">
        <f>N(R704)*IFERROR(VLOOKUP($C704,Assumptions!$A$4:$F$7,5,FALSE),0)</f>
        <v/>
      </c>
      <c r="Z704" s="4">
        <f>N(S704)</f>
        <v/>
      </c>
      <c r="AA704" s="4">
        <f>SUM(U704:Z704)</f>
        <v/>
      </c>
      <c r="AB704" s="4">
        <f>N(AA704)*N(K704)/90</f>
        <v/>
      </c>
      <c r="AC704" s="4">
        <f>IFERROR(AB704-VLOOKUP($C704,Assumptions!$A$29:$C$32,3,FALSE),"")</f>
        <v/>
      </c>
      <c r="AD704" s="4">
        <f>IFERROR(AC704/F704,"")</f>
        <v/>
      </c>
      <c r="AE704">
        <f>IF(AND($E704=TRUE,$C704="GKP"),AB704,"")</f>
        <v/>
      </c>
      <c r="AF704">
        <f>IF(AND($E704=TRUE,$C704="DEF"),AB704,"")</f>
        <v/>
      </c>
      <c r="AG704">
        <f>IF(AND($E704=TRUE,$C704="MID"),AB704,"")</f>
        <v/>
      </c>
      <c r="AH704">
        <f>IF(AND($E704=TRUE,$C704="FWD"),AB704,"")</f>
        <v/>
      </c>
    </row>
    <row r="705">
      <c r="A705" t="inlineStr">
        <is>
          <t>Jesse Derry</t>
        </is>
      </c>
      <c r="D705" t="inlineStr">
        <is>
          <t>MID</t>
        </is>
      </c>
      <c r="E705" t="b">
        <v>0</v>
      </c>
      <c r="F705" s="2" t="n"/>
      <c r="I705" s="2" t="n">
        <v>44</v>
      </c>
      <c r="K705" s="3" t="n">
        <v>44</v>
      </c>
      <c r="L705" s="3" t="n"/>
      <c r="M705" s="4" t="n">
        <v>0.2045</v>
      </c>
      <c r="N705" t="inlineStr">
        <is>
          <t>adjusted xGOT</t>
        </is>
      </c>
      <c r="O705" s="4" t="n">
        <v>1</v>
      </c>
      <c r="P705" s="4" t="n">
        <v>0.1</v>
      </c>
      <c r="Q705" s="4" t="n">
        <v>0</v>
      </c>
      <c r="R705" s="4" t="n">
        <v>0</v>
      </c>
      <c r="S705" s="4" t="n">
        <v>0</v>
      </c>
      <c r="T705" s="4" t="n">
        <v>2.045</v>
      </c>
      <c r="U705" s="4">
        <f>IF(T705="",IFERROR(VLOOKUP($C705,Assumptions!$A$4:$F$7,6,FALSE),0),T705)</f>
        <v/>
      </c>
      <c r="V705" s="4">
        <f>N(M705)*IFERROR(VLOOKUP($C705,Assumptions!$A$4:$F$7,2,FALSE),0)</f>
        <v/>
      </c>
      <c r="W705" s="4">
        <f>N(Q705)*IFERROR(VLOOKUP($C705,Assumptions!$A$4:$F$7,3,FALSE),0)*Assumptions!$B$11</f>
        <v/>
      </c>
      <c r="X705" s="4">
        <f>N(L705)*IFERROR(VLOOKUP($C705,Assumptions!$A$4:$F$7,4,FALSE),0)</f>
        <v/>
      </c>
      <c r="Y705" s="4">
        <f>N(R705)*IFERROR(VLOOKUP($C705,Assumptions!$A$4:$F$7,5,FALSE),0)</f>
        <v/>
      </c>
      <c r="Z705" s="4">
        <f>N(S705)</f>
        <v/>
      </c>
      <c r="AA705" s="4">
        <f>SUM(U705:Z705)</f>
        <v/>
      </c>
      <c r="AB705" s="4">
        <f>N(AA705)*N(K705)/90</f>
        <v/>
      </c>
      <c r="AC705" s="4">
        <f>IFERROR(AB705-VLOOKUP($C705,Assumptions!$A$29:$C$32,3,FALSE),"")</f>
        <v/>
      </c>
      <c r="AD705" s="4">
        <f>IFERROR(AC705/F705,"")</f>
        <v/>
      </c>
      <c r="AE705">
        <f>IF(AND($E705=TRUE,$C705="GKP"),AB705,"")</f>
        <v/>
      </c>
      <c r="AF705">
        <f>IF(AND($E705=TRUE,$C705="DEF"),AB705,"")</f>
        <v/>
      </c>
      <c r="AG705">
        <f>IF(AND($E705=TRUE,$C705="MID"),AB705,"")</f>
        <v/>
      </c>
      <c r="AH705">
        <f>IF(AND($E705=TRUE,$C705="FWD"),AB705,"")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b">
        <v>1</v>
      </c>
      <c r="F706" s="2" t="n">
        <v>5.5</v>
      </c>
      <c r="G706" t="inlineStr">
        <is>
          <t>a</t>
        </is>
      </c>
      <c r="I706" s="2" t="n"/>
      <c r="K706" s="3" t="n"/>
      <c r="L706" s="3" t="n">
        <v>0.237</v>
      </c>
      <c r="M706" s="4" t="n"/>
      <c r="N706" t="inlineStr"/>
      <c r="O706" s="4" t="n"/>
      <c r="P706" s="4" t="n"/>
      <c r="Q706" s="4" t="n"/>
      <c r="R706" s="4" t="n"/>
      <c r="S706" s="4" t="n"/>
      <c r="T706" s="4" t="n"/>
      <c r="U706" s="4">
        <f>IF(T706="",IFERROR(VLOOKUP($C706,Assumptions!$A$4:$F$7,6,FALSE),0),T706)</f>
        <v/>
      </c>
      <c r="V706" s="4">
        <f>N(M706)*IFERROR(VLOOKUP($C706,Assumptions!$A$4:$F$7,2,FALSE),0)</f>
        <v/>
      </c>
      <c r="W706" s="4">
        <f>N(Q706)*IFERROR(VLOOKUP($C706,Assumptions!$A$4:$F$7,3,FALSE),0)*Assumptions!$B$11</f>
        <v/>
      </c>
      <c r="X706" s="4">
        <f>N(L706)*IFERROR(VLOOKUP($C706,Assumptions!$A$4:$F$7,4,FALSE),0)</f>
        <v/>
      </c>
      <c r="Y706" s="4">
        <f>N(R706)*IFERROR(VLOOKUP($C706,Assumptions!$A$4:$F$7,5,FALSE),0)</f>
        <v/>
      </c>
      <c r="Z706" s="4">
        <f>N(S706)</f>
        <v/>
      </c>
      <c r="AA706" s="4">
        <f>SUM(U706:Z706)</f>
        <v/>
      </c>
      <c r="AB706" s="4">
        <f>N(AA706)*N(K706)/90</f>
        <v/>
      </c>
      <c r="AC706" s="4">
        <f>IFERROR(AB706-VLOOKUP($C706,Assumptions!$A$29:$C$32,3,FALSE),"")</f>
        <v/>
      </c>
      <c r="AD706" s="4">
        <f>IFERROR(AC706/F706,"")</f>
        <v/>
      </c>
      <c r="AE706">
        <f>IF(AND($E706=TRUE,$C706="GKP"),AB706,"")</f>
        <v/>
      </c>
      <c r="AF706">
        <f>IF(AND($E706=TRUE,$C706="DEF"),AB706,"")</f>
        <v/>
      </c>
      <c r="AG706">
        <f>IF(AND($E706=TRUE,$C706="MID"),AB706,"")</f>
        <v/>
      </c>
      <c r="AH706">
        <f>IF(AND($E706=TRUE,$C706="FWD"),AB706,"")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b">
        <v>1</v>
      </c>
      <c r="F707" s="2" t="n">
        <v>4.5</v>
      </c>
      <c r="G707" t="inlineStr">
        <is>
          <t>a</t>
        </is>
      </c>
      <c r="I707" s="2" t="n"/>
      <c r="K707" s="3" t="n"/>
      <c r="L707" s="3" t="n"/>
      <c r="M707" s="4" t="n"/>
      <c r="N707" t="inlineStr"/>
      <c r="O707" s="4" t="n"/>
      <c r="P707" s="4" t="n"/>
      <c r="Q707" s="4" t="n"/>
      <c r="R707" s="4" t="n"/>
      <c r="S707" s="4" t="n"/>
      <c r="T707" s="4" t="n"/>
      <c r="U707" s="4">
        <f>IF(T707="",IFERROR(VLOOKUP($C707,Assumptions!$A$4:$F$7,6,FALSE),0),T707)</f>
        <v/>
      </c>
      <c r="V707" s="4">
        <f>N(M707)*IFERROR(VLOOKUP($C707,Assumptions!$A$4:$F$7,2,FALSE),0)</f>
        <v/>
      </c>
      <c r="W707" s="4">
        <f>N(Q707)*IFERROR(VLOOKUP($C707,Assumptions!$A$4:$F$7,3,FALSE),0)*Assumptions!$B$11</f>
        <v/>
      </c>
      <c r="X707" s="4">
        <f>N(L707)*IFERROR(VLOOKUP($C707,Assumptions!$A$4:$F$7,4,FALSE),0)</f>
        <v/>
      </c>
      <c r="Y707" s="4">
        <f>N(R707)*IFERROR(VLOOKUP($C707,Assumptions!$A$4:$F$7,5,FALSE),0)</f>
        <v/>
      </c>
      <c r="Z707" s="4">
        <f>N(S707)</f>
        <v/>
      </c>
      <c r="AA707" s="4">
        <f>SUM(U707:Z707)</f>
        <v/>
      </c>
      <c r="AB707" s="4">
        <f>N(AA707)*N(K707)/90</f>
        <v/>
      </c>
      <c r="AC707" s="4">
        <f>IFERROR(AB707-VLOOKUP($C707,Assumptions!$A$29:$C$32,3,FALSE),"")</f>
        <v/>
      </c>
      <c r="AD707" s="4">
        <f>IFERROR(AC707/F707,"")</f>
        <v/>
      </c>
      <c r="AE707">
        <f>IF(AND($E707=TRUE,$C707="GKP"),AB707,"")</f>
        <v/>
      </c>
      <c r="AF707">
        <f>IF(AND($E707=TRUE,$C707="DEF"),AB707,"")</f>
        <v/>
      </c>
      <c r="AG707">
        <f>IF(AND($E707=TRUE,$C707="MID"),AB707,"")</f>
        <v/>
      </c>
      <c r="AH707">
        <f>IF(AND($E707=TRUE,$C707="FWD"),AB707,"")</f>
        <v/>
      </c>
    </row>
    <row r="708">
      <c r="A708" t="inlineStr">
        <is>
          <t>Mohamadou Kanté</t>
        </is>
      </c>
      <c r="D708" t="inlineStr">
        <is>
          <t>MID</t>
        </is>
      </c>
      <c r="E708" t="b">
        <v>0</v>
      </c>
      <c r="F708" s="2" t="n"/>
      <c r="I708" s="2" t="n">
        <v>67</v>
      </c>
      <c r="K708" s="3" t="n">
        <v>67</v>
      </c>
      <c r="L708" s="3" t="n"/>
      <c r="M708" s="4" t="n">
        <v>0.0927</v>
      </c>
      <c r="N708" t="inlineStr">
        <is>
          <t>adjusted xGOT</t>
        </is>
      </c>
      <c r="O708" s="4" t="n">
        <v>0.991</v>
      </c>
      <c r="P708" s="4" t="n">
        <v>0.1</v>
      </c>
      <c r="Q708" s="4" t="n">
        <v>0.1476</v>
      </c>
      <c r="R708" s="4" t="n"/>
      <c r="S708" s="4" t="n">
        <v>0</v>
      </c>
      <c r="T708" s="4" t="n">
        <v>14.776</v>
      </c>
      <c r="U708" s="4">
        <f>IF(T708="",IFERROR(VLOOKUP($C708,Assumptions!$A$4:$F$7,6,FALSE),0),T708)</f>
        <v/>
      </c>
      <c r="V708" s="4">
        <f>N(M708)*IFERROR(VLOOKUP($C708,Assumptions!$A$4:$F$7,2,FALSE),0)</f>
        <v/>
      </c>
      <c r="W708" s="4">
        <f>N(Q708)*IFERROR(VLOOKUP($C708,Assumptions!$A$4:$F$7,3,FALSE),0)*Assumptions!$B$11</f>
        <v/>
      </c>
      <c r="X708" s="4">
        <f>N(L708)*IFERROR(VLOOKUP($C708,Assumptions!$A$4:$F$7,4,FALSE),0)</f>
        <v/>
      </c>
      <c r="Y708" s="4">
        <f>N(R708)*IFERROR(VLOOKUP($C708,Assumptions!$A$4:$F$7,5,FALSE),0)</f>
        <v/>
      </c>
      <c r="Z708" s="4">
        <f>N(S708)</f>
        <v/>
      </c>
      <c r="AA708" s="4">
        <f>SUM(U708:Z708)</f>
        <v/>
      </c>
      <c r="AB708" s="4">
        <f>N(AA708)*N(K708)/90</f>
        <v/>
      </c>
      <c r="AC708" s="4">
        <f>IFERROR(AB708-VLOOKUP($C708,Assumptions!$A$29:$C$32,3,FALSE),"")</f>
        <v/>
      </c>
      <c r="AD708" s="4">
        <f>IFERROR(AC708/F708,"")</f>
        <v/>
      </c>
      <c r="AE708">
        <f>IF(AND($E708=TRUE,$C708="GKP"),AB708,"")</f>
        <v/>
      </c>
      <c r="AF708">
        <f>IF(AND($E708=TRUE,$C708="DEF"),AB708,"")</f>
        <v/>
      </c>
      <c r="AG708">
        <f>IF(AND($E708=TRUE,$C708="MID"),AB708,"")</f>
        <v/>
      </c>
      <c r="AH708">
        <f>IF(AND($E708=TRUE,$C708="FWD"),AB708,"")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b">
        <v>1</v>
      </c>
      <c r="F709" s="2" t="n">
        <v>5</v>
      </c>
      <c r="G709" t="inlineStr">
        <is>
          <t>a</t>
        </is>
      </c>
      <c r="I709" s="2" t="n"/>
      <c r="K709" s="3" t="n"/>
      <c r="L709" s="3" t="n">
        <v>0.21</v>
      </c>
      <c r="M709" s="4" t="n"/>
      <c r="N709" t="inlineStr"/>
      <c r="O709" s="4" t="n"/>
      <c r="P709" s="4" t="n"/>
      <c r="Q709" s="4" t="n"/>
      <c r="R709" s="4" t="n"/>
      <c r="S709" s="4" t="n"/>
      <c r="T709" s="4" t="n"/>
      <c r="U709" s="4">
        <f>IF(T709="",IFERROR(VLOOKUP($C709,Assumptions!$A$4:$F$7,6,FALSE),0),T709)</f>
        <v/>
      </c>
      <c r="V709" s="4">
        <f>N(M709)*IFERROR(VLOOKUP($C709,Assumptions!$A$4:$F$7,2,FALSE),0)</f>
        <v/>
      </c>
      <c r="W709" s="4">
        <f>N(Q709)*IFERROR(VLOOKUP($C709,Assumptions!$A$4:$F$7,3,FALSE),0)*Assumptions!$B$11</f>
        <v/>
      </c>
      <c r="X709" s="4">
        <f>N(L709)*IFERROR(VLOOKUP($C709,Assumptions!$A$4:$F$7,4,FALSE),0)</f>
        <v/>
      </c>
      <c r="Y709" s="4">
        <f>N(R709)*IFERROR(VLOOKUP($C709,Assumptions!$A$4:$F$7,5,FALSE),0)</f>
        <v/>
      </c>
      <c r="Z709" s="4">
        <f>N(S709)</f>
        <v/>
      </c>
      <c r="AA709" s="4">
        <f>SUM(U709:Z709)</f>
        <v/>
      </c>
      <c r="AB709" s="4">
        <f>N(AA709)*N(K709)/90</f>
        <v/>
      </c>
      <c r="AC709" s="4">
        <f>IFERROR(AB709-VLOOKUP($C709,Assumptions!$A$29:$C$32,3,FALSE),"")</f>
        <v/>
      </c>
      <c r="AD709" s="4">
        <f>IFERROR(AC709/F709,"")</f>
        <v/>
      </c>
      <c r="AE709">
        <f>IF(AND($E709=TRUE,$C709="GKP"),AB709,"")</f>
        <v/>
      </c>
      <c r="AF709">
        <f>IF(AND($E709=TRUE,$C709="DEF"),AB709,"")</f>
        <v/>
      </c>
      <c r="AG709">
        <f>IF(AND($E709=TRUE,$C709="MID"),AB709,"")</f>
        <v/>
      </c>
      <c r="AH709">
        <f>IF(AND($E709=TRUE,$C709="FWD"),AB709,"")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b">
        <v>1</v>
      </c>
      <c r="F710" s="2" t="n">
        <v>5</v>
      </c>
      <c r="G710" t="inlineStr">
        <is>
          <t>a</t>
        </is>
      </c>
      <c r="I710" s="2" t="n"/>
      <c r="K710" s="3" t="n"/>
      <c r="L710" s="3" t="n">
        <v>0.21</v>
      </c>
      <c r="M710" s="4" t="n"/>
      <c r="N710" t="inlineStr"/>
      <c r="O710" s="4" t="n"/>
      <c r="P710" s="4" t="n"/>
      <c r="Q710" s="4" t="n"/>
      <c r="R710" s="4" t="n"/>
      <c r="S710" s="4" t="n"/>
      <c r="T710" s="4" t="n"/>
      <c r="U710" s="4">
        <f>IF(T710="",IFERROR(VLOOKUP($C710,Assumptions!$A$4:$F$7,6,FALSE),0),T710)</f>
        <v/>
      </c>
      <c r="V710" s="4">
        <f>N(M710)*IFERROR(VLOOKUP($C710,Assumptions!$A$4:$F$7,2,FALSE),0)</f>
        <v/>
      </c>
      <c r="W710" s="4">
        <f>N(Q710)*IFERROR(VLOOKUP($C710,Assumptions!$A$4:$F$7,3,FALSE),0)*Assumptions!$B$11</f>
        <v/>
      </c>
      <c r="X710" s="4">
        <f>N(L710)*IFERROR(VLOOKUP($C710,Assumptions!$A$4:$F$7,4,FALSE),0)</f>
        <v/>
      </c>
      <c r="Y710" s="4">
        <f>N(R710)*IFERROR(VLOOKUP($C710,Assumptions!$A$4:$F$7,5,FALSE),0)</f>
        <v/>
      </c>
      <c r="Z710" s="4">
        <f>N(S710)</f>
        <v/>
      </c>
      <c r="AA710" s="4">
        <f>SUM(U710:Z710)</f>
        <v/>
      </c>
      <c r="AB710" s="4">
        <f>N(AA710)*N(K710)/90</f>
        <v/>
      </c>
      <c r="AC710" s="4">
        <f>IFERROR(AB710-VLOOKUP($C710,Assumptions!$A$29:$C$32,3,FALSE),"")</f>
        <v/>
      </c>
      <c r="AD710" s="4">
        <f>IFERROR(AC710/F710,"")</f>
        <v/>
      </c>
      <c r="AE710">
        <f>IF(AND($E710=TRUE,$C710="GKP"),AB710,"")</f>
        <v/>
      </c>
      <c r="AF710">
        <f>IF(AND($E710=TRUE,$C710="DEF"),AB710,"")</f>
        <v/>
      </c>
      <c r="AG710">
        <f>IF(AND($E710=TRUE,$C710="MID"),AB710,"")</f>
        <v/>
      </c>
      <c r="AH710">
        <f>IF(AND($E710=TRUE,$C710="FWD"),AB710,"")</f>
        <v/>
      </c>
    </row>
    <row r="711">
      <c r="A711" t="inlineStr">
        <is>
          <t>Pedro Lima</t>
        </is>
      </c>
      <c r="D711" t="inlineStr">
        <is>
          <t>DEF</t>
        </is>
      </c>
      <c r="E711" t="b">
        <v>0</v>
      </c>
      <c r="F711" s="2" t="n"/>
      <c r="I711" s="2" t="n">
        <v>259</v>
      </c>
      <c r="K711" s="3" t="n">
        <v>259</v>
      </c>
      <c r="L711" s="3" t="n"/>
      <c r="M711" s="4" t="n">
        <v>0.1216</v>
      </c>
      <c r="N711" t="inlineStr">
        <is>
          <t>adjusted xGOT</t>
        </is>
      </c>
      <c r="O711" s="4" t="n">
        <v>0.999</v>
      </c>
      <c r="P711" s="4" t="n">
        <v>0.4</v>
      </c>
      <c r="Q711" s="4" t="n">
        <v>0.07530000000000001</v>
      </c>
      <c r="R711" s="4" t="n">
        <v>0</v>
      </c>
      <c r="S711" s="4" t="n">
        <v>0</v>
      </c>
      <c r="T711" s="4" t="n">
        <v>3.822</v>
      </c>
      <c r="U711" s="4">
        <f>IF(T711="",IFERROR(VLOOKUP($C711,Assumptions!$A$4:$F$7,6,FALSE),0),T711)</f>
        <v/>
      </c>
      <c r="V711" s="4">
        <f>N(M711)*IFERROR(VLOOKUP($C711,Assumptions!$A$4:$F$7,2,FALSE),0)</f>
        <v/>
      </c>
      <c r="W711" s="4">
        <f>N(Q711)*IFERROR(VLOOKUP($C711,Assumptions!$A$4:$F$7,3,FALSE),0)*Assumptions!$B$11</f>
        <v/>
      </c>
      <c r="X711" s="4">
        <f>N(L711)*IFERROR(VLOOKUP($C711,Assumptions!$A$4:$F$7,4,FALSE),0)</f>
        <v/>
      </c>
      <c r="Y711" s="4">
        <f>N(R711)*IFERROR(VLOOKUP($C711,Assumptions!$A$4:$F$7,5,FALSE),0)</f>
        <v/>
      </c>
      <c r="Z711" s="4">
        <f>N(S711)</f>
        <v/>
      </c>
      <c r="AA711" s="4">
        <f>SUM(U711:Z711)</f>
        <v/>
      </c>
      <c r="AB711" s="4">
        <f>N(AA711)*N(K711)/90</f>
        <v/>
      </c>
      <c r="AC711" s="4">
        <f>IFERROR(AB711-VLOOKUP($C711,Assumptions!$A$29:$C$32,3,FALSE),"")</f>
        <v/>
      </c>
      <c r="AD711" s="4">
        <f>IFERROR(AC711/F711,"")</f>
        <v/>
      </c>
      <c r="AE711">
        <f>IF(AND($E711=TRUE,$C711="GKP"),AB711,"")</f>
        <v/>
      </c>
      <c r="AF711">
        <f>IF(AND($E711=TRUE,$C711="DEF"),AB711,"")</f>
        <v/>
      </c>
      <c r="AG711">
        <f>IF(AND($E711=TRUE,$C711="MID"),AB711,"")</f>
        <v/>
      </c>
      <c r="AH711">
        <f>IF(AND($E711=TRUE,$C711="FWD"),AB711,"")</f>
        <v/>
      </c>
    </row>
    <row r="712">
      <c r="A712" t="inlineStr">
        <is>
          <t>Fer López</t>
        </is>
      </c>
      <c r="D712" t="inlineStr">
        <is>
          <t>MID</t>
        </is>
      </c>
      <c r="E712" t="b">
        <v>0</v>
      </c>
      <c r="F712" s="2" t="n"/>
      <c r="I712" s="2" t="n">
        <v>229</v>
      </c>
      <c r="K712" s="3" t="n">
        <v>229</v>
      </c>
      <c r="L712" s="3" t="n"/>
      <c r="M712" s="4" t="n">
        <v>0.0633</v>
      </c>
      <c r="N712" t="inlineStr">
        <is>
          <t>adjusted xGOT</t>
        </is>
      </c>
      <c r="O712" s="4" t="n">
        <v>1.005</v>
      </c>
      <c r="P712" s="4" t="n">
        <v>0.2</v>
      </c>
      <c r="Q712" s="4" t="n">
        <v>0.2012</v>
      </c>
      <c r="R712" s="4" t="n">
        <v>0</v>
      </c>
      <c r="S712" s="4" t="n">
        <v>0</v>
      </c>
      <c r="T712" s="4" t="n">
        <v>3.93</v>
      </c>
      <c r="U712" s="4">
        <f>IF(T712="",IFERROR(VLOOKUP($C712,Assumptions!$A$4:$F$7,6,FALSE),0),T712)</f>
        <v/>
      </c>
      <c r="V712" s="4">
        <f>N(M712)*IFERROR(VLOOKUP($C712,Assumptions!$A$4:$F$7,2,FALSE),0)</f>
        <v/>
      </c>
      <c r="W712" s="4">
        <f>N(Q712)*IFERROR(VLOOKUP($C712,Assumptions!$A$4:$F$7,3,FALSE),0)*Assumptions!$B$11</f>
        <v/>
      </c>
      <c r="X712" s="4">
        <f>N(L712)*IFERROR(VLOOKUP($C712,Assumptions!$A$4:$F$7,4,FALSE),0)</f>
        <v/>
      </c>
      <c r="Y712" s="4">
        <f>N(R712)*IFERROR(VLOOKUP($C712,Assumptions!$A$4:$F$7,5,FALSE),0)</f>
        <v/>
      </c>
      <c r="Z712" s="4">
        <f>N(S712)</f>
        <v/>
      </c>
      <c r="AA712" s="4">
        <f>SUM(U712:Z712)</f>
        <v/>
      </c>
      <c r="AB712" s="4">
        <f>N(AA712)*N(K712)/90</f>
        <v/>
      </c>
      <c r="AC712" s="4">
        <f>IFERROR(AB712-VLOOKUP($C712,Assumptions!$A$29:$C$32,3,FALSE),"")</f>
        <v/>
      </c>
      <c r="AD712" s="4">
        <f>IFERROR(AC712/F712,"")</f>
        <v/>
      </c>
      <c r="AE712">
        <f>IF(AND($E712=TRUE,$C712="GKP"),AB712,"")</f>
        <v/>
      </c>
      <c r="AF712">
        <f>IF(AND($E712=TRUE,$C712="DEF"),AB712,"")</f>
        <v/>
      </c>
      <c r="AG712">
        <f>IF(AND($E712=TRUE,$C712="MID"),AB712,"")</f>
        <v/>
      </c>
      <c r="AH712">
        <f>IF(AND($E712=TRUE,$C712="FWD"),AB712,"")</f>
        <v/>
      </c>
    </row>
    <row r="713">
      <c r="A713" t="inlineStr">
        <is>
          <t>Mateus Mané</t>
        </is>
      </c>
      <c r="D713" t="inlineStr">
        <is>
          <t>FWD</t>
        </is>
      </c>
      <c r="E713" t="b">
        <v>0</v>
      </c>
      <c r="F713" s="2" t="n"/>
      <c r="I713" s="2" t="n">
        <v>1790</v>
      </c>
      <c r="K713" s="3" t="n">
        <v>1790</v>
      </c>
      <c r="L713" s="3" t="n"/>
      <c r="M713" s="4" t="n">
        <v>0.1151</v>
      </c>
      <c r="N713" t="inlineStr">
        <is>
          <t>adjusted xGOT</t>
        </is>
      </c>
      <c r="O713" s="4" t="n">
        <v>1.139</v>
      </c>
      <c r="P713" s="4" t="n">
        <v>2</v>
      </c>
      <c r="Q713" s="4" t="n">
        <v>0.165</v>
      </c>
      <c r="R713" s="4" t="n">
        <v>0.263</v>
      </c>
      <c r="S713" s="4" t="n">
        <v>0.4525</v>
      </c>
      <c r="T713" s="4" t="n">
        <v>2.263</v>
      </c>
      <c r="U713" s="4">
        <f>IF(T713="",IFERROR(VLOOKUP($C713,Assumptions!$A$4:$F$7,6,FALSE),0),T713)</f>
        <v/>
      </c>
      <c r="V713" s="4">
        <f>N(M713)*IFERROR(VLOOKUP($C713,Assumptions!$A$4:$F$7,2,FALSE),0)</f>
        <v/>
      </c>
      <c r="W713" s="4">
        <f>N(Q713)*IFERROR(VLOOKUP($C713,Assumptions!$A$4:$F$7,3,FALSE),0)*Assumptions!$B$11</f>
        <v/>
      </c>
      <c r="X713" s="4">
        <f>N(L713)*IFERROR(VLOOKUP($C713,Assumptions!$A$4:$F$7,4,FALSE),0)</f>
        <v/>
      </c>
      <c r="Y713" s="4">
        <f>N(R713)*IFERROR(VLOOKUP($C713,Assumptions!$A$4:$F$7,5,FALSE),0)</f>
        <v/>
      </c>
      <c r="Z713" s="4">
        <f>N(S713)</f>
        <v/>
      </c>
      <c r="AA713" s="4">
        <f>SUM(U713:Z713)</f>
        <v/>
      </c>
      <c r="AB713" s="4">
        <f>N(AA713)*N(K713)/90</f>
        <v/>
      </c>
      <c r="AC713" s="4">
        <f>IFERROR(AB713-VLOOKUP($C713,Assumptions!$A$29:$C$32,3,FALSE),"")</f>
        <v/>
      </c>
      <c r="AD713" s="4">
        <f>IFERROR(AC713/F713,"")</f>
        <v/>
      </c>
      <c r="AE713">
        <f>IF(AND($E713=TRUE,$C713="GKP"),AB713,"")</f>
        <v/>
      </c>
      <c r="AF713">
        <f>IF(AND($E713=TRUE,$C713="DEF"),AB713,"")</f>
        <v/>
      </c>
      <c r="AG713">
        <f>IF(AND($E713=TRUE,$C713="MID"),AB713,"")</f>
        <v/>
      </c>
      <c r="AH713">
        <f>IF(AND($E713=TRUE,$C713="FWD"),AB713,"")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b">
        <v>1</v>
      </c>
      <c r="F714" s="2" t="n">
        <v>5</v>
      </c>
      <c r="G714" t="inlineStr">
        <is>
          <t>a</t>
        </is>
      </c>
      <c r="I714" s="2" t="n"/>
      <c r="K714" s="3" t="n"/>
      <c r="L714" s="3" t="n">
        <v>0.421</v>
      </c>
      <c r="M714" s="4" t="n"/>
      <c r="N714" t="inlineStr"/>
      <c r="O714" s="4" t="n"/>
      <c r="P714" s="4" t="n"/>
      <c r="Q714" s="4" t="n"/>
      <c r="R714" s="4" t="n"/>
      <c r="S714" s="4" t="n"/>
      <c r="T714" s="4" t="n"/>
      <c r="U714" s="4">
        <f>IF(T714="",IFERROR(VLOOKUP($C714,Assumptions!$A$4:$F$7,6,FALSE),0),T714)</f>
        <v/>
      </c>
      <c r="V714" s="4">
        <f>N(M714)*IFERROR(VLOOKUP($C714,Assumptions!$A$4:$F$7,2,FALSE),0)</f>
        <v/>
      </c>
      <c r="W714" s="4">
        <f>N(Q714)*IFERROR(VLOOKUP($C714,Assumptions!$A$4:$F$7,3,FALSE),0)*Assumptions!$B$11</f>
        <v/>
      </c>
      <c r="X714" s="4">
        <f>N(L714)*IFERROR(VLOOKUP($C714,Assumptions!$A$4:$F$7,4,FALSE),0)</f>
        <v/>
      </c>
      <c r="Y714" s="4">
        <f>N(R714)*IFERROR(VLOOKUP($C714,Assumptions!$A$4:$F$7,5,FALSE),0)</f>
        <v/>
      </c>
      <c r="Z714" s="4">
        <f>N(S714)</f>
        <v/>
      </c>
      <c r="AA714" s="4">
        <f>SUM(U714:Z714)</f>
        <v/>
      </c>
      <c r="AB714" s="4">
        <f>N(AA714)*N(K714)/90</f>
        <v/>
      </c>
      <c r="AC714" s="4">
        <f>IFERROR(AB714-VLOOKUP($C714,Assumptions!$A$29:$C$32,3,FALSE),"")</f>
        <v/>
      </c>
      <c r="AD714" s="4">
        <f>IFERROR(AC714/F714,"")</f>
        <v/>
      </c>
      <c r="AE714">
        <f>IF(AND($E714=TRUE,$C714="GKP"),AB714,"")</f>
        <v/>
      </c>
      <c r="AF714">
        <f>IF(AND($E714=TRUE,$C714="DEF"),AB714,"")</f>
        <v/>
      </c>
      <c r="AG714">
        <f>IF(AND($E714=TRUE,$C714="MID"),AB714,"")</f>
        <v/>
      </c>
      <c r="AH714">
        <f>IF(AND($E714=TRUE,$C714="FWD"),AB714,"")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b">
        <v>1</v>
      </c>
      <c r="F715" s="2" t="n">
        <v>4</v>
      </c>
      <c r="G715" t="inlineStr">
        <is>
          <t>a</t>
        </is>
      </c>
      <c r="I715" s="2" t="n"/>
      <c r="K715" s="3" t="n"/>
      <c r="L715" s="3" t="n"/>
      <c r="M715" s="4" t="n"/>
      <c r="N715" t="inlineStr"/>
      <c r="O715" s="4" t="n"/>
      <c r="P715" s="4" t="n"/>
      <c r="Q715" s="4" t="n"/>
      <c r="R715" s="4" t="n"/>
      <c r="S715" s="4" t="n"/>
      <c r="T715" s="4" t="n"/>
      <c r="U715" s="4">
        <f>IF(T715="",IFERROR(VLOOKUP($C715,Assumptions!$A$4:$F$7,6,FALSE),0),T715)</f>
        <v/>
      </c>
      <c r="V715" s="4">
        <f>N(M715)*IFERROR(VLOOKUP($C715,Assumptions!$A$4:$F$7,2,FALSE),0)</f>
        <v/>
      </c>
      <c r="W715" s="4">
        <f>N(Q715)*IFERROR(VLOOKUP($C715,Assumptions!$A$4:$F$7,3,FALSE),0)*Assumptions!$B$11</f>
        <v/>
      </c>
      <c r="X715" s="4">
        <f>N(L715)*IFERROR(VLOOKUP($C715,Assumptions!$A$4:$F$7,4,FALSE),0)</f>
        <v/>
      </c>
      <c r="Y715" s="4">
        <f>N(R715)*IFERROR(VLOOKUP($C715,Assumptions!$A$4:$F$7,5,FALSE),0)</f>
        <v/>
      </c>
      <c r="Z715" s="4">
        <f>N(S715)</f>
        <v/>
      </c>
      <c r="AA715" s="4">
        <f>SUM(U715:Z715)</f>
        <v/>
      </c>
      <c r="AB715" s="4">
        <f>N(AA715)*N(K715)/90</f>
        <v/>
      </c>
      <c r="AC715" s="4">
        <f>IFERROR(AB715-VLOOKUP($C715,Assumptions!$A$29:$C$32,3,FALSE),"")</f>
        <v/>
      </c>
      <c r="AD715" s="4">
        <f>IFERROR(AC715/F715,"")</f>
        <v/>
      </c>
      <c r="AE715">
        <f>IF(AND($E715=TRUE,$C715="GKP"),AB715,"")</f>
        <v/>
      </c>
      <c r="AF715">
        <f>IF(AND($E715=TRUE,$C715="DEF"),AB715,"")</f>
        <v/>
      </c>
      <c r="AG715">
        <f>IF(AND($E715=TRUE,$C715="MID"),AB715,"")</f>
        <v/>
      </c>
      <c r="AH715">
        <f>IF(AND($E715=TRUE,$C715="FWD"),AB715,"")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b">
        <v>1</v>
      </c>
      <c r="F716" s="2" t="n">
        <v>5</v>
      </c>
      <c r="G716" t="inlineStr">
        <is>
          <t>a</t>
        </is>
      </c>
      <c r="I716" s="2" t="n"/>
      <c r="K716" s="3" t="n"/>
      <c r="L716" s="3" t="n"/>
      <c r="M716" s="4" t="n"/>
      <c r="N716" t="inlineStr"/>
      <c r="O716" s="4" t="n"/>
      <c r="P716" s="4" t="n"/>
      <c r="Q716" s="4" t="n"/>
      <c r="R716" s="4" t="n"/>
      <c r="S716" s="4" t="n"/>
      <c r="T716" s="4" t="n"/>
      <c r="U716" s="4">
        <f>IF(T716="",IFERROR(VLOOKUP($C716,Assumptions!$A$4:$F$7,6,FALSE),0),T716)</f>
        <v/>
      </c>
      <c r="V716" s="4">
        <f>N(M716)*IFERROR(VLOOKUP($C716,Assumptions!$A$4:$F$7,2,FALSE),0)</f>
        <v/>
      </c>
      <c r="W716" s="4">
        <f>N(Q716)*IFERROR(VLOOKUP($C716,Assumptions!$A$4:$F$7,3,FALSE),0)*Assumptions!$B$11</f>
        <v/>
      </c>
      <c r="X716" s="4">
        <f>N(L716)*IFERROR(VLOOKUP($C716,Assumptions!$A$4:$F$7,4,FALSE),0)</f>
        <v/>
      </c>
      <c r="Y716" s="4">
        <f>N(R716)*IFERROR(VLOOKUP($C716,Assumptions!$A$4:$F$7,5,FALSE),0)</f>
        <v/>
      </c>
      <c r="Z716" s="4">
        <f>N(S716)</f>
        <v/>
      </c>
      <c r="AA716" s="4">
        <f>SUM(U716:Z716)</f>
        <v/>
      </c>
      <c r="AB716" s="4">
        <f>N(AA716)*N(K716)/90</f>
        <v/>
      </c>
      <c r="AC716" s="4">
        <f>IFERROR(AB716-VLOOKUP($C716,Assumptions!$A$29:$C$32,3,FALSE),"")</f>
        <v/>
      </c>
      <c r="AD716" s="4">
        <f>IFERROR(AC716/F716,"")</f>
        <v/>
      </c>
      <c r="AE716">
        <f>IF(AND($E716=TRUE,$C716="GKP"),AB716,"")</f>
        <v/>
      </c>
      <c r="AF716">
        <f>IF(AND($E716=TRUE,$C716="DEF"),AB716,"")</f>
        <v/>
      </c>
      <c r="AG716">
        <f>IF(AND($E716=TRUE,$C716="MID"),AB716,"")</f>
        <v/>
      </c>
      <c r="AH716">
        <f>IF(AND($E716=TRUE,$C716="FWD"),AB716,"")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b">
        <v>1</v>
      </c>
      <c r="F717" s="2" t="n">
        <v>4.5</v>
      </c>
      <c r="G717" t="inlineStr">
        <is>
          <t>a</t>
        </is>
      </c>
      <c r="I717" s="2" t="n"/>
      <c r="K717" s="3" t="n"/>
      <c r="L717" s="3" t="n"/>
      <c r="M717" s="4" t="n"/>
      <c r="N717" t="inlineStr"/>
      <c r="O717" s="4" t="n"/>
      <c r="P717" s="4" t="n"/>
      <c r="Q717" s="4" t="n"/>
      <c r="R717" s="4" t="n"/>
      <c r="S717" s="4" t="n"/>
      <c r="T717" s="4" t="n"/>
      <c r="U717" s="4">
        <f>IF(T717="",IFERROR(VLOOKUP($C717,Assumptions!$A$4:$F$7,6,FALSE),0),T717)</f>
        <v/>
      </c>
      <c r="V717" s="4">
        <f>N(M717)*IFERROR(VLOOKUP($C717,Assumptions!$A$4:$F$7,2,FALSE),0)</f>
        <v/>
      </c>
      <c r="W717" s="4">
        <f>N(Q717)*IFERROR(VLOOKUP($C717,Assumptions!$A$4:$F$7,3,FALSE),0)*Assumptions!$B$11</f>
        <v/>
      </c>
      <c r="X717" s="4">
        <f>N(L717)*IFERROR(VLOOKUP($C717,Assumptions!$A$4:$F$7,4,FALSE),0)</f>
        <v/>
      </c>
      <c r="Y717" s="4">
        <f>N(R717)*IFERROR(VLOOKUP($C717,Assumptions!$A$4:$F$7,5,FALSE),0)</f>
        <v/>
      </c>
      <c r="Z717" s="4">
        <f>N(S717)</f>
        <v/>
      </c>
      <c r="AA717" s="4">
        <f>SUM(U717:Z717)</f>
        <v/>
      </c>
      <c r="AB717" s="4">
        <f>N(AA717)*N(K717)/90</f>
        <v/>
      </c>
      <c r="AC717" s="4">
        <f>IFERROR(AB717-VLOOKUP($C717,Assumptions!$A$29:$C$32,3,FALSE),"")</f>
        <v/>
      </c>
      <c r="AD717" s="4">
        <f>IFERROR(AC717/F717,"")</f>
        <v/>
      </c>
      <c r="AE717">
        <f>IF(AND($E717=TRUE,$C717="GKP"),AB717,"")</f>
        <v/>
      </c>
      <c r="AF717">
        <f>IF(AND($E717=TRUE,$C717="DEF"),AB717,"")</f>
        <v/>
      </c>
      <c r="AG717">
        <f>IF(AND($E717=TRUE,$C717="MID"),AB717,"")</f>
        <v/>
      </c>
      <c r="AH717">
        <f>IF(AND($E717=TRUE,$C717="FWD"),AB717,"")</f>
        <v/>
      </c>
    </row>
    <row r="718">
      <c r="A718" t="inlineStr">
        <is>
          <t>Jerome Abbey</t>
        </is>
      </c>
      <c r="D718" t="inlineStr">
        <is>
          <t>MID</t>
        </is>
      </c>
      <c r="E718" t="b">
        <v>0</v>
      </c>
      <c r="F718" s="2" t="n"/>
      <c r="I718" s="2" t="n">
        <v>16</v>
      </c>
      <c r="K718" s="3" t="n">
        <v>16</v>
      </c>
      <c r="L718" s="3" t="n"/>
      <c r="M718" s="4" t="n"/>
      <c r="N718" t="inlineStr"/>
      <c r="O718" s="4" t="n">
        <v>1</v>
      </c>
      <c r="P718" s="4" t="n">
        <v>0</v>
      </c>
      <c r="Q718" s="4" t="n"/>
      <c r="R718" s="4" t="n"/>
      <c r="S718" s="4" t="n">
        <v>0</v>
      </c>
      <c r="T718" s="4" t="n">
        <v>5.625</v>
      </c>
      <c r="U718" s="4">
        <f>IF(T718="",IFERROR(VLOOKUP($C718,Assumptions!$A$4:$F$7,6,FALSE),0),T718)</f>
        <v/>
      </c>
      <c r="V718" s="4">
        <f>N(M718)*IFERROR(VLOOKUP($C718,Assumptions!$A$4:$F$7,2,FALSE),0)</f>
        <v/>
      </c>
      <c r="W718" s="4">
        <f>N(Q718)*IFERROR(VLOOKUP($C718,Assumptions!$A$4:$F$7,3,FALSE),0)*Assumptions!$B$11</f>
        <v/>
      </c>
      <c r="X718" s="4">
        <f>N(L718)*IFERROR(VLOOKUP($C718,Assumptions!$A$4:$F$7,4,FALSE),0)</f>
        <v/>
      </c>
      <c r="Y718" s="4">
        <f>N(R718)*IFERROR(VLOOKUP($C718,Assumptions!$A$4:$F$7,5,FALSE),0)</f>
        <v/>
      </c>
      <c r="Z718" s="4">
        <f>N(S718)</f>
        <v/>
      </c>
      <c r="AA718" s="4">
        <f>SUM(U718:Z718)</f>
        <v/>
      </c>
      <c r="AB718" s="4">
        <f>N(AA718)*N(K718)/90</f>
        <v/>
      </c>
      <c r="AC718" s="4">
        <f>IFERROR(AB718-VLOOKUP($C718,Assumptions!$A$29:$C$32,3,FALSE),"")</f>
        <v/>
      </c>
      <c r="AD718" s="4">
        <f>IFERROR(AC718/F718,"")</f>
        <v/>
      </c>
      <c r="AE718">
        <f>IF(AND($E718=TRUE,$C718="GKP"),AB718,"")</f>
        <v/>
      </c>
      <c r="AF718">
        <f>IF(AND($E718=TRUE,$C718="DEF"),AB718,"")</f>
        <v/>
      </c>
      <c r="AG718">
        <f>IF(AND($E718=TRUE,$C718="MID"),AB718,"")</f>
        <v/>
      </c>
      <c r="AH718">
        <f>IF(AND($E718=TRUE,$C718="FWD"),AB718,"")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b">
        <v>1</v>
      </c>
      <c r="F719" s="2" t="n">
        <v>5.5</v>
      </c>
      <c r="G719" t="inlineStr">
        <is>
          <t>a</t>
        </is>
      </c>
      <c r="I719" s="2" t="n"/>
      <c r="K719" s="3" t="n"/>
      <c r="L719" s="3" t="n">
        <v>0.237</v>
      </c>
      <c r="M719" s="4" t="n"/>
      <c r="N719" t="inlineStr"/>
      <c r="O719" s="4" t="n"/>
      <c r="P719" s="4" t="n"/>
      <c r="Q719" s="4" t="n"/>
      <c r="R719" s="4" t="n"/>
      <c r="S719" s="4" t="n"/>
      <c r="T719" s="4" t="n"/>
      <c r="U719" s="4">
        <f>IF(T719="",IFERROR(VLOOKUP($C719,Assumptions!$A$4:$F$7,6,FALSE),0),T719)</f>
        <v/>
      </c>
      <c r="V719" s="4">
        <f>N(M719)*IFERROR(VLOOKUP($C719,Assumptions!$A$4:$F$7,2,FALSE),0)</f>
        <v/>
      </c>
      <c r="W719" s="4">
        <f>N(Q719)*IFERROR(VLOOKUP($C719,Assumptions!$A$4:$F$7,3,FALSE),0)*Assumptions!$B$11</f>
        <v/>
      </c>
      <c r="X719" s="4">
        <f>N(L719)*IFERROR(VLOOKUP($C719,Assumptions!$A$4:$F$7,4,FALSE),0)</f>
        <v/>
      </c>
      <c r="Y719" s="4">
        <f>N(R719)*IFERROR(VLOOKUP($C719,Assumptions!$A$4:$F$7,5,FALSE),0)</f>
        <v/>
      </c>
      <c r="Z719" s="4">
        <f>N(S719)</f>
        <v/>
      </c>
      <c r="AA719" s="4">
        <f>SUM(U719:Z719)</f>
        <v/>
      </c>
      <c r="AB719" s="4">
        <f>N(AA719)*N(K719)/90</f>
        <v/>
      </c>
      <c r="AC719" s="4">
        <f>IFERROR(AB719-VLOOKUP($C719,Assumptions!$A$29:$C$32,3,FALSE),"")</f>
        <v/>
      </c>
      <c r="AD719" s="4">
        <f>IFERROR(AC719/F719,"")</f>
        <v/>
      </c>
      <c r="AE719">
        <f>IF(AND($E719=TRUE,$C719="GKP"),AB719,"")</f>
        <v/>
      </c>
      <c r="AF719">
        <f>IF(AND($E719=TRUE,$C719="DEF"),AB719,"")</f>
        <v/>
      </c>
      <c r="AG719">
        <f>IF(AND($E719=TRUE,$C719="MID"),AB719,"")</f>
        <v/>
      </c>
      <c r="AH719">
        <f>IF(AND($E719=TRUE,$C719="FWD"),AB719,"")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b">
        <v>1</v>
      </c>
      <c r="F720" s="2" t="n">
        <v>5</v>
      </c>
      <c r="G720" t="inlineStr">
        <is>
          <t>a</t>
        </is>
      </c>
      <c r="I720" s="2" t="n"/>
      <c r="K720" s="3" t="n"/>
      <c r="L720" s="3" t="n">
        <v>0.263</v>
      </c>
      <c r="M720" s="4" t="n"/>
      <c r="N720" t="inlineStr"/>
      <c r="O720" s="4" t="n"/>
      <c r="P720" s="4" t="n"/>
      <c r="Q720" s="4" t="n"/>
      <c r="R720" s="4" t="n"/>
      <c r="S720" s="4" t="n"/>
      <c r="T720" s="4" t="n"/>
      <c r="U720" s="4">
        <f>IF(T720="",IFERROR(VLOOKUP($C720,Assumptions!$A$4:$F$7,6,FALSE),0),T720)</f>
        <v/>
      </c>
      <c r="V720" s="4">
        <f>N(M720)*IFERROR(VLOOKUP($C720,Assumptions!$A$4:$F$7,2,FALSE),0)</f>
        <v/>
      </c>
      <c r="W720" s="4">
        <f>N(Q720)*IFERROR(VLOOKUP($C720,Assumptions!$A$4:$F$7,3,FALSE),0)*Assumptions!$B$11</f>
        <v/>
      </c>
      <c r="X720" s="4">
        <f>N(L720)*IFERROR(VLOOKUP($C720,Assumptions!$A$4:$F$7,4,FALSE),0)</f>
        <v/>
      </c>
      <c r="Y720" s="4">
        <f>N(R720)*IFERROR(VLOOKUP($C720,Assumptions!$A$4:$F$7,5,FALSE),0)</f>
        <v/>
      </c>
      <c r="Z720" s="4">
        <f>N(S720)</f>
        <v/>
      </c>
      <c r="AA720" s="4">
        <f>SUM(U720:Z720)</f>
        <v/>
      </c>
      <c r="AB720" s="4">
        <f>N(AA720)*N(K720)/90</f>
        <v/>
      </c>
      <c r="AC720" s="4">
        <f>IFERROR(AB720-VLOOKUP($C720,Assumptions!$A$29:$C$32,3,FALSE),"")</f>
        <v/>
      </c>
      <c r="AD720" s="4">
        <f>IFERROR(AC720/F720,"")</f>
        <v/>
      </c>
      <c r="AE720">
        <f>IF(AND($E720=TRUE,$C720="GKP"),AB720,"")</f>
        <v/>
      </c>
      <c r="AF720">
        <f>IF(AND($E720=TRUE,$C720="DEF"),AB720,"")</f>
        <v/>
      </c>
      <c r="AG720">
        <f>IF(AND($E720=TRUE,$C720="MID"),AB720,"")</f>
        <v/>
      </c>
      <c r="AH720">
        <f>IF(AND($E720=TRUE,$C720="FWD"),AB720,"")</f>
        <v/>
      </c>
    </row>
  </sheetData>
  <autoFilter ref="A1:AH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3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 rate</t>
        </is>
      </c>
      <c r="B20" s="7" t="inlineStr">
        <is>
          <t>Share of starts that cleared the threshold in 2025/26, re-scored at the 2026/27 threshold for the player's 2026/27 position (10 for DEF, 12 for MID and FWD). Ten players were reclassified, so this differs from what they actually scored.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VORP</t>
        </is>
      </c>
      <c r="B22" s="7" t="inlineStr">
        <is>
          <t>xPts season minus the replacement level at that position — the best player still on the board once every team has filled its slots. Set the league size and slots below. Raw xPts asks who scores most; VORP asks who scores most above what you would get at that slot anyway.</t>
        </is>
      </c>
    </row>
    <row r="23" ht="46" customHeight="1">
      <c r="A23" s="5" t="inlineStr">
        <is>
          <t>VORP per £m</t>
        </is>
      </c>
      <c r="B23" s="7" t="inlineStr">
        <is>
          <t>VORP divided by price. Pure VORP measures scarcity alone; this measures scarcity against the £100m budget that still binds you in a normal FPL season.</t>
        </is>
      </c>
    </row>
    <row r="24" ht="46" customHeight="1">
      <c r="A24" s="5" t="inlineStr">
        <is>
          <t>Appearance</t>
        </is>
      </c>
      <c r="B24" s="7" t="inlineStr">
        <is>
          <t>2 points for 60+ minutes, 1 below. Modelled here as the player's actual 2025/26 appearance points per 90, which captures substitutes properly. Regular starters land near 2.</t>
        </is>
      </c>
    </row>
    <row r="25">
      <c r="A25" s="5" t="inlineStr">
        <is>
          <t>VORP settings</t>
        </is>
      </c>
    </row>
    <row r="26">
      <c r="A26" t="inlineStr">
        <is>
          <t>Teams in league</t>
        </is>
      </c>
      <c r="B26" s="3" t="n">
        <v>8</v>
      </c>
    </row>
    <row r="28">
      <c r="A28" s="6" t="inlineStr">
        <is>
          <t>Position</t>
        </is>
      </c>
      <c r="B28" s="6" t="inlineStr">
        <is>
          <t>Squad slots per team</t>
        </is>
      </c>
      <c r="C28" s="6" t="inlineStr">
        <is>
          <t>Replacement xPts</t>
        </is>
      </c>
    </row>
    <row r="29">
      <c r="A29" t="inlineStr">
        <is>
          <t>GKP</t>
        </is>
      </c>
      <c r="B29" s="3" t="n">
        <v>2</v>
      </c>
      <c r="C29" s="8">
        <f>IFERROR(LARGE('xPts model'!$AE$2:$AE$720,$B$26*B29+1),0)</f>
        <v/>
      </c>
    </row>
    <row r="30">
      <c r="A30" t="inlineStr">
        <is>
          <t>DEF</t>
        </is>
      </c>
      <c r="B30" s="3" t="n">
        <v>5</v>
      </c>
      <c r="C30" s="8">
        <f>IFERROR(LARGE('xPts model'!$AF$2:$AF$720,$B$26*B30+1),0)</f>
        <v/>
      </c>
    </row>
    <row r="31">
      <c r="A31" t="inlineStr">
        <is>
          <t>MID</t>
        </is>
      </c>
      <c r="B31" s="3" t="n">
        <v>5</v>
      </c>
      <c r="C31" s="8">
        <f>IFERROR(LARGE('xPts model'!$AG$2:$AG$720,$B$26*B31+1),0)</f>
        <v/>
      </c>
    </row>
    <row r="32">
      <c r="A32" t="inlineStr">
        <is>
          <t>FWD</t>
        </is>
      </c>
      <c r="B32" s="3" t="n">
        <v>3</v>
      </c>
      <c r="C32" s="8">
        <f>IFERROR(LARGE('xPts model'!$AH$2:$AH$720,$B$26*B32+1),0)</f>
        <v/>
      </c>
    </row>
    <row r="34" ht="46" customHeight="1">
      <c r="A34" s="7" t="inlineStr">
        <is>
          <t>Replacement level is the best player at that position still available once every team has filled its slots: the (teams x slots + 1)-th best. Only players registered for 2026/27 count toward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Mins per shot</t>
        </is>
      </c>
      <c r="B121" t="inlineStr">
        <is>
          <t>Minutes divided by pl_total_scoring_att; matches the 'mins per' convention used in last year's sheet</t>
        </is>
      </c>
      <c r="C121" t="inlineStr">
        <is>
          <t>derived</t>
        </is>
      </c>
    </row>
    <row r="122">
      <c r="A122" t="inlineStr">
        <is>
          <t>Mins per touch in box</t>
        </is>
      </c>
      <c r="B122" t="inlineStr">
        <is>
          <t>Minutes divided by pl_touches_in_opp_box; matches the 'mins per' convention used in last year's sheet</t>
        </is>
      </c>
      <c r="C122" t="inlineStr">
        <is>
          <t>derived</t>
        </is>
      </c>
    </row>
    <row r="123">
      <c r="A123" t="inlineStr">
        <is>
          <t>Mins per chance created</t>
        </is>
      </c>
      <c r="B123" t="inlineStr">
        <is>
          <t>Minutes divided by pl_total_att_assist; matches the 'mins per' convention used in last year's sheet</t>
        </is>
      </c>
      <c r="C123" t="inlineStr">
        <is>
          <t>derived</t>
        </is>
      </c>
    </row>
    <row r="124">
      <c r="A124" t="inlineStr">
        <is>
          <t>Mins per xG (blend)</t>
        </is>
      </c>
      <c r="B124" t="inlineStr">
        <is>
          <t>Minutes divided by xG_blend; matches the 'mins per' convention used in last year's sheet</t>
        </is>
      </c>
      <c r="C124" t="inlineStr">
        <is>
          <t>derived</t>
        </is>
      </c>
    </row>
    <row r="125">
      <c r="A125" t="inlineStr">
        <is>
          <t>Mins per xA (blend)</t>
        </is>
      </c>
      <c r="B125" t="inlineStr">
        <is>
          <t>Minutes divided by xA_blend; matches the 'mins per' convention used in last year's sheet</t>
        </is>
      </c>
      <c r="C125" t="inlineStr">
        <is>
          <t>derived</t>
        </is>
      </c>
    </row>
    <row r="126">
      <c r="A126" t="inlineStr">
        <is>
          <t>Mins per xGI (blend)</t>
        </is>
      </c>
      <c r="B126" t="inlineStr">
        <is>
          <t>Minutes divided by xGI_blend; matches the 'mins per' convention used in last year's sheet</t>
        </is>
      </c>
      <c r="C126" t="inlineStr">
        <is>
          <t>derived</t>
        </is>
      </c>
    </row>
    <row r="127">
      <c r="A127" t="inlineStr">
        <is>
          <t>Mins per point</t>
        </is>
      </c>
      <c r="B127" t="inlineStr">
        <is>
          <t>Minutes divided by fpl_total_points; matches the 'mins per' convention used in last year's sheet</t>
        </is>
      </c>
      <c r="C127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2026-08-15T04:40:19Z</dcterms:created>
  <dcterms:modified xsi:type="dcterms:W3CDTF">2026-08-15T06:07:14Z</dcterms:modified>
</cp:coreProperties>
</file>