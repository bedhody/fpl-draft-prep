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'Players'!$A$1:$EL$720</definedName>
    <definedName name="_xlnm._FilterDatabase" localSheetId="1" hidden="1">'xPts model'!$A$1:$AL$720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Solio season pts</t>
        </is>
      </c>
      <c r="DQ1" t="inlineStr">
        <is>
          <t>Solio H1 pts (GW1-19)</t>
        </is>
      </c>
      <c r="DR1" t="inlineStr">
        <is>
          <t>Solio naive x2</t>
        </is>
      </c>
      <c r="DS1" t="inlineStr">
        <is>
          <t>Solio correction</t>
        </is>
      </c>
      <c r="DT1" t="inlineStr">
        <is>
          <t>Solio xMins (season)</t>
        </is>
      </c>
      <c r="DU1" t="inlineStr">
        <is>
          <t>Solio xMins (settled)</t>
        </is>
      </c>
      <c r="DV1" t="inlineStr">
        <is>
          <t>Solio xMins pattern</t>
        </is>
      </c>
      <c r="DW1" t="inlineStr">
        <is>
          <t>ADP</t>
        </is>
      </c>
      <c r="DX1" t="inlineStr">
        <is>
          <t>ADP (8-team only)</t>
        </is>
      </c>
      <c r="DY1" t="inlineStr">
        <is>
          <t>ADP spread</t>
        </is>
      </c>
      <c r="DZ1" t="inlineStr">
        <is>
          <t>ADP earliest</t>
        </is>
      </c>
      <c r="EA1" t="inlineStr">
        <is>
          <t>ADP latest</t>
        </is>
      </c>
      <c r="EB1" t="inlineStr">
        <is>
          <t>Times drafted</t>
        </is>
      </c>
      <c r="EC1" t="inlineStr">
        <is>
          <t>Drafted %</t>
        </is>
      </c>
      <c r="ED1" t="inlineStr">
        <is>
          <t>Auto-pick %</t>
        </is>
      </c>
      <c r="EE1" t="inlineStr">
        <is>
          <t>FPL draft rank</t>
        </is>
      </c>
      <c r="EF1" t="inlineStr">
        <is>
          <t>Mins per shot</t>
        </is>
      </c>
      <c r="EG1" t="inlineStr">
        <is>
          <t>Mins per touch in box</t>
        </is>
      </c>
      <c r="EH1" t="inlineStr">
        <is>
          <t>Mins per chance created</t>
        </is>
      </c>
      <c r="EI1" t="inlineStr">
        <is>
          <t>Mins per xG (blend)</t>
        </is>
      </c>
      <c r="EJ1" t="inlineStr">
        <is>
          <t>Mins per xA (blend)</t>
        </is>
      </c>
      <c r="EK1" t="inlineStr">
        <is>
          <t>Mins per xGI (blend)</t>
        </is>
      </c>
      <c r="EL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249.31</v>
      </c>
      <c r="DQ2" t="n">
        <v>124.38</v>
      </c>
      <c r="DR2" t="n">
        <v>248.76</v>
      </c>
      <c r="DS2" t="n">
        <v>0.55</v>
      </c>
      <c r="DT2" t="n">
        <v>3204</v>
      </c>
      <c r="DU2" t="n">
        <v>84.31</v>
      </c>
      <c r="DV2" t="inlineStr">
        <is>
          <t>flat</t>
        </is>
      </c>
      <c r="DW2" t="n">
        <v>1.01</v>
      </c>
      <c r="DX2" t="n">
        <v>1.19</v>
      </c>
      <c r="DY2" t="n">
        <v>0.54</v>
      </c>
      <c r="DZ2" t="n">
        <v>0.5</v>
      </c>
      <c r="EA2" t="n">
        <v>7</v>
      </c>
      <c r="EB2" t="n">
        <v>174</v>
      </c>
      <c r="EC2" t="n">
        <v>83.7</v>
      </c>
      <c r="ED2" t="n">
        <v>18.7</v>
      </c>
      <c r="EE2" t="n">
        <v>1</v>
      </c>
      <c r="EF2" t="n">
        <v>23.4</v>
      </c>
      <c r="EG2" t="n">
        <v>13.9</v>
      </c>
      <c r="EH2" t="n">
        <v>118.1</v>
      </c>
      <c r="EI2" t="n">
        <v>108.8</v>
      </c>
      <c r="EJ2" t="n">
        <v>722.2</v>
      </c>
      <c r="EK2" t="n">
        <v>94.5</v>
      </c>
      <c r="EL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226.84</v>
      </c>
      <c r="DQ3" t="n">
        <v>113.42</v>
      </c>
      <c r="DR3" t="n">
        <v>226.84</v>
      </c>
      <c r="DS3" t="n">
        <v>0</v>
      </c>
      <c r="DT3" t="n">
        <v>3342</v>
      </c>
      <c r="DU3" t="n">
        <v>87.95999999999999</v>
      </c>
      <c r="DV3" t="inlineStr">
        <is>
          <t>flat</t>
        </is>
      </c>
      <c r="DW3" t="n">
        <v>2.55</v>
      </c>
      <c r="DX3" t="n">
        <v>2.42</v>
      </c>
      <c r="DY3" t="n">
        <v>4.35</v>
      </c>
      <c r="DZ3" t="n">
        <v>0.73</v>
      </c>
      <c r="EA3" t="n">
        <v>58.4</v>
      </c>
      <c r="EB3" t="n">
        <v>176</v>
      </c>
      <c r="EC3" t="n">
        <v>84.59999999999999</v>
      </c>
      <c r="ED3" t="n">
        <v>18.1</v>
      </c>
      <c r="EE3" t="n">
        <v>2</v>
      </c>
      <c r="EF3" t="n">
        <v>36.1</v>
      </c>
      <c r="EG3" t="n">
        <v>33.7</v>
      </c>
      <c r="EH3" t="n">
        <v>22.5</v>
      </c>
      <c r="EI3" t="n">
        <v>269.8</v>
      </c>
      <c r="EJ3" t="n">
        <v>204.1</v>
      </c>
      <c r="EK3" t="n">
        <v>116.2</v>
      </c>
      <c r="EL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185.19</v>
      </c>
      <c r="DQ4" t="n">
        <v>92.84999999999999</v>
      </c>
      <c r="DR4" t="n">
        <v>185.7</v>
      </c>
      <c r="DS4" t="n">
        <v>-0.51</v>
      </c>
      <c r="DT4" t="n">
        <v>3283</v>
      </c>
      <c r="DU4" t="n">
        <v>86.40000000000001</v>
      </c>
      <c r="DV4" t="inlineStr">
        <is>
          <t>flat</t>
        </is>
      </c>
      <c r="DW4" t="n">
        <v>7.62</v>
      </c>
      <c r="DX4" t="n">
        <v>7.31</v>
      </c>
      <c r="DY4" t="n">
        <v>3.58</v>
      </c>
      <c r="DZ4" t="n">
        <v>1</v>
      </c>
      <c r="EA4" t="n">
        <v>22.67</v>
      </c>
      <c r="EB4" t="n">
        <v>175</v>
      </c>
      <c r="EC4" t="n">
        <v>84.09999999999999</v>
      </c>
      <c r="ED4" t="n">
        <v>18.2</v>
      </c>
      <c r="EE4" t="n">
        <v>7</v>
      </c>
      <c r="EF4" t="n">
        <v>101.9</v>
      </c>
      <c r="EG4" t="n">
        <v>59.8</v>
      </c>
      <c r="EH4" t="n">
        <v>392.9</v>
      </c>
      <c r="EI4" t="n">
        <v>724.7</v>
      </c>
      <c r="EJ4" t="n">
        <v>1229</v>
      </c>
      <c r="EK4" t="n">
        <v>455.9</v>
      </c>
      <c r="EL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182.2</v>
      </c>
      <c r="DQ5" t="n">
        <v>91.09999999999999</v>
      </c>
      <c r="DR5" t="n">
        <v>182.2</v>
      </c>
      <c r="DS5" t="n">
        <v>0</v>
      </c>
      <c r="DT5" t="n">
        <v>3106</v>
      </c>
      <c r="DU5" t="n">
        <v>81.75</v>
      </c>
      <c r="DV5" t="inlineStr">
        <is>
          <t>flat</t>
        </is>
      </c>
      <c r="DW5" t="n">
        <v>7.48</v>
      </c>
      <c r="DX5" t="n">
        <v>7.35</v>
      </c>
      <c r="DY5" t="n">
        <v>9.27</v>
      </c>
      <c r="DZ5" t="n">
        <v>1.6</v>
      </c>
      <c r="EA5" t="n">
        <v>93.59999999999999</v>
      </c>
      <c r="EB5" t="n">
        <v>182</v>
      </c>
      <c r="EC5" t="n">
        <v>87.5</v>
      </c>
      <c r="ED5" t="n">
        <v>15.3</v>
      </c>
      <c r="EE5" t="n">
        <v>6</v>
      </c>
      <c r="EF5" t="n">
        <v>38.6</v>
      </c>
      <c r="EG5" t="n">
        <v>18.2</v>
      </c>
      <c r="EH5" t="n">
        <v>82.09999999999999</v>
      </c>
      <c r="EI5" t="n">
        <v>267.4</v>
      </c>
      <c r="EJ5" t="n">
        <v>882.7</v>
      </c>
      <c r="EK5" t="n">
        <v>205.2</v>
      </c>
      <c r="EL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182.08</v>
      </c>
      <c r="DQ6" t="n">
        <v>91.04000000000001</v>
      </c>
      <c r="DR6" t="n">
        <v>182.08</v>
      </c>
      <c r="DS6" t="n">
        <v>0</v>
      </c>
      <c r="DT6" t="n">
        <v>3301</v>
      </c>
      <c r="DU6" t="n">
        <v>86.86</v>
      </c>
      <c r="DV6" t="inlineStr">
        <is>
          <t>flat</t>
        </is>
      </c>
      <c r="DW6" t="n">
        <v>16.5</v>
      </c>
      <c r="DX6" t="n">
        <v>16.03</v>
      </c>
      <c r="DY6" t="n">
        <v>10.94</v>
      </c>
      <c r="DZ6" t="n">
        <v>3.08</v>
      </c>
      <c r="EA6" t="n">
        <v>80</v>
      </c>
      <c r="EB6" t="n">
        <v>147</v>
      </c>
      <c r="EC6" t="n">
        <v>70.7</v>
      </c>
      <c r="ED6" t="n">
        <v>31.3</v>
      </c>
      <c r="EE6" t="n">
        <v>8</v>
      </c>
      <c r="EF6" t="n">
        <v>37.4</v>
      </c>
      <c r="EG6" t="n">
        <v>24.6</v>
      </c>
      <c r="EH6" t="n">
        <v>63.3</v>
      </c>
      <c r="EI6" t="n">
        <v>275.9</v>
      </c>
      <c r="EJ6" t="n">
        <v>836.5</v>
      </c>
      <c r="EK6" t="n">
        <v>207.5</v>
      </c>
      <c r="EL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152.45</v>
      </c>
      <c r="DQ7" t="n">
        <v>75.39</v>
      </c>
      <c r="DR7" t="n">
        <v>150.78</v>
      </c>
      <c r="DS7" t="n">
        <v>1.67</v>
      </c>
      <c r="DT7" t="n">
        <v>3106</v>
      </c>
      <c r="DU7" t="n">
        <v>81.75</v>
      </c>
      <c r="DV7" t="inlineStr">
        <is>
          <t>flat</t>
        </is>
      </c>
      <c r="DW7" t="n">
        <v>16.02</v>
      </c>
      <c r="DX7" t="n">
        <v>16.67</v>
      </c>
      <c r="DY7" t="n">
        <v>8.82</v>
      </c>
      <c r="DZ7" t="n">
        <v>2</v>
      </c>
      <c r="EA7" t="n">
        <v>81.33</v>
      </c>
      <c r="EB7" t="n">
        <v>173</v>
      </c>
      <c r="EC7" t="n">
        <v>83.2</v>
      </c>
      <c r="ED7" t="n">
        <v>19.2</v>
      </c>
      <c r="EE7" t="n">
        <v>13</v>
      </c>
      <c r="EF7" t="n">
        <v>77.3</v>
      </c>
      <c r="EG7" t="n">
        <v>55.2</v>
      </c>
      <c r="EH7" t="n">
        <v>49.1</v>
      </c>
      <c r="EI7" t="n">
        <v>900.3</v>
      </c>
      <c r="EJ7" t="n">
        <v>399.6</v>
      </c>
      <c r="EK7" t="n">
        <v>276.8</v>
      </c>
      <c r="EL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167.6</v>
      </c>
      <c r="DQ8" t="n">
        <v>83.8</v>
      </c>
      <c r="DR8" t="n">
        <v>167.6</v>
      </c>
      <c r="DS8" t="n">
        <v>0</v>
      </c>
      <c r="DT8" t="n">
        <v>3209</v>
      </c>
      <c r="DU8" t="n">
        <v>84.45</v>
      </c>
      <c r="DV8" t="inlineStr">
        <is>
          <t>flat</t>
        </is>
      </c>
      <c r="DW8" t="n">
        <v>11.04</v>
      </c>
      <c r="DX8" t="n">
        <v>10.65</v>
      </c>
      <c r="DY8" t="n">
        <v>8.460000000000001</v>
      </c>
      <c r="DZ8" t="n">
        <v>2.5</v>
      </c>
      <c r="EA8" t="n">
        <v>90.40000000000001</v>
      </c>
      <c r="EB8" t="n">
        <v>179</v>
      </c>
      <c r="EC8" t="n">
        <v>86.09999999999999</v>
      </c>
      <c r="ED8" t="n">
        <v>16.4</v>
      </c>
      <c r="EE8" t="n">
        <v>9</v>
      </c>
      <c r="EF8" t="n">
        <v>39.1</v>
      </c>
      <c r="EG8" t="n">
        <v>19.4</v>
      </c>
      <c r="EH8" t="n">
        <v>136.8</v>
      </c>
      <c r="EI8" t="n">
        <v>144.9</v>
      </c>
      <c r="EJ8" t="n">
        <v>1243.2</v>
      </c>
      <c r="EK8" t="n">
        <v>129.8</v>
      </c>
      <c r="EL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116.9</v>
      </c>
      <c r="DQ9" t="n">
        <v>63.21</v>
      </c>
      <c r="DR9" t="n">
        <v>126.42</v>
      </c>
      <c r="DS9" t="n">
        <v>-9.52</v>
      </c>
      <c r="DT9" t="n">
        <v>2096</v>
      </c>
      <c r="DU9" t="n">
        <v>55.17</v>
      </c>
      <c r="DV9" t="inlineStr">
        <is>
          <t>flat</t>
        </is>
      </c>
      <c r="DW9" t="n">
        <v>32.44</v>
      </c>
      <c r="DX9" t="n">
        <v>34</v>
      </c>
      <c r="DY9" t="n">
        <v>15.95</v>
      </c>
      <c r="DZ9" t="n">
        <v>8</v>
      </c>
      <c r="EA9" t="n">
        <v>96</v>
      </c>
      <c r="EB9" t="n">
        <v>189</v>
      </c>
      <c r="EC9" t="n">
        <v>90.90000000000001</v>
      </c>
      <c r="ED9" t="n">
        <v>11.3</v>
      </c>
      <c r="EE9" t="n">
        <v>31</v>
      </c>
      <c r="EF9" t="n">
        <v>75.7</v>
      </c>
      <c r="EG9" t="n">
        <v>53.7</v>
      </c>
      <c r="EH9" t="n">
        <v>61.7</v>
      </c>
      <c r="EI9" t="n">
        <v>1043.8</v>
      </c>
      <c r="EJ9" t="n">
        <v>691.8</v>
      </c>
      <c r="EK9" t="n">
        <v>416.1</v>
      </c>
      <c r="EL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116.75</v>
      </c>
      <c r="DQ10" t="n">
        <v>58.17</v>
      </c>
      <c r="DR10" t="n">
        <v>116.34</v>
      </c>
      <c r="DS10" t="n">
        <v>0.41</v>
      </c>
      <c r="DT10" t="n">
        <v>2611</v>
      </c>
      <c r="DU10" t="n">
        <v>68.7</v>
      </c>
      <c r="DV10" t="inlineStr">
        <is>
          <t>flat</t>
        </is>
      </c>
      <c r="DW10" t="n">
        <v>29.15</v>
      </c>
      <c r="DX10" t="n">
        <v>33.93</v>
      </c>
      <c r="DY10" t="n">
        <v>10.66</v>
      </c>
      <c r="DZ10" t="n">
        <v>8.5</v>
      </c>
      <c r="EA10" t="n">
        <v>66.67</v>
      </c>
      <c r="EB10" t="n">
        <v>192</v>
      </c>
      <c r="EC10" t="n">
        <v>92.3</v>
      </c>
      <c r="ED10" t="n">
        <v>10.3</v>
      </c>
      <c r="EE10" t="n">
        <v>56</v>
      </c>
      <c r="EF10" t="n">
        <v>98.40000000000001</v>
      </c>
      <c r="EG10" t="n">
        <v>50.8</v>
      </c>
      <c r="EH10" t="n">
        <v>175</v>
      </c>
      <c r="EI10" t="n">
        <v>720.2</v>
      </c>
      <c r="EJ10" t="n">
        <v>1236.1</v>
      </c>
      <c r="EK10" t="n">
        <v>455.1</v>
      </c>
      <c r="EL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176.3</v>
      </c>
      <c r="DQ11" t="n">
        <v>88.23</v>
      </c>
      <c r="DR11" t="n">
        <v>176.46</v>
      </c>
      <c r="DS11" t="n">
        <v>-0.16</v>
      </c>
      <c r="DT11" t="n">
        <v>2890</v>
      </c>
      <c r="DU11" t="n">
        <v>76.05</v>
      </c>
      <c r="DV11" t="inlineStr">
        <is>
          <t>flat</t>
        </is>
      </c>
      <c r="DW11" t="n">
        <v>7.45</v>
      </c>
      <c r="DX11" t="n">
        <v>8</v>
      </c>
      <c r="DY11" t="n">
        <v>5.87</v>
      </c>
      <c r="DZ11" t="n">
        <v>0.8</v>
      </c>
      <c r="EA11" t="n">
        <v>65.59999999999999</v>
      </c>
      <c r="EB11" t="n">
        <v>199</v>
      </c>
      <c r="EC11" t="n">
        <v>95.7</v>
      </c>
      <c r="ED11" t="n">
        <v>7.4</v>
      </c>
      <c r="EE11" t="n">
        <v>14</v>
      </c>
      <c r="EF11" t="n">
        <v>36.4</v>
      </c>
      <c r="EG11" t="n">
        <v>18.3</v>
      </c>
      <c r="EH11" t="n">
        <v>91.7</v>
      </c>
      <c r="EI11" t="n">
        <v>173.5</v>
      </c>
      <c r="EJ11" t="n">
        <v>894.4</v>
      </c>
      <c r="EK11" t="n">
        <v>145.3</v>
      </c>
      <c r="EL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158.96</v>
      </c>
      <c r="DQ12" t="n">
        <v>79.48</v>
      </c>
      <c r="DR12" t="n">
        <v>158.96</v>
      </c>
      <c r="DS12" t="n">
        <v>0</v>
      </c>
      <c r="DT12" t="n">
        <v>3340</v>
      </c>
      <c r="DU12" t="n">
        <v>87.90000000000001</v>
      </c>
      <c r="DV12" t="inlineStr">
        <is>
          <t>flat</t>
        </is>
      </c>
      <c r="DW12" t="n">
        <v>23.94</v>
      </c>
      <c r="DX12" t="n">
        <v>26.68</v>
      </c>
      <c r="DY12" t="n">
        <v>8.050000000000001</v>
      </c>
      <c r="DZ12" t="n">
        <v>8.57</v>
      </c>
      <c r="EA12" t="n">
        <v>56</v>
      </c>
      <c r="EB12" t="n">
        <v>192</v>
      </c>
      <c r="EC12" t="n">
        <v>92.3</v>
      </c>
      <c r="ED12" t="n">
        <v>10.3</v>
      </c>
      <c r="EE12" t="n">
        <v>32</v>
      </c>
      <c r="EF12" t="n">
        <v>114</v>
      </c>
      <c r="EG12" t="n">
        <v>48.2</v>
      </c>
      <c r="EH12" t="n">
        <v>285</v>
      </c>
      <c r="EI12" t="n">
        <v>789.7</v>
      </c>
      <c r="EJ12" t="n">
        <v>3867.6</v>
      </c>
      <c r="EK12" t="n">
        <v>655.8</v>
      </c>
      <c r="EL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71.48</v>
      </c>
      <c r="DQ13" t="n">
        <v>35.74</v>
      </c>
      <c r="DR13" t="n">
        <v>71.48</v>
      </c>
      <c r="DS13" t="n">
        <v>0</v>
      </c>
      <c r="DT13" t="n">
        <v>1573</v>
      </c>
      <c r="DU13" t="n">
        <v>41.4</v>
      </c>
      <c r="DV13" t="inlineStr">
        <is>
          <t>flat</t>
        </is>
      </c>
      <c r="DW13" t="n">
        <v>48.99</v>
      </c>
      <c r="DX13" t="n">
        <v>51.57</v>
      </c>
      <c r="DY13" t="n">
        <v>17.56</v>
      </c>
      <c r="DZ13" t="n">
        <v>20.67</v>
      </c>
      <c r="EA13" t="n">
        <v>119</v>
      </c>
      <c r="EB13" t="n">
        <v>165</v>
      </c>
      <c r="EC13" t="n">
        <v>79.3</v>
      </c>
      <c r="ED13" t="n">
        <v>21.4</v>
      </c>
      <c r="EE13" t="n">
        <v>57</v>
      </c>
      <c r="EF13" t="n">
        <v>193.4</v>
      </c>
      <c r="EG13" t="n">
        <v>62</v>
      </c>
      <c r="EH13" t="n">
        <v>137</v>
      </c>
      <c r="EI13" t="n">
        <v>1945.2</v>
      </c>
      <c r="EJ13" t="n">
        <v>751.8</v>
      </c>
      <c r="EK13" t="n">
        <v>542.2</v>
      </c>
      <c r="EL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150.34</v>
      </c>
      <c r="DQ14" t="n">
        <v>75.17</v>
      </c>
      <c r="DR14" t="n">
        <v>150.34</v>
      </c>
      <c r="DS14" t="n">
        <v>0</v>
      </c>
      <c r="DT14" t="n">
        <v>3266</v>
      </c>
      <c r="DU14" t="n">
        <v>85.95</v>
      </c>
      <c r="DV14" t="inlineStr">
        <is>
          <t>flat</t>
        </is>
      </c>
      <c r="DW14" t="n">
        <v>44.3</v>
      </c>
      <c r="DX14" t="n">
        <v>49.8</v>
      </c>
      <c r="DY14" t="n">
        <v>15.42</v>
      </c>
      <c r="DZ14" t="n">
        <v>14.86</v>
      </c>
      <c r="EA14" t="n">
        <v>96</v>
      </c>
      <c r="EB14" t="n">
        <v>171</v>
      </c>
      <c r="EC14" t="n">
        <v>82.2</v>
      </c>
      <c r="ED14" t="n">
        <v>19.7</v>
      </c>
      <c r="EE14" t="n">
        <v>58</v>
      </c>
      <c r="EF14" t="n">
        <v>158.6</v>
      </c>
      <c r="EG14" t="n">
        <v>39.6</v>
      </c>
      <c r="EH14" t="n">
        <v>185</v>
      </c>
      <c r="EI14" t="n">
        <v>1233.5</v>
      </c>
      <c r="EJ14" t="n">
        <v>1602.2</v>
      </c>
      <c r="EK14" t="n">
        <v>697</v>
      </c>
      <c r="EL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159.75</v>
      </c>
      <c r="DQ15" t="n">
        <v>79.56999999999999</v>
      </c>
      <c r="DR15" t="n">
        <v>159.14</v>
      </c>
      <c r="DS15" t="n">
        <v>0.61</v>
      </c>
      <c r="DT15" t="n">
        <v>2890</v>
      </c>
      <c r="DU15" t="n">
        <v>76.05</v>
      </c>
      <c r="DV15" t="inlineStr">
        <is>
          <t>flat</t>
        </is>
      </c>
      <c r="DW15" t="n">
        <v>15.3</v>
      </c>
      <c r="DX15" t="n">
        <v>16.45</v>
      </c>
      <c r="DY15" t="n">
        <v>9.15</v>
      </c>
      <c r="DZ15" t="n">
        <v>2</v>
      </c>
      <c r="EA15" t="n">
        <v>89.33</v>
      </c>
      <c r="EB15" t="n">
        <v>177</v>
      </c>
      <c r="EC15" t="n">
        <v>85.09999999999999</v>
      </c>
      <c r="ED15" t="n">
        <v>17.3</v>
      </c>
      <c r="EE15" t="n">
        <v>15</v>
      </c>
      <c r="EF15" t="n">
        <v>39</v>
      </c>
      <c r="EG15" t="n">
        <v>18.1</v>
      </c>
      <c r="EH15" t="n">
        <v>69.8</v>
      </c>
      <c r="EI15" t="n">
        <v>469</v>
      </c>
      <c r="EJ15" t="n">
        <v>556.2</v>
      </c>
      <c r="EK15" t="n">
        <v>254.5</v>
      </c>
      <c r="EL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146.08</v>
      </c>
      <c r="DQ16" t="n">
        <v>73.04000000000001</v>
      </c>
      <c r="DR16" t="n">
        <v>146.08</v>
      </c>
      <c r="DS16" t="n">
        <v>0</v>
      </c>
      <c r="DT16" t="n">
        <v>2810</v>
      </c>
      <c r="DU16" t="n">
        <v>73.95</v>
      </c>
      <c r="DV16" t="inlineStr">
        <is>
          <t>flat</t>
        </is>
      </c>
      <c r="DW16" t="n">
        <v>44.06</v>
      </c>
      <c r="DX16" t="n">
        <v>44.19</v>
      </c>
      <c r="DY16" t="n">
        <v>18.55</v>
      </c>
      <c r="DZ16" t="n">
        <v>9</v>
      </c>
      <c r="EA16" t="n">
        <v>98.29000000000001</v>
      </c>
      <c r="EB16" t="n">
        <v>158</v>
      </c>
      <c r="EC16" t="n">
        <v>76</v>
      </c>
      <c r="ED16" t="n">
        <v>23.3</v>
      </c>
      <c r="EE16" t="n">
        <v>33</v>
      </c>
      <c r="EF16" t="n">
        <v>34.3</v>
      </c>
      <c r="EG16" t="n">
        <v>25.5</v>
      </c>
      <c r="EH16" t="n">
        <v>68.59999999999999</v>
      </c>
      <c r="EI16" t="n">
        <v>459.5</v>
      </c>
      <c r="EJ16" t="n">
        <v>520.6</v>
      </c>
      <c r="EK16" t="n">
        <v>244.1</v>
      </c>
      <c r="EL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167.14</v>
      </c>
      <c r="DQ17" t="n">
        <v>83.7</v>
      </c>
      <c r="DR17" t="n">
        <v>167.4</v>
      </c>
      <c r="DS17" t="n">
        <v>-0.26</v>
      </c>
      <c r="DT17" t="n">
        <v>2679</v>
      </c>
      <c r="DU17" t="n">
        <v>70.5</v>
      </c>
      <c r="DV17" t="inlineStr">
        <is>
          <t>flat</t>
        </is>
      </c>
      <c r="DW17" t="n">
        <v>12.17</v>
      </c>
      <c r="DX17" t="n">
        <v>10.71</v>
      </c>
      <c r="DY17" t="n">
        <v>10.97</v>
      </c>
      <c r="DZ17" t="n">
        <v>1.85</v>
      </c>
      <c r="EA17" t="n">
        <v>112</v>
      </c>
      <c r="EB17" t="n">
        <v>171</v>
      </c>
      <c r="EC17" t="n">
        <v>82.2</v>
      </c>
      <c r="ED17" t="n">
        <v>20.1</v>
      </c>
      <c r="EE17" t="n">
        <v>10</v>
      </c>
      <c r="EF17" t="n">
        <v>34.1</v>
      </c>
      <c r="EG17" t="n">
        <v>16</v>
      </c>
      <c r="EH17" t="n">
        <v>123.2</v>
      </c>
      <c r="EI17" t="n">
        <v>165.5</v>
      </c>
      <c r="EJ17" t="n">
        <v>1417.9</v>
      </c>
      <c r="EK17" t="n">
        <v>148.2</v>
      </c>
      <c r="EL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140.24</v>
      </c>
      <c r="DQ18" t="n">
        <v>70.12</v>
      </c>
      <c r="DR18" t="n">
        <v>140.24</v>
      </c>
      <c r="DS18" t="n">
        <v>0</v>
      </c>
      <c r="DT18" t="n">
        <v>3266</v>
      </c>
      <c r="DU18" t="n">
        <v>85.95</v>
      </c>
      <c r="DV18" t="inlineStr">
        <is>
          <t>flat</t>
        </is>
      </c>
      <c r="DW18" t="n">
        <v>62.06</v>
      </c>
      <c r="DX18" t="n">
        <v>67.03</v>
      </c>
      <c r="DY18" t="n">
        <v>16.85</v>
      </c>
      <c r="DZ18" t="n">
        <v>24.73</v>
      </c>
      <c r="EA18" t="n">
        <v>112</v>
      </c>
      <c r="EB18" t="n">
        <v>154</v>
      </c>
      <c r="EC18" t="n">
        <v>74</v>
      </c>
      <c r="ED18" t="n">
        <v>25.2</v>
      </c>
      <c r="EE18" t="n">
        <v>111</v>
      </c>
      <c r="EF18" t="n">
        <v>211.1</v>
      </c>
      <c r="EG18" t="n">
        <v>63.7</v>
      </c>
      <c r="EH18" t="n">
        <v>105.6</v>
      </c>
      <c r="EI18" t="n">
        <v>2023.5</v>
      </c>
      <c r="EJ18" t="n">
        <v>903.4</v>
      </c>
      <c r="EK18" t="n">
        <v>624.6</v>
      </c>
      <c r="EL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P19" t="n">
        <v>149.74</v>
      </c>
      <c r="DQ19" t="n">
        <v>74.87</v>
      </c>
      <c r="DR19" t="n">
        <v>149.74</v>
      </c>
      <c r="DS19" t="n">
        <v>0</v>
      </c>
      <c r="DT19" t="n">
        <v>3385</v>
      </c>
      <c r="DU19" t="n">
        <v>89.09</v>
      </c>
      <c r="DV19" t="inlineStr">
        <is>
          <t>flat</t>
        </is>
      </c>
      <c r="DW19" t="n">
        <v>25.5</v>
      </c>
      <c r="DX19" t="n">
        <v>29.34</v>
      </c>
      <c r="DY19" t="n">
        <v>12.34</v>
      </c>
      <c r="DZ19" t="n">
        <v>2.5</v>
      </c>
      <c r="EA19" t="n">
        <v>56</v>
      </c>
      <c r="EB19" t="n">
        <v>193</v>
      </c>
      <c r="EC19" t="n">
        <v>92.8</v>
      </c>
      <c r="ED19" t="n">
        <v>9.800000000000001</v>
      </c>
      <c r="EE19" t="n">
        <v>59</v>
      </c>
      <c r="EH19" t="n">
        <v>1110</v>
      </c>
      <c r="EJ19" t="n">
        <v>30356.3</v>
      </c>
      <c r="EK19" t="n">
        <v>30356.3</v>
      </c>
      <c r="EL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184.21</v>
      </c>
      <c r="DQ20" t="n">
        <v>92.09999999999999</v>
      </c>
      <c r="DR20" t="n">
        <v>184.2</v>
      </c>
      <c r="DS20" t="n">
        <v>0.01</v>
      </c>
      <c r="DT20" t="n">
        <v>3344</v>
      </c>
      <c r="DU20" t="n">
        <v>88</v>
      </c>
      <c r="DV20" t="inlineStr">
        <is>
          <t>flat</t>
        </is>
      </c>
      <c r="DW20" t="n">
        <v>18.81</v>
      </c>
      <c r="DX20" t="n">
        <v>20.03</v>
      </c>
      <c r="DY20" t="n">
        <v>9.25</v>
      </c>
      <c r="DZ20" t="n">
        <v>2</v>
      </c>
      <c r="EA20" t="n">
        <v>77.33</v>
      </c>
      <c r="EB20" t="n">
        <v>198</v>
      </c>
      <c r="EC20" t="n">
        <v>95.2</v>
      </c>
      <c r="ED20" t="n">
        <v>7.5</v>
      </c>
      <c r="EE20" t="n">
        <v>23</v>
      </c>
      <c r="EF20" t="n">
        <v>45.5</v>
      </c>
      <c r="EG20" t="n">
        <v>46.8</v>
      </c>
      <c r="EH20" t="n">
        <v>41.4</v>
      </c>
      <c r="EI20" t="n">
        <v>681.6</v>
      </c>
      <c r="EJ20" t="n">
        <v>412.6</v>
      </c>
      <c r="EK20" t="n">
        <v>257</v>
      </c>
      <c r="EL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142.55</v>
      </c>
      <c r="DQ21" t="n">
        <v>71.97</v>
      </c>
      <c r="DR21" t="n">
        <v>143.94</v>
      </c>
      <c r="DS21" t="n">
        <v>-1.39</v>
      </c>
      <c r="DT21" t="n">
        <v>2753</v>
      </c>
      <c r="DU21" t="n">
        <v>72.45</v>
      </c>
      <c r="DV21" t="inlineStr">
        <is>
          <t>flat</t>
        </is>
      </c>
      <c r="DW21" t="n">
        <v>25.08</v>
      </c>
      <c r="DX21" t="n">
        <v>26.69</v>
      </c>
      <c r="DY21" t="n">
        <v>9.18</v>
      </c>
      <c r="DZ21" t="n">
        <v>8.800000000000001</v>
      </c>
      <c r="EA21" t="n">
        <v>65.33</v>
      </c>
      <c r="EB21" t="n">
        <v>193</v>
      </c>
      <c r="EC21" t="n">
        <v>92.8</v>
      </c>
      <c r="ED21" t="n">
        <v>9.800000000000001</v>
      </c>
      <c r="EE21" t="n">
        <v>34</v>
      </c>
      <c r="EF21" t="n">
        <v>64.5</v>
      </c>
      <c r="EG21" t="n">
        <v>25.7</v>
      </c>
      <c r="EH21" t="n">
        <v>114.9</v>
      </c>
      <c r="EI21" t="n">
        <v>411.5</v>
      </c>
      <c r="EJ21" t="n">
        <v>811.1</v>
      </c>
      <c r="EK21" t="n">
        <v>273</v>
      </c>
      <c r="EL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137.8</v>
      </c>
      <c r="DQ22" t="n">
        <v>65.66</v>
      </c>
      <c r="DR22" t="n">
        <v>131.32</v>
      </c>
      <c r="DS22" t="n">
        <v>6.48</v>
      </c>
      <c r="DT22" t="n">
        <v>3310</v>
      </c>
      <c r="DU22" t="n">
        <v>87.09999999999999</v>
      </c>
      <c r="DV22" t="inlineStr">
        <is>
          <t>flat</t>
        </is>
      </c>
      <c r="DW22" t="n">
        <v>76.23</v>
      </c>
      <c r="DX22" t="n">
        <v>72.59999999999999</v>
      </c>
      <c r="DY22" t="n">
        <v>20.56</v>
      </c>
      <c r="DZ22" t="n">
        <v>24</v>
      </c>
      <c r="EA22" t="n">
        <v>118.4</v>
      </c>
      <c r="EB22" t="n">
        <v>72</v>
      </c>
      <c r="EC22" t="n">
        <v>34.6</v>
      </c>
      <c r="ED22" t="n">
        <v>7.7</v>
      </c>
      <c r="EE22" t="n">
        <v>60</v>
      </c>
      <c r="EF22" t="n">
        <v>75.8</v>
      </c>
      <c r="EG22" t="n">
        <v>126.4</v>
      </c>
      <c r="EH22" t="n">
        <v>60.9</v>
      </c>
      <c r="EI22" t="n">
        <v>1634.7</v>
      </c>
      <c r="EJ22" t="n">
        <v>557.4</v>
      </c>
      <c r="EK22" t="n">
        <v>415.7</v>
      </c>
      <c r="EL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150.5</v>
      </c>
      <c r="DQ23" t="n">
        <v>74.84999999999999</v>
      </c>
      <c r="DR23" t="n">
        <v>149.7</v>
      </c>
      <c r="DS23" t="n">
        <v>0.8</v>
      </c>
      <c r="DT23" t="n">
        <v>3146</v>
      </c>
      <c r="DU23" t="n">
        <v>82.8</v>
      </c>
      <c r="DV23" t="inlineStr">
        <is>
          <t>flat</t>
        </is>
      </c>
      <c r="DW23" t="n">
        <v>38.68</v>
      </c>
      <c r="DX23" t="n">
        <v>46.12</v>
      </c>
      <c r="DY23" t="n">
        <v>20.44</v>
      </c>
      <c r="DZ23" t="n">
        <v>6</v>
      </c>
      <c r="EA23" t="n">
        <v>120</v>
      </c>
      <c r="EB23" t="n">
        <v>153</v>
      </c>
      <c r="EC23" t="n">
        <v>73.59999999999999</v>
      </c>
      <c r="ED23" t="n">
        <v>27.8</v>
      </c>
      <c r="EE23" t="n">
        <v>24</v>
      </c>
      <c r="EF23" t="n">
        <v>43.2</v>
      </c>
      <c r="EG23" t="n">
        <v>30.5</v>
      </c>
      <c r="EH23" t="n">
        <v>45.8</v>
      </c>
      <c r="EI23" t="n">
        <v>268.7</v>
      </c>
      <c r="EJ23" t="n">
        <v>386.2</v>
      </c>
      <c r="EK23" t="n">
        <v>158.5</v>
      </c>
      <c r="EL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191.85</v>
      </c>
      <c r="DQ24" t="n">
        <v>94.81</v>
      </c>
      <c r="DR24" t="n">
        <v>189.62</v>
      </c>
      <c r="DS24" t="n">
        <v>2.23</v>
      </c>
      <c r="DT24" t="n">
        <v>2827</v>
      </c>
      <c r="DU24" t="n">
        <v>74.40000000000001</v>
      </c>
      <c r="DV24" t="inlineStr">
        <is>
          <t>flat</t>
        </is>
      </c>
      <c r="DW24" t="n">
        <v>5.7</v>
      </c>
      <c r="DX24" t="n">
        <v>5.02</v>
      </c>
      <c r="DY24" t="n">
        <v>5.2</v>
      </c>
      <c r="DZ24" t="n">
        <v>1</v>
      </c>
      <c r="EA24" t="n">
        <v>44.8</v>
      </c>
      <c r="EB24" t="n">
        <v>157</v>
      </c>
      <c r="EC24" t="n">
        <v>75.5</v>
      </c>
      <c r="ED24" t="n">
        <v>26.6</v>
      </c>
      <c r="EE24" t="n">
        <v>3</v>
      </c>
      <c r="EF24" t="n">
        <v>31.2</v>
      </c>
      <c r="EG24" t="n">
        <v>12</v>
      </c>
      <c r="EH24" t="n">
        <v>36.4</v>
      </c>
      <c r="EI24" t="n">
        <v>272.6</v>
      </c>
      <c r="EJ24" t="n">
        <v>282.3</v>
      </c>
      <c r="EK24" t="n">
        <v>138.7</v>
      </c>
      <c r="EL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104.52</v>
      </c>
      <c r="DQ25" t="n">
        <v>52.6</v>
      </c>
      <c r="DR25" t="n">
        <v>105.2</v>
      </c>
      <c r="DS25" t="n">
        <v>-0.68</v>
      </c>
      <c r="DT25" t="n">
        <v>2189</v>
      </c>
      <c r="DU25" t="n">
        <v>57.6</v>
      </c>
      <c r="DV25" t="inlineStr">
        <is>
          <t>flat</t>
        </is>
      </c>
      <c r="DW25" t="n">
        <v>45</v>
      </c>
      <c r="DX25" t="n">
        <v>46.19</v>
      </c>
      <c r="DY25" t="n">
        <v>15.1</v>
      </c>
      <c r="DZ25" t="n">
        <v>12.57</v>
      </c>
      <c r="EA25" t="n">
        <v>108</v>
      </c>
      <c r="EB25" t="n">
        <v>172</v>
      </c>
      <c r="EC25" t="n">
        <v>82.7</v>
      </c>
      <c r="ED25" t="n">
        <v>19.6</v>
      </c>
      <c r="EE25" t="n">
        <v>61</v>
      </c>
      <c r="EF25" t="n">
        <v>128.5</v>
      </c>
      <c r="EG25" t="n">
        <v>41.7</v>
      </c>
      <c r="EH25" t="n">
        <v>440.7</v>
      </c>
      <c r="EI25" t="n">
        <v>1130.7</v>
      </c>
      <c r="EJ25" t="n">
        <v>2914.7</v>
      </c>
      <c r="EK25" t="n">
        <v>814.7</v>
      </c>
      <c r="EL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144.73</v>
      </c>
      <c r="DQ26" t="n">
        <v>72.48999999999999</v>
      </c>
      <c r="DR26" t="n">
        <v>144.98</v>
      </c>
      <c r="DS26" t="n">
        <v>-0.25</v>
      </c>
      <c r="DT26" t="n">
        <v>2816</v>
      </c>
      <c r="DU26" t="n">
        <v>74.09999999999999</v>
      </c>
      <c r="DV26" t="inlineStr">
        <is>
          <t>flat</t>
        </is>
      </c>
      <c r="DW26" t="n">
        <v>29.18</v>
      </c>
      <c r="DX26" t="n">
        <v>30.46</v>
      </c>
      <c r="DY26" t="n">
        <v>15.09</v>
      </c>
      <c r="DZ26" t="n">
        <v>9.140000000000001</v>
      </c>
      <c r="EA26" t="n">
        <v>104</v>
      </c>
      <c r="EB26" t="n">
        <v>171</v>
      </c>
      <c r="EC26" t="n">
        <v>82.2</v>
      </c>
      <c r="ED26" t="n">
        <v>19</v>
      </c>
      <c r="EE26" t="n">
        <v>25</v>
      </c>
      <c r="EF26" t="n">
        <v>58.5</v>
      </c>
      <c r="EG26" t="n">
        <v>44.7</v>
      </c>
      <c r="EH26" t="n">
        <v>54.6</v>
      </c>
      <c r="EI26" t="n">
        <v>403</v>
      </c>
      <c r="EJ26" t="n">
        <v>556.3</v>
      </c>
      <c r="EK26" t="n">
        <v>233.7</v>
      </c>
      <c r="EL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138.68</v>
      </c>
      <c r="DQ27" t="n">
        <v>69.34</v>
      </c>
      <c r="DR27" t="n">
        <v>138.68</v>
      </c>
      <c r="DS27" t="n">
        <v>0</v>
      </c>
      <c r="DT27" t="n">
        <v>2896</v>
      </c>
      <c r="DU27" t="n">
        <v>76.2</v>
      </c>
      <c r="DV27" t="inlineStr">
        <is>
          <t>flat</t>
        </is>
      </c>
      <c r="DW27" t="n">
        <v>49.93</v>
      </c>
      <c r="DX27" t="n">
        <v>55.14</v>
      </c>
      <c r="DY27" t="n">
        <v>18.5</v>
      </c>
      <c r="DZ27" t="n">
        <v>14.4</v>
      </c>
      <c r="EA27" t="n">
        <v>120</v>
      </c>
      <c r="EB27" t="n">
        <v>177</v>
      </c>
      <c r="EC27" t="n">
        <v>85.09999999999999</v>
      </c>
      <c r="ED27" t="n">
        <v>16.9</v>
      </c>
      <c r="EE27" t="n">
        <v>62</v>
      </c>
      <c r="EF27" t="n">
        <v>408.7</v>
      </c>
      <c r="EG27" t="n">
        <v>71.5</v>
      </c>
      <c r="EH27" t="n">
        <v>102.2</v>
      </c>
      <c r="EI27" t="n">
        <v>5634.8</v>
      </c>
      <c r="EJ27" t="n">
        <v>1073.7</v>
      </c>
      <c r="EK27" t="n">
        <v>901.9</v>
      </c>
      <c r="EL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137.29</v>
      </c>
      <c r="DQ28" t="n">
        <v>68.65000000000001</v>
      </c>
      <c r="DR28" t="n">
        <v>137.3</v>
      </c>
      <c r="DS28" t="n">
        <v>-0.01</v>
      </c>
      <c r="DT28" t="n">
        <v>3312</v>
      </c>
      <c r="DU28" t="n">
        <v>87.15000000000001</v>
      </c>
      <c r="DV28" t="inlineStr">
        <is>
          <t>flat</t>
        </is>
      </c>
      <c r="DW28" t="n">
        <v>73.59999999999999</v>
      </c>
      <c r="DX28" t="n">
        <v>79.09999999999999</v>
      </c>
      <c r="DY28" t="n">
        <v>19.2</v>
      </c>
      <c r="DZ28" t="n">
        <v>25.78</v>
      </c>
      <c r="EA28" t="n">
        <v>119</v>
      </c>
      <c r="EB28" t="n">
        <v>133</v>
      </c>
      <c r="EC28" t="n">
        <v>63.9</v>
      </c>
      <c r="ED28" t="n">
        <v>31.4</v>
      </c>
      <c r="EE28" t="n">
        <v>112</v>
      </c>
      <c r="EF28" t="n">
        <v>107.1</v>
      </c>
      <c r="EG28" t="n">
        <v>48</v>
      </c>
      <c r="EH28" t="n">
        <v>116</v>
      </c>
      <c r="EI28" t="n">
        <v>1265.8</v>
      </c>
      <c r="EJ28" t="n">
        <v>1030.6</v>
      </c>
      <c r="EK28" t="n">
        <v>568.1</v>
      </c>
      <c r="EL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146.14</v>
      </c>
      <c r="DQ29" t="n">
        <v>73.2</v>
      </c>
      <c r="DR29" t="n">
        <v>146.4</v>
      </c>
      <c r="DS29" t="n">
        <v>-0.26</v>
      </c>
      <c r="DT29" t="n">
        <v>3152</v>
      </c>
      <c r="DU29" t="n">
        <v>82.95</v>
      </c>
      <c r="DV29" t="inlineStr">
        <is>
          <t>flat</t>
        </is>
      </c>
      <c r="DW29" t="n">
        <v>48.5</v>
      </c>
      <c r="DX29" t="n">
        <v>52.73</v>
      </c>
      <c r="DY29" t="n">
        <v>20.07</v>
      </c>
      <c r="DZ29" t="n">
        <v>16.67</v>
      </c>
      <c r="EA29" t="n">
        <v>109.33</v>
      </c>
      <c r="EB29" t="n">
        <v>158</v>
      </c>
      <c r="EC29" t="n">
        <v>76</v>
      </c>
      <c r="ED29" t="n">
        <v>21.4</v>
      </c>
      <c r="EE29" t="n">
        <v>35</v>
      </c>
      <c r="EF29" t="n">
        <v>67.40000000000001</v>
      </c>
      <c r="EG29" t="n">
        <v>31.3</v>
      </c>
      <c r="EH29" t="n">
        <v>71.09999999999999</v>
      </c>
      <c r="EI29" t="n">
        <v>605.8</v>
      </c>
      <c r="EJ29" t="n">
        <v>441.3</v>
      </c>
      <c r="EK29" t="n">
        <v>255.3</v>
      </c>
      <c r="EL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154.51</v>
      </c>
      <c r="DQ30" t="n">
        <v>74.34</v>
      </c>
      <c r="DR30" t="n">
        <v>148.68</v>
      </c>
      <c r="DS30" t="n">
        <v>5.83</v>
      </c>
      <c r="DT30" t="n">
        <v>2878</v>
      </c>
      <c r="DU30" t="n">
        <v>75.75</v>
      </c>
      <c r="DV30" t="inlineStr">
        <is>
          <t>flat</t>
        </is>
      </c>
      <c r="DW30" t="n">
        <v>52.17</v>
      </c>
      <c r="DX30" t="n">
        <v>50</v>
      </c>
      <c r="DY30" t="n">
        <v>22.56</v>
      </c>
      <c r="DZ30" t="n">
        <v>17.45</v>
      </c>
      <c r="EA30" t="n">
        <v>112</v>
      </c>
      <c r="EB30" t="n">
        <v>150</v>
      </c>
      <c r="EC30" t="n">
        <v>72.09999999999999</v>
      </c>
      <c r="ED30" t="n">
        <v>27.2</v>
      </c>
      <c r="EE30" t="n">
        <v>36</v>
      </c>
      <c r="EF30" t="n">
        <v>98.09999999999999</v>
      </c>
      <c r="EG30" t="n">
        <v>26.9</v>
      </c>
      <c r="EH30" t="n">
        <v>90.8</v>
      </c>
      <c r="EI30" t="n">
        <v>561</v>
      </c>
      <c r="EJ30" t="n">
        <v>1190.5</v>
      </c>
      <c r="EK30" t="n">
        <v>381.3</v>
      </c>
      <c r="EL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166.11</v>
      </c>
      <c r="DQ31" t="n">
        <v>83.42</v>
      </c>
      <c r="DR31" t="n">
        <v>166.84</v>
      </c>
      <c r="DS31" t="n">
        <v>-0.73</v>
      </c>
      <c r="DT31" t="n">
        <v>2822</v>
      </c>
      <c r="DU31" t="n">
        <v>74.25</v>
      </c>
      <c r="DV31" t="inlineStr">
        <is>
          <t>flat</t>
        </is>
      </c>
      <c r="DW31" t="n">
        <v>12.56</v>
      </c>
      <c r="DX31" t="n">
        <v>11.4</v>
      </c>
      <c r="DY31" t="n">
        <v>9.51</v>
      </c>
      <c r="DZ31" t="n">
        <v>2</v>
      </c>
      <c r="EA31" t="n">
        <v>77.59999999999999</v>
      </c>
      <c r="EB31" t="n">
        <v>171</v>
      </c>
      <c r="EC31" t="n">
        <v>82.2</v>
      </c>
      <c r="ED31" t="n">
        <v>20.1</v>
      </c>
      <c r="EE31" t="n">
        <v>11</v>
      </c>
      <c r="EF31" t="n">
        <v>35.8</v>
      </c>
      <c r="EG31" t="n">
        <v>17.4</v>
      </c>
      <c r="EH31" t="n">
        <v>55.6</v>
      </c>
      <c r="EI31" t="n">
        <v>206.5</v>
      </c>
      <c r="EJ31" t="n">
        <v>518</v>
      </c>
      <c r="EK31" t="n">
        <v>147.6</v>
      </c>
      <c r="EL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142.34</v>
      </c>
      <c r="DQ32" t="n">
        <v>71.17</v>
      </c>
      <c r="DR32" t="n">
        <v>142.34</v>
      </c>
      <c r="DS32" t="n">
        <v>0</v>
      </c>
      <c r="DT32" t="n">
        <v>3181</v>
      </c>
      <c r="DU32" t="n">
        <v>83.7</v>
      </c>
      <c r="DV32" t="inlineStr">
        <is>
          <t>flat</t>
        </is>
      </c>
      <c r="DW32" t="n">
        <v>70.37</v>
      </c>
      <c r="DX32" t="n">
        <v>81.45999999999999</v>
      </c>
      <c r="DY32" t="n">
        <v>21.73</v>
      </c>
      <c r="DZ32" t="n">
        <v>28.57</v>
      </c>
      <c r="EA32" t="n">
        <v>120</v>
      </c>
      <c r="EB32" t="n">
        <v>172</v>
      </c>
      <c r="EC32" t="n">
        <v>82.7</v>
      </c>
      <c r="ED32" t="n">
        <v>12.7</v>
      </c>
      <c r="EE32" t="n">
        <v>223</v>
      </c>
      <c r="EF32" t="n">
        <v>139.6</v>
      </c>
      <c r="EG32" t="n">
        <v>64.2</v>
      </c>
      <c r="EH32" t="n">
        <v>246.9</v>
      </c>
      <c r="EI32" t="n">
        <v>962.7</v>
      </c>
      <c r="EJ32" t="n">
        <v>2473.4</v>
      </c>
      <c r="EK32" t="n">
        <v>693</v>
      </c>
      <c r="EL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153.32</v>
      </c>
      <c r="DQ33" t="n">
        <v>76.66</v>
      </c>
      <c r="DR33" t="n">
        <v>153.32</v>
      </c>
      <c r="DS33" t="n">
        <v>0</v>
      </c>
      <c r="DT33" t="n">
        <v>3324</v>
      </c>
      <c r="DU33" t="n">
        <v>87.48</v>
      </c>
      <c r="DV33" t="inlineStr">
        <is>
          <t>flat</t>
        </is>
      </c>
      <c r="DW33" t="n">
        <v>61.49</v>
      </c>
      <c r="DX33" t="n">
        <v>65.06999999999999</v>
      </c>
      <c r="DY33" t="n">
        <v>20.29</v>
      </c>
      <c r="DZ33" t="n">
        <v>23</v>
      </c>
      <c r="EA33" t="n">
        <v>120</v>
      </c>
      <c r="EB33" t="n">
        <v>150</v>
      </c>
      <c r="EC33" t="n">
        <v>72.09999999999999</v>
      </c>
      <c r="ED33" t="n">
        <v>7.4</v>
      </c>
      <c r="EE33" t="n">
        <v>63</v>
      </c>
      <c r="EF33" t="n">
        <v>81.40000000000001</v>
      </c>
      <c r="EG33" t="n">
        <v>47.3</v>
      </c>
      <c r="EH33" t="n">
        <v>55.3</v>
      </c>
      <c r="EI33" t="n">
        <v>558.7</v>
      </c>
      <c r="EJ33" t="n">
        <v>434.2</v>
      </c>
      <c r="EK33" t="n">
        <v>244.3</v>
      </c>
      <c r="EL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121.71</v>
      </c>
      <c r="DQ34" t="n">
        <v>61.04</v>
      </c>
      <c r="DR34" t="n">
        <v>122.08</v>
      </c>
      <c r="DS34" t="n">
        <v>-0.37</v>
      </c>
      <c r="DT34" t="n">
        <v>2964</v>
      </c>
      <c r="DU34" t="n">
        <v>78</v>
      </c>
      <c r="DV34" t="inlineStr">
        <is>
          <t>flat</t>
        </is>
      </c>
      <c r="DW34" t="n">
        <v>67.47</v>
      </c>
      <c r="DX34" t="n">
        <v>74.52</v>
      </c>
      <c r="DY34" t="n">
        <v>20.41</v>
      </c>
      <c r="DZ34" t="n">
        <v>26.67</v>
      </c>
      <c r="EA34" t="n">
        <v>119</v>
      </c>
      <c r="EB34" t="n">
        <v>106</v>
      </c>
      <c r="EC34" t="n">
        <v>51</v>
      </c>
      <c r="ED34" t="n">
        <v>7</v>
      </c>
      <c r="EE34" t="n">
        <v>64</v>
      </c>
      <c r="EF34" t="n">
        <v>78.7</v>
      </c>
      <c r="EG34" t="n">
        <v>96.5</v>
      </c>
      <c r="EH34" t="n">
        <v>103.1</v>
      </c>
      <c r="EI34" t="n">
        <v>1748.3</v>
      </c>
      <c r="EJ34" t="n">
        <v>1292.3</v>
      </c>
      <c r="EK34" t="n">
        <v>743.1</v>
      </c>
      <c r="EL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153.17</v>
      </c>
      <c r="DQ35" t="n">
        <v>76.44</v>
      </c>
      <c r="DR35" t="n">
        <v>152.88</v>
      </c>
      <c r="DS35" t="n">
        <v>0.29</v>
      </c>
      <c r="DT35" t="n">
        <v>2616</v>
      </c>
      <c r="DU35" t="n">
        <v>68.84999999999999</v>
      </c>
      <c r="DV35" t="inlineStr">
        <is>
          <t>flat</t>
        </is>
      </c>
      <c r="DW35" t="n">
        <v>16.83</v>
      </c>
      <c r="DX35" t="n">
        <v>17.76</v>
      </c>
      <c r="DY35" t="n">
        <v>11.11</v>
      </c>
      <c r="DZ35" t="n">
        <v>3.2</v>
      </c>
      <c r="EA35" t="n">
        <v>89.33</v>
      </c>
      <c r="EB35" t="n">
        <v>165</v>
      </c>
      <c r="EC35" t="n">
        <v>79.3</v>
      </c>
      <c r="ED35" t="n">
        <v>22.9</v>
      </c>
      <c r="EE35" t="n">
        <v>12</v>
      </c>
      <c r="EF35" t="n">
        <v>27.7</v>
      </c>
      <c r="EG35" t="n">
        <v>18.2</v>
      </c>
      <c r="EH35" t="n">
        <v>73.3</v>
      </c>
      <c r="EI35" t="n">
        <v>356.8</v>
      </c>
      <c r="EJ35" t="n">
        <v>706.4</v>
      </c>
      <c r="EK35" t="n">
        <v>237</v>
      </c>
      <c r="EL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P36" t="n">
        <v>127.72</v>
      </c>
      <c r="DQ36" t="n">
        <v>63.86</v>
      </c>
      <c r="DR36" t="n">
        <v>127.72</v>
      </c>
      <c r="DS36" t="n">
        <v>0</v>
      </c>
      <c r="DT36" t="n">
        <v>3385</v>
      </c>
      <c r="DU36" t="n">
        <v>89.09</v>
      </c>
      <c r="DV36" t="inlineStr">
        <is>
          <t>flat</t>
        </is>
      </c>
      <c r="DW36" t="n">
        <v>75.17</v>
      </c>
      <c r="DX36" t="n">
        <v>86.13</v>
      </c>
      <c r="DY36" t="n">
        <v>25.08</v>
      </c>
      <c r="DZ36" t="n">
        <v>10.4</v>
      </c>
      <c r="EA36" t="n">
        <v>117.71</v>
      </c>
      <c r="EB36" t="n">
        <v>175</v>
      </c>
      <c r="EC36" t="n">
        <v>84.09999999999999</v>
      </c>
      <c r="ED36" t="n">
        <v>17.5</v>
      </c>
      <c r="EE36" t="n">
        <v>224</v>
      </c>
      <c r="EH36" t="n">
        <v>1665</v>
      </c>
      <c r="EJ36" t="n">
        <v>20404.3</v>
      </c>
      <c r="EK36" t="n">
        <v>20404.3</v>
      </c>
      <c r="EL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159.66</v>
      </c>
      <c r="DQ37" t="n">
        <v>79.83</v>
      </c>
      <c r="DR37" t="n">
        <v>159.66</v>
      </c>
      <c r="DS37" t="n">
        <v>0</v>
      </c>
      <c r="DT37" t="n">
        <v>3084</v>
      </c>
      <c r="DU37" t="n">
        <v>81.15000000000001</v>
      </c>
      <c r="DV37" t="inlineStr">
        <is>
          <t>flat</t>
        </is>
      </c>
      <c r="DW37" t="n">
        <v>27.56</v>
      </c>
      <c r="DX37" t="n">
        <v>28.83</v>
      </c>
      <c r="DY37" t="n">
        <v>16.64</v>
      </c>
      <c r="DZ37" t="n">
        <v>3</v>
      </c>
      <c r="EA37" t="n">
        <v>88</v>
      </c>
      <c r="EB37" t="n">
        <v>198</v>
      </c>
      <c r="EC37" t="n">
        <v>95.2</v>
      </c>
      <c r="ED37" t="n">
        <v>7.5</v>
      </c>
      <c r="EE37" t="n">
        <v>65</v>
      </c>
      <c r="EF37" t="n">
        <v>36.8</v>
      </c>
      <c r="EG37" t="n">
        <v>20.2</v>
      </c>
      <c r="EH37" t="n">
        <v>136</v>
      </c>
      <c r="EI37" t="n">
        <v>158.9</v>
      </c>
      <c r="EJ37" t="n">
        <v>2089.8</v>
      </c>
      <c r="EK37" t="n">
        <v>147.7</v>
      </c>
      <c r="EL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159.9</v>
      </c>
      <c r="DQ38" t="n">
        <v>80.65000000000001</v>
      </c>
      <c r="DR38" t="n">
        <v>161.3</v>
      </c>
      <c r="DS38" t="n">
        <v>-1.4</v>
      </c>
      <c r="DT38" t="n">
        <v>3061</v>
      </c>
      <c r="DU38" t="n">
        <v>80.55</v>
      </c>
      <c r="DV38" t="inlineStr">
        <is>
          <t>flat</t>
        </is>
      </c>
      <c r="DW38" t="n">
        <v>65.38</v>
      </c>
      <c r="DX38" t="n">
        <v>72.61</v>
      </c>
      <c r="DY38" t="n">
        <v>20.93</v>
      </c>
      <c r="DZ38" t="n">
        <v>23.2</v>
      </c>
      <c r="EA38" t="n">
        <v>112</v>
      </c>
      <c r="EB38" t="n">
        <v>127</v>
      </c>
      <c r="EC38" t="n">
        <v>61.1</v>
      </c>
      <c r="ED38" t="n">
        <v>8.6</v>
      </c>
      <c r="EE38" t="n">
        <v>67</v>
      </c>
      <c r="EF38" t="n">
        <v>39</v>
      </c>
      <c r="EG38" t="n">
        <v>24</v>
      </c>
      <c r="EH38" t="n">
        <v>50.6</v>
      </c>
      <c r="EI38" t="n">
        <v>296</v>
      </c>
      <c r="EJ38" t="n">
        <v>507.9</v>
      </c>
      <c r="EK38" t="n">
        <v>187</v>
      </c>
      <c r="EL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136.05</v>
      </c>
      <c r="DQ39" t="n">
        <v>57.06</v>
      </c>
      <c r="DR39" t="n">
        <v>114.12</v>
      </c>
      <c r="DS39" t="n">
        <v>21.93</v>
      </c>
      <c r="DT39" t="n">
        <v>3278</v>
      </c>
      <c r="DU39" t="n">
        <v>86.25</v>
      </c>
      <c r="DV39" t="inlineStr">
        <is>
          <t>ramp-up (injury / late WC return)</t>
        </is>
      </c>
      <c r="DW39" t="n">
        <v>76.54000000000001</v>
      </c>
      <c r="DX39" t="n">
        <v>65.34999999999999</v>
      </c>
      <c r="DY39" t="n">
        <v>25.58</v>
      </c>
      <c r="DZ39" t="n">
        <v>8.800000000000001</v>
      </c>
      <c r="EA39" t="n">
        <v>119.33</v>
      </c>
      <c r="EB39" t="n">
        <v>89</v>
      </c>
      <c r="EC39" t="n">
        <v>42.8</v>
      </c>
      <c r="ED39" t="n">
        <v>47.6</v>
      </c>
      <c r="EE39" t="n">
        <v>66</v>
      </c>
      <c r="EF39" t="n">
        <v>522.8</v>
      </c>
      <c r="EG39" t="n">
        <v>118.8</v>
      </c>
      <c r="EH39" t="n">
        <v>261.4</v>
      </c>
      <c r="EI39" t="n">
        <v>2127.1</v>
      </c>
      <c r="EJ39" t="n">
        <v>2077.9</v>
      </c>
      <c r="EK39" t="n">
        <v>1051.1</v>
      </c>
      <c r="EL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133.2</v>
      </c>
      <c r="DQ40" t="n">
        <v>66.59999999999999</v>
      </c>
      <c r="DR40" t="n">
        <v>133.2</v>
      </c>
      <c r="DS40" t="n">
        <v>0</v>
      </c>
      <c r="DT40" t="n">
        <v>2964</v>
      </c>
      <c r="DU40" t="n">
        <v>78</v>
      </c>
      <c r="DV40" t="inlineStr">
        <is>
          <t>flat</t>
        </is>
      </c>
      <c r="DW40" t="n">
        <v>73.53</v>
      </c>
      <c r="DX40" t="n">
        <v>82.73999999999999</v>
      </c>
      <c r="DY40" t="n">
        <v>23.12</v>
      </c>
      <c r="DZ40" t="n">
        <v>21.33</v>
      </c>
      <c r="EA40" t="n">
        <v>117.71</v>
      </c>
      <c r="EB40" t="n">
        <v>105</v>
      </c>
      <c r="EC40" t="n">
        <v>50.5</v>
      </c>
      <c r="ED40" t="n">
        <v>5.4</v>
      </c>
      <c r="EE40" t="n">
        <v>68</v>
      </c>
      <c r="EF40" t="n">
        <v>43.1</v>
      </c>
      <c r="EG40" t="n">
        <v>43.1</v>
      </c>
      <c r="EH40" t="n">
        <v>37.6</v>
      </c>
      <c r="EI40" t="n">
        <v>816.8</v>
      </c>
      <c r="EJ40" t="n">
        <v>454.3</v>
      </c>
      <c r="EK40" t="n">
        <v>291.9</v>
      </c>
      <c r="EL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137.2</v>
      </c>
      <c r="DQ41" t="n">
        <v>68.59999999999999</v>
      </c>
      <c r="DR41" t="n">
        <v>137.2</v>
      </c>
      <c r="DS41" t="n">
        <v>0</v>
      </c>
      <c r="DT41" t="n">
        <v>3055</v>
      </c>
      <c r="DU41" t="n">
        <v>80.40000000000001</v>
      </c>
      <c r="DV41" t="inlineStr">
        <is>
          <t>flat</t>
        </is>
      </c>
      <c r="DW41" t="n">
        <v>52.64</v>
      </c>
      <c r="DX41" t="n">
        <v>56.8</v>
      </c>
      <c r="DY41" t="n">
        <v>17.32</v>
      </c>
      <c r="DZ41" t="n">
        <v>16</v>
      </c>
      <c r="EA41" t="n">
        <v>112</v>
      </c>
      <c r="EB41" t="n">
        <v>193</v>
      </c>
      <c r="EC41" t="n">
        <v>92.8</v>
      </c>
      <c r="ED41" t="n">
        <v>9.4</v>
      </c>
      <c r="EE41" t="n">
        <v>114</v>
      </c>
      <c r="EF41" t="n">
        <v>88.90000000000001</v>
      </c>
      <c r="EG41" t="n">
        <v>32</v>
      </c>
      <c r="EH41" t="n">
        <v>88.90000000000001</v>
      </c>
      <c r="EI41" t="n">
        <v>857.6</v>
      </c>
      <c r="EJ41" t="n">
        <v>533</v>
      </c>
      <c r="EK41" t="n">
        <v>328.7</v>
      </c>
      <c r="EL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W42" t="n">
        <v>75.47</v>
      </c>
      <c r="DX42" t="n">
        <v>77.36</v>
      </c>
      <c r="DY42" t="n">
        <v>20.13</v>
      </c>
      <c r="DZ42" t="n">
        <v>34.86</v>
      </c>
      <c r="EA42" t="n">
        <v>112.89</v>
      </c>
      <c r="EB42" t="n">
        <v>46</v>
      </c>
      <c r="EC42" t="n">
        <v>22.1</v>
      </c>
      <c r="ED42" t="n">
        <v>53.5</v>
      </c>
      <c r="EE42" t="n">
        <v>113</v>
      </c>
      <c r="EF42" t="n">
        <v>173.8</v>
      </c>
      <c r="EG42" t="n">
        <v>163.5</v>
      </c>
      <c r="EH42" t="n">
        <v>556</v>
      </c>
      <c r="EI42" t="n">
        <v>1694.4</v>
      </c>
      <c r="EJ42" t="n">
        <v>3348.2</v>
      </c>
      <c r="EK42" t="n">
        <v>1125</v>
      </c>
      <c r="EL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P43" t="n">
        <v>124.14</v>
      </c>
      <c r="DQ43" t="n">
        <v>62.07</v>
      </c>
      <c r="DR43" t="n">
        <v>124.14</v>
      </c>
      <c r="DS43" t="n">
        <v>0</v>
      </c>
      <c r="DT43" t="n">
        <v>3420</v>
      </c>
      <c r="DU43" t="n">
        <v>89.98999999999999</v>
      </c>
      <c r="DV43" t="inlineStr">
        <is>
          <t>flat</t>
        </is>
      </c>
      <c r="DW43" t="n">
        <v>85.31999999999999</v>
      </c>
      <c r="DX43" t="n">
        <v>91.45999999999999</v>
      </c>
      <c r="DY43" t="n">
        <v>24.4</v>
      </c>
      <c r="DZ43" t="n">
        <v>17</v>
      </c>
      <c r="EA43" t="n">
        <v>120</v>
      </c>
      <c r="EB43" t="n">
        <v>153</v>
      </c>
      <c r="EC43" t="n">
        <v>73.59999999999999</v>
      </c>
      <c r="ED43" t="n">
        <v>25.7</v>
      </c>
      <c r="EE43" t="n">
        <v>225</v>
      </c>
      <c r="EH43" t="n">
        <v>630</v>
      </c>
      <c r="EJ43" t="n">
        <v>7822.7</v>
      </c>
      <c r="EK43" t="n">
        <v>7822.7</v>
      </c>
      <c r="EL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155.24</v>
      </c>
      <c r="DQ44" t="n">
        <v>77.62</v>
      </c>
      <c r="DR44" t="n">
        <v>155.24</v>
      </c>
      <c r="DS44" t="n">
        <v>0</v>
      </c>
      <c r="DT44" t="n">
        <v>2878</v>
      </c>
      <c r="DU44" t="n">
        <v>75.75</v>
      </c>
      <c r="DV44" t="inlineStr">
        <is>
          <t>flat</t>
        </is>
      </c>
      <c r="DW44" t="n">
        <v>59.2</v>
      </c>
      <c r="DX44" t="n">
        <v>63.25</v>
      </c>
      <c r="DY44" t="n">
        <v>23.25</v>
      </c>
      <c r="DZ44" t="n">
        <v>3.2</v>
      </c>
      <c r="EA44" t="n">
        <v>110</v>
      </c>
      <c r="EB44" t="n">
        <v>127</v>
      </c>
      <c r="EC44" t="n">
        <v>61.1</v>
      </c>
      <c r="ED44" t="n">
        <v>29.4</v>
      </c>
      <c r="EE44" t="n">
        <v>37</v>
      </c>
      <c r="EF44" t="n">
        <v>40.6</v>
      </c>
      <c r="EG44" t="n">
        <v>19.1</v>
      </c>
      <c r="EH44" t="n">
        <v>84.09999999999999</v>
      </c>
      <c r="EI44" t="n">
        <v>273</v>
      </c>
      <c r="EJ44" t="n">
        <v>455</v>
      </c>
      <c r="EK44" t="n">
        <v>170.6</v>
      </c>
      <c r="EL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148.22</v>
      </c>
      <c r="DQ45" t="n">
        <v>74.20999999999999</v>
      </c>
      <c r="DR45" t="n">
        <v>148.42</v>
      </c>
      <c r="DS45" t="n">
        <v>-0.2</v>
      </c>
      <c r="DT45" t="n">
        <v>3175</v>
      </c>
      <c r="DU45" t="n">
        <v>83.55</v>
      </c>
      <c r="DV45" t="inlineStr">
        <is>
          <t>flat</t>
        </is>
      </c>
      <c r="DW45" t="n">
        <v>71.18000000000001</v>
      </c>
      <c r="DX45" t="n">
        <v>76.08</v>
      </c>
      <c r="DY45" t="n">
        <v>20.15</v>
      </c>
      <c r="DZ45" t="n">
        <v>30</v>
      </c>
      <c r="EA45" t="n">
        <v>118.67</v>
      </c>
      <c r="EB45" t="n">
        <v>88</v>
      </c>
      <c r="EC45" t="n">
        <v>42.3</v>
      </c>
      <c r="ED45" t="n">
        <v>7.4</v>
      </c>
      <c r="EE45" t="n">
        <v>69</v>
      </c>
      <c r="EF45" t="n">
        <v>64.7</v>
      </c>
      <c r="EG45" t="n">
        <v>58.1</v>
      </c>
      <c r="EH45" t="n">
        <v>105.5</v>
      </c>
      <c r="EI45" t="n">
        <v>780.3</v>
      </c>
      <c r="EJ45" t="n">
        <v>976.7</v>
      </c>
      <c r="EK45" t="n">
        <v>433.7</v>
      </c>
      <c r="EL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145.49</v>
      </c>
      <c r="DQ46" t="n">
        <v>71.48999999999999</v>
      </c>
      <c r="DR46" t="n">
        <v>142.98</v>
      </c>
      <c r="DS46" t="n">
        <v>2.51</v>
      </c>
      <c r="DT46" t="n">
        <v>3089</v>
      </c>
      <c r="DU46" t="n">
        <v>81.3</v>
      </c>
      <c r="DV46" t="inlineStr">
        <is>
          <t>flat</t>
        </is>
      </c>
      <c r="DW46" t="n">
        <v>68.26000000000001</v>
      </c>
      <c r="DX46" t="n">
        <v>74.17</v>
      </c>
      <c r="DY46" t="n">
        <v>21.08</v>
      </c>
      <c r="DZ46" t="n">
        <v>21</v>
      </c>
      <c r="EA46" t="n">
        <v>119.11</v>
      </c>
      <c r="EB46" t="n">
        <v>118</v>
      </c>
      <c r="EC46" t="n">
        <v>56.7</v>
      </c>
      <c r="ED46" t="n">
        <v>8.5</v>
      </c>
      <c r="EE46" t="n">
        <v>70</v>
      </c>
      <c r="EF46" t="n">
        <v>107.8</v>
      </c>
      <c r="EG46" t="n">
        <v>137.1</v>
      </c>
      <c r="EH46" t="n">
        <v>81.5</v>
      </c>
      <c r="EI46" t="n">
        <v>1583</v>
      </c>
      <c r="EJ46" t="n">
        <v>958.4</v>
      </c>
      <c r="EK46" t="n">
        <v>597</v>
      </c>
      <c r="EL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114.29</v>
      </c>
      <c r="DQ47" t="n">
        <v>57.49</v>
      </c>
      <c r="DR47" t="n">
        <v>114.98</v>
      </c>
      <c r="DS47" t="n">
        <v>-0.6899999999999999</v>
      </c>
      <c r="DT47" t="n">
        <v>1796</v>
      </c>
      <c r="DU47" t="n">
        <v>47.25</v>
      </c>
      <c r="DV47" t="inlineStr">
        <is>
          <t>flat</t>
        </is>
      </c>
      <c r="DW47" t="n">
        <v>26.13</v>
      </c>
      <c r="DX47" t="n">
        <v>29</v>
      </c>
      <c r="DY47" t="n">
        <v>16.75</v>
      </c>
      <c r="DZ47" t="n">
        <v>5.33</v>
      </c>
      <c r="EA47" t="n">
        <v>103</v>
      </c>
      <c r="EB47" t="n">
        <v>159</v>
      </c>
      <c r="EC47" t="n">
        <v>76.40000000000001</v>
      </c>
      <c r="ED47" t="n">
        <v>25</v>
      </c>
      <c r="EE47" t="n">
        <v>16</v>
      </c>
      <c r="EF47" t="n">
        <v>32.2</v>
      </c>
      <c r="EG47" t="n">
        <v>12</v>
      </c>
      <c r="EH47" t="n">
        <v>29.5</v>
      </c>
      <c r="EI47" t="n">
        <v>397.2</v>
      </c>
      <c r="EJ47" t="n">
        <v>180.3</v>
      </c>
      <c r="EK47" t="n">
        <v>124</v>
      </c>
      <c r="EL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P48" t="n">
        <v>123.64</v>
      </c>
      <c r="DQ48" t="n">
        <v>61.82</v>
      </c>
      <c r="DR48" t="n">
        <v>123.64</v>
      </c>
      <c r="DS48" t="n">
        <v>0</v>
      </c>
      <c r="DT48" t="n">
        <v>3385</v>
      </c>
      <c r="DU48" t="n">
        <v>89.09</v>
      </c>
      <c r="DV48" t="inlineStr">
        <is>
          <t>flat</t>
        </is>
      </c>
      <c r="DW48" t="n">
        <v>50.73</v>
      </c>
      <c r="DX48" t="n">
        <v>53.1</v>
      </c>
      <c r="DY48" t="n">
        <v>20.74</v>
      </c>
      <c r="DZ48" t="n">
        <v>8</v>
      </c>
      <c r="EA48" t="n">
        <v>108</v>
      </c>
      <c r="EB48" t="n">
        <v>177</v>
      </c>
      <c r="EC48" t="n">
        <v>85.09999999999999</v>
      </c>
      <c r="ED48" t="n">
        <v>16.9</v>
      </c>
      <c r="EE48" t="n">
        <v>115</v>
      </c>
      <c r="EG48" t="n">
        <v>3420</v>
      </c>
      <c r="EH48" t="n">
        <v>1710</v>
      </c>
      <c r="EJ48" t="n">
        <v>15783.2</v>
      </c>
      <c r="EK48" t="n">
        <v>15783.2</v>
      </c>
      <c r="EL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P49" t="n">
        <v>132.22</v>
      </c>
      <c r="DQ49" t="n">
        <v>66.11</v>
      </c>
      <c r="DR49" t="n">
        <v>132.22</v>
      </c>
      <c r="DS49" t="n">
        <v>0</v>
      </c>
      <c r="DT49" t="n">
        <v>3420</v>
      </c>
      <c r="DU49" t="n">
        <v>90</v>
      </c>
      <c r="DV49" t="inlineStr">
        <is>
          <t>flat</t>
        </is>
      </c>
      <c r="DW49" t="n">
        <v>39.85</v>
      </c>
      <c r="DX49" t="n">
        <v>42.86</v>
      </c>
      <c r="DY49" t="n">
        <v>17.71</v>
      </c>
      <c r="DZ49" t="n">
        <v>4</v>
      </c>
      <c r="EA49" t="n">
        <v>92</v>
      </c>
      <c r="EB49" t="n">
        <v>189</v>
      </c>
      <c r="EC49" t="n">
        <v>90.90000000000001</v>
      </c>
      <c r="ED49" t="n">
        <v>11.3</v>
      </c>
      <c r="EE49" t="n">
        <v>116</v>
      </c>
      <c r="EG49" t="n">
        <v>3060</v>
      </c>
      <c r="EH49" t="n">
        <v>3060</v>
      </c>
      <c r="EJ49" t="n">
        <v>47076.9</v>
      </c>
      <c r="EK49" t="n">
        <v>47076.9</v>
      </c>
      <c r="EL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95.16</v>
      </c>
      <c r="DQ50" t="n">
        <v>47.58</v>
      </c>
      <c r="DR50" t="n">
        <v>95.16</v>
      </c>
      <c r="DS50" t="n">
        <v>0</v>
      </c>
      <c r="DT50" t="n">
        <v>2554</v>
      </c>
      <c r="DU50" t="n">
        <v>67.2</v>
      </c>
      <c r="DV50" t="inlineStr">
        <is>
          <t>flat</t>
        </is>
      </c>
      <c r="DW50" t="n">
        <v>91.09999999999999</v>
      </c>
      <c r="DX50" t="n">
        <v>97.73</v>
      </c>
      <c r="DY50" t="n">
        <v>17.7</v>
      </c>
      <c r="DZ50" t="n">
        <v>48</v>
      </c>
      <c r="EA50" t="n">
        <v>120</v>
      </c>
      <c r="EB50" t="n">
        <v>81</v>
      </c>
      <c r="EC50" t="n">
        <v>38.9</v>
      </c>
      <c r="ED50" t="n">
        <v>4.7</v>
      </c>
      <c r="EE50" t="n">
        <v>390</v>
      </c>
      <c r="EF50" t="n">
        <v>171.2</v>
      </c>
      <c r="EG50" t="n">
        <v>59.1</v>
      </c>
      <c r="EH50" t="n">
        <v>112.2</v>
      </c>
      <c r="EI50" t="n">
        <v>1820</v>
      </c>
      <c r="EJ50" t="n">
        <v>1168.9</v>
      </c>
      <c r="EK50" t="n">
        <v>711.7</v>
      </c>
      <c r="EL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128.38</v>
      </c>
      <c r="DQ51" t="n">
        <v>64.19</v>
      </c>
      <c r="DR51" t="n">
        <v>128.38</v>
      </c>
      <c r="DS51" t="n">
        <v>0</v>
      </c>
      <c r="DT51" t="n">
        <v>3207</v>
      </c>
      <c r="DU51" t="n">
        <v>84.40000000000001</v>
      </c>
      <c r="DV51" t="inlineStr">
        <is>
          <t>flat</t>
        </is>
      </c>
      <c r="DW51" t="n">
        <v>87.95999999999999</v>
      </c>
      <c r="DX51" t="n">
        <v>92</v>
      </c>
      <c r="DY51" t="n">
        <v>17.7</v>
      </c>
      <c r="DZ51" t="n">
        <v>44.5</v>
      </c>
      <c r="EA51" t="n">
        <v>118</v>
      </c>
      <c r="EB51" t="n">
        <v>35</v>
      </c>
      <c r="EC51" t="n">
        <v>16.8</v>
      </c>
      <c r="ED51" t="n">
        <v>5.4</v>
      </c>
      <c r="EE51" t="n">
        <v>117</v>
      </c>
      <c r="EF51" t="n">
        <v>120</v>
      </c>
      <c r="EG51" t="n">
        <v>120</v>
      </c>
      <c r="EH51" t="n">
        <v>164.2</v>
      </c>
      <c r="EI51" t="n">
        <v>1412.6</v>
      </c>
      <c r="EJ51" t="n">
        <v>1847.6</v>
      </c>
      <c r="EK51" t="n">
        <v>800.5</v>
      </c>
      <c r="EL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47.39</v>
      </c>
      <c r="DQ52" t="n">
        <v>24.95</v>
      </c>
      <c r="DR52" t="n">
        <v>49.9</v>
      </c>
      <c r="DS52" t="n">
        <v>-2.51</v>
      </c>
      <c r="DT52" t="n">
        <v>891</v>
      </c>
      <c r="DU52" t="n">
        <v>23.45</v>
      </c>
      <c r="DV52" t="inlineStr">
        <is>
          <t>fade (losing his place)</t>
        </is>
      </c>
      <c r="DW52" t="n">
        <v>80.03</v>
      </c>
      <c r="DX52" t="n">
        <v>89.33</v>
      </c>
      <c r="DY52" t="n">
        <v>17.84</v>
      </c>
      <c r="DZ52" t="n">
        <v>42.29</v>
      </c>
      <c r="EA52" t="n">
        <v>107.33</v>
      </c>
      <c r="EB52" t="n">
        <v>14</v>
      </c>
      <c r="EC52" t="n">
        <v>6.7</v>
      </c>
      <c r="ED52" t="n">
        <v>22.2</v>
      </c>
      <c r="EE52" t="n">
        <v>118</v>
      </c>
      <c r="EF52" t="n">
        <v>110.8</v>
      </c>
      <c r="EG52" t="n">
        <v>58.6</v>
      </c>
      <c r="EH52" t="n">
        <v>157.4</v>
      </c>
      <c r="EI52" t="n">
        <v>1034.2</v>
      </c>
      <c r="EJ52" t="n">
        <v>1781.5</v>
      </c>
      <c r="EK52" t="n">
        <v>654.3</v>
      </c>
      <c r="EL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150.69</v>
      </c>
      <c r="DQ53" t="n">
        <v>76.76000000000001</v>
      </c>
      <c r="DR53" t="n">
        <v>153.52</v>
      </c>
      <c r="DS53" t="n">
        <v>-2.83</v>
      </c>
      <c r="DT53" t="n">
        <v>2457</v>
      </c>
      <c r="DU53" t="n">
        <v>64.65000000000001</v>
      </c>
      <c r="DV53" t="inlineStr">
        <is>
          <t>flat</t>
        </is>
      </c>
      <c r="DW53" t="n">
        <v>42.75</v>
      </c>
      <c r="DX53" t="n">
        <v>41.95</v>
      </c>
      <c r="DY53" t="n">
        <v>22.19</v>
      </c>
      <c r="DZ53" t="n">
        <v>16</v>
      </c>
      <c r="EA53" t="n">
        <v>114</v>
      </c>
      <c r="EB53" t="n">
        <v>153</v>
      </c>
      <c r="EC53" t="n">
        <v>73.59999999999999</v>
      </c>
      <c r="ED53" t="n">
        <v>22.7</v>
      </c>
      <c r="EE53" t="n">
        <v>26</v>
      </c>
      <c r="EF53" t="n">
        <v>31.4</v>
      </c>
      <c r="EG53" t="n">
        <v>14.6</v>
      </c>
      <c r="EH53" t="n">
        <v>50.7</v>
      </c>
      <c r="EI53" t="n">
        <v>301.1</v>
      </c>
      <c r="EJ53" t="n">
        <v>485.9</v>
      </c>
      <c r="EK53" t="n">
        <v>185.9</v>
      </c>
      <c r="EL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P54" t="n">
        <v>117.76</v>
      </c>
      <c r="DQ54" t="n">
        <v>58.88</v>
      </c>
      <c r="DR54" t="n">
        <v>117.76</v>
      </c>
      <c r="DS54" t="n">
        <v>0</v>
      </c>
      <c r="DT54" t="n">
        <v>3385</v>
      </c>
      <c r="DU54" t="n">
        <v>89.09</v>
      </c>
      <c r="DV54" t="inlineStr">
        <is>
          <t>flat</t>
        </is>
      </c>
      <c r="DW54" t="n">
        <v>87.98999999999999</v>
      </c>
      <c r="DX54" t="n">
        <v>96.78</v>
      </c>
      <c r="DY54" t="n">
        <v>25.46</v>
      </c>
      <c r="DZ54" t="n">
        <v>6.4</v>
      </c>
      <c r="EA54" t="n">
        <v>120</v>
      </c>
      <c r="EB54" t="n">
        <v>164</v>
      </c>
      <c r="EC54" t="n">
        <v>78.8</v>
      </c>
      <c r="ED54" t="n">
        <v>22.3</v>
      </c>
      <c r="EE54" t="n">
        <v>226</v>
      </c>
      <c r="EH54" t="n">
        <v>3330</v>
      </c>
      <c r="EJ54" t="n">
        <v>53078</v>
      </c>
      <c r="EK54" t="n">
        <v>53078</v>
      </c>
      <c r="EL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33.75</v>
      </c>
      <c r="DQ55" t="n">
        <v>16.88</v>
      </c>
      <c r="DR55" t="n">
        <v>33.76</v>
      </c>
      <c r="DS55" t="n">
        <v>-0.01</v>
      </c>
      <c r="DT55" t="n">
        <v>623</v>
      </c>
      <c r="DU55" t="n">
        <v>16.39</v>
      </c>
      <c r="DV55" t="inlineStr">
        <is>
          <t>flat</t>
        </is>
      </c>
      <c r="DW55" t="n">
        <v>91.75</v>
      </c>
      <c r="DX55" t="n">
        <v>101.5</v>
      </c>
      <c r="DY55" t="n">
        <v>16.92</v>
      </c>
      <c r="DZ55" t="n">
        <v>49.5</v>
      </c>
      <c r="EA55" t="n">
        <v>120</v>
      </c>
      <c r="EB55" t="n">
        <v>65</v>
      </c>
      <c r="EC55" t="n">
        <v>31.2</v>
      </c>
      <c r="ED55" t="n">
        <v>28.6</v>
      </c>
      <c r="EE55" t="n">
        <v>227</v>
      </c>
      <c r="EF55" t="n">
        <v>99.5</v>
      </c>
      <c r="EG55" t="n">
        <v>39.8</v>
      </c>
      <c r="EH55" t="n">
        <v>1294</v>
      </c>
      <c r="EI55" t="n">
        <v>881.9</v>
      </c>
      <c r="EJ55" t="n">
        <v>8346.700000000001</v>
      </c>
      <c r="EK55" t="n">
        <v>797.6</v>
      </c>
      <c r="EL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121.91</v>
      </c>
      <c r="DQ56" t="n">
        <v>61.4</v>
      </c>
      <c r="DR56" t="n">
        <v>122.8</v>
      </c>
      <c r="DS56" t="n">
        <v>-0.89</v>
      </c>
      <c r="DT56" t="n">
        <v>2063</v>
      </c>
      <c r="DU56" t="n">
        <v>54.3</v>
      </c>
      <c r="DV56" t="inlineStr">
        <is>
          <t>flat</t>
        </is>
      </c>
      <c r="DW56" t="n">
        <v>31.24</v>
      </c>
      <c r="DX56" t="n">
        <v>30.15</v>
      </c>
      <c r="DY56" t="n">
        <v>17.76</v>
      </c>
      <c r="DZ56" t="n">
        <v>5.71</v>
      </c>
      <c r="EA56" t="n">
        <v>101.33</v>
      </c>
      <c r="EB56" t="n">
        <v>171</v>
      </c>
      <c r="EC56" t="n">
        <v>82.2</v>
      </c>
      <c r="ED56" t="n">
        <v>17.4</v>
      </c>
      <c r="EE56" t="n">
        <v>27</v>
      </c>
      <c r="EF56" t="n">
        <v>37.8</v>
      </c>
      <c r="EG56" t="n">
        <v>22.1</v>
      </c>
      <c r="EH56" t="n">
        <v>38.5</v>
      </c>
      <c r="EI56" t="n">
        <v>326.8</v>
      </c>
      <c r="EJ56" t="n">
        <v>382.4</v>
      </c>
      <c r="EK56" t="n">
        <v>176.2</v>
      </c>
      <c r="EL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P57" t="n">
        <v>121.48</v>
      </c>
      <c r="DQ57" t="n">
        <v>60.74</v>
      </c>
      <c r="DR57" t="n">
        <v>121.48</v>
      </c>
      <c r="DS57" t="n">
        <v>0</v>
      </c>
      <c r="DT57" t="n">
        <v>3385</v>
      </c>
      <c r="DU57" t="n">
        <v>89.09</v>
      </c>
      <c r="DV57" t="inlineStr">
        <is>
          <t>flat</t>
        </is>
      </c>
      <c r="DW57" t="n">
        <v>99.44</v>
      </c>
      <c r="DX57" t="n">
        <v>110.98</v>
      </c>
      <c r="DY57" t="n">
        <v>22.2</v>
      </c>
      <c r="DZ57" t="n">
        <v>24.5</v>
      </c>
      <c r="EA57" t="n">
        <v>120</v>
      </c>
      <c r="EB57" t="n">
        <v>153</v>
      </c>
      <c r="EC57" t="n">
        <v>73.59999999999999</v>
      </c>
      <c r="ED57" t="n">
        <v>5.6</v>
      </c>
      <c r="EE57" t="n">
        <v>391</v>
      </c>
      <c r="EH57" t="n">
        <v>3420</v>
      </c>
      <c r="EJ57" t="n">
        <v>50123</v>
      </c>
      <c r="EK57" t="n">
        <v>50123</v>
      </c>
      <c r="EL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136.68</v>
      </c>
      <c r="DQ58" t="n">
        <v>69.28</v>
      </c>
      <c r="DR58" t="n">
        <v>138.56</v>
      </c>
      <c r="DS58" t="n">
        <v>-1.88</v>
      </c>
      <c r="DT58" t="n">
        <v>3044</v>
      </c>
      <c r="DU58" t="n">
        <v>80.09999999999999</v>
      </c>
      <c r="DV58" t="inlineStr">
        <is>
          <t>flat</t>
        </is>
      </c>
      <c r="DW58" t="n">
        <v>79.41</v>
      </c>
      <c r="DX58" t="n">
        <v>87.42</v>
      </c>
      <c r="DY58" t="n">
        <v>20.72</v>
      </c>
      <c r="DZ58" t="n">
        <v>8</v>
      </c>
      <c r="EA58" t="n">
        <v>118.86</v>
      </c>
      <c r="EB58" t="n">
        <v>109</v>
      </c>
      <c r="EC58" t="n">
        <v>52.4</v>
      </c>
      <c r="ED58" t="n">
        <v>35.9</v>
      </c>
      <c r="EE58" t="n">
        <v>119</v>
      </c>
      <c r="EF58" t="n">
        <v>148.6</v>
      </c>
      <c r="EG58" t="n">
        <v>37.1</v>
      </c>
      <c r="EH58" t="n">
        <v>270.1</v>
      </c>
      <c r="EI58" t="n">
        <v>1152.2</v>
      </c>
      <c r="EJ58" t="n">
        <v>1435.4</v>
      </c>
      <c r="EK58" t="n">
        <v>639.1</v>
      </c>
      <c r="EL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148.32</v>
      </c>
      <c r="DQ59" t="n">
        <v>74.16</v>
      </c>
      <c r="DR59" t="n">
        <v>148.32</v>
      </c>
      <c r="DS59" t="n">
        <v>0</v>
      </c>
      <c r="DT59" t="n">
        <v>3331</v>
      </c>
      <c r="DU59" t="n">
        <v>87.66</v>
      </c>
      <c r="DV59" t="inlineStr">
        <is>
          <t>flat</t>
        </is>
      </c>
      <c r="DW59" t="n">
        <v>72.55</v>
      </c>
      <c r="DX59" t="n">
        <v>80.05</v>
      </c>
      <c r="DY59" t="n">
        <v>21.19</v>
      </c>
      <c r="DZ59" t="n">
        <v>30</v>
      </c>
      <c r="EA59" t="n">
        <v>116</v>
      </c>
      <c r="EB59" t="n">
        <v>170</v>
      </c>
      <c r="EC59" t="n">
        <v>81.7</v>
      </c>
      <c r="ED59" t="n">
        <v>9.1</v>
      </c>
      <c r="EE59" t="n">
        <v>229</v>
      </c>
      <c r="EF59" t="n">
        <v>69.59999999999999</v>
      </c>
      <c r="EG59" t="n">
        <v>47.1</v>
      </c>
      <c r="EH59" t="n">
        <v>89</v>
      </c>
      <c r="EI59" t="n">
        <v>1650.8</v>
      </c>
      <c r="EJ59" t="n">
        <v>765.8</v>
      </c>
      <c r="EK59" t="n">
        <v>523.1</v>
      </c>
      <c r="EL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89.86</v>
      </c>
      <c r="DQ60" t="n">
        <v>44.98</v>
      </c>
      <c r="DR60" t="n">
        <v>89.95999999999999</v>
      </c>
      <c r="DS60" t="n">
        <v>-0.1</v>
      </c>
      <c r="DT60" t="n">
        <v>1459</v>
      </c>
      <c r="DU60" t="n">
        <v>38.4</v>
      </c>
      <c r="DV60" t="inlineStr">
        <is>
          <t>flat</t>
        </is>
      </c>
      <c r="DW60" t="n">
        <v>13.74</v>
      </c>
      <c r="DX60" t="n">
        <v>14.8</v>
      </c>
      <c r="DY60" t="n">
        <v>7.71</v>
      </c>
      <c r="DZ60" t="n">
        <v>1.71</v>
      </c>
      <c r="EA60" t="n">
        <v>46.67</v>
      </c>
      <c r="EB60" t="n">
        <v>189</v>
      </c>
      <c r="EC60" t="n">
        <v>90.90000000000001</v>
      </c>
      <c r="ED60" t="n">
        <v>11.7</v>
      </c>
      <c r="EE60" t="n">
        <v>17</v>
      </c>
      <c r="EF60" t="n">
        <v>40.3</v>
      </c>
      <c r="EG60" t="n">
        <v>15.6</v>
      </c>
      <c r="EH60" t="n">
        <v>110.8</v>
      </c>
      <c r="EI60" t="n">
        <v>169.7</v>
      </c>
      <c r="EJ60" t="n">
        <v>965.2</v>
      </c>
      <c r="EK60" t="n">
        <v>144.3</v>
      </c>
      <c r="EL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163.51</v>
      </c>
      <c r="DQ61" t="n">
        <v>81.76000000000001</v>
      </c>
      <c r="DR61" t="n">
        <v>163.52</v>
      </c>
      <c r="DS61" t="n">
        <v>-0.01</v>
      </c>
      <c r="DT61" t="n">
        <v>3186</v>
      </c>
      <c r="DU61" t="n">
        <v>83.84999999999999</v>
      </c>
      <c r="DV61" t="inlineStr">
        <is>
          <t>flat</t>
        </is>
      </c>
      <c r="DW61" t="n">
        <v>55.8</v>
      </c>
      <c r="DX61" t="n">
        <v>61.28</v>
      </c>
      <c r="DY61" t="n">
        <v>22.04</v>
      </c>
      <c r="DZ61" t="n">
        <v>16</v>
      </c>
      <c r="EA61" t="n">
        <v>112</v>
      </c>
      <c r="EB61" t="n">
        <v>159</v>
      </c>
      <c r="EC61" t="n">
        <v>76.40000000000001</v>
      </c>
      <c r="ED61" t="n">
        <v>6.5</v>
      </c>
      <c r="EE61" t="n">
        <v>71</v>
      </c>
      <c r="EF61" t="n">
        <v>64.7</v>
      </c>
      <c r="EG61" t="n">
        <v>27.3</v>
      </c>
      <c r="EH61" t="n">
        <v>92.7</v>
      </c>
      <c r="EI61" t="n">
        <v>433.7</v>
      </c>
      <c r="EJ61" t="n">
        <v>627.3</v>
      </c>
      <c r="EK61" t="n">
        <v>256.4</v>
      </c>
      <c r="EL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136.92</v>
      </c>
      <c r="DQ62" t="n">
        <v>68.45999999999999</v>
      </c>
      <c r="DR62" t="n">
        <v>136.92</v>
      </c>
      <c r="DS62" t="n">
        <v>0</v>
      </c>
      <c r="DT62" t="n">
        <v>3283</v>
      </c>
      <c r="DU62" t="n">
        <v>86.40000000000001</v>
      </c>
      <c r="DV62" t="inlineStr">
        <is>
          <t>flat</t>
        </is>
      </c>
      <c r="DW62" t="n">
        <v>91.16</v>
      </c>
      <c r="DX62" t="n">
        <v>98.04000000000001</v>
      </c>
      <c r="DY62" t="n">
        <v>14.78</v>
      </c>
      <c r="DZ62" t="n">
        <v>53.5</v>
      </c>
      <c r="EA62" t="n">
        <v>119</v>
      </c>
      <c r="EB62" t="n">
        <v>95</v>
      </c>
      <c r="EC62" t="n">
        <v>45.7</v>
      </c>
      <c r="ED62" t="n">
        <v>17.4</v>
      </c>
      <c r="EE62" t="n">
        <v>228</v>
      </c>
      <c r="EF62" t="n">
        <v>188.3</v>
      </c>
      <c r="EG62" t="n">
        <v>64.2</v>
      </c>
      <c r="EH62" t="n">
        <v>313.9</v>
      </c>
      <c r="EI62" t="n">
        <v>1344.8</v>
      </c>
      <c r="EJ62" t="n">
        <v>2759.4</v>
      </c>
      <c r="EK62" t="n">
        <v>904.1</v>
      </c>
      <c r="EL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41.33</v>
      </c>
      <c r="DQ63" t="n">
        <v>20.7</v>
      </c>
      <c r="DR63" t="n">
        <v>41.4</v>
      </c>
      <c r="DS63" t="n">
        <v>-0.07000000000000001</v>
      </c>
      <c r="DT63" t="n">
        <v>716</v>
      </c>
      <c r="DU63" t="n">
        <v>18.85</v>
      </c>
      <c r="DV63" t="inlineStr">
        <is>
          <t>flat</t>
        </is>
      </c>
      <c r="DW63" t="n">
        <v>94.53</v>
      </c>
      <c r="DY63" t="n">
        <v>15.32</v>
      </c>
      <c r="DZ63" t="n">
        <v>70.40000000000001</v>
      </c>
      <c r="EA63" t="n">
        <v>120</v>
      </c>
      <c r="EB63" t="n">
        <v>10</v>
      </c>
      <c r="EC63" t="n">
        <v>4.8</v>
      </c>
      <c r="ED63" t="n">
        <v>16.7</v>
      </c>
      <c r="EE63" t="n">
        <v>108</v>
      </c>
      <c r="EF63" t="n">
        <v>49.4</v>
      </c>
      <c r="EG63" t="n">
        <v>25.2</v>
      </c>
      <c r="EH63" t="n">
        <v>73.40000000000001</v>
      </c>
      <c r="EI63" t="n">
        <v>509.1</v>
      </c>
      <c r="EJ63" t="n">
        <v>752.2</v>
      </c>
      <c r="EK63" t="n">
        <v>303.6</v>
      </c>
      <c r="EL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133.59</v>
      </c>
      <c r="DQ64" t="n">
        <v>66.8</v>
      </c>
      <c r="DR64" t="n">
        <v>133.6</v>
      </c>
      <c r="DS64" t="n">
        <v>-0.01</v>
      </c>
      <c r="DT64" t="n">
        <v>3243</v>
      </c>
      <c r="DU64" t="n">
        <v>85.34999999999999</v>
      </c>
      <c r="DV64" t="inlineStr">
        <is>
          <t>flat</t>
        </is>
      </c>
      <c r="DW64" t="n">
        <v>82.97</v>
      </c>
      <c r="DX64" t="n">
        <v>94</v>
      </c>
      <c r="DY64" t="n">
        <v>18.45</v>
      </c>
      <c r="DZ64" t="n">
        <v>40.62</v>
      </c>
      <c r="EA64" t="n">
        <v>120</v>
      </c>
      <c r="EB64" t="n">
        <v>118</v>
      </c>
      <c r="EC64" t="n">
        <v>56.7</v>
      </c>
      <c r="ED64" t="n">
        <v>14.5</v>
      </c>
      <c r="EE64" t="n">
        <v>230</v>
      </c>
      <c r="EF64" t="n">
        <v>105.8</v>
      </c>
      <c r="EG64" t="n">
        <v>59.3</v>
      </c>
      <c r="EH64" t="n">
        <v>493.8</v>
      </c>
      <c r="EI64" t="n">
        <v>553.9</v>
      </c>
      <c r="EJ64" t="n">
        <v>3316.4</v>
      </c>
      <c r="EK64" t="n">
        <v>474.7</v>
      </c>
      <c r="EL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53.67</v>
      </c>
      <c r="DQ65" t="n">
        <v>26.99</v>
      </c>
      <c r="DR65" t="n">
        <v>53.98</v>
      </c>
      <c r="DS65" t="n">
        <v>-0.31</v>
      </c>
      <c r="DT65" t="n">
        <v>1035</v>
      </c>
      <c r="DU65" t="n">
        <v>27.24</v>
      </c>
      <c r="DV65" t="inlineStr">
        <is>
          <t>flat</t>
        </is>
      </c>
      <c r="DW65" t="n">
        <v>89.45999999999999</v>
      </c>
      <c r="DY65" t="n">
        <v>22.24</v>
      </c>
      <c r="DZ65" t="n">
        <v>39.2</v>
      </c>
      <c r="EA65" t="n">
        <v>116</v>
      </c>
      <c r="EB65" t="n">
        <v>21</v>
      </c>
      <c r="EC65" t="n">
        <v>10.1</v>
      </c>
      <c r="ED65" t="n">
        <v>4.5</v>
      </c>
      <c r="EE65" t="n">
        <v>120</v>
      </c>
      <c r="EF65" t="n">
        <v>52.1</v>
      </c>
      <c r="EG65" t="n">
        <v>25</v>
      </c>
      <c r="EH65" t="n">
        <v>72</v>
      </c>
      <c r="EI65" t="n">
        <v>470.5</v>
      </c>
      <c r="EJ65" t="n">
        <v>528.8</v>
      </c>
      <c r="EK65" t="n">
        <v>249</v>
      </c>
      <c r="EL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57.91</v>
      </c>
      <c r="DQ66" t="n">
        <v>28.98</v>
      </c>
      <c r="DR66" t="n">
        <v>57.96</v>
      </c>
      <c r="DS66" t="n">
        <v>-0.05</v>
      </c>
      <c r="DT66" t="n">
        <v>586</v>
      </c>
      <c r="DU66" t="n">
        <v>15.42</v>
      </c>
      <c r="DV66" t="inlineStr">
        <is>
          <t>flat</t>
        </is>
      </c>
      <c r="DW66" t="n">
        <v>63.64</v>
      </c>
      <c r="DX66" t="n">
        <v>66.12</v>
      </c>
      <c r="DY66" t="n">
        <v>28.98</v>
      </c>
      <c r="DZ66" t="n">
        <v>10</v>
      </c>
      <c r="EA66" t="n">
        <v>120</v>
      </c>
      <c r="EB66" t="n">
        <v>114</v>
      </c>
      <c r="EC66" t="n">
        <v>54.8</v>
      </c>
      <c r="ED66" t="n">
        <v>27.8</v>
      </c>
      <c r="EE66" t="n">
        <v>72</v>
      </c>
      <c r="EF66" t="n">
        <v>40.2</v>
      </c>
      <c r="EG66" t="n">
        <v>19.7</v>
      </c>
      <c r="EH66" t="n">
        <v>112.4</v>
      </c>
      <c r="EI66" t="n">
        <v>179.4</v>
      </c>
      <c r="EJ66" t="n">
        <v>1228.1</v>
      </c>
      <c r="EK66" t="n">
        <v>156.5</v>
      </c>
      <c r="EL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174.06</v>
      </c>
      <c r="DQ67" t="n">
        <v>87.03</v>
      </c>
      <c r="DR67" t="n">
        <v>174.06</v>
      </c>
      <c r="DS67" t="n">
        <v>0</v>
      </c>
      <c r="DT67" t="n">
        <v>2902</v>
      </c>
      <c r="DU67" t="n">
        <v>76.36</v>
      </c>
      <c r="DV67" t="inlineStr">
        <is>
          <t>flat</t>
        </is>
      </c>
      <c r="DW67" t="n">
        <v>17.98</v>
      </c>
      <c r="DX67" t="n">
        <v>17.02</v>
      </c>
      <c r="DY67" t="n">
        <v>9.789999999999999</v>
      </c>
      <c r="DZ67" t="n">
        <v>2</v>
      </c>
      <c r="EA67" t="n">
        <v>70.67</v>
      </c>
      <c r="EB67" t="n">
        <v>183</v>
      </c>
      <c r="EC67" t="n">
        <v>88</v>
      </c>
      <c r="ED67" t="n">
        <v>14.5</v>
      </c>
      <c r="EE67" t="n">
        <v>18</v>
      </c>
      <c r="EF67" t="n">
        <v>46.5</v>
      </c>
      <c r="EG67" t="n">
        <v>14.7</v>
      </c>
      <c r="EH67" t="n">
        <v>39.6</v>
      </c>
      <c r="EI67" t="n">
        <v>329.6</v>
      </c>
      <c r="EJ67" t="n">
        <v>451.1</v>
      </c>
      <c r="EK67" t="n">
        <v>190.4</v>
      </c>
      <c r="EL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82.77</v>
      </c>
      <c r="DQ68" t="n">
        <v>41.5</v>
      </c>
      <c r="DR68" t="n">
        <v>83</v>
      </c>
      <c r="DS68" t="n">
        <v>-0.23</v>
      </c>
      <c r="DT68" t="n">
        <v>1773</v>
      </c>
      <c r="DU68" t="n">
        <v>46.65</v>
      </c>
      <c r="DV68" t="inlineStr">
        <is>
          <t>flat</t>
        </is>
      </c>
      <c r="DW68" t="n">
        <v>60.35</v>
      </c>
      <c r="DX68" t="n">
        <v>68.28</v>
      </c>
      <c r="DY68" t="n">
        <v>23.9</v>
      </c>
      <c r="DZ68" t="n">
        <v>9.5</v>
      </c>
      <c r="EA68" t="n">
        <v>120</v>
      </c>
      <c r="EB68" t="n">
        <v>105</v>
      </c>
      <c r="EC68" t="n">
        <v>50.5</v>
      </c>
      <c r="ED68" t="n">
        <v>29.1</v>
      </c>
      <c r="EE68" t="n">
        <v>38</v>
      </c>
      <c r="EF68" t="n">
        <v>57.2</v>
      </c>
      <c r="EG68" t="n">
        <v>24.6</v>
      </c>
      <c r="EH68" t="n">
        <v>49.6</v>
      </c>
      <c r="EI68" t="n">
        <v>539.9</v>
      </c>
      <c r="EJ68" t="n">
        <v>355.9</v>
      </c>
      <c r="EK68" t="n">
        <v>214.5</v>
      </c>
      <c r="EL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58.16</v>
      </c>
      <c r="DQ69" t="n">
        <v>22.62</v>
      </c>
      <c r="DR69" t="n">
        <v>45.24</v>
      </c>
      <c r="DS69" t="n">
        <v>12.92</v>
      </c>
      <c r="DT69" t="n">
        <v>942</v>
      </c>
      <c r="DU69" t="n">
        <v>24.78</v>
      </c>
      <c r="DV69" t="inlineStr">
        <is>
          <t>flat</t>
        </is>
      </c>
      <c r="DW69" t="n">
        <v>73.09</v>
      </c>
      <c r="DX69" t="n">
        <v>55.3</v>
      </c>
      <c r="DY69" t="n">
        <v>31.82</v>
      </c>
      <c r="DZ69" t="n">
        <v>8.57</v>
      </c>
      <c r="EA69" t="n">
        <v>118.4</v>
      </c>
      <c r="EB69" t="n">
        <v>47</v>
      </c>
      <c r="EC69" t="n">
        <v>22.6</v>
      </c>
      <c r="ED69" t="n">
        <v>68.7</v>
      </c>
      <c r="EE69" t="n">
        <v>19</v>
      </c>
      <c r="EF69" t="n">
        <v>27.6</v>
      </c>
      <c r="EG69" t="n">
        <v>13.2</v>
      </c>
      <c r="EH69" t="n">
        <v>85.59999999999999</v>
      </c>
      <c r="EI69" t="n">
        <v>163.1</v>
      </c>
      <c r="EJ69" t="n">
        <v>727.3</v>
      </c>
      <c r="EK69" t="n">
        <v>133.2</v>
      </c>
      <c r="EL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131.07</v>
      </c>
      <c r="DQ70" t="n">
        <v>65.19</v>
      </c>
      <c r="DR70" t="n">
        <v>130.38</v>
      </c>
      <c r="DS70" t="n">
        <v>0.6899999999999999</v>
      </c>
      <c r="DT70" t="n">
        <v>3067</v>
      </c>
      <c r="DU70" t="n">
        <v>80.7</v>
      </c>
      <c r="DV70" t="inlineStr">
        <is>
          <t>flat</t>
        </is>
      </c>
      <c r="DW70" t="n">
        <v>99.76000000000001</v>
      </c>
      <c r="DX70" t="n">
        <v>104.25</v>
      </c>
      <c r="DY70" t="n">
        <v>13.28</v>
      </c>
      <c r="DZ70" t="n">
        <v>62.5</v>
      </c>
      <c r="EA70" t="n">
        <v>120</v>
      </c>
      <c r="EB70" t="n">
        <v>38</v>
      </c>
      <c r="EC70" t="n">
        <v>18.3</v>
      </c>
      <c r="ED70" t="n">
        <v>26.9</v>
      </c>
      <c r="EE70" t="n">
        <v>231</v>
      </c>
      <c r="EF70" t="n">
        <v>116.5</v>
      </c>
      <c r="EG70" t="n">
        <v>59.5</v>
      </c>
      <c r="EH70" t="n">
        <v>310.8</v>
      </c>
      <c r="EI70" t="n">
        <v>1767.1</v>
      </c>
      <c r="EJ70" t="n">
        <v>3686.4</v>
      </c>
      <c r="EK70" t="n">
        <v>1194.5</v>
      </c>
      <c r="EL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148.66</v>
      </c>
      <c r="DQ71" t="n">
        <v>74.33</v>
      </c>
      <c r="DR71" t="n">
        <v>148.66</v>
      </c>
      <c r="DS71" t="n">
        <v>0</v>
      </c>
      <c r="DT71" t="n">
        <v>2804</v>
      </c>
      <c r="DU71" t="n">
        <v>73.8</v>
      </c>
      <c r="DV71" t="inlineStr">
        <is>
          <t>flat</t>
        </is>
      </c>
      <c r="DW71" t="n">
        <v>73.37</v>
      </c>
      <c r="DX71" t="n">
        <v>83.04000000000001</v>
      </c>
      <c r="DY71" t="n">
        <v>21.38</v>
      </c>
      <c r="DZ71" t="n">
        <v>13.6</v>
      </c>
      <c r="EA71" t="n">
        <v>115.33</v>
      </c>
      <c r="EB71" t="n">
        <v>114</v>
      </c>
      <c r="EC71" t="n">
        <v>54.8</v>
      </c>
      <c r="ED71" t="n">
        <v>4.2</v>
      </c>
      <c r="EE71" t="n">
        <v>73</v>
      </c>
      <c r="EF71" t="n">
        <v>48.1</v>
      </c>
      <c r="EG71" t="n">
        <v>19.5</v>
      </c>
      <c r="EH71" t="n">
        <v>98</v>
      </c>
      <c r="EI71" t="n">
        <v>229.5</v>
      </c>
      <c r="EJ71" t="n">
        <v>829.6</v>
      </c>
      <c r="EK71" t="n">
        <v>179.8</v>
      </c>
      <c r="EL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P72" t="n">
        <v>120.28</v>
      </c>
      <c r="DQ72" t="n">
        <v>60.14</v>
      </c>
      <c r="DR72" t="n">
        <v>120.28</v>
      </c>
      <c r="DS72" t="n">
        <v>0</v>
      </c>
      <c r="DT72" t="n">
        <v>3385</v>
      </c>
      <c r="DU72" t="n">
        <v>89.09</v>
      </c>
      <c r="DV72" t="inlineStr">
        <is>
          <t>flat</t>
        </is>
      </c>
      <c r="DW72" t="n">
        <v>105</v>
      </c>
      <c r="DX72" t="n">
        <v>109.69</v>
      </c>
      <c r="DY72" t="n">
        <v>20.56</v>
      </c>
      <c r="DZ72" t="n">
        <v>14.4</v>
      </c>
      <c r="EA72" t="n">
        <v>120</v>
      </c>
      <c r="EB72" t="n">
        <v>115</v>
      </c>
      <c r="EC72" t="n">
        <v>55.3</v>
      </c>
      <c r="ED72" t="n">
        <v>5.7</v>
      </c>
      <c r="EE72" t="n">
        <v>392</v>
      </c>
      <c r="EL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132.54</v>
      </c>
      <c r="DQ73" t="n">
        <v>66.27</v>
      </c>
      <c r="DR73" t="n">
        <v>132.54</v>
      </c>
      <c r="DS73" t="n">
        <v>0</v>
      </c>
      <c r="DT73" t="n">
        <v>3295</v>
      </c>
      <c r="DU73" t="n">
        <v>86.7</v>
      </c>
      <c r="DV73" t="inlineStr">
        <is>
          <t>flat</t>
        </is>
      </c>
      <c r="DW73" t="n">
        <v>75.31999999999999</v>
      </c>
      <c r="DX73" t="n">
        <v>82.62</v>
      </c>
      <c r="DY73" t="n">
        <v>21.65</v>
      </c>
      <c r="DZ73" t="n">
        <v>32</v>
      </c>
      <c r="EA73" t="n">
        <v>120</v>
      </c>
      <c r="EB73" t="n">
        <v>67</v>
      </c>
      <c r="EC73" t="n">
        <v>32.2</v>
      </c>
      <c r="ED73" t="n">
        <v>5.6</v>
      </c>
      <c r="EE73" t="n">
        <v>121</v>
      </c>
      <c r="EF73" t="n">
        <v>138.1</v>
      </c>
      <c r="EG73" t="n">
        <v>181.3</v>
      </c>
      <c r="EH73" t="n">
        <v>85.3</v>
      </c>
      <c r="EI73" t="n">
        <v>3192.7</v>
      </c>
      <c r="EJ73" t="n">
        <v>780.4</v>
      </c>
      <c r="EK73" t="n">
        <v>627.1</v>
      </c>
      <c r="EL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124.77</v>
      </c>
      <c r="DQ74" t="n">
        <v>60.7</v>
      </c>
      <c r="DR74" t="n">
        <v>121.4</v>
      </c>
      <c r="DS74" t="n">
        <v>3.37</v>
      </c>
      <c r="DT74" t="n">
        <v>3032</v>
      </c>
      <c r="DU74" t="n">
        <v>79.8</v>
      </c>
      <c r="DV74" t="inlineStr">
        <is>
          <t>flat</t>
        </is>
      </c>
      <c r="DW74" t="n">
        <v>95.72</v>
      </c>
      <c r="DY74" t="n">
        <v>24.15</v>
      </c>
      <c r="DZ74" t="n">
        <v>27.64</v>
      </c>
      <c r="EA74" t="n">
        <v>119.27</v>
      </c>
      <c r="EB74" t="n">
        <v>17</v>
      </c>
      <c r="EC74" t="n">
        <v>8.199999999999999</v>
      </c>
      <c r="ED74" t="n">
        <v>41.4</v>
      </c>
      <c r="EE74" t="n">
        <v>232</v>
      </c>
      <c r="EF74" t="n">
        <v>180.1</v>
      </c>
      <c r="EG74" t="n">
        <v>82.3</v>
      </c>
      <c r="EH74" t="n">
        <v>411.7</v>
      </c>
      <c r="EI74" t="n">
        <v>1865.8</v>
      </c>
      <c r="EJ74" t="n">
        <v>2390.8</v>
      </c>
      <c r="EK74" t="n">
        <v>1048</v>
      </c>
      <c r="EL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P75" t="n">
        <v>120.4</v>
      </c>
      <c r="DQ75" t="n">
        <v>60.2</v>
      </c>
      <c r="DR75" t="n">
        <v>120.4</v>
      </c>
      <c r="DS75" t="n">
        <v>0</v>
      </c>
      <c r="DT75" t="n">
        <v>3420</v>
      </c>
      <c r="DU75" t="n">
        <v>89.98999999999999</v>
      </c>
      <c r="DV75" t="inlineStr">
        <is>
          <t>flat</t>
        </is>
      </c>
      <c r="DW75" t="n">
        <v>106.98</v>
      </c>
      <c r="DX75" t="n">
        <v>113.88</v>
      </c>
      <c r="DY75" t="n">
        <v>16.92</v>
      </c>
      <c r="DZ75" t="n">
        <v>32.5</v>
      </c>
      <c r="EA75" t="n">
        <v>120</v>
      </c>
      <c r="EB75" t="n">
        <v>104</v>
      </c>
      <c r="EC75" t="n">
        <v>50</v>
      </c>
      <c r="ED75" t="n">
        <v>3.7</v>
      </c>
      <c r="EE75" t="n">
        <v>393</v>
      </c>
      <c r="EJ75" t="n">
        <v>342000</v>
      </c>
      <c r="EK75" t="n">
        <v>342000</v>
      </c>
      <c r="EL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P76" t="n">
        <v>129.04</v>
      </c>
      <c r="DQ76" t="n">
        <v>64.52</v>
      </c>
      <c r="DR76" t="n">
        <v>129.04</v>
      </c>
      <c r="DS76" t="n">
        <v>0</v>
      </c>
      <c r="DT76" t="n">
        <v>3385</v>
      </c>
      <c r="DU76" t="n">
        <v>89.09</v>
      </c>
      <c r="DV76" t="inlineStr">
        <is>
          <t>flat</t>
        </is>
      </c>
      <c r="DW76" t="n">
        <v>81.33</v>
      </c>
      <c r="DX76" t="n">
        <v>92.42</v>
      </c>
      <c r="DY76" t="n">
        <v>27.04</v>
      </c>
      <c r="DZ76" t="n">
        <v>10.67</v>
      </c>
      <c r="EA76" t="n">
        <v>119</v>
      </c>
      <c r="EB76" t="n">
        <v>176</v>
      </c>
      <c r="EC76" t="n">
        <v>84.59999999999999</v>
      </c>
      <c r="ED76" t="n">
        <v>16.2</v>
      </c>
      <c r="EE76" t="n">
        <v>233</v>
      </c>
      <c r="EH76" t="n">
        <v>1417.5</v>
      </c>
      <c r="EJ76" t="n">
        <v>13069.3</v>
      </c>
      <c r="EK76" t="n">
        <v>13069.3</v>
      </c>
      <c r="EL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140.01</v>
      </c>
      <c r="DQ77" t="n">
        <v>70.03</v>
      </c>
      <c r="DR77" t="n">
        <v>140.06</v>
      </c>
      <c r="DS77" t="n">
        <v>-0.05</v>
      </c>
      <c r="DT77" t="n">
        <v>2502</v>
      </c>
      <c r="DU77" t="n">
        <v>65.84999999999999</v>
      </c>
      <c r="DV77" t="inlineStr">
        <is>
          <t>flat</t>
        </is>
      </c>
      <c r="DW77" t="n">
        <v>30.58</v>
      </c>
      <c r="DX77" t="n">
        <v>28.67</v>
      </c>
      <c r="DY77" t="n">
        <v>18.35</v>
      </c>
      <c r="DZ77" t="n">
        <v>7.5</v>
      </c>
      <c r="EA77" t="n">
        <v>107.2</v>
      </c>
      <c r="EB77" t="n">
        <v>160</v>
      </c>
      <c r="EC77" t="n">
        <v>76.90000000000001</v>
      </c>
      <c r="ED77" t="n">
        <v>24.9</v>
      </c>
      <c r="EE77" t="n">
        <v>20</v>
      </c>
      <c r="EF77" t="n">
        <v>45.5</v>
      </c>
      <c r="EG77" t="n">
        <v>9.1</v>
      </c>
      <c r="EH77" t="n">
        <v>30.1</v>
      </c>
      <c r="EI77" t="n">
        <v>516.2</v>
      </c>
      <c r="EJ77" t="n">
        <v>264.4</v>
      </c>
      <c r="EK77" t="n">
        <v>174.8</v>
      </c>
      <c r="EL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132.2</v>
      </c>
      <c r="DQ78" t="n">
        <v>66.09999999999999</v>
      </c>
      <c r="DR78" t="n">
        <v>132.2</v>
      </c>
      <c r="DS78" t="n">
        <v>0</v>
      </c>
      <c r="DT78" t="n">
        <v>3312</v>
      </c>
      <c r="DU78" t="n">
        <v>87.15000000000001</v>
      </c>
      <c r="DV78" t="inlineStr">
        <is>
          <t>flat</t>
        </is>
      </c>
      <c r="DW78" t="n">
        <v>79.23</v>
      </c>
      <c r="DX78" t="n">
        <v>83.79000000000001</v>
      </c>
      <c r="DY78" t="n">
        <v>20.3</v>
      </c>
      <c r="DZ78" t="n">
        <v>17.6</v>
      </c>
      <c r="EA78" t="n">
        <v>118.86</v>
      </c>
      <c r="EB78" t="n">
        <v>123</v>
      </c>
      <c r="EC78" t="n">
        <v>59.1</v>
      </c>
      <c r="ED78" t="n">
        <v>31.7</v>
      </c>
      <c r="EE78" t="n">
        <v>122</v>
      </c>
      <c r="EF78" t="n">
        <v>210.9</v>
      </c>
      <c r="EG78" t="n">
        <v>96.40000000000001</v>
      </c>
      <c r="EH78" t="n">
        <v>1125</v>
      </c>
      <c r="EI78" t="n">
        <v>5039.5</v>
      </c>
      <c r="EJ78" t="n">
        <v>7123.4</v>
      </c>
      <c r="EK78" t="n">
        <v>2951.5</v>
      </c>
      <c r="EL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61.65</v>
      </c>
      <c r="DQ79" t="n">
        <v>36.63</v>
      </c>
      <c r="DR79" t="n">
        <v>73.26000000000001</v>
      </c>
      <c r="DS79" t="n">
        <v>-11.61</v>
      </c>
      <c r="DT79" t="n">
        <v>697</v>
      </c>
      <c r="DU79" t="n">
        <v>18.34</v>
      </c>
      <c r="DV79" t="inlineStr">
        <is>
          <t>fade (losing his place)</t>
        </is>
      </c>
      <c r="DW79" t="n">
        <v>61.19</v>
      </c>
      <c r="DX79" t="n">
        <v>63.25</v>
      </c>
      <c r="DY79" t="n">
        <v>25.19</v>
      </c>
      <c r="DZ79" t="n">
        <v>14</v>
      </c>
      <c r="EA79" t="n">
        <v>120</v>
      </c>
      <c r="EB79" t="n">
        <v>141</v>
      </c>
      <c r="EC79" t="n">
        <v>67.8</v>
      </c>
      <c r="ED79" t="n">
        <v>20.3</v>
      </c>
      <c r="EE79" t="n">
        <v>74</v>
      </c>
      <c r="EF79" t="n">
        <v>32</v>
      </c>
      <c r="EG79" t="n">
        <v>15.6</v>
      </c>
      <c r="EH79" t="n">
        <v>97.7</v>
      </c>
      <c r="EI79" t="n">
        <v>211.2</v>
      </c>
      <c r="EJ79" t="n">
        <v>802.8</v>
      </c>
      <c r="EK79" t="n">
        <v>167.2</v>
      </c>
      <c r="EL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118.37</v>
      </c>
      <c r="DQ80" t="n">
        <v>59.43</v>
      </c>
      <c r="DR80" t="n">
        <v>118.86</v>
      </c>
      <c r="DS80" t="n">
        <v>-0.49</v>
      </c>
      <c r="DT80" t="n">
        <v>3198</v>
      </c>
      <c r="DU80" t="n">
        <v>84.15000000000001</v>
      </c>
      <c r="DV80" t="inlineStr">
        <is>
          <t>flat</t>
        </is>
      </c>
      <c r="DW80" t="n">
        <v>94.75</v>
      </c>
      <c r="DX80" t="n">
        <v>97.56</v>
      </c>
      <c r="DY80" t="n">
        <v>16.9</v>
      </c>
      <c r="DZ80" t="n">
        <v>54.67</v>
      </c>
      <c r="EA80" t="n">
        <v>120</v>
      </c>
      <c r="EB80" t="n">
        <v>59</v>
      </c>
      <c r="EC80" t="n">
        <v>28.4</v>
      </c>
      <c r="ED80" t="n">
        <v>1.7</v>
      </c>
      <c r="EE80" t="n">
        <v>394</v>
      </c>
      <c r="EF80" t="n">
        <v>111.8</v>
      </c>
      <c r="EG80" t="n">
        <v>54</v>
      </c>
      <c r="EH80" t="n">
        <v>149</v>
      </c>
      <c r="EI80" t="n">
        <v>1534.5</v>
      </c>
      <c r="EJ80" t="n">
        <v>1127</v>
      </c>
      <c r="EK80" t="n">
        <v>649.8</v>
      </c>
      <c r="EL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159.76</v>
      </c>
      <c r="DQ81" t="n">
        <v>79.88</v>
      </c>
      <c r="DR81" t="n">
        <v>159.76</v>
      </c>
      <c r="DS81" t="n">
        <v>0</v>
      </c>
      <c r="DT81" t="n">
        <v>3135</v>
      </c>
      <c r="DU81" t="n">
        <v>82.5</v>
      </c>
      <c r="DV81" t="inlineStr">
        <is>
          <t>flat</t>
        </is>
      </c>
      <c r="DW81" t="n">
        <v>42.01</v>
      </c>
      <c r="DX81" t="n">
        <v>44.61</v>
      </c>
      <c r="DY81" t="n">
        <v>18.38</v>
      </c>
      <c r="DZ81" t="n">
        <v>8.800000000000001</v>
      </c>
      <c r="EA81" t="n">
        <v>104</v>
      </c>
      <c r="EB81" t="n">
        <v>184</v>
      </c>
      <c r="EC81" t="n">
        <v>88.5</v>
      </c>
      <c r="ED81" t="n">
        <v>10.7</v>
      </c>
      <c r="EE81" t="n">
        <v>39</v>
      </c>
      <c r="EF81" t="n">
        <v>45.3</v>
      </c>
      <c r="EG81" t="n">
        <v>21.9</v>
      </c>
      <c r="EH81" t="n">
        <v>114.4</v>
      </c>
      <c r="EI81" t="n">
        <v>193.4</v>
      </c>
      <c r="EJ81" t="n">
        <v>1289.4</v>
      </c>
      <c r="EK81" t="n">
        <v>168.2</v>
      </c>
      <c r="EL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106.7</v>
      </c>
      <c r="DQ82" t="n">
        <v>41.37</v>
      </c>
      <c r="DR82" t="n">
        <v>82.73999999999999</v>
      </c>
      <c r="DS82" t="n">
        <v>23.96</v>
      </c>
      <c r="DT82" t="n">
        <v>2713</v>
      </c>
      <c r="DU82" t="n">
        <v>71.40000000000001</v>
      </c>
      <c r="DV82" t="inlineStr">
        <is>
          <t>ramp-up (injury / late WC return)</t>
        </is>
      </c>
      <c r="DW82" t="n">
        <v>76.54000000000001</v>
      </c>
      <c r="DX82" t="n">
        <v>89.2</v>
      </c>
      <c r="DY82" t="n">
        <v>20.35</v>
      </c>
      <c r="DZ82" t="n">
        <v>25.5</v>
      </c>
      <c r="EA82" t="n">
        <v>117</v>
      </c>
      <c r="EB82" t="n">
        <v>72</v>
      </c>
      <c r="EC82" t="n">
        <v>34.6</v>
      </c>
      <c r="ED82" t="n">
        <v>6.5</v>
      </c>
      <c r="EE82" t="n">
        <v>75</v>
      </c>
      <c r="EF82" t="n">
        <v>58.3</v>
      </c>
      <c r="EG82" t="n">
        <v>12.9</v>
      </c>
      <c r="EH82" t="n">
        <v>54.3</v>
      </c>
      <c r="EI82" t="n">
        <v>558</v>
      </c>
      <c r="EJ82" t="n">
        <v>438.3</v>
      </c>
      <c r="EK82" t="n">
        <v>245.5</v>
      </c>
      <c r="EL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143.81</v>
      </c>
      <c r="DQ83" t="n">
        <v>71.95</v>
      </c>
      <c r="DR83" t="n">
        <v>143.9</v>
      </c>
      <c r="DS83" t="n">
        <v>-0.09</v>
      </c>
      <c r="DT83" t="n">
        <v>3084</v>
      </c>
      <c r="DU83" t="n">
        <v>81.15000000000001</v>
      </c>
      <c r="DV83" t="inlineStr">
        <is>
          <t>flat</t>
        </is>
      </c>
      <c r="DW83" t="n">
        <v>46.82</v>
      </c>
      <c r="DX83" t="n">
        <v>53.43</v>
      </c>
      <c r="DY83" t="n">
        <v>15.63</v>
      </c>
      <c r="DZ83" t="n">
        <v>16.57</v>
      </c>
      <c r="EA83" t="n">
        <v>110.4</v>
      </c>
      <c r="EB83" t="n">
        <v>197</v>
      </c>
      <c r="EC83" t="n">
        <v>94.7</v>
      </c>
      <c r="ED83" t="n">
        <v>7.5</v>
      </c>
      <c r="EE83" t="n">
        <v>123</v>
      </c>
      <c r="EF83" t="n">
        <v>87.3</v>
      </c>
      <c r="EG83" t="n">
        <v>71.59999999999999</v>
      </c>
      <c r="EH83" t="n">
        <v>52.7</v>
      </c>
      <c r="EI83" t="n">
        <v>2277.3</v>
      </c>
      <c r="EJ83" t="n">
        <v>648.2</v>
      </c>
      <c r="EK83" t="n">
        <v>504.6</v>
      </c>
      <c r="EL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127.1</v>
      </c>
      <c r="DQ84" t="n">
        <v>63.55</v>
      </c>
      <c r="DR84" t="n">
        <v>127.1</v>
      </c>
      <c r="DS84" t="n">
        <v>0</v>
      </c>
      <c r="DT84" t="n">
        <v>3342</v>
      </c>
      <c r="DU84" t="n">
        <v>87.95999999999999</v>
      </c>
      <c r="DV84" t="inlineStr">
        <is>
          <t>flat</t>
        </is>
      </c>
      <c r="DW84" t="n">
        <v>90.54000000000001</v>
      </c>
      <c r="DX84" t="n">
        <v>105.5</v>
      </c>
      <c r="DY84" t="n">
        <v>19.42</v>
      </c>
      <c r="DZ84" t="n">
        <v>47.11</v>
      </c>
      <c r="EA84" t="n">
        <v>120</v>
      </c>
      <c r="EB84" t="n">
        <v>83</v>
      </c>
      <c r="EC84" t="n">
        <v>39.9</v>
      </c>
      <c r="ED84" t="n">
        <v>6.7</v>
      </c>
      <c r="EE84" t="n">
        <v>395</v>
      </c>
      <c r="EF84" t="n">
        <v>100.5</v>
      </c>
      <c r="EG84" t="n">
        <v>73.59999999999999</v>
      </c>
      <c r="EH84" t="n">
        <v>100.5</v>
      </c>
      <c r="EI84" t="n">
        <v>2558.2</v>
      </c>
      <c r="EJ84" t="n">
        <v>980</v>
      </c>
      <c r="EK84" t="n">
        <v>708.6</v>
      </c>
      <c r="EL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135.56</v>
      </c>
      <c r="DQ85" t="n">
        <v>67.88</v>
      </c>
      <c r="DR85" t="n">
        <v>135.76</v>
      </c>
      <c r="DS85" t="n">
        <v>-0.2</v>
      </c>
      <c r="DT85" t="n">
        <v>2867</v>
      </c>
      <c r="DU85" t="n">
        <v>75.45</v>
      </c>
      <c r="DV85" t="inlineStr">
        <is>
          <t>flat</t>
        </is>
      </c>
      <c r="DW85" t="n">
        <v>89.56</v>
      </c>
      <c r="DX85" t="n">
        <v>95.04000000000001</v>
      </c>
      <c r="DY85" t="n">
        <v>18.07</v>
      </c>
      <c r="DZ85" t="n">
        <v>39</v>
      </c>
      <c r="EA85" t="n">
        <v>120</v>
      </c>
      <c r="EB85" t="n">
        <v>104</v>
      </c>
      <c r="EC85" t="n">
        <v>50</v>
      </c>
      <c r="ED85" t="n">
        <v>4.6</v>
      </c>
      <c r="EE85" t="n">
        <v>236</v>
      </c>
      <c r="EF85" t="n">
        <v>82.5</v>
      </c>
      <c r="EG85" t="n">
        <v>29.8</v>
      </c>
      <c r="EH85" t="n">
        <v>142.9</v>
      </c>
      <c r="EI85" t="n">
        <v>696.6</v>
      </c>
      <c r="EJ85" t="n">
        <v>1939.8</v>
      </c>
      <c r="EK85" t="n">
        <v>512.5</v>
      </c>
      <c r="EL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114.1</v>
      </c>
      <c r="DQ86" t="n">
        <v>57.07</v>
      </c>
      <c r="DR86" t="n">
        <v>114.14</v>
      </c>
      <c r="DS86" t="n">
        <v>-0.04</v>
      </c>
      <c r="DT86" t="n">
        <v>3164</v>
      </c>
      <c r="DU86" t="n">
        <v>83.25</v>
      </c>
      <c r="DV86" t="inlineStr">
        <is>
          <t>flat</t>
        </is>
      </c>
      <c r="DW86" t="n">
        <v>97.91</v>
      </c>
      <c r="DX86" t="n">
        <v>107</v>
      </c>
      <c r="DY86" t="n">
        <v>10.96</v>
      </c>
      <c r="DZ86" t="n">
        <v>65</v>
      </c>
      <c r="EA86" t="n">
        <v>115.33</v>
      </c>
      <c r="EB86" t="n">
        <v>42</v>
      </c>
      <c r="EC86" t="n">
        <v>20.2</v>
      </c>
      <c r="ED86" t="n">
        <v>12.5</v>
      </c>
      <c r="EE86" t="n">
        <v>234</v>
      </c>
      <c r="EF86" t="n">
        <v>239.8</v>
      </c>
      <c r="EG86" t="n">
        <v>84.3</v>
      </c>
      <c r="EH86" t="n">
        <v>183.4</v>
      </c>
      <c r="EI86" t="n">
        <v>2094.8</v>
      </c>
      <c r="EJ86" t="n">
        <v>3616.3</v>
      </c>
      <c r="EK86" t="n">
        <v>1326.4</v>
      </c>
      <c r="EL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113.04</v>
      </c>
      <c r="DQ87" t="n">
        <v>56.52</v>
      </c>
      <c r="DR87" t="n">
        <v>113.04</v>
      </c>
      <c r="DS87" t="n">
        <v>0</v>
      </c>
      <c r="DT87" t="n">
        <v>3089</v>
      </c>
      <c r="DU87" t="n">
        <v>81.3</v>
      </c>
      <c r="DV87" t="inlineStr">
        <is>
          <t>flat</t>
        </is>
      </c>
      <c r="DW87" t="n">
        <v>73.59999999999999</v>
      </c>
      <c r="DX87" t="n">
        <v>85.33</v>
      </c>
      <c r="DY87" t="n">
        <v>22.64</v>
      </c>
      <c r="DZ87" t="n">
        <v>18.29</v>
      </c>
      <c r="EA87" t="n">
        <v>120</v>
      </c>
      <c r="EB87" t="n">
        <v>170</v>
      </c>
      <c r="EC87" t="n">
        <v>81.7</v>
      </c>
      <c r="ED87" t="n">
        <v>5</v>
      </c>
      <c r="EE87" t="n">
        <v>235</v>
      </c>
      <c r="EF87" t="n">
        <v>190.1</v>
      </c>
      <c r="EG87" t="n">
        <v>92.2</v>
      </c>
      <c r="EH87" t="n">
        <v>506.8</v>
      </c>
      <c r="EI87" t="n">
        <v>1153.5</v>
      </c>
      <c r="EJ87" t="n">
        <v>4362.1</v>
      </c>
      <c r="EK87" t="n">
        <v>912.3</v>
      </c>
      <c r="EL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111.71</v>
      </c>
      <c r="DQ88" t="n">
        <v>56.28</v>
      </c>
      <c r="DR88" t="n">
        <v>112.56</v>
      </c>
      <c r="DS88" t="n">
        <v>-0.85</v>
      </c>
      <c r="DT88" t="n">
        <v>2400</v>
      </c>
      <c r="DU88" t="n">
        <v>63.15</v>
      </c>
      <c r="DV88" t="inlineStr">
        <is>
          <t>flat</t>
        </is>
      </c>
      <c r="DW88" t="n">
        <v>63.59</v>
      </c>
      <c r="DX88" t="n">
        <v>66.33</v>
      </c>
      <c r="DY88" t="n">
        <v>19.06</v>
      </c>
      <c r="DZ88" t="n">
        <v>19</v>
      </c>
      <c r="EA88" t="n">
        <v>114.67</v>
      </c>
      <c r="EB88" t="n">
        <v>171</v>
      </c>
      <c r="EC88" t="n">
        <v>82.2</v>
      </c>
      <c r="ED88" t="n">
        <v>17.8</v>
      </c>
      <c r="EE88" t="n">
        <v>125</v>
      </c>
      <c r="EF88" t="n">
        <v>89</v>
      </c>
      <c r="EG88" t="n">
        <v>122.3</v>
      </c>
      <c r="EH88" t="n">
        <v>72.5</v>
      </c>
      <c r="EI88" t="n">
        <v>1725.7</v>
      </c>
      <c r="EJ88" t="n">
        <v>544.1</v>
      </c>
      <c r="EK88" t="n">
        <v>413.7</v>
      </c>
      <c r="EL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141.07</v>
      </c>
      <c r="DQ89" t="n">
        <v>71.06999999999999</v>
      </c>
      <c r="DR89" t="n">
        <v>142.14</v>
      </c>
      <c r="DS89" t="n">
        <v>-1.07</v>
      </c>
      <c r="DT89" t="n">
        <v>2662</v>
      </c>
      <c r="DU89" t="n">
        <v>70.05</v>
      </c>
      <c r="DV89" t="inlineStr">
        <is>
          <t>flat</t>
        </is>
      </c>
      <c r="DW89" t="n">
        <v>44.72</v>
      </c>
      <c r="DX89" t="n">
        <v>51.49</v>
      </c>
      <c r="DY89" t="n">
        <v>25.24</v>
      </c>
      <c r="DZ89" t="n">
        <v>8.67</v>
      </c>
      <c r="EA89" t="n">
        <v>116</v>
      </c>
      <c r="EB89" t="n">
        <v>179</v>
      </c>
      <c r="EC89" t="n">
        <v>86.09999999999999</v>
      </c>
      <c r="ED89" t="n">
        <v>13.9</v>
      </c>
      <c r="EE89" t="n">
        <v>76</v>
      </c>
      <c r="EF89" t="n">
        <v>39.2</v>
      </c>
      <c r="EG89" t="n">
        <v>19.6</v>
      </c>
      <c r="EH89" t="n">
        <v>88.40000000000001</v>
      </c>
      <c r="EI89" t="n">
        <v>244</v>
      </c>
      <c r="EJ89" t="n">
        <v>1205.1</v>
      </c>
      <c r="EK89" t="n">
        <v>202.9</v>
      </c>
      <c r="EL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66.66</v>
      </c>
      <c r="DQ90" t="n">
        <v>33.73</v>
      </c>
      <c r="DR90" t="n">
        <v>67.45999999999999</v>
      </c>
      <c r="DS90" t="n">
        <v>-0.8</v>
      </c>
      <c r="DT90" t="n">
        <v>1659</v>
      </c>
      <c r="DU90" t="n">
        <v>43.65</v>
      </c>
      <c r="DV90" t="inlineStr">
        <is>
          <t>flat</t>
        </is>
      </c>
      <c r="DW90" t="n">
        <v>91.45</v>
      </c>
      <c r="DX90" t="n">
        <v>109</v>
      </c>
      <c r="DY90" t="n">
        <v>19.82</v>
      </c>
      <c r="DZ90" t="n">
        <v>42.5</v>
      </c>
      <c r="EA90" t="n">
        <v>109</v>
      </c>
      <c r="EB90" t="n">
        <v>12</v>
      </c>
      <c r="EC90" t="n">
        <v>5.8</v>
      </c>
      <c r="ED90" t="n">
        <v>0</v>
      </c>
      <c r="EE90" t="n">
        <v>124</v>
      </c>
      <c r="EF90" t="n">
        <v>63.2</v>
      </c>
      <c r="EG90" t="n">
        <v>26.5</v>
      </c>
      <c r="EH90" t="n">
        <v>103.2</v>
      </c>
      <c r="EI90" t="n">
        <v>629.7</v>
      </c>
      <c r="EJ90" t="n">
        <v>750.3</v>
      </c>
      <c r="EK90" t="n">
        <v>342.4</v>
      </c>
      <c r="EL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191.31</v>
      </c>
      <c r="DQ91" t="n">
        <v>95.75</v>
      </c>
      <c r="DR91" t="n">
        <v>191.5</v>
      </c>
      <c r="DS91" t="n">
        <v>-0.19</v>
      </c>
      <c r="DT91" t="n">
        <v>2884</v>
      </c>
      <c r="DU91" t="n">
        <v>75.90000000000001</v>
      </c>
      <c r="DV91" t="inlineStr">
        <is>
          <t>flat</t>
        </is>
      </c>
      <c r="DW91" t="n">
        <v>6.65</v>
      </c>
      <c r="DX91" t="n">
        <v>5.31</v>
      </c>
      <c r="DY91" t="n">
        <v>7.43</v>
      </c>
      <c r="DZ91" t="n">
        <v>1</v>
      </c>
      <c r="EA91" t="n">
        <v>61.33</v>
      </c>
      <c r="EB91" t="n">
        <v>176</v>
      </c>
      <c r="EC91" t="n">
        <v>84.59999999999999</v>
      </c>
      <c r="ED91" t="n">
        <v>18.1</v>
      </c>
      <c r="EE91" t="n">
        <v>4</v>
      </c>
      <c r="EF91" t="n">
        <v>30.5</v>
      </c>
      <c r="EG91" t="n">
        <v>21</v>
      </c>
      <c r="EH91" t="n">
        <v>81.40000000000001</v>
      </c>
      <c r="EI91" t="n">
        <v>187.8</v>
      </c>
      <c r="EJ91" t="n">
        <v>847.1</v>
      </c>
      <c r="EK91" t="n">
        <v>153.7</v>
      </c>
      <c r="EL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132.34</v>
      </c>
      <c r="DQ92" t="n">
        <v>66.17</v>
      </c>
      <c r="DR92" t="n">
        <v>132.34</v>
      </c>
      <c r="DS92" t="n">
        <v>0</v>
      </c>
      <c r="DT92" t="n">
        <v>2422</v>
      </c>
      <c r="DU92" t="n">
        <v>63.75</v>
      </c>
      <c r="DV92" t="inlineStr">
        <is>
          <t>flat</t>
        </is>
      </c>
      <c r="DW92" t="n">
        <v>31.94</v>
      </c>
      <c r="DX92" t="n">
        <v>32.89</v>
      </c>
      <c r="DY92" t="n">
        <v>17.86</v>
      </c>
      <c r="DZ92" t="n">
        <v>6.29</v>
      </c>
      <c r="EA92" t="n">
        <v>108</v>
      </c>
      <c r="EB92" t="n">
        <v>185</v>
      </c>
      <c r="EC92" t="n">
        <v>88.90000000000001</v>
      </c>
      <c r="ED92" t="n">
        <v>12.7</v>
      </c>
      <c r="EE92" t="n">
        <v>40</v>
      </c>
      <c r="EF92" t="n">
        <v>35.1</v>
      </c>
      <c r="EG92" t="n">
        <v>25.1</v>
      </c>
      <c r="EH92" t="n">
        <v>245.6</v>
      </c>
      <c r="EI92" t="n">
        <v>145.4</v>
      </c>
      <c r="EJ92" t="n">
        <v>1720.1</v>
      </c>
      <c r="EK92" t="n">
        <v>134.1</v>
      </c>
      <c r="EL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133.48</v>
      </c>
      <c r="DQ93" t="n">
        <v>66.73999999999999</v>
      </c>
      <c r="DR93" t="n">
        <v>133.48</v>
      </c>
      <c r="DS93" t="n">
        <v>0</v>
      </c>
      <c r="DT93" t="n">
        <v>2764</v>
      </c>
      <c r="DU93" t="n">
        <v>72.75</v>
      </c>
      <c r="DV93" t="inlineStr">
        <is>
          <t>flat</t>
        </is>
      </c>
      <c r="DW93" t="n">
        <v>40.83</v>
      </c>
      <c r="DX93" t="n">
        <v>49.49</v>
      </c>
      <c r="DY93" t="n">
        <v>24.44</v>
      </c>
      <c r="DZ93" t="n">
        <v>5</v>
      </c>
      <c r="EA93" t="n">
        <v>114.67</v>
      </c>
      <c r="EB93" t="n">
        <v>180</v>
      </c>
      <c r="EC93" t="n">
        <v>86.5</v>
      </c>
      <c r="ED93" t="n">
        <v>12.2</v>
      </c>
      <c r="EE93" t="n">
        <v>77</v>
      </c>
      <c r="EF93" t="n">
        <v>32.8</v>
      </c>
      <c r="EG93" t="n">
        <v>18.5</v>
      </c>
      <c r="EH93" t="n">
        <v>152.9</v>
      </c>
      <c r="EI93" t="n">
        <v>335.3</v>
      </c>
      <c r="EJ93" t="n">
        <v>1295.4</v>
      </c>
      <c r="EK93" t="n">
        <v>266.3</v>
      </c>
      <c r="EL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115.47</v>
      </c>
      <c r="DQ94" t="n">
        <v>42.34</v>
      </c>
      <c r="DR94" t="n">
        <v>84.68000000000001</v>
      </c>
      <c r="DS94" t="n">
        <v>30.79</v>
      </c>
      <c r="DT94" t="n">
        <v>2594</v>
      </c>
      <c r="DU94" t="n">
        <v>68.25</v>
      </c>
      <c r="DV94" t="inlineStr">
        <is>
          <t>ramp-up (injury / late WC return)</t>
        </is>
      </c>
      <c r="DW94" t="n">
        <v>70.52</v>
      </c>
      <c r="DX94" t="n">
        <v>74.25</v>
      </c>
      <c r="DY94" t="n">
        <v>34.68</v>
      </c>
      <c r="DZ94" t="n">
        <v>9</v>
      </c>
      <c r="EA94" t="n">
        <v>117.33</v>
      </c>
      <c r="EB94" t="n">
        <v>29</v>
      </c>
      <c r="EC94" t="n">
        <v>13.9</v>
      </c>
      <c r="ED94" t="n">
        <v>76.40000000000001</v>
      </c>
      <c r="EE94" t="n">
        <v>21</v>
      </c>
      <c r="EF94" t="n">
        <v>32</v>
      </c>
      <c r="EG94" t="n">
        <v>19.8</v>
      </c>
      <c r="EH94" t="n">
        <v>75.59999999999999</v>
      </c>
      <c r="EI94" t="n">
        <v>193.8</v>
      </c>
      <c r="EJ94" t="n">
        <v>1000.1</v>
      </c>
      <c r="EK94" t="n">
        <v>162.4</v>
      </c>
      <c r="EL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107.02</v>
      </c>
      <c r="DQ95" t="n">
        <v>45.04</v>
      </c>
      <c r="DR95" t="n">
        <v>90.08</v>
      </c>
      <c r="DS95" t="n">
        <v>16.94</v>
      </c>
      <c r="DT95" t="n">
        <v>2947</v>
      </c>
      <c r="DU95" t="n">
        <v>77.55</v>
      </c>
      <c r="DV95" t="inlineStr">
        <is>
          <t>ramp-up (injury / late WC return)</t>
        </is>
      </c>
      <c r="DW95" t="n">
        <v>96.66</v>
      </c>
      <c r="DX95" t="n">
        <v>86</v>
      </c>
      <c r="DY95" t="n">
        <v>13.19</v>
      </c>
      <c r="DZ95" t="n">
        <v>60</v>
      </c>
      <c r="EA95" t="n">
        <v>113.45</v>
      </c>
      <c r="EB95" t="n">
        <v>40</v>
      </c>
      <c r="EC95" t="n">
        <v>19.2</v>
      </c>
      <c r="ED95" t="n">
        <v>9.1</v>
      </c>
      <c r="EE95" t="n">
        <v>237</v>
      </c>
      <c r="EF95" t="n">
        <v>120</v>
      </c>
      <c r="EG95" t="n">
        <v>50.2</v>
      </c>
      <c r="EH95" t="n">
        <v>394.4</v>
      </c>
      <c r="EI95" t="n">
        <v>825.1</v>
      </c>
      <c r="EJ95" t="n">
        <v>1514.1</v>
      </c>
      <c r="EK95" t="n">
        <v>534</v>
      </c>
      <c r="EL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120.92</v>
      </c>
      <c r="DQ96" t="n">
        <v>60.64</v>
      </c>
      <c r="DR96" t="n">
        <v>121.28</v>
      </c>
      <c r="DS96" t="n">
        <v>-0.36</v>
      </c>
      <c r="DT96" t="n">
        <v>3192</v>
      </c>
      <c r="DU96" t="n">
        <v>84</v>
      </c>
      <c r="DV96" t="inlineStr">
        <is>
          <t>flat</t>
        </is>
      </c>
      <c r="DW96" t="n">
        <v>94.17</v>
      </c>
      <c r="DX96" t="n">
        <v>93.70999999999999</v>
      </c>
      <c r="DY96" t="n">
        <v>19.07</v>
      </c>
      <c r="DZ96" t="n">
        <v>19.2</v>
      </c>
      <c r="EA96" t="n">
        <v>118.67</v>
      </c>
      <c r="EB96" t="n">
        <v>58</v>
      </c>
      <c r="EC96" t="n">
        <v>27.9</v>
      </c>
      <c r="ED96" t="n">
        <v>4.9</v>
      </c>
      <c r="EE96" t="n">
        <v>396</v>
      </c>
      <c r="EF96" t="n">
        <v>362</v>
      </c>
      <c r="EG96" t="n">
        <v>93.09999999999999</v>
      </c>
      <c r="EH96" t="n">
        <v>95.8</v>
      </c>
      <c r="EI96" t="n">
        <v>2660.6</v>
      </c>
      <c r="EJ96" t="n">
        <v>1072.6</v>
      </c>
      <c r="EK96" t="n">
        <v>764.4</v>
      </c>
      <c r="EL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120.72</v>
      </c>
      <c r="DQ97" t="n">
        <v>60.36</v>
      </c>
      <c r="DR97" t="n">
        <v>120.72</v>
      </c>
      <c r="DS97" t="n">
        <v>0</v>
      </c>
      <c r="DT97" t="n">
        <v>2992</v>
      </c>
      <c r="DU97" t="n">
        <v>78.75</v>
      </c>
      <c r="DV97" t="inlineStr">
        <is>
          <t>flat</t>
        </is>
      </c>
      <c r="DW97" t="n">
        <v>88.47</v>
      </c>
      <c r="DX97" t="n">
        <v>91.45</v>
      </c>
      <c r="DY97" t="n">
        <v>20.86</v>
      </c>
      <c r="DZ97" t="n">
        <v>21.54</v>
      </c>
      <c r="EA97" t="n">
        <v>118.67</v>
      </c>
      <c r="EB97" t="n">
        <v>102</v>
      </c>
      <c r="EC97" t="n">
        <v>49</v>
      </c>
      <c r="ED97" t="n">
        <v>8.1</v>
      </c>
      <c r="EE97" t="n">
        <v>397</v>
      </c>
      <c r="EF97" t="n">
        <v>322</v>
      </c>
      <c r="EG97" t="n">
        <v>111</v>
      </c>
      <c r="EH97" t="n">
        <v>201.2</v>
      </c>
      <c r="EI97" t="n">
        <v>4883</v>
      </c>
      <c r="EJ97" t="n">
        <v>1854</v>
      </c>
      <c r="EK97" t="n">
        <v>1343.8</v>
      </c>
      <c r="EL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65.70999999999999</v>
      </c>
      <c r="DQ98" t="n">
        <v>33.31</v>
      </c>
      <c r="DR98" t="n">
        <v>66.62</v>
      </c>
      <c r="DS98" t="n">
        <v>-0.91</v>
      </c>
      <c r="DT98" t="n">
        <v>1569</v>
      </c>
      <c r="DU98" t="n">
        <v>41.28</v>
      </c>
      <c r="DV98" t="inlineStr">
        <is>
          <t>flat</t>
        </is>
      </c>
      <c r="DW98" t="n">
        <v>64.52</v>
      </c>
      <c r="DX98" t="n">
        <v>71.31999999999999</v>
      </c>
      <c r="DY98" t="n">
        <v>21.53</v>
      </c>
      <c r="DZ98" t="n">
        <v>20</v>
      </c>
      <c r="EA98" t="n">
        <v>110.4</v>
      </c>
      <c r="EB98" t="n">
        <v>153</v>
      </c>
      <c r="EC98" t="n">
        <v>73.59999999999999</v>
      </c>
      <c r="ED98" t="n">
        <v>22.7</v>
      </c>
      <c r="EE98" t="n">
        <v>127</v>
      </c>
      <c r="EF98" t="n">
        <v>213.9</v>
      </c>
      <c r="EG98" t="n">
        <v>267.4</v>
      </c>
      <c r="EH98" t="n">
        <v>305.6</v>
      </c>
      <c r="EI98" t="n">
        <v>4248</v>
      </c>
      <c r="EJ98" t="n">
        <v>3988.6</v>
      </c>
      <c r="EK98" t="n">
        <v>2057.1</v>
      </c>
      <c r="EL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P99" t="n">
        <v>123.9</v>
      </c>
      <c r="DQ99" t="n">
        <v>61.95</v>
      </c>
      <c r="DR99" t="n">
        <v>123.9</v>
      </c>
      <c r="DS99" t="n">
        <v>0</v>
      </c>
      <c r="DT99" t="n">
        <v>3181</v>
      </c>
      <c r="DU99" t="n">
        <v>83.7</v>
      </c>
      <c r="DV99" t="inlineStr">
        <is>
          <t>flat</t>
        </is>
      </c>
      <c r="DW99" t="n">
        <v>88.3</v>
      </c>
      <c r="DX99" t="n">
        <v>96.62</v>
      </c>
      <c r="DY99" t="n">
        <v>24.66</v>
      </c>
      <c r="DZ99" t="n">
        <v>10</v>
      </c>
      <c r="EA99" t="n">
        <v>120</v>
      </c>
      <c r="EB99" t="n">
        <v>154</v>
      </c>
      <c r="EC99" t="n">
        <v>74</v>
      </c>
      <c r="ED99" t="n">
        <v>23.4</v>
      </c>
      <c r="EE99" t="n">
        <v>238</v>
      </c>
      <c r="EH99" t="n">
        <v>608</v>
      </c>
      <c r="EJ99" t="n">
        <v>6574</v>
      </c>
      <c r="EK99" t="n">
        <v>6574</v>
      </c>
      <c r="EL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89.93000000000001</v>
      </c>
      <c r="DQ100" t="n">
        <v>44.97</v>
      </c>
      <c r="DR100" t="n">
        <v>89.94</v>
      </c>
      <c r="DS100" t="n">
        <v>-0.01</v>
      </c>
      <c r="DT100" t="n">
        <v>1915</v>
      </c>
      <c r="DU100" t="n">
        <v>50.4</v>
      </c>
      <c r="DV100" t="inlineStr">
        <is>
          <t>flat</t>
        </is>
      </c>
      <c r="DW100" t="n">
        <v>83.51000000000001</v>
      </c>
      <c r="DY100" t="n">
        <v>25.3</v>
      </c>
      <c r="DZ100" t="n">
        <v>16</v>
      </c>
      <c r="EA100" t="n">
        <v>118.55</v>
      </c>
      <c r="EB100" t="n">
        <v>17</v>
      </c>
      <c r="EC100" t="n">
        <v>8.199999999999999</v>
      </c>
      <c r="ED100" t="n">
        <v>5.6</v>
      </c>
      <c r="EE100" t="n">
        <v>126</v>
      </c>
      <c r="EF100" t="n">
        <v>70.59999999999999</v>
      </c>
      <c r="EG100" t="n">
        <v>25.6</v>
      </c>
      <c r="EH100" t="n">
        <v>48.7</v>
      </c>
      <c r="EI100" t="n">
        <v>732.8</v>
      </c>
      <c r="EJ100" t="n">
        <v>343.9</v>
      </c>
      <c r="EK100" t="n">
        <v>234.1</v>
      </c>
      <c r="EL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79</v>
      </c>
      <c r="DQ101" t="n">
        <v>39.32</v>
      </c>
      <c r="DR101" t="n">
        <v>78.64</v>
      </c>
      <c r="DS101" t="n">
        <v>0.36</v>
      </c>
      <c r="DT101" t="n">
        <v>1328</v>
      </c>
      <c r="DU101" t="n">
        <v>34.95</v>
      </c>
      <c r="DV101" t="inlineStr">
        <is>
          <t>flat</t>
        </is>
      </c>
      <c r="DW101" t="n">
        <v>57.12</v>
      </c>
      <c r="DX101" t="n">
        <v>60.65</v>
      </c>
      <c r="DY101" t="n">
        <v>24.83</v>
      </c>
      <c r="DZ101" t="n">
        <v>8.57</v>
      </c>
      <c r="EA101" t="n">
        <v>116</v>
      </c>
      <c r="EB101" t="n">
        <v>126</v>
      </c>
      <c r="EC101" t="n">
        <v>60.6</v>
      </c>
      <c r="ED101" t="n">
        <v>26.3</v>
      </c>
      <c r="EE101" t="n">
        <v>41</v>
      </c>
      <c r="EF101" t="n">
        <v>29.9</v>
      </c>
      <c r="EG101" t="n">
        <v>29</v>
      </c>
      <c r="EH101" t="n">
        <v>117.8</v>
      </c>
      <c r="EI101" t="n">
        <v>377.5</v>
      </c>
      <c r="EJ101" t="n">
        <v>712.2</v>
      </c>
      <c r="EK101" t="n">
        <v>246.7</v>
      </c>
      <c r="EL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137.14</v>
      </c>
      <c r="DQ102" t="n">
        <v>68.56999999999999</v>
      </c>
      <c r="DR102" t="n">
        <v>137.14</v>
      </c>
      <c r="DS102" t="n">
        <v>0</v>
      </c>
      <c r="DT102" t="n">
        <v>3158</v>
      </c>
      <c r="DU102" t="n">
        <v>83.09999999999999</v>
      </c>
      <c r="DV102" t="inlineStr">
        <is>
          <t>flat</t>
        </is>
      </c>
      <c r="DW102" t="n">
        <v>84.81999999999999</v>
      </c>
      <c r="DY102" t="n">
        <v>20.14</v>
      </c>
      <c r="DZ102" t="n">
        <v>45.14</v>
      </c>
      <c r="EA102" t="n">
        <v>120</v>
      </c>
      <c r="EB102" t="n">
        <v>24</v>
      </c>
      <c r="EC102" t="n">
        <v>11.5</v>
      </c>
      <c r="ED102" t="n">
        <v>7.7</v>
      </c>
      <c r="EE102" t="n">
        <v>128</v>
      </c>
      <c r="EF102" t="n">
        <v>79.8</v>
      </c>
      <c r="EG102" t="n">
        <v>88</v>
      </c>
      <c r="EH102" t="n">
        <v>58</v>
      </c>
      <c r="EI102" t="n">
        <v>1910.1</v>
      </c>
      <c r="EJ102" t="n">
        <v>362.1</v>
      </c>
      <c r="EK102" t="n">
        <v>304.4</v>
      </c>
      <c r="EL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132.37</v>
      </c>
      <c r="DQ103" t="n">
        <v>64.18000000000001</v>
      </c>
      <c r="DR103" t="n">
        <v>128.36</v>
      </c>
      <c r="DS103" t="n">
        <v>4.01</v>
      </c>
      <c r="DT103" t="n">
        <v>2274</v>
      </c>
      <c r="DU103" t="n">
        <v>59.85</v>
      </c>
      <c r="DV103" t="inlineStr">
        <is>
          <t>flat</t>
        </is>
      </c>
      <c r="DW103" t="n">
        <v>29.26</v>
      </c>
      <c r="DX103" t="n">
        <v>28.71</v>
      </c>
      <c r="DY103" t="n">
        <v>21.65</v>
      </c>
      <c r="DZ103" t="n">
        <v>2.29</v>
      </c>
      <c r="EA103" t="n">
        <v>116</v>
      </c>
      <c r="EB103" t="n">
        <v>173</v>
      </c>
      <c r="EC103" t="n">
        <v>83.2</v>
      </c>
      <c r="ED103" t="n">
        <v>18</v>
      </c>
      <c r="EE103" t="n">
        <v>28</v>
      </c>
      <c r="EF103" t="n">
        <v>26.7</v>
      </c>
      <c r="EG103" t="n">
        <v>17.2</v>
      </c>
      <c r="EH103" t="n">
        <v>181.1</v>
      </c>
      <c r="EI103" t="n">
        <v>150.1</v>
      </c>
      <c r="EJ103" t="n">
        <v>3714.1</v>
      </c>
      <c r="EK103" t="n">
        <v>144.3</v>
      </c>
      <c r="EL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115.95</v>
      </c>
      <c r="DQ104" t="n">
        <v>58.21</v>
      </c>
      <c r="DR104" t="n">
        <v>116.42</v>
      </c>
      <c r="DS104" t="n">
        <v>-0.47</v>
      </c>
      <c r="DT104" t="n">
        <v>2594</v>
      </c>
      <c r="DU104" t="n">
        <v>68.25</v>
      </c>
      <c r="DV104" t="inlineStr">
        <is>
          <t>flat</t>
        </is>
      </c>
      <c r="DW104" t="n">
        <v>87.68000000000001</v>
      </c>
      <c r="DX104" t="n">
        <v>96.5</v>
      </c>
      <c r="DY104" t="n">
        <v>17.49</v>
      </c>
      <c r="DZ104" t="n">
        <v>35.33</v>
      </c>
      <c r="EA104" t="n">
        <v>120</v>
      </c>
      <c r="EB104" t="n">
        <v>112</v>
      </c>
      <c r="EC104" t="n">
        <v>53.8</v>
      </c>
      <c r="ED104" t="n">
        <v>3.4</v>
      </c>
      <c r="EE104" t="n">
        <v>239</v>
      </c>
      <c r="EF104" t="n">
        <v>108.7</v>
      </c>
      <c r="EG104" t="n">
        <v>55.5</v>
      </c>
      <c r="EH104" t="n">
        <v>90</v>
      </c>
      <c r="EI104" t="n">
        <v>1265.1</v>
      </c>
      <c r="EJ104" t="n">
        <v>858.8</v>
      </c>
      <c r="EK104" t="n">
        <v>511.5</v>
      </c>
      <c r="EL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104.6</v>
      </c>
      <c r="DQ105" t="n">
        <v>52.3</v>
      </c>
      <c r="DR105" t="n">
        <v>104.6</v>
      </c>
      <c r="DS105" t="n">
        <v>0</v>
      </c>
      <c r="DT105" t="n">
        <v>2668</v>
      </c>
      <c r="DU105" t="n">
        <v>70.2</v>
      </c>
      <c r="DV105" t="inlineStr">
        <is>
          <t>flat</t>
        </is>
      </c>
      <c r="DW105" t="n">
        <v>101.76</v>
      </c>
      <c r="DX105" t="n">
        <v>77</v>
      </c>
      <c r="DY105" t="n">
        <v>16.41</v>
      </c>
      <c r="DZ105" t="n">
        <v>41</v>
      </c>
      <c r="EA105" t="n">
        <v>119.2</v>
      </c>
      <c r="EB105" t="n">
        <v>27</v>
      </c>
      <c r="EC105" t="n">
        <v>13</v>
      </c>
      <c r="ED105" t="n">
        <v>3.6</v>
      </c>
      <c r="EE105" t="n">
        <v>398</v>
      </c>
      <c r="EF105" t="n">
        <v>89.2</v>
      </c>
      <c r="EG105" t="n">
        <v>64.5</v>
      </c>
      <c r="EH105" t="n">
        <v>104.6</v>
      </c>
      <c r="EI105" t="n">
        <v>1218.2</v>
      </c>
      <c r="EJ105" t="n">
        <v>1466.8</v>
      </c>
      <c r="EK105" t="n">
        <v>665.5</v>
      </c>
      <c r="EL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161.1</v>
      </c>
      <c r="DQ106" t="n">
        <v>80.55</v>
      </c>
      <c r="DR106" t="n">
        <v>161.1</v>
      </c>
      <c r="DS106" t="n">
        <v>0</v>
      </c>
      <c r="DT106" t="n">
        <v>3340</v>
      </c>
      <c r="DU106" t="n">
        <v>87.90000000000001</v>
      </c>
      <c r="DV106" t="inlineStr">
        <is>
          <t>flat</t>
        </is>
      </c>
      <c r="DW106" t="n">
        <v>79.84999999999999</v>
      </c>
      <c r="DX106" t="n">
        <v>79.65000000000001</v>
      </c>
      <c r="DY106" t="n">
        <v>17.69</v>
      </c>
      <c r="DZ106" t="n">
        <v>31.43</v>
      </c>
      <c r="EA106" t="n">
        <v>117.71</v>
      </c>
      <c r="EB106" t="n">
        <v>111</v>
      </c>
      <c r="EC106" t="n">
        <v>53.4</v>
      </c>
      <c r="ED106" t="n">
        <v>32.7</v>
      </c>
      <c r="EE106" t="n">
        <v>129</v>
      </c>
      <c r="EF106" t="n">
        <v>175.2</v>
      </c>
      <c r="EG106" t="n">
        <v>95.5</v>
      </c>
      <c r="EH106" t="n">
        <v>161.7</v>
      </c>
      <c r="EI106" t="n">
        <v>2284.5</v>
      </c>
      <c r="EJ106" t="n">
        <v>1623.7</v>
      </c>
      <c r="EK106" t="n">
        <v>949.1</v>
      </c>
      <c r="EL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127.43</v>
      </c>
      <c r="DQ107" t="n">
        <v>63.73</v>
      </c>
      <c r="DR107" t="n">
        <v>127.46</v>
      </c>
      <c r="DS107" t="n">
        <v>-0.03</v>
      </c>
      <c r="DT107" t="n">
        <v>3089</v>
      </c>
      <c r="DU107" t="n">
        <v>81.3</v>
      </c>
      <c r="DV107" t="inlineStr">
        <is>
          <t>flat</t>
        </is>
      </c>
      <c r="DW107" t="n">
        <v>70.63</v>
      </c>
      <c r="DX107" t="n">
        <v>75.20999999999999</v>
      </c>
      <c r="DY107" t="n">
        <v>21.28</v>
      </c>
      <c r="DZ107" t="n">
        <v>32</v>
      </c>
      <c r="EA107" t="n">
        <v>119</v>
      </c>
      <c r="EB107" t="n">
        <v>77</v>
      </c>
      <c r="EC107" t="n">
        <v>37</v>
      </c>
      <c r="ED107" t="n">
        <v>4.9</v>
      </c>
      <c r="EE107" t="n">
        <v>130</v>
      </c>
      <c r="EF107" t="n">
        <v>103.6</v>
      </c>
      <c r="EG107" t="n">
        <v>174.8</v>
      </c>
      <c r="EH107" t="n">
        <v>155.3</v>
      </c>
      <c r="EI107" t="n">
        <v>1875.9</v>
      </c>
      <c r="EJ107" t="n">
        <v>1116.9</v>
      </c>
      <c r="EK107" t="n">
        <v>700.1</v>
      </c>
      <c r="EL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P108" t="n">
        <v>128.7</v>
      </c>
      <c r="DQ108" t="n">
        <v>64.34999999999999</v>
      </c>
      <c r="DR108" t="n">
        <v>128.7</v>
      </c>
      <c r="DS108" t="n">
        <v>0</v>
      </c>
      <c r="DT108" t="n">
        <v>3385</v>
      </c>
      <c r="DU108" t="n">
        <v>89.09</v>
      </c>
      <c r="DV108" t="inlineStr">
        <is>
          <t>flat</t>
        </is>
      </c>
      <c r="DW108" t="n">
        <v>66.64</v>
      </c>
      <c r="DX108" t="n">
        <v>75.84999999999999</v>
      </c>
      <c r="DY108" t="n">
        <v>26.77</v>
      </c>
      <c r="DZ108" t="n">
        <v>4</v>
      </c>
      <c r="EA108" t="n">
        <v>120</v>
      </c>
      <c r="EB108" t="n">
        <v>191</v>
      </c>
      <c r="EC108" t="n">
        <v>91.8</v>
      </c>
      <c r="ED108" t="n">
        <v>9.9</v>
      </c>
      <c r="EE108" t="n">
        <v>240</v>
      </c>
      <c r="EG108" t="n">
        <v>2880</v>
      </c>
      <c r="EL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124.62</v>
      </c>
      <c r="DQ109" t="n">
        <v>62.31</v>
      </c>
      <c r="DR109" t="n">
        <v>124.62</v>
      </c>
      <c r="DS109" t="n">
        <v>0</v>
      </c>
      <c r="DT109" t="n">
        <v>3272</v>
      </c>
      <c r="DU109" t="n">
        <v>86.09999999999999</v>
      </c>
      <c r="DV109" t="inlineStr">
        <is>
          <t>flat</t>
        </is>
      </c>
      <c r="DW109" t="n">
        <v>102.13</v>
      </c>
      <c r="DY109" t="n">
        <v>10.46</v>
      </c>
      <c r="DZ109" t="n">
        <v>86</v>
      </c>
      <c r="EA109" t="n">
        <v>117.82</v>
      </c>
      <c r="EB109" t="n">
        <v>22</v>
      </c>
      <c r="EC109" t="n">
        <v>10.6</v>
      </c>
      <c r="ED109" t="n">
        <v>4.3</v>
      </c>
      <c r="EE109" t="n">
        <v>399</v>
      </c>
      <c r="EF109" t="n">
        <v>164</v>
      </c>
      <c r="EG109" t="n">
        <v>64.2</v>
      </c>
      <c r="EH109" t="n">
        <v>328</v>
      </c>
      <c r="EI109" t="n">
        <v>1818.8</v>
      </c>
      <c r="EJ109" t="n">
        <v>5779.9</v>
      </c>
      <c r="EK109" t="n">
        <v>1383.5</v>
      </c>
      <c r="EL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115.39</v>
      </c>
      <c r="DQ110" t="n">
        <v>57.76</v>
      </c>
      <c r="DR110" t="n">
        <v>115.52</v>
      </c>
      <c r="DS110" t="n">
        <v>-0.13</v>
      </c>
      <c r="DT110" t="n">
        <v>2229</v>
      </c>
      <c r="DU110" t="n">
        <v>58.65</v>
      </c>
      <c r="DV110" t="inlineStr">
        <is>
          <t>flat</t>
        </is>
      </c>
      <c r="DW110" t="n">
        <v>85.77</v>
      </c>
      <c r="DX110" t="n">
        <v>101.43</v>
      </c>
      <c r="DY110" t="n">
        <v>19.71</v>
      </c>
      <c r="DZ110" t="n">
        <v>43.43</v>
      </c>
      <c r="EA110" t="n">
        <v>119</v>
      </c>
      <c r="EB110" t="n">
        <v>38</v>
      </c>
      <c r="EC110" t="n">
        <v>18.3</v>
      </c>
      <c r="ED110" t="n">
        <v>11.6</v>
      </c>
      <c r="EE110" t="n">
        <v>78</v>
      </c>
      <c r="EF110" t="n">
        <v>44.4</v>
      </c>
      <c r="EG110" t="n">
        <v>20.2</v>
      </c>
      <c r="EH110" t="n">
        <v>77.59999999999999</v>
      </c>
      <c r="EI110" t="n">
        <v>269</v>
      </c>
      <c r="EJ110" t="n">
        <v>867.8</v>
      </c>
      <c r="EK110" t="n">
        <v>205.3</v>
      </c>
      <c r="EL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123.66</v>
      </c>
      <c r="DQ111" t="n">
        <v>62.14</v>
      </c>
      <c r="DR111" t="n">
        <v>124.28</v>
      </c>
      <c r="DS111" t="n">
        <v>-0.62</v>
      </c>
      <c r="DT111" t="n">
        <v>2371</v>
      </c>
      <c r="DU111" t="n">
        <v>62.4</v>
      </c>
      <c r="DV111" t="inlineStr">
        <is>
          <t>flat</t>
        </is>
      </c>
      <c r="DW111" t="n">
        <v>49.24</v>
      </c>
      <c r="DX111" t="n">
        <v>53.23</v>
      </c>
      <c r="DY111" t="n">
        <v>18.69</v>
      </c>
      <c r="DZ111" t="n">
        <v>15.33</v>
      </c>
      <c r="EA111" t="n">
        <v>116</v>
      </c>
      <c r="EB111" t="n">
        <v>193</v>
      </c>
      <c r="EC111" t="n">
        <v>92.8</v>
      </c>
      <c r="ED111" t="n">
        <v>9</v>
      </c>
      <c r="EE111" t="n">
        <v>131</v>
      </c>
      <c r="EF111" t="n">
        <v>53</v>
      </c>
      <c r="EG111" t="n">
        <v>30.3</v>
      </c>
      <c r="EH111" t="n">
        <v>188.6</v>
      </c>
      <c r="EI111" t="n">
        <v>497</v>
      </c>
      <c r="EJ111" t="n">
        <v>2409.8</v>
      </c>
      <c r="EK111" t="n">
        <v>412</v>
      </c>
      <c r="EL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99.79000000000001</v>
      </c>
      <c r="DQ112" t="n">
        <v>48.93</v>
      </c>
      <c r="DR112" t="n">
        <v>97.86</v>
      </c>
      <c r="DS112" t="n">
        <v>1.93</v>
      </c>
      <c r="DT112" t="n">
        <v>2548</v>
      </c>
      <c r="DU112" t="n">
        <v>67.05</v>
      </c>
      <c r="DV112" t="inlineStr">
        <is>
          <t>flat</t>
        </is>
      </c>
      <c r="DW112" t="n">
        <v>99.75</v>
      </c>
      <c r="DX112" t="n">
        <v>107</v>
      </c>
      <c r="DY112" t="n">
        <v>10.03</v>
      </c>
      <c r="DZ112" t="n">
        <v>81.23</v>
      </c>
      <c r="EA112" t="n">
        <v>118</v>
      </c>
      <c r="EB112" t="n">
        <v>45</v>
      </c>
      <c r="EC112" t="n">
        <v>21.6</v>
      </c>
      <c r="ED112" t="n">
        <v>10</v>
      </c>
      <c r="EE112" t="n">
        <v>241</v>
      </c>
      <c r="EF112" t="n">
        <v>94.7</v>
      </c>
      <c r="EG112" t="n">
        <v>50.6</v>
      </c>
      <c r="EH112" t="n">
        <v>244.6</v>
      </c>
      <c r="EI112" t="n">
        <v>973.9</v>
      </c>
      <c r="EJ112" t="n">
        <v>3166.6</v>
      </c>
      <c r="EK112" t="n">
        <v>744.8</v>
      </c>
      <c r="EL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72.05</v>
      </c>
      <c r="DQ113" t="n">
        <v>35.78</v>
      </c>
      <c r="DR113" t="n">
        <v>71.56</v>
      </c>
      <c r="DS113" t="n">
        <v>0.49</v>
      </c>
      <c r="DT113" t="n">
        <v>1604</v>
      </c>
      <c r="DU113" t="n">
        <v>42.2</v>
      </c>
      <c r="DV113" t="inlineStr">
        <is>
          <t>flat</t>
        </is>
      </c>
      <c r="DW113" t="n">
        <v>73.13</v>
      </c>
      <c r="DX113" t="n">
        <v>59.71</v>
      </c>
      <c r="DY113" t="n">
        <v>23.19</v>
      </c>
      <c r="DZ113" t="n">
        <v>15.33</v>
      </c>
      <c r="EA113" t="n">
        <v>107.08</v>
      </c>
      <c r="EB113" t="n">
        <v>41</v>
      </c>
      <c r="EC113" t="n">
        <v>19.7</v>
      </c>
      <c r="ED113" t="n">
        <v>6.8</v>
      </c>
      <c r="EE113" t="n">
        <v>132</v>
      </c>
      <c r="EF113" t="n">
        <v>51</v>
      </c>
      <c r="EG113" t="n">
        <v>40.8</v>
      </c>
      <c r="EH113" t="n">
        <v>75.8</v>
      </c>
      <c r="EI113" t="n">
        <v>666.7</v>
      </c>
      <c r="EJ113" t="n">
        <v>1169.3</v>
      </c>
      <c r="EK113" t="n">
        <v>424.6</v>
      </c>
      <c r="EL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102.38</v>
      </c>
      <c r="DQ114" t="n">
        <v>51.2</v>
      </c>
      <c r="DR114" t="n">
        <v>102.4</v>
      </c>
      <c r="DS114" t="n">
        <v>-0.02</v>
      </c>
      <c r="DT114" t="n">
        <v>2371</v>
      </c>
      <c r="DU114" t="n">
        <v>62.4</v>
      </c>
      <c r="DV114" t="inlineStr">
        <is>
          <t>flat</t>
        </is>
      </c>
      <c r="DW114" t="n">
        <v>59.48</v>
      </c>
      <c r="DX114" t="n">
        <v>69.79000000000001</v>
      </c>
      <c r="DY114" t="n">
        <v>27.64</v>
      </c>
      <c r="DZ114" t="n">
        <v>9</v>
      </c>
      <c r="EA114" t="n">
        <v>120</v>
      </c>
      <c r="EB114" t="n">
        <v>147</v>
      </c>
      <c r="EC114" t="n">
        <v>70.7</v>
      </c>
      <c r="ED114" t="n">
        <v>18.3</v>
      </c>
      <c r="EE114" t="n">
        <v>79</v>
      </c>
      <c r="EF114" t="n">
        <v>59.2</v>
      </c>
      <c r="EG114" t="n">
        <v>22</v>
      </c>
      <c r="EH114" t="n">
        <v>86.2</v>
      </c>
      <c r="EI114" t="n">
        <v>255.3</v>
      </c>
      <c r="EJ114" t="n">
        <v>855.7</v>
      </c>
      <c r="EK114" t="n">
        <v>196.6</v>
      </c>
      <c r="EL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122.87</v>
      </c>
      <c r="DQ115" t="n">
        <v>57.18</v>
      </c>
      <c r="DR115" t="n">
        <v>114.36</v>
      </c>
      <c r="DS115" t="n">
        <v>8.51</v>
      </c>
      <c r="DT115" t="n">
        <v>3067</v>
      </c>
      <c r="DU115" t="n">
        <v>80.7</v>
      </c>
      <c r="DV115" t="inlineStr">
        <is>
          <t>ramp-up (injury / late WC return)</t>
        </is>
      </c>
      <c r="DW115" t="n">
        <v>82.34</v>
      </c>
      <c r="DY115" t="n">
        <v>26.35</v>
      </c>
      <c r="DZ115" t="n">
        <v>34.29</v>
      </c>
      <c r="EA115" t="n">
        <v>109.33</v>
      </c>
      <c r="EB115" t="n">
        <v>6</v>
      </c>
      <c r="EC115" t="n">
        <v>2.9</v>
      </c>
      <c r="ED115" t="n">
        <v>0</v>
      </c>
      <c r="EE115" t="n">
        <v>143</v>
      </c>
      <c r="EF115" t="n">
        <v>148.9</v>
      </c>
      <c r="EG115" t="n">
        <v>78.59999999999999</v>
      </c>
      <c r="EH115" t="n">
        <v>176.8</v>
      </c>
      <c r="EI115" t="n">
        <v>2230.8</v>
      </c>
      <c r="EJ115" t="n">
        <v>1602</v>
      </c>
      <c r="EK115" t="n">
        <v>932.4</v>
      </c>
      <c r="EL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125.3</v>
      </c>
      <c r="DQ116" t="n">
        <v>62.66</v>
      </c>
      <c r="DR116" t="n">
        <v>125.32</v>
      </c>
      <c r="DS116" t="n">
        <v>-0.02</v>
      </c>
      <c r="DT116" t="n">
        <v>2308</v>
      </c>
      <c r="DU116" t="n">
        <v>60.75</v>
      </c>
      <c r="DV116" t="inlineStr">
        <is>
          <t>flat</t>
        </is>
      </c>
      <c r="DW116" t="n">
        <v>70.98999999999999</v>
      </c>
      <c r="DX116" t="n">
        <v>81.06999999999999</v>
      </c>
      <c r="DY116" t="n">
        <v>22.37</v>
      </c>
      <c r="DZ116" t="n">
        <v>17.6</v>
      </c>
      <c r="EA116" t="n">
        <v>116</v>
      </c>
      <c r="EB116" t="n">
        <v>108</v>
      </c>
      <c r="EC116" t="n">
        <v>51.9</v>
      </c>
      <c r="ED116" t="n">
        <v>5.3</v>
      </c>
      <c r="EE116" t="n">
        <v>80</v>
      </c>
      <c r="EF116" t="n">
        <v>33.6</v>
      </c>
      <c r="EG116" t="n">
        <v>13.8</v>
      </c>
      <c r="EH116" t="n">
        <v>84.8</v>
      </c>
      <c r="EI116" t="n">
        <v>262</v>
      </c>
      <c r="EJ116" t="n">
        <v>669.7</v>
      </c>
      <c r="EK116" t="n">
        <v>188.3</v>
      </c>
      <c r="EL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P117" t="n">
        <v>123.72</v>
      </c>
      <c r="DQ117" t="n">
        <v>61.86</v>
      </c>
      <c r="DR117" t="n">
        <v>123.72</v>
      </c>
      <c r="DS117" t="n">
        <v>0</v>
      </c>
      <c r="DT117" t="n">
        <v>3385</v>
      </c>
      <c r="DU117" t="n">
        <v>89.09</v>
      </c>
      <c r="DV117" t="inlineStr">
        <is>
          <t>flat</t>
        </is>
      </c>
      <c r="DW117" t="n">
        <v>94.01000000000001</v>
      </c>
      <c r="DX117" t="n">
        <v>100.33</v>
      </c>
      <c r="DY117" t="n">
        <v>24.01</v>
      </c>
      <c r="DZ117" t="n">
        <v>15.2</v>
      </c>
      <c r="EA117" t="n">
        <v>120</v>
      </c>
      <c r="EB117" t="n">
        <v>141</v>
      </c>
      <c r="EC117" t="n">
        <v>67.8</v>
      </c>
      <c r="ED117" t="n">
        <v>24.6</v>
      </c>
      <c r="EE117" t="n">
        <v>242</v>
      </c>
      <c r="EH117" t="n">
        <v>2667</v>
      </c>
      <c r="EJ117" t="n">
        <v>88900</v>
      </c>
      <c r="EK117" t="n">
        <v>88900</v>
      </c>
      <c r="EL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59.38</v>
      </c>
      <c r="DQ118" t="n">
        <v>29.69</v>
      </c>
      <c r="DR118" t="n">
        <v>59.38</v>
      </c>
      <c r="DS118" t="n">
        <v>0</v>
      </c>
      <c r="DT118" t="n">
        <v>858</v>
      </c>
      <c r="DU118" t="n">
        <v>22.58</v>
      </c>
      <c r="DV118" t="inlineStr">
        <is>
          <t>flat</t>
        </is>
      </c>
      <c r="DW118" t="n">
        <v>79.69</v>
      </c>
      <c r="DX118" t="n">
        <v>92.55</v>
      </c>
      <c r="DY118" t="n">
        <v>23.31</v>
      </c>
      <c r="DZ118" t="n">
        <v>21.33</v>
      </c>
      <c r="EA118" t="n">
        <v>117.33</v>
      </c>
      <c r="EB118" t="n">
        <v>98</v>
      </c>
      <c r="EC118" t="n">
        <v>47.1</v>
      </c>
      <c r="ED118" t="n">
        <v>4.9</v>
      </c>
      <c r="EE118" t="n">
        <v>133</v>
      </c>
      <c r="EF118" t="n">
        <v>36.1</v>
      </c>
      <c r="EG118" t="n">
        <v>16.3</v>
      </c>
      <c r="EH118" t="n">
        <v>129.2</v>
      </c>
      <c r="EI118" t="n">
        <v>156.3</v>
      </c>
      <c r="EJ118" t="n">
        <v>2513.4</v>
      </c>
      <c r="EK118" t="n">
        <v>147.1</v>
      </c>
      <c r="EL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120.36</v>
      </c>
      <c r="DQ119" t="n">
        <v>59.85</v>
      </c>
      <c r="DR119" t="n">
        <v>119.7</v>
      </c>
      <c r="DS119" t="n">
        <v>0.66</v>
      </c>
      <c r="DT119" t="n">
        <v>2987</v>
      </c>
      <c r="DU119" t="n">
        <v>78.59999999999999</v>
      </c>
      <c r="DV119" t="inlineStr">
        <is>
          <t>flat</t>
        </is>
      </c>
      <c r="EF119" t="n">
        <v>165.8</v>
      </c>
      <c r="EG119" t="n">
        <v>147.3</v>
      </c>
      <c r="EH119" t="n">
        <v>189.4</v>
      </c>
      <c r="EI119" t="n">
        <v>2043.7</v>
      </c>
      <c r="EJ119" t="n">
        <v>2003.5</v>
      </c>
      <c r="EK119" t="n">
        <v>1011.7</v>
      </c>
      <c r="EL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134.84</v>
      </c>
      <c r="DQ120" t="n">
        <v>67.45</v>
      </c>
      <c r="DR120" t="n">
        <v>134.9</v>
      </c>
      <c r="DS120" t="n">
        <v>-0.06</v>
      </c>
      <c r="DT120" t="n">
        <v>3152</v>
      </c>
      <c r="DU120" t="n">
        <v>82.95</v>
      </c>
      <c r="DV120" t="inlineStr">
        <is>
          <t>flat</t>
        </is>
      </c>
      <c r="DW120" t="n">
        <v>87.68000000000001</v>
      </c>
      <c r="DX120" t="n">
        <v>95</v>
      </c>
      <c r="DY120" t="n">
        <v>18.01</v>
      </c>
      <c r="DZ120" t="n">
        <v>43.2</v>
      </c>
      <c r="EA120" t="n">
        <v>117.82</v>
      </c>
      <c r="EB120" t="n">
        <v>24</v>
      </c>
      <c r="EC120" t="n">
        <v>11.5</v>
      </c>
      <c r="ED120" t="n">
        <v>0</v>
      </c>
      <c r="EE120" t="n">
        <v>135</v>
      </c>
      <c r="EF120" t="n">
        <v>62.1</v>
      </c>
      <c r="EG120" t="n">
        <v>39</v>
      </c>
      <c r="EH120" t="n">
        <v>55</v>
      </c>
      <c r="EI120" t="n">
        <v>1122.1</v>
      </c>
      <c r="EJ120" t="n">
        <v>581</v>
      </c>
      <c r="EK120" t="n">
        <v>382.8</v>
      </c>
      <c r="EL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106.29</v>
      </c>
      <c r="DQ121" t="n">
        <v>53.24</v>
      </c>
      <c r="DR121" t="n">
        <v>106.48</v>
      </c>
      <c r="DS121" t="n">
        <v>-0.19</v>
      </c>
      <c r="DT121" t="n">
        <v>3141</v>
      </c>
      <c r="DU121" t="n">
        <v>82.65000000000001</v>
      </c>
      <c r="DV121" t="inlineStr">
        <is>
          <t>flat</t>
        </is>
      </c>
      <c r="DW121" t="n">
        <v>92.27</v>
      </c>
      <c r="DX121" t="n">
        <v>107</v>
      </c>
      <c r="DY121" t="n">
        <v>15.12</v>
      </c>
      <c r="DZ121" t="n">
        <v>64</v>
      </c>
      <c r="EA121" t="n">
        <v>108.57</v>
      </c>
      <c r="EB121" t="n">
        <v>12</v>
      </c>
      <c r="EC121" t="n">
        <v>5.8</v>
      </c>
      <c r="ED121" t="n">
        <v>7.7</v>
      </c>
      <c r="EE121" t="n">
        <v>400</v>
      </c>
      <c r="EF121" t="n">
        <v>194.8</v>
      </c>
      <c r="EG121" t="n">
        <v>133.3</v>
      </c>
      <c r="EH121" t="n">
        <v>253.2</v>
      </c>
      <c r="EI121" t="n">
        <v>1745.6</v>
      </c>
      <c r="EJ121" t="n">
        <v>6484.4</v>
      </c>
      <c r="EK121" t="n">
        <v>1375.4</v>
      </c>
      <c r="EL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134.72</v>
      </c>
      <c r="DQ122" t="n">
        <v>67.36</v>
      </c>
      <c r="DR122" t="n">
        <v>134.72</v>
      </c>
      <c r="DS122" t="n">
        <v>0</v>
      </c>
      <c r="DT122" t="n">
        <v>2844</v>
      </c>
      <c r="DU122" t="n">
        <v>74.84999999999999</v>
      </c>
      <c r="DV122" t="inlineStr">
        <is>
          <t>flat</t>
        </is>
      </c>
      <c r="DW122" t="n">
        <v>77.67</v>
      </c>
      <c r="DX122" t="n">
        <v>68.83</v>
      </c>
      <c r="DY122" t="n">
        <v>24.16</v>
      </c>
      <c r="DZ122" t="n">
        <v>22.67</v>
      </c>
      <c r="EA122" t="n">
        <v>112</v>
      </c>
      <c r="EB122" t="n">
        <v>46</v>
      </c>
      <c r="EC122" t="n">
        <v>22.1</v>
      </c>
      <c r="ED122" t="n">
        <v>2.1</v>
      </c>
      <c r="EE122" t="n">
        <v>134</v>
      </c>
      <c r="EF122" t="n">
        <v>76.3</v>
      </c>
      <c r="EG122" t="n">
        <v>38.8</v>
      </c>
      <c r="EH122" t="n">
        <v>52.1</v>
      </c>
      <c r="EI122" t="n">
        <v>712.1</v>
      </c>
      <c r="EJ122" t="n">
        <v>476.1</v>
      </c>
      <c r="EK122" t="n">
        <v>285.3</v>
      </c>
      <c r="EL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159.74</v>
      </c>
      <c r="DQ123" t="n">
        <v>79.92</v>
      </c>
      <c r="DR123" t="n">
        <v>159.84</v>
      </c>
      <c r="DS123" t="n">
        <v>-0.1</v>
      </c>
      <c r="DT123" t="n">
        <v>2776</v>
      </c>
      <c r="DU123" t="n">
        <v>73.05</v>
      </c>
      <c r="DV123" t="inlineStr">
        <is>
          <t>flat</t>
        </is>
      </c>
      <c r="DW123" t="n">
        <v>73.18000000000001</v>
      </c>
      <c r="DX123" t="n">
        <v>78.7</v>
      </c>
      <c r="DY123" t="n">
        <v>20.37</v>
      </c>
      <c r="DZ123" t="n">
        <v>24</v>
      </c>
      <c r="EA123" t="n">
        <v>111.33</v>
      </c>
      <c r="EB123" t="n">
        <v>66</v>
      </c>
      <c r="EC123" t="n">
        <v>31.7</v>
      </c>
      <c r="ED123" t="n">
        <v>2.9</v>
      </c>
      <c r="EE123" t="n">
        <v>81</v>
      </c>
      <c r="EF123" t="n">
        <v>35.8</v>
      </c>
      <c r="EG123" t="n">
        <v>24</v>
      </c>
      <c r="EH123" t="n">
        <v>58.4</v>
      </c>
      <c r="EI123" t="n">
        <v>489.4</v>
      </c>
      <c r="EJ123" t="n">
        <v>598.7</v>
      </c>
      <c r="EK123" t="n">
        <v>269.3</v>
      </c>
      <c r="EL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120.19</v>
      </c>
      <c r="DQ124" t="n">
        <v>59.7</v>
      </c>
      <c r="DR124" t="n">
        <v>119.4</v>
      </c>
      <c r="DS124" t="n">
        <v>0.79</v>
      </c>
      <c r="DT124" t="n">
        <v>3340</v>
      </c>
      <c r="DU124" t="n">
        <v>87.90000000000001</v>
      </c>
      <c r="DV124" t="inlineStr">
        <is>
          <t>flat</t>
        </is>
      </c>
      <c r="DW124" t="n">
        <v>88.92</v>
      </c>
      <c r="DX124" t="n">
        <v>92.73999999999999</v>
      </c>
      <c r="DY124" t="n">
        <v>20.01</v>
      </c>
      <c r="DZ124" t="n">
        <v>12.8</v>
      </c>
      <c r="EA124" t="n">
        <v>117.33</v>
      </c>
      <c r="EB124" t="n">
        <v>105</v>
      </c>
      <c r="EC124" t="n">
        <v>50.5</v>
      </c>
      <c r="ED124" t="n">
        <v>7.9</v>
      </c>
      <c r="EE124" t="n">
        <v>401</v>
      </c>
      <c r="EF124" t="n">
        <v>275.9</v>
      </c>
      <c r="EG124" t="n">
        <v>116.7</v>
      </c>
      <c r="EH124" t="n">
        <v>607</v>
      </c>
      <c r="EI124" t="n">
        <v>2589.5</v>
      </c>
      <c r="EJ124" t="n">
        <v>5094.5</v>
      </c>
      <c r="EK124" t="n">
        <v>1716.9</v>
      </c>
      <c r="EL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68.93000000000001</v>
      </c>
      <c r="DQ125" t="n">
        <v>34.65</v>
      </c>
      <c r="DR125" t="n">
        <v>69.3</v>
      </c>
      <c r="DS125" t="n">
        <v>-0.37</v>
      </c>
      <c r="DT125" t="n">
        <v>1898</v>
      </c>
      <c r="DU125" t="n">
        <v>49.95</v>
      </c>
      <c r="DV125" t="inlineStr">
        <is>
          <t>flat</t>
        </is>
      </c>
      <c r="DW125" t="n">
        <v>94.84999999999999</v>
      </c>
      <c r="DX125" t="n">
        <v>94</v>
      </c>
      <c r="DY125" t="n">
        <v>18.88</v>
      </c>
      <c r="DZ125" t="n">
        <v>51.2</v>
      </c>
      <c r="EA125" t="n">
        <v>118.55</v>
      </c>
      <c r="EB125" t="n">
        <v>10</v>
      </c>
      <c r="EC125" t="n">
        <v>4.8</v>
      </c>
      <c r="ED125" t="n">
        <v>9.1</v>
      </c>
      <c r="EE125" t="n">
        <v>402</v>
      </c>
      <c r="EF125" t="n">
        <v>118.2</v>
      </c>
      <c r="EG125" t="n">
        <v>66</v>
      </c>
      <c r="EH125" t="n">
        <v>405.3</v>
      </c>
      <c r="EI125" t="n">
        <v>1791.7</v>
      </c>
      <c r="EJ125" t="n">
        <v>5132.9</v>
      </c>
      <c r="EK125" t="n">
        <v>1328.1</v>
      </c>
      <c r="EL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97.2</v>
      </c>
      <c r="DQ126" t="n">
        <v>48.77</v>
      </c>
      <c r="DR126" t="n">
        <v>97.54000000000001</v>
      </c>
      <c r="DS126" t="n">
        <v>-0.34</v>
      </c>
      <c r="DT126" t="n">
        <v>2046</v>
      </c>
      <c r="DU126" t="n">
        <v>53.85</v>
      </c>
      <c r="DV126" t="inlineStr">
        <is>
          <t>flat</t>
        </is>
      </c>
      <c r="DW126" t="n">
        <v>101.4</v>
      </c>
      <c r="DX126" t="n">
        <v>100.5</v>
      </c>
      <c r="DY126" t="n">
        <v>13.74</v>
      </c>
      <c r="DZ126" t="n">
        <v>67</v>
      </c>
      <c r="EA126" t="n">
        <v>117.6</v>
      </c>
      <c r="EB126" t="n">
        <v>26</v>
      </c>
      <c r="EC126" t="n">
        <v>12.5</v>
      </c>
      <c r="ED126" t="n">
        <v>18.8</v>
      </c>
      <c r="EE126" t="n">
        <v>244</v>
      </c>
      <c r="EF126" t="n">
        <v>125.9</v>
      </c>
      <c r="EG126" t="n">
        <v>39.3</v>
      </c>
      <c r="EH126" t="n">
        <v>269.7</v>
      </c>
      <c r="EI126" t="n">
        <v>2333</v>
      </c>
      <c r="EJ126" t="n">
        <v>1756.9</v>
      </c>
      <c r="EK126" t="n">
        <v>1002.2</v>
      </c>
      <c r="EL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64.05</v>
      </c>
      <c r="DQ127" t="n">
        <v>33.7</v>
      </c>
      <c r="DR127" t="n">
        <v>67.40000000000001</v>
      </c>
      <c r="DS127" t="n">
        <v>-3.35</v>
      </c>
      <c r="DT127" t="n">
        <v>1402</v>
      </c>
      <c r="DU127" t="n">
        <v>36.9</v>
      </c>
      <c r="DV127" t="inlineStr">
        <is>
          <t>fade (losing his place)</t>
        </is>
      </c>
      <c r="DW127" t="n">
        <v>88.28</v>
      </c>
      <c r="DX127" t="n">
        <v>74.5</v>
      </c>
      <c r="DY127" t="n">
        <v>16.17</v>
      </c>
      <c r="DZ127" t="n">
        <v>68</v>
      </c>
      <c r="EA127" t="n">
        <v>117</v>
      </c>
      <c r="EB127" t="n">
        <v>17</v>
      </c>
      <c r="EC127" t="n">
        <v>8.199999999999999</v>
      </c>
      <c r="ED127" t="n">
        <v>0</v>
      </c>
      <c r="EE127" t="n">
        <v>137</v>
      </c>
      <c r="EF127" t="n">
        <v>46.9</v>
      </c>
      <c r="EG127" t="n">
        <v>50.6</v>
      </c>
      <c r="EH127" t="n">
        <v>128.1</v>
      </c>
      <c r="EI127" t="n">
        <v>797.4</v>
      </c>
      <c r="EJ127" t="n">
        <v>1506.2</v>
      </c>
      <c r="EK127" t="n">
        <v>521.4</v>
      </c>
      <c r="EL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65.59</v>
      </c>
      <c r="DQ128" t="n">
        <v>32.84</v>
      </c>
      <c r="DR128" t="n">
        <v>65.68000000000001</v>
      </c>
      <c r="DS128" t="n">
        <v>-0.09</v>
      </c>
      <c r="DT128" t="n">
        <v>1573</v>
      </c>
      <c r="DU128" t="n">
        <v>41.4</v>
      </c>
      <c r="DV128" t="inlineStr">
        <is>
          <t>flat</t>
        </is>
      </c>
      <c r="DW128" t="n">
        <v>104.68</v>
      </c>
      <c r="DY128" t="n">
        <v>16.41</v>
      </c>
      <c r="DZ128" t="n">
        <v>86.55</v>
      </c>
      <c r="EA128" t="n">
        <v>118.5</v>
      </c>
      <c r="EB128" t="n">
        <v>3</v>
      </c>
      <c r="EC128" t="n">
        <v>1.4</v>
      </c>
      <c r="ED128" t="n">
        <v>0</v>
      </c>
      <c r="EE128" t="n">
        <v>136</v>
      </c>
      <c r="EF128" t="n">
        <v>77.2</v>
      </c>
      <c r="EG128" t="n">
        <v>56</v>
      </c>
      <c r="EH128" t="n">
        <v>67.8</v>
      </c>
      <c r="EI128" t="n">
        <v>1179</v>
      </c>
      <c r="EJ128" t="n">
        <v>393</v>
      </c>
      <c r="EK128" t="n">
        <v>294.8</v>
      </c>
      <c r="EL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138.84</v>
      </c>
      <c r="DQ129" t="n">
        <v>71.2</v>
      </c>
      <c r="DR129" t="n">
        <v>142.4</v>
      </c>
      <c r="DS129" t="n">
        <v>-3.56</v>
      </c>
      <c r="DT129" t="n">
        <v>2605</v>
      </c>
      <c r="DU129" t="n">
        <v>68.55</v>
      </c>
      <c r="DV129" t="inlineStr">
        <is>
          <t>flat</t>
        </is>
      </c>
      <c r="DW129" t="n">
        <v>92.14</v>
      </c>
      <c r="DX129" t="n">
        <v>74</v>
      </c>
      <c r="DY129" t="n">
        <v>11.9</v>
      </c>
      <c r="DZ129" t="n">
        <v>74</v>
      </c>
      <c r="EA129" t="n">
        <v>104</v>
      </c>
      <c r="EB129" t="n">
        <v>6</v>
      </c>
      <c r="EC129" t="n">
        <v>2.9</v>
      </c>
      <c r="ED129" t="n">
        <v>0</v>
      </c>
      <c r="EE129" t="n">
        <v>245</v>
      </c>
      <c r="EF129" t="n">
        <v>50.4</v>
      </c>
      <c r="EG129" t="n">
        <v>26.5</v>
      </c>
      <c r="EH129" t="n">
        <v>100.8</v>
      </c>
      <c r="EI129" t="n">
        <v>334.5</v>
      </c>
      <c r="EJ129" t="n">
        <v>1110.6</v>
      </c>
      <c r="EK129" t="n">
        <v>257.1</v>
      </c>
      <c r="EL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W130" t="n">
        <v>95.17</v>
      </c>
      <c r="DX130" t="n">
        <v>107</v>
      </c>
      <c r="DY130" t="n">
        <v>13.06</v>
      </c>
      <c r="DZ130" t="n">
        <v>76.5</v>
      </c>
      <c r="EA130" t="n">
        <v>112</v>
      </c>
      <c r="EB130" t="n">
        <v>15</v>
      </c>
      <c r="EC130" t="n">
        <v>7.2</v>
      </c>
      <c r="ED130" t="n">
        <v>6.2</v>
      </c>
      <c r="EE130" t="n">
        <v>403</v>
      </c>
      <c r="EF130" t="n">
        <v>131.6</v>
      </c>
      <c r="EG130" t="n">
        <v>68.2</v>
      </c>
      <c r="EH130" t="n">
        <v>70.8</v>
      </c>
      <c r="EI130" t="n">
        <v>2682.5</v>
      </c>
      <c r="EJ130" t="n">
        <v>581.8</v>
      </c>
      <c r="EK130" t="n">
        <v>478.1</v>
      </c>
      <c r="EL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P131" t="n">
        <v>1.54</v>
      </c>
      <c r="DQ131" t="n">
        <v>0.77</v>
      </c>
      <c r="DR131" t="n">
        <v>1.54</v>
      </c>
      <c r="DS131" t="n">
        <v>0</v>
      </c>
      <c r="DT131" t="n">
        <v>35</v>
      </c>
      <c r="DU131" t="n">
        <v>0.92</v>
      </c>
      <c r="DV131" t="inlineStr">
        <is>
          <t>flat</t>
        </is>
      </c>
      <c r="DW131" t="n">
        <v>109.46</v>
      </c>
      <c r="DX131" t="n">
        <v>54</v>
      </c>
      <c r="DY131" t="n">
        <v>16.65</v>
      </c>
      <c r="DZ131" t="n">
        <v>54</v>
      </c>
      <c r="EA131" t="n">
        <v>119.27</v>
      </c>
      <c r="EB131" t="n">
        <v>16</v>
      </c>
      <c r="EC131" t="n">
        <v>7.7</v>
      </c>
      <c r="ED131" t="n">
        <v>11.1</v>
      </c>
      <c r="EE131" t="n">
        <v>519</v>
      </c>
      <c r="EJ131" t="n">
        <v>157500</v>
      </c>
      <c r="EK131" t="n">
        <v>157500</v>
      </c>
      <c r="EL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34.3</v>
      </c>
      <c r="DQ132" t="n">
        <v>17.33</v>
      </c>
      <c r="DR132" t="n">
        <v>34.66</v>
      </c>
      <c r="DS132" t="n">
        <v>-0.36</v>
      </c>
      <c r="DT132" t="n">
        <v>663</v>
      </c>
      <c r="DU132" t="n">
        <v>17.45</v>
      </c>
      <c r="DV132" t="inlineStr">
        <is>
          <t>flat</t>
        </is>
      </c>
      <c r="DW132" t="n">
        <v>96.15000000000001</v>
      </c>
      <c r="DX132" t="n">
        <v>96.29000000000001</v>
      </c>
      <c r="DY132" t="n">
        <v>16.45</v>
      </c>
      <c r="DZ132" t="n">
        <v>42</v>
      </c>
      <c r="EA132" t="n">
        <v>120</v>
      </c>
      <c r="EB132" t="n">
        <v>41</v>
      </c>
      <c r="EC132" t="n">
        <v>19.7</v>
      </c>
      <c r="ED132" t="n">
        <v>8.9</v>
      </c>
      <c r="EE132" t="n">
        <v>246</v>
      </c>
      <c r="EF132" t="n">
        <v>187.9</v>
      </c>
      <c r="EG132" t="n">
        <v>47</v>
      </c>
      <c r="EH132" t="n">
        <v>83.5</v>
      </c>
      <c r="EI132" t="n">
        <v>1287.9</v>
      </c>
      <c r="EJ132" t="n">
        <v>665.6</v>
      </c>
      <c r="EK132" t="n">
        <v>438.8</v>
      </c>
      <c r="EL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95.98</v>
      </c>
      <c r="DQ133" t="n">
        <v>48.14</v>
      </c>
      <c r="DR133" t="n">
        <v>96.28</v>
      </c>
      <c r="DS133" t="n">
        <v>-0.3</v>
      </c>
      <c r="DT133" t="n">
        <v>2440</v>
      </c>
      <c r="DU133" t="n">
        <v>64.2</v>
      </c>
      <c r="DV133" t="inlineStr">
        <is>
          <t>flat</t>
        </is>
      </c>
      <c r="DW133" t="n">
        <v>98.58</v>
      </c>
      <c r="DX133" t="n">
        <v>84</v>
      </c>
      <c r="DY133" t="n">
        <v>18.62</v>
      </c>
      <c r="DZ133" t="n">
        <v>69.81999999999999</v>
      </c>
      <c r="EA133" t="n">
        <v>116.8</v>
      </c>
      <c r="EB133" t="n">
        <v>6</v>
      </c>
      <c r="EC133" t="n">
        <v>2.9</v>
      </c>
      <c r="ED133" t="n">
        <v>0</v>
      </c>
      <c r="EE133" t="n">
        <v>404</v>
      </c>
      <c r="EF133" t="n">
        <v>155.3</v>
      </c>
      <c r="EG133" t="n">
        <v>39.9</v>
      </c>
      <c r="EH133" t="n">
        <v>133.1</v>
      </c>
      <c r="EI133" t="n">
        <v>1407.3</v>
      </c>
      <c r="EJ133" t="n">
        <v>842.5</v>
      </c>
      <c r="EK133" t="n">
        <v>527</v>
      </c>
      <c r="EL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0.38</v>
      </c>
      <c r="DQ134" t="n">
        <v>0.19</v>
      </c>
      <c r="DR134" t="n">
        <v>0.38</v>
      </c>
      <c r="DS134" t="n">
        <v>0</v>
      </c>
      <c r="DT134" t="n">
        <v>4</v>
      </c>
      <c r="DU134" t="n">
        <v>0.1</v>
      </c>
      <c r="DV134" t="inlineStr">
        <is>
          <t>flat</t>
        </is>
      </c>
      <c r="DW134" t="n">
        <v>103.4</v>
      </c>
      <c r="DX134" t="n">
        <v>110.13</v>
      </c>
      <c r="DY134" t="n">
        <v>19.95</v>
      </c>
      <c r="DZ134" t="n">
        <v>36</v>
      </c>
      <c r="EA134" t="n">
        <v>120</v>
      </c>
      <c r="EB134" t="n">
        <v>103</v>
      </c>
      <c r="EC134" t="n">
        <v>49.5</v>
      </c>
      <c r="ED134" t="n">
        <v>34</v>
      </c>
      <c r="EE134" t="n">
        <v>247</v>
      </c>
      <c r="EF134" t="n">
        <v>2416</v>
      </c>
      <c r="EG134" t="n">
        <v>1208</v>
      </c>
      <c r="EI134" t="n">
        <v>16577.1</v>
      </c>
      <c r="EK134" t="n">
        <v>16577.1</v>
      </c>
      <c r="EL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113.14</v>
      </c>
      <c r="DQ135" t="n">
        <v>56.57</v>
      </c>
      <c r="DR135" t="n">
        <v>113.14</v>
      </c>
      <c r="DS135" t="n">
        <v>0</v>
      </c>
      <c r="DT135" t="n">
        <v>3004</v>
      </c>
      <c r="DU135" t="n">
        <v>79.05</v>
      </c>
      <c r="DV135" t="inlineStr">
        <is>
          <t>flat</t>
        </is>
      </c>
      <c r="DW135" t="n">
        <v>95.73</v>
      </c>
      <c r="DX135" t="n">
        <v>101.67</v>
      </c>
      <c r="DY135" t="n">
        <v>12.83</v>
      </c>
      <c r="DZ135" t="n">
        <v>73.45</v>
      </c>
      <c r="EA135" t="n">
        <v>116.8</v>
      </c>
      <c r="EB135" t="n">
        <v>21</v>
      </c>
      <c r="EC135" t="n">
        <v>10.1</v>
      </c>
      <c r="ED135" t="n">
        <v>4.5</v>
      </c>
      <c r="EE135" t="n">
        <v>405</v>
      </c>
      <c r="EF135" t="n">
        <v>328.8</v>
      </c>
      <c r="EG135" t="n">
        <v>128.7</v>
      </c>
      <c r="EH135" t="n">
        <v>134.5</v>
      </c>
      <c r="EI135" t="n">
        <v>10616</v>
      </c>
      <c r="EJ135" t="n">
        <v>1643.1</v>
      </c>
      <c r="EK135" t="n">
        <v>1422.8</v>
      </c>
      <c r="EL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46.32</v>
      </c>
      <c r="DQ136" t="n">
        <v>23.6</v>
      </c>
      <c r="DR136" t="n">
        <v>47.2</v>
      </c>
      <c r="DS136" t="n">
        <v>-0.88</v>
      </c>
      <c r="DT136" t="n">
        <v>812</v>
      </c>
      <c r="DU136" t="n">
        <v>21.36</v>
      </c>
      <c r="DV136" t="inlineStr">
        <is>
          <t>fade (losing his place)</t>
        </is>
      </c>
      <c r="DW136" t="n">
        <v>70.20999999999999</v>
      </c>
      <c r="DX136" t="n">
        <v>82.73</v>
      </c>
      <c r="DY136" t="n">
        <v>24.16</v>
      </c>
      <c r="DZ136" t="n">
        <v>20</v>
      </c>
      <c r="EA136" t="n">
        <v>116.8</v>
      </c>
      <c r="EB136" t="n">
        <v>68</v>
      </c>
      <c r="EC136" t="n">
        <v>32.7</v>
      </c>
      <c r="ED136" t="n">
        <v>2.9</v>
      </c>
      <c r="EE136" t="n">
        <v>82</v>
      </c>
      <c r="EF136" t="n">
        <v>55.4</v>
      </c>
      <c r="EG136" t="n">
        <v>20.6</v>
      </c>
      <c r="EH136" t="n">
        <v>53.3</v>
      </c>
      <c r="EI136" t="n">
        <v>535.6</v>
      </c>
      <c r="EJ136" t="n">
        <v>581.7</v>
      </c>
      <c r="EK136" t="n">
        <v>278.8</v>
      </c>
      <c r="EL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69.23</v>
      </c>
      <c r="DQ137" t="n">
        <v>34.62</v>
      </c>
      <c r="DR137" t="n">
        <v>69.23999999999999</v>
      </c>
      <c r="DS137" t="n">
        <v>-0.01</v>
      </c>
      <c r="DT137" t="n">
        <v>1525</v>
      </c>
      <c r="DU137" t="n">
        <v>40.12</v>
      </c>
      <c r="DV137" t="inlineStr">
        <is>
          <t>flat</t>
        </is>
      </c>
      <c r="DW137" t="n">
        <v>107.05</v>
      </c>
      <c r="DX137" t="n">
        <v>117</v>
      </c>
      <c r="DY137" t="n">
        <v>11.85</v>
      </c>
      <c r="DZ137" t="n">
        <v>81.14</v>
      </c>
      <c r="EA137" t="n">
        <v>117</v>
      </c>
      <c r="EB137" t="n">
        <v>9</v>
      </c>
      <c r="EC137" t="n">
        <v>4.3</v>
      </c>
      <c r="ED137" t="n">
        <v>18.2</v>
      </c>
      <c r="EE137" t="n">
        <v>406</v>
      </c>
      <c r="EF137" t="n">
        <v>113.5</v>
      </c>
      <c r="EG137" t="n">
        <v>26.3</v>
      </c>
      <c r="EH137" t="n">
        <v>129.7</v>
      </c>
      <c r="EI137" t="n">
        <v>995.5</v>
      </c>
      <c r="EJ137" t="n">
        <v>901.6</v>
      </c>
      <c r="EK137" t="n">
        <v>473.1</v>
      </c>
      <c r="EL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121.22</v>
      </c>
      <c r="DQ138" t="n">
        <v>60.62</v>
      </c>
      <c r="DR138" t="n">
        <v>121.24</v>
      </c>
      <c r="DS138" t="n">
        <v>-0.02</v>
      </c>
      <c r="DT138" t="n">
        <v>2514</v>
      </c>
      <c r="DU138" t="n">
        <v>66.15000000000001</v>
      </c>
      <c r="DV138" t="inlineStr">
        <is>
          <t>flat</t>
        </is>
      </c>
      <c r="DW138" t="n">
        <v>78.01000000000001</v>
      </c>
      <c r="DX138" t="n">
        <v>89.79000000000001</v>
      </c>
      <c r="DY138" t="n">
        <v>25.35</v>
      </c>
      <c r="DZ138" t="n">
        <v>22.86</v>
      </c>
      <c r="EA138" t="n">
        <v>117.6</v>
      </c>
      <c r="EB138" t="n">
        <v>93</v>
      </c>
      <c r="EC138" t="n">
        <v>44.7</v>
      </c>
      <c r="ED138" t="n">
        <v>4.1</v>
      </c>
      <c r="EE138" t="n">
        <v>138</v>
      </c>
      <c r="EF138" t="n">
        <v>49.9</v>
      </c>
      <c r="EG138" t="n">
        <v>20.2</v>
      </c>
      <c r="EH138" t="n">
        <v>158.2</v>
      </c>
      <c r="EI138" t="n">
        <v>219.2</v>
      </c>
      <c r="EJ138" t="n">
        <v>2628.9</v>
      </c>
      <c r="EK138" t="n">
        <v>202.3</v>
      </c>
      <c r="EL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125.23</v>
      </c>
      <c r="DQ139" t="n">
        <v>62.74</v>
      </c>
      <c r="DR139" t="n">
        <v>125.48</v>
      </c>
      <c r="DS139" t="n">
        <v>-0.25</v>
      </c>
      <c r="DT139" t="n">
        <v>2787</v>
      </c>
      <c r="DU139" t="n">
        <v>73.34999999999999</v>
      </c>
      <c r="DV139" t="inlineStr">
        <is>
          <t>flat</t>
        </is>
      </c>
      <c r="DW139" t="n">
        <v>99.95999999999999</v>
      </c>
      <c r="DX139" t="n">
        <v>92</v>
      </c>
      <c r="DY139" t="n">
        <v>11.8</v>
      </c>
      <c r="DZ139" t="n">
        <v>58.91</v>
      </c>
      <c r="EA139" t="n">
        <v>118.86</v>
      </c>
      <c r="EB139" t="n">
        <v>30</v>
      </c>
      <c r="EC139" t="n">
        <v>14.4</v>
      </c>
      <c r="ED139" t="n">
        <v>9.1</v>
      </c>
      <c r="EE139" t="n">
        <v>248</v>
      </c>
      <c r="EF139" t="n">
        <v>105.6</v>
      </c>
      <c r="EG139" t="n">
        <v>36.6</v>
      </c>
      <c r="EH139" t="n">
        <v>95</v>
      </c>
      <c r="EI139" t="n">
        <v>988.2</v>
      </c>
      <c r="EJ139" t="n">
        <v>804</v>
      </c>
      <c r="EK139" t="n">
        <v>443.3</v>
      </c>
      <c r="EL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99.73999999999999</v>
      </c>
      <c r="DQ140" t="n">
        <v>50.56</v>
      </c>
      <c r="DR140" t="n">
        <v>101.12</v>
      </c>
      <c r="DS140" t="n">
        <v>-1.38</v>
      </c>
      <c r="DT140" t="n">
        <v>2280</v>
      </c>
      <c r="DU140" t="n">
        <v>60</v>
      </c>
      <c r="DV140" t="inlineStr">
        <is>
          <t>flat</t>
        </is>
      </c>
      <c r="DW140" t="n">
        <v>102.76</v>
      </c>
      <c r="DY140" t="n">
        <v>12.23</v>
      </c>
      <c r="DZ140" t="n">
        <v>86.15000000000001</v>
      </c>
      <c r="EA140" t="n">
        <v>119.5</v>
      </c>
      <c r="EB140" t="n">
        <v>5</v>
      </c>
      <c r="EC140" t="n">
        <v>2.4</v>
      </c>
      <c r="ED140" t="n">
        <v>0</v>
      </c>
      <c r="EE140" t="n">
        <v>407</v>
      </c>
      <c r="EF140" t="n">
        <v>78.90000000000001</v>
      </c>
      <c r="EG140" t="n">
        <v>47.3</v>
      </c>
      <c r="EH140" t="n">
        <v>157.8</v>
      </c>
      <c r="EI140" t="n">
        <v>861.9</v>
      </c>
      <c r="EJ140" t="n">
        <v>1014.3</v>
      </c>
      <c r="EK140" t="n">
        <v>465.9</v>
      </c>
      <c r="EL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58.97</v>
      </c>
      <c r="DQ141" t="n">
        <v>29.5</v>
      </c>
      <c r="DR141" t="n">
        <v>59</v>
      </c>
      <c r="DS141" t="n">
        <v>-0.03</v>
      </c>
      <c r="DT141" t="n">
        <v>1406</v>
      </c>
      <c r="DU141" t="n">
        <v>37</v>
      </c>
      <c r="DV141" t="inlineStr">
        <is>
          <t>flat</t>
        </is>
      </c>
      <c r="DW141" t="n">
        <v>87.7</v>
      </c>
      <c r="DX141" t="n">
        <v>99.88</v>
      </c>
      <c r="DY141" t="n">
        <v>17.8</v>
      </c>
      <c r="DZ141" t="n">
        <v>48</v>
      </c>
      <c r="EA141" t="n">
        <v>119.2</v>
      </c>
      <c r="EB141" t="n">
        <v>60</v>
      </c>
      <c r="EC141" t="n">
        <v>28.8</v>
      </c>
      <c r="ED141" t="n">
        <v>7.7</v>
      </c>
      <c r="EE141" t="n">
        <v>249</v>
      </c>
      <c r="EF141" t="n">
        <v>219.5</v>
      </c>
      <c r="EG141" t="n">
        <v>48.8</v>
      </c>
      <c r="EH141" t="n">
        <v>313.6</v>
      </c>
      <c r="EI141" t="n">
        <v>2193.4</v>
      </c>
      <c r="EJ141" t="n">
        <v>5711.9</v>
      </c>
      <c r="EK141" t="n">
        <v>1584.8</v>
      </c>
      <c r="EL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22.15</v>
      </c>
      <c r="DQ142" t="n">
        <v>13.2</v>
      </c>
      <c r="DR142" t="n">
        <v>26.4</v>
      </c>
      <c r="DS142" t="n">
        <v>-4.25</v>
      </c>
      <c r="DT142" t="n">
        <v>247</v>
      </c>
      <c r="DU142" t="n">
        <v>6.5</v>
      </c>
      <c r="DV142" t="inlineStr">
        <is>
          <t>flat</t>
        </is>
      </c>
      <c r="DW142" t="n">
        <v>80.11</v>
      </c>
      <c r="DX142" t="n">
        <v>83.33</v>
      </c>
      <c r="DY142" t="n">
        <v>19.54</v>
      </c>
      <c r="DZ142" t="n">
        <v>46</v>
      </c>
      <c r="EA142" t="n">
        <v>114.67</v>
      </c>
      <c r="EB142" t="n">
        <v>28</v>
      </c>
      <c r="EC142" t="n">
        <v>13.5</v>
      </c>
      <c r="ED142" t="n">
        <v>9.699999999999999</v>
      </c>
      <c r="EE142" t="n">
        <v>83</v>
      </c>
      <c r="EF142" t="n">
        <v>33.1</v>
      </c>
      <c r="EG142" t="n">
        <v>22.5</v>
      </c>
      <c r="EH142" t="n">
        <v>95.5</v>
      </c>
      <c r="EI142" t="n">
        <v>342.7</v>
      </c>
      <c r="EJ142" t="n">
        <v>598.5</v>
      </c>
      <c r="EK142" t="n">
        <v>217.9</v>
      </c>
      <c r="EL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141.6</v>
      </c>
      <c r="DQ143" t="n">
        <v>70.8</v>
      </c>
      <c r="DR143" t="n">
        <v>141.6</v>
      </c>
      <c r="DS143" t="n">
        <v>0</v>
      </c>
      <c r="DT143" t="n">
        <v>2884</v>
      </c>
      <c r="DU143" t="n">
        <v>75.90000000000001</v>
      </c>
      <c r="DV143" t="inlineStr">
        <is>
          <t>flat</t>
        </is>
      </c>
      <c r="DW143" t="n">
        <v>44.62</v>
      </c>
      <c r="DX143" t="n">
        <v>48.07</v>
      </c>
      <c r="DY143" t="n">
        <v>26.19</v>
      </c>
      <c r="DZ143" t="n">
        <v>6.5</v>
      </c>
      <c r="EA143" t="n">
        <v>120</v>
      </c>
      <c r="EB143" t="n">
        <v>188</v>
      </c>
      <c r="EC143" t="n">
        <v>90.40000000000001</v>
      </c>
      <c r="ED143" t="n">
        <v>9.6</v>
      </c>
      <c r="EE143" t="n">
        <v>84</v>
      </c>
      <c r="EF143" t="n">
        <v>53.3</v>
      </c>
      <c r="EG143" t="n">
        <v>20.6</v>
      </c>
      <c r="EH143" t="n">
        <v>128</v>
      </c>
      <c r="EI143" t="n">
        <v>292.4</v>
      </c>
      <c r="EJ143" t="n">
        <v>1762.7</v>
      </c>
      <c r="EK143" t="n">
        <v>250.8</v>
      </c>
      <c r="EL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149.2</v>
      </c>
      <c r="DQ144" t="n">
        <v>75.06999999999999</v>
      </c>
      <c r="DR144" t="n">
        <v>150.14</v>
      </c>
      <c r="DS144" t="n">
        <v>-0.9399999999999999</v>
      </c>
      <c r="DT144" t="n">
        <v>2782</v>
      </c>
      <c r="DU144" t="n">
        <v>73.2</v>
      </c>
      <c r="DV144" t="inlineStr">
        <is>
          <t>flat</t>
        </is>
      </c>
      <c r="DW144" t="n">
        <v>77.70999999999999</v>
      </c>
      <c r="DX144" t="n">
        <v>71.67</v>
      </c>
      <c r="DY144" t="n">
        <v>16.09</v>
      </c>
      <c r="DZ144" t="n">
        <v>51.2</v>
      </c>
      <c r="EA144" t="n">
        <v>112</v>
      </c>
      <c r="EB144" t="n">
        <v>42</v>
      </c>
      <c r="EC144" t="n">
        <v>20.2</v>
      </c>
      <c r="ED144" t="n">
        <v>4.5</v>
      </c>
      <c r="EE144" t="n">
        <v>85</v>
      </c>
      <c r="EF144" t="n">
        <v>46.9</v>
      </c>
      <c r="EG144" t="n">
        <v>27.1</v>
      </c>
      <c r="EH144" t="n">
        <v>115.7</v>
      </c>
      <c r="EI144" t="n">
        <v>357.9</v>
      </c>
      <c r="EJ144" t="n">
        <v>739.2</v>
      </c>
      <c r="EK144" t="n">
        <v>241.1</v>
      </c>
      <c r="EL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9.31</v>
      </c>
      <c r="DQ145" t="n">
        <v>4.56</v>
      </c>
      <c r="DR145" t="n">
        <v>9.119999999999999</v>
      </c>
      <c r="DS145" t="n">
        <v>0.19</v>
      </c>
      <c r="DT145" t="n">
        <v>5</v>
      </c>
      <c r="DU145" t="n">
        <v>0.13</v>
      </c>
      <c r="DV145" t="inlineStr">
        <is>
          <t>flat</t>
        </is>
      </c>
      <c r="DW145" t="n">
        <v>93.45</v>
      </c>
      <c r="DX145" t="n">
        <v>98.59999999999999</v>
      </c>
      <c r="DY145" t="n">
        <v>18.72</v>
      </c>
      <c r="DZ145" t="n">
        <v>30.4</v>
      </c>
      <c r="EA145" t="n">
        <v>119</v>
      </c>
      <c r="EB145" t="n">
        <v>44</v>
      </c>
      <c r="EC145" t="n">
        <v>21.2</v>
      </c>
      <c r="ED145" t="n">
        <v>6.4</v>
      </c>
      <c r="EE145" t="n">
        <v>251</v>
      </c>
      <c r="EF145" t="n">
        <v>109.9</v>
      </c>
      <c r="EG145" t="n">
        <v>43.5</v>
      </c>
      <c r="EH145" t="n">
        <v>169.9</v>
      </c>
      <c r="EI145" t="n">
        <v>1157.9</v>
      </c>
      <c r="EJ145" t="n">
        <v>1218.8</v>
      </c>
      <c r="EK145" t="n">
        <v>593.8</v>
      </c>
      <c r="EL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83.09999999999999</v>
      </c>
      <c r="DQ146" t="n">
        <v>41.92</v>
      </c>
      <c r="DR146" t="n">
        <v>83.84</v>
      </c>
      <c r="DS146" t="n">
        <v>-0.74</v>
      </c>
      <c r="DT146" t="n">
        <v>2337</v>
      </c>
      <c r="DU146" t="n">
        <v>61.5</v>
      </c>
      <c r="DV146" t="inlineStr">
        <is>
          <t>flat</t>
        </is>
      </c>
      <c r="EF146" t="n">
        <v>193.6</v>
      </c>
      <c r="EG146" t="n">
        <v>107.6</v>
      </c>
      <c r="EH146" t="n">
        <v>138.3</v>
      </c>
      <c r="EI146" t="n">
        <v>2012.2</v>
      </c>
      <c r="EJ146" t="n">
        <v>1666.5</v>
      </c>
      <c r="EK146" t="n">
        <v>911.6</v>
      </c>
      <c r="EL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87.73</v>
      </c>
      <c r="DQ147" t="n">
        <v>44.85</v>
      </c>
      <c r="DR147" t="n">
        <v>89.7</v>
      </c>
      <c r="DS147" t="n">
        <v>-1.97</v>
      </c>
      <c r="DT147" t="n">
        <v>1653</v>
      </c>
      <c r="DU147" t="n">
        <v>43.5</v>
      </c>
      <c r="DV147" t="inlineStr">
        <is>
          <t>fade (losing his place)</t>
        </is>
      </c>
      <c r="DW147" t="n">
        <v>75.12</v>
      </c>
      <c r="DX147" t="n">
        <v>78.55</v>
      </c>
      <c r="DY147" t="n">
        <v>24.95</v>
      </c>
      <c r="DZ147" t="n">
        <v>24.5</v>
      </c>
      <c r="EA147" t="n">
        <v>120</v>
      </c>
      <c r="EB147" t="n">
        <v>65</v>
      </c>
      <c r="EC147" t="n">
        <v>31.2</v>
      </c>
      <c r="ED147" t="n">
        <v>8.5</v>
      </c>
      <c r="EE147" t="n">
        <v>86</v>
      </c>
      <c r="EF147" t="n">
        <v>44.1</v>
      </c>
      <c r="EG147" t="n">
        <v>16.8</v>
      </c>
      <c r="EH147" t="n">
        <v>57</v>
      </c>
      <c r="EI147" t="n">
        <v>418.1</v>
      </c>
      <c r="EJ147" t="n">
        <v>450.4</v>
      </c>
      <c r="EK147" t="n">
        <v>216.8</v>
      </c>
      <c r="EL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P148" t="n">
        <v>136.72</v>
      </c>
      <c r="DQ148" t="n">
        <v>68.36</v>
      </c>
      <c r="DR148" t="n">
        <v>136.72</v>
      </c>
      <c r="DS148" t="n">
        <v>0</v>
      </c>
      <c r="DT148" t="n">
        <v>3385</v>
      </c>
      <c r="DU148" t="n">
        <v>89.09</v>
      </c>
      <c r="DV148" t="inlineStr">
        <is>
          <t>flat</t>
        </is>
      </c>
      <c r="DW148" t="n">
        <v>59.4</v>
      </c>
      <c r="DX148" t="n">
        <v>68.33</v>
      </c>
      <c r="DY148" t="n">
        <v>22.28</v>
      </c>
      <c r="DZ148" t="n">
        <v>6.67</v>
      </c>
      <c r="EA148" t="n">
        <v>114.67</v>
      </c>
      <c r="EB148" t="n">
        <v>180</v>
      </c>
      <c r="EC148" t="n">
        <v>86.5</v>
      </c>
      <c r="ED148" t="n">
        <v>15.5</v>
      </c>
      <c r="EE148" t="n">
        <v>139</v>
      </c>
      <c r="EJ148" t="n">
        <v>156000</v>
      </c>
      <c r="EK148" t="n">
        <v>156000</v>
      </c>
      <c r="EL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P149" t="n">
        <v>0.38</v>
      </c>
      <c r="DQ149" t="n">
        <v>0.19</v>
      </c>
      <c r="DR149" t="n">
        <v>0.38</v>
      </c>
      <c r="DS149" t="n">
        <v>0</v>
      </c>
      <c r="DT149" t="n">
        <v>0</v>
      </c>
      <c r="DU149" t="n">
        <v>0.01</v>
      </c>
      <c r="DV149" t="inlineStr">
        <is>
          <t>flat</t>
        </is>
      </c>
      <c r="DW149" t="n">
        <v>108.43</v>
      </c>
      <c r="DX149" t="n">
        <v>103.4</v>
      </c>
      <c r="DY149" t="n">
        <v>17.89</v>
      </c>
      <c r="DZ149" t="n">
        <v>42.67</v>
      </c>
      <c r="EA149" t="n">
        <v>120</v>
      </c>
      <c r="EB149" t="n">
        <v>50</v>
      </c>
      <c r="EC149" t="n">
        <v>24</v>
      </c>
      <c r="ED149" t="n">
        <v>2</v>
      </c>
      <c r="EE149" t="n">
        <v>408</v>
      </c>
      <c r="EH149" t="n">
        <v>2790</v>
      </c>
      <c r="EJ149" t="n">
        <v>49881.5</v>
      </c>
      <c r="EK149" t="n">
        <v>49881.5</v>
      </c>
      <c r="EL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95.09999999999999</v>
      </c>
      <c r="DQ150" t="n">
        <v>49.44</v>
      </c>
      <c r="DR150" t="n">
        <v>98.88</v>
      </c>
      <c r="DS150" t="n">
        <v>-3.78</v>
      </c>
      <c r="DT150" t="n">
        <v>1972</v>
      </c>
      <c r="DU150" t="n">
        <v>51.9</v>
      </c>
      <c r="DV150" t="inlineStr">
        <is>
          <t>flat</t>
        </is>
      </c>
      <c r="DW150" t="n">
        <v>83.54000000000001</v>
      </c>
      <c r="DX150" t="n">
        <v>88.95</v>
      </c>
      <c r="DY150" t="n">
        <v>20.98</v>
      </c>
      <c r="DZ150" t="n">
        <v>9.33</v>
      </c>
      <c r="EA150" t="n">
        <v>120</v>
      </c>
      <c r="EB150" t="n">
        <v>146</v>
      </c>
      <c r="EC150" t="n">
        <v>70.2</v>
      </c>
      <c r="ED150" t="n">
        <v>3.9</v>
      </c>
      <c r="EE150" t="n">
        <v>252</v>
      </c>
      <c r="EF150" t="n">
        <v>117.8</v>
      </c>
      <c r="EG150" t="n">
        <v>61.1</v>
      </c>
      <c r="EH150" t="n">
        <v>412.2</v>
      </c>
      <c r="EI150" t="n">
        <v>1436</v>
      </c>
      <c r="EJ150" t="n">
        <v>2692</v>
      </c>
      <c r="EK150" t="n">
        <v>936.5</v>
      </c>
      <c r="EL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111.56</v>
      </c>
      <c r="DQ151" t="n">
        <v>55.78</v>
      </c>
      <c r="DR151" t="n">
        <v>111.56</v>
      </c>
      <c r="DS151" t="n">
        <v>0</v>
      </c>
      <c r="DT151" t="n">
        <v>2440</v>
      </c>
      <c r="DU151" t="n">
        <v>64.2</v>
      </c>
      <c r="DV151" t="inlineStr">
        <is>
          <t>flat</t>
        </is>
      </c>
      <c r="DW151" t="n">
        <v>102.32</v>
      </c>
      <c r="DX151" t="n">
        <v>117</v>
      </c>
      <c r="DY151" t="n">
        <v>12.05</v>
      </c>
      <c r="DZ151" t="n">
        <v>69</v>
      </c>
      <c r="EA151" t="n">
        <v>120</v>
      </c>
      <c r="EB151" t="n">
        <v>29</v>
      </c>
      <c r="EC151" t="n">
        <v>13.9</v>
      </c>
      <c r="ED151" t="n">
        <v>21.6</v>
      </c>
      <c r="EE151" t="n">
        <v>253</v>
      </c>
      <c r="EF151" t="n">
        <v>122.3</v>
      </c>
      <c r="EG151" t="n">
        <v>43.7</v>
      </c>
      <c r="EH151" t="n">
        <v>229.2</v>
      </c>
      <c r="EI151" t="n">
        <v>1117.9</v>
      </c>
      <c r="EJ151" t="n">
        <v>1565.4</v>
      </c>
      <c r="EK151" t="n">
        <v>652.2</v>
      </c>
      <c r="EL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126.86</v>
      </c>
      <c r="DQ152" t="n">
        <v>63.43</v>
      </c>
      <c r="DR152" t="n">
        <v>126.86</v>
      </c>
      <c r="DS152" t="n">
        <v>0</v>
      </c>
      <c r="DT152" t="n">
        <v>2998</v>
      </c>
      <c r="DU152" t="n">
        <v>78.90000000000001</v>
      </c>
      <c r="DV152" t="inlineStr">
        <is>
          <t>flat</t>
        </is>
      </c>
      <c r="DW152" t="n">
        <v>84.04000000000001</v>
      </c>
      <c r="DX152" t="n">
        <v>104</v>
      </c>
      <c r="DY152" t="n">
        <v>20.21</v>
      </c>
      <c r="DZ152" t="n">
        <v>64</v>
      </c>
      <c r="EA152" t="n">
        <v>104</v>
      </c>
      <c r="EB152" t="n">
        <v>4</v>
      </c>
      <c r="EC152" t="n">
        <v>1.9</v>
      </c>
      <c r="ED152" t="n">
        <v>0</v>
      </c>
      <c r="EE152" t="n">
        <v>254</v>
      </c>
      <c r="EF152" t="n">
        <v>129.6</v>
      </c>
      <c r="EG152" t="n">
        <v>115.2</v>
      </c>
      <c r="EH152" t="n">
        <v>172.8</v>
      </c>
      <c r="EI152" t="n">
        <v>1518.5</v>
      </c>
      <c r="EJ152" t="n">
        <v>1276</v>
      </c>
      <c r="EK152" t="n">
        <v>693.4</v>
      </c>
      <c r="EL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50.18</v>
      </c>
      <c r="DQ153" t="n">
        <v>25.09</v>
      </c>
      <c r="DR153" t="n">
        <v>50.18</v>
      </c>
      <c r="DS153" t="n">
        <v>0</v>
      </c>
      <c r="DT153" t="n">
        <v>739</v>
      </c>
      <c r="DU153" t="n">
        <v>19.44</v>
      </c>
      <c r="DV153" t="inlineStr">
        <is>
          <t>flat</t>
        </is>
      </c>
      <c r="DW153" t="n">
        <v>90.56</v>
      </c>
      <c r="DX153" t="n">
        <v>99.33</v>
      </c>
      <c r="DY153" t="n">
        <v>18.48</v>
      </c>
      <c r="DZ153" t="n">
        <v>52</v>
      </c>
      <c r="EA153" t="n">
        <v>120</v>
      </c>
      <c r="EB153" t="n">
        <v>24</v>
      </c>
      <c r="EC153" t="n">
        <v>11.5</v>
      </c>
      <c r="ED153" t="n">
        <v>4</v>
      </c>
      <c r="EE153" t="n">
        <v>87</v>
      </c>
      <c r="EF153" t="n">
        <v>61.3</v>
      </c>
      <c r="EG153" t="n">
        <v>27.8</v>
      </c>
      <c r="EH153" t="n">
        <v>41.8</v>
      </c>
      <c r="EI153" t="n">
        <v>642.5</v>
      </c>
      <c r="EJ153" t="n">
        <v>528.6</v>
      </c>
      <c r="EK153" t="n">
        <v>290</v>
      </c>
      <c r="EL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129.32</v>
      </c>
      <c r="DQ154" t="n">
        <v>65.08</v>
      </c>
      <c r="DR154" t="n">
        <v>130.16</v>
      </c>
      <c r="DS154" t="n">
        <v>-0.84</v>
      </c>
      <c r="DT154" t="n">
        <v>2611</v>
      </c>
      <c r="DU154" t="n">
        <v>68.7</v>
      </c>
      <c r="DV154" t="inlineStr">
        <is>
          <t>flat</t>
        </is>
      </c>
      <c r="DW154" t="n">
        <v>73</v>
      </c>
      <c r="DX154" t="n">
        <v>82.42</v>
      </c>
      <c r="DY154" t="n">
        <v>26.97</v>
      </c>
      <c r="DZ154" t="n">
        <v>16</v>
      </c>
      <c r="EA154" t="n">
        <v>119.2</v>
      </c>
      <c r="EB154" t="n">
        <v>103</v>
      </c>
      <c r="EC154" t="n">
        <v>49.5</v>
      </c>
      <c r="ED154" t="n">
        <v>5.5</v>
      </c>
      <c r="EE154" t="n">
        <v>141</v>
      </c>
      <c r="EF154" t="n">
        <v>42.3</v>
      </c>
      <c r="EG154" t="n">
        <v>17.8</v>
      </c>
      <c r="EH154" t="n">
        <v>71</v>
      </c>
      <c r="EI154" t="n">
        <v>608.9</v>
      </c>
      <c r="EJ154" t="n">
        <v>473.7</v>
      </c>
      <c r="EK154" t="n">
        <v>266.4</v>
      </c>
      <c r="EL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53.21</v>
      </c>
      <c r="DQ155" t="n">
        <v>27.51</v>
      </c>
      <c r="DR155" t="n">
        <v>55.02</v>
      </c>
      <c r="DS155" t="n">
        <v>-1.81</v>
      </c>
      <c r="DT155" t="n">
        <v>1043</v>
      </c>
      <c r="DU155" t="n">
        <v>27.45</v>
      </c>
      <c r="DV155" t="inlineStr">
        <is>
          <t>flat</t>
        </is>
      </c>
      <c r="DW155" t="n">
        <v>71.23999999999999</v>
      </c>
      <c r="DX155" t="n">
        <v>78.62</v>
      </c>
      <c r="DY155" t="n">
        <v>23.08</v>
      </c>
      <c r="DZ155" t="n">
        <v>18.29</v>
      </c>
      <c r="EA155" t="n">
        <v>120</v>
      </c>
      <c r="EB155" t="n">
        <v>150</v>
      </c>
      <c r="EC155" t="n">
        <v>72.09999999999999</v>
      </c>
      <c r="ED155" t="n">
        <v>19.8</v>
      </c>
      <c r="EE155" t="n">
        <v>140</v>
      </c>
      <c r="EF155" t="n">
        <v>595.7</v>
      </c>
      <c r="EG155" t="n">
        <v>68.7</v>
      </c>
      <c r="EH155" t="n">
        <v>137.5</v>
      </c>
      <c r="EI155" t="n">
        <v>4625.7</v>
      </c>
      <c r="EJ155" t="n">
        <v>941.2</v>
      </c>
      <c r="EK155" t="n">
        <v>782</v>
      </c>
      <c r="EL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31.85</v>
      </c>
      <c r="DQ156" t="n">
        <v>17.37</v>
      </c>
      <c r="DR156" t="n">
        <v>34.74</v>
      </c>
      <c r="DS156" t="n">
        <v>-2.89</v>
      </c>
      <c r="DT156" t="n">
        <v>356</v>
      </c>
      <c r="DU156" t="n">
        <v>9.359999999999999</v>
      </c>
      <c r="DV156" t="inlineStr">
        <is>
          <t>fade (losing his place)</t>
        </is>
      </c>
      <c r="DW156" t="n">
        <v>36.8</v>
      </c>
      <c r="DZ156" t="n">
        <v>36.8</v>
      </c>
      <c r="EA156" t="n">
        <v>36.8</v>
      </c>
      <c r="EB156" t="n">
        <v>1</v>
      </c>
      <c r="EC156" t="n">
        <v>0.5</v>
      </c>
      <c r="ED156" t="n">
        <v>0</v>
      </c>
      <c r="EE156" t="n">
        <v>142</v>
      </c>
      <c r="EF156" t="n">
        <v>144.6</v>
      </c>
      <c r="EG156" t="n">
        <v>64.8</v>
      </c>
      <c r="EH156" t="n">
        <v>188</v>
      </c>
      <c r="EI156" t="n">
        <v>2215.4</v>
      </c>
      <c r="EJ156" t="n">
        <v>2189.4</v>
      </c>
      <c r="EK156" t="n">
        <v>1101.2</v>
      </c>
      <c r="EL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141.09</v>
      </c>
      <c r="DQ157" t="n">
        <v>70.62</v>
      </c>
      <c r="DR157" t="n">
        <v>141.24</v>
      </c>
      <c r="DS157" t="n">
        <v>-0.15</v>
      </c>
      <c r="DT157" t="n">
        <v>3137</v>
      </c>
      <c r="DU157" t="n">
        <v>82.55</v>
      </c>
      <c r="DV157" t="inlineStr">
        <is>
          <t>flat</t>
        </is>
      </c>
      <c r="DW157" t="n">
        <v>65.41</v>
      </c>
      <c r="DX157" t="n">
        <v>74.48</v>
      </c>
      <c r="DY157" t="n">
        <v>21.15</v>
      </c>
      <c r="DZ157" t="n">
        <v>18.4</v>
      </c>
      <c r="EA157" t="n">
        <v>118</v>
      </c>
      <c r="EB157" t="n">
        <v>180</v>
      </c>
      <c r="EC157" t="n">
        <v>86.5</v>
      </c>
      <c r="ED157" t="n">
        <v>12.6</v>
      </c>
      <c r="EE157" t="n">
        <v>144</v>
      </c>
      <c r="EF157" t="n">
        <v>250.1</v>
      </c>
      <c r="EG157" t="n">
        <v>52.3</v>
      </c>
      <c r="EH157" t="n">
        <v>86.59999999999999</v>
      </c>
      <c r="EI157" t="n">
        <v>1555.9</v>
      </c>
      <c r="EJ157" t="n">
        <v>1763.1</v>
      </c>
      <c r="EK157" t="n">
        <v>826.5</v>
      </c>
      <c r="EL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50.22</v>
      </c>
      <c r="DQ158" t="n">
        <v>28.83</v>
      </c>
      <c r="DR158" t="n">
        <v>57.66</v>
      </c>
      <c r="DS158" t="n">
        <v>-7.44</v>
      </c>
      <c r="DT158" t="n">
        <v>830</v>
      </c>
      <c r="DU158" t="n">
        <v>21.85</v>
      </c>
      <c r="DV158" t="inlineStr">
        <is>
          <t>fade (losing his place)</t>
        </is>
      </c>
      <c r="DW158" t="n">
        <v>97.97</v>
      </c>
      <c r="DX158" t="n">
        <v>111</v>
      </c>
      <c r="DY158" t="n">
        <v>16.36</v>
      </c>
      <c r="DZ158" t="n">
        <v>61.5</v>
      </c>
      <c r="EA158" t="n">
        <v>120</v>
      </c>
      <c r="EB158" t="n">
        <v>23</v>
      </c>
      <c r="EC158" t="n">
        <v>11.1</v>
      </c>
      <c r="ED158" t="n">
        <v>0</v>
      </c>
      <c r="EE158" t="n">
        <v>409</v>
      </c>
      <c r="EF158" t="n">
        <v>108</v>
      </c>
      <c r="EG158" t="n">
        <v>48.4</v>
      </c>
      <c r="EH158" t="n">
        <v>43.9</v>
      </c>
      <c r="EI158" t="n">
        <v>825.4</v>
      </c>
      <c r="EJ158" t="n">
        <v>320.3</v>
      </c>
      <c r="EK158" t="n">
        <v>230.8</v>
      </c>
      <c r="EL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73.37</v>
      </c>
      <c r="DQ159" t="n">
        <v>37.03</v>
      </c>
      <c r="DR159" t="n">
        <v>74.06</v>
      </c>
      <c r="DS159" t="n">
        <v>-0.6899999999999999</v>
      </c>
      <c r="DT159" t="n">
        <v>1881</v>
      </c>
      <c r="DU159" t="n">
        <v>49.5</v>
      </c>
      <c r="DV159" t="inlineStr">
        <is>
          <t>flat</t>
        </is>
      </c>
      <c r="EF159" t="n">
        <v>161.5</v>
      </c>
      <c r="EG159" t="n">
        <v>262.5</v>
      </c>
      <c r="EH159" t="n">
        <v>161.5</v>
      </c>
      <c r="EI159" t="n">
        <v>2502.7</v>
      </c>
      <c r="EJ159" t="n">
        <v>3971.5</v>
      </c>
      <c r="EK159" t="n">
        <v>1535.2</v>
      </c>
      <c r="EL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138.2</v>
      </c>
      <c r="DQ160" t="n">
        <v>69.09999999999999</v>
      </c>
      <c r="DR160" t="n">
        <v>138.2</v>
      </c>
      <c r="DS160" t="n">
        <v>0</v>
      </c>
      <c r="DT160" t="n">
        <v>3101</v>
      </c>
      <c r="DU160" t="n">
        <v>81.59999999999999</v>
      </c>
      <c r="DV160" t="inlineStr">
        <is>
          <t>flat</t>
        </is>
      </c>
      <c r="DW160" t="n">
        <v>85.73</v>
      </c>
      <c r="DX160" t="n">
        <v>90.19</v>
      </c>
      <c r="DY160" t="n">
        <v>19.25</v>
      </c>
      <c r="DZ160" t="n">
        <v>35.08</v>
      </c>
      <c r="EA160" t="n">
        <v>120</v>
      </c>
      <c r="EB160" t="n">
        <v>85</v>
      </c>
      <c r="EC160" t="n">
        <v>40.9</v>
      </c>
      <c r="ED160" t="n">
        <v>38</v>
      </c>
      <c r="EE160" t="n">
        <v>145</v>
      </c>
      <c r="EF160" t="n">
        <v>193.6</v>
      </c>
      <c r="EG160" t="n">
        <v>213</v>
      </c>
      <c r="EH160" t="n">
        <v>266.2</v>
      </c>
      <c r="EI160" t="n">
        <v>3213.4</v>
      </c>
      <c r="EJ160" t="n">
        <v>5536.8</v>
      </c>
      <c r="EK160" t="n">
        <v>2033.3</v>
      </c>
      <c r="EL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91.81999999999999</v>
      </c>
      <c r="DQ161" t="n">
        <v>45.91</v>
      </c>
      <c r="DR161" t="n">
        <v>91.81999999999999</v>
      </c>
      <c r="DS161" t="n">
        <v>0</v>
      </c>
      <c r="DT161" t="n">
        <v>2263</v>
      </c>
      <c r="DU161" t="n">
        <v>59.55</v>
      </c>
      <c r="DV161" t="inlineStr">
        <is>
          <t>flat</t>
        </is>
      </c>
      <c r="DW161" t="n">
        <v>79</v>
      </c>
      <c r="DX161" t="n">
        <v>79</v>
      </c>
      <c r="DZ161" t="n">
        <v>79</v>
      </c>
      <c r="EA161" t="n">
        <v>79</v>
      </c>
      <c r="EB161" t="n">
        <v>1</v>
      </c>
      <c r="EC161" t="n">
        <v>0.5</v>
      </c>
      <c r="ED161" t="n">
        <v>50</v>
      </c>
      <c r="EE161" t="n">
        <v>146</v>
      </c>
      <c r="EF161" t="n">
        <v>62.1</v>
      </c>
      <c r="EG161" t="n">
        <v>32.4</v>
      </c>
      <c r="EH161" t="n">
        <v>129.4</v>
      </c>
      <c r="EI161" t="n">
        <v>697.4</v>
      </c>
      <c r="EJ161" t="n">
        <v>1744.6</v>
      </c>
      <c r="EK161" t="n">
        <v>498.2</v>
      </c>
      <c r="EL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36.09</v>
      </c>
      <c r="DQ162" t="n">
        <v>18.06</v>
      </c>
      <c r="DR162" t="n">
        <v>36.12</v>
      </c>
      <c r="DS162" t="n">
        <v>-0.03</v>
      </c>
      <c r="DT162" t="n">
        <v>443</v>
      </c>
      <c r="DU162" t="n">
        <v>11.66</v>
      </c>
      <c r="DV162" t="inlineStr">
        <is>
          <t>flat</t>
        </is>
      </c>
      <c r="DW162" t="n">
        <v>80.75</v>
      </c>
      <c r="DY162" t="n">
        <v>21.57</v>
      </c>
      <c r="DZ162" t="n">
        <v>65.5</v>
      </c>
      <c r="EA162" t="n">
        <v>96</v>
      </c>
      <c r="EB162" t="n">
        <v>2</v>
      </c>
      <c r="EC162" t="n">
        <v>1</v>
      </c>
      <c r="ED162" t="n">
        <v>0</v>
      </c>
      <c r="EE162" t="n">
        <v>147</v>
      </c>
      <c r="EF162" t="n">
        <v>67</v>
      </c>
      <c r="EG162" t="n">
        <v>20</v>
      </c>
      <c r="EH162" t="n">
        <v>50.8</v>
      </c>
      <c r="EI162" t="n">
        <v>800.4</v>
      </c>
      <c r="EJ162" t="n">
        <v>380.8</v>
      </c>
      <c r="EK162" t="n">
        <v>258.1</v>
      </c>
      <c r="EL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90.89</v>
      </c>
      <c r="DQ163" t="n">
        <v>45.46</v>
      </c>
      <c r="DR163" t="n">
        <v>90.92</v>
      </c>
      <c r="DS163" t="n">
        <v>-0.03</v>
      </c>
      <c r="DT163" t="n">
        <v>1835</v>
      </c>
      <c r="DU163" t="n">
        <v>48.3</v>
      </c>
      <c r="DV163" t="inlineStr">
        <is>
          <t>flat</t>
        </is>
      </c>
      <c r="DW163" t="n">
        <v>99.2</v>
      </c>
      <c r="DY163" t="n">
        <v>8.550000000000001</v>
      </c>
      <c r="DZ163" t="n">
        <v>89.14</v>
      </c>
      <c r="EA163" t="n">
        <v>109</v>
      </c>
      <c r="EB163" t="n">
        <v>4</v>
      </c>
      <c r="EC163" t="n">
        <v>1.9</v>
      </c>
      <c r="ED163" t="n">
        <v>0</v>
      </c>
      <c r="EE163" t="n">
        <v>88</v>
      </c>
      <c r="EF163" t="n">
        <v>38.2</v>
      </c>
      <c r="EG163" t="n">
        <v>28.2</v>
      </c>
      <c r="EH163" t="n">
        <v>69.8</v>
      </c>
      <c r="EI163" t="n">
        <v>518.9</v>
      </c>
      <c r="EJ163" t="n">
        <v>431.4</v>
      </c>
      <c r="EK163" t="n">
        <v>235.6</v>
      </c>
      <c r="EL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64.58</v>
      </c>
      <c r="DQ164" t="n">
        <v>32.29</v>
      </c>
      <c r="DR164" t="n">
        <v>64.58</v>
      </c>
      <c r="DS164" t="n">
        <v>0</v>
      </c>
      <c r="DT164" t="n">
        <v>1528</v>
      </c>
      <c r="DU164" t="n">
        <v>40.2</v>
      </c>
      <c r="DV164" t="inlineStr">
        <is>
          <t>flat</t>
        </is>
      </c>
      <c r="DW164" t="n">
        <v>108</v>
      </c>
      <c r="DZ164" t="n">
        <v>108</v>
      </c>
      <c r="EA164" t="n">
        <v>108</v>
      </c>
      <c r="EB164" t="n">
        <v>1</v>
      </c>
      <c r="EC164" t="n">
        <v>0.5</v>
      </c>
      <c r="ED164" t="n">
        <v>0</v>
      </c>
      <c r="EE164" t="n">
        <v>410</v>
      </c>
      <c r="EF164" t="n">
        <v>111.9</v>
      </c>
      <c r="EG164" t="n">
        <v>74.59999999999999</v>
      </c>
      <c r="EH164" t="n">
        <v>162.8</v>
      </c>
      <c r="EI164" t="n">
        <v>2172.5</v>
      </c>
      <c r="EJ164" t="n">
        <v>1486.9</v>
      </c>
      <c r="EK164" t="n">
        <v>882.7</v>
      </c>
      <c r="EL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122.42</v>
      </c>
      <c r="DQ165" t="n">
        <v>61.3</v>
      </c>
      <c r="DR165" t="n">
        <v>122.6</v>
      </c>
      <c r="DS165" t="n">
        <v>-0.18</v>
      </c>
      <c r="DT165" t="n">
        <v>2918</v>
      </c>
      <c r="DU165" t="n">
        <v>76.8</v>
      </c>
      <c r="DV165" t="inlineStr">
        <is>
          <t>flat</t>
        </is>
      </c>
      <c r="DW165" t="n">
        <v>70.02</v>
      </c>
      <c r="DX165" t="n">
        <v>67.5</v>
      </c>
      <c r="DY165" t="n">
        <v>27.12</v>
      </c>
      <c r="DZ165" t="n">
        <v>6</v>
      </c>
      <c r="EA165" t="n">
        <v>119.33</v>
      </c>
      <c r="EB165" t="n">
        <v>94</v>
      </c>
      <c r="EC165" t="n">
        <v>45.2</v>
      </c>
      <c r="ED165" t="n">
        <v>2.1</v>
      </c>
      <c r="EE165" t="n">
        <v>149</v>
      </c>
      <c r="EF165" t="n">
        <v>68.5</v>
      </c>
      <c r="EG165" t="n">
        <v>101.4</v>
      </c>
      <c r="EH165" t="n">
        <v>79.2</v>
      </c>
      <c r="EI165" t="n">
        <v>1600.3</v>
      </c>
      <c r="EJ165" t="n">
        <v>764.3</v>
      </c>
      <c r="EK165" t="n">
        <v>517.3</v>
      </c>
      <c r="EL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45.67</v>
      </c>
      <c r="DQ166" t="n">
        <v>24.09</v>
      </c>
      <c r="DR166" t="n">
        <v>48.18</v>
      </c>
      <c r="DS166" t="n">
        <v>-2.51</v>
      </c>
      <c r="DT166" t="n">
        <v>697</v>
      </c>
      <c r="DU166" t="n">
        <v>18.34</v>
      </c>
      <c r="DV166" t="inlineStr">
        <is>
          <t>fade (losing his place)</t>
        </is>
      </c>
      <c r="DW166" t="n">
        <v>105.5</v>
      </c>
      <c r="DX166" t="n">
        <v>107</v>
      </c>
      <c r="DY166" t="n">
        <v>2.12</v>
      </c>
      <c r="DZ166" t="n">
        <v>104</v>
      </c>
      <c r="EA166" t="n">
        <v>107</v>
      </c>
      <c r="EB166" t="n">
        <v>2</v>
      </c>
      <c r="EC166" t="n">
        <v>1</v>
      </c>
      <c r="ED166" t="n">
        <v>0</v>
      </c>
      <c r="EE166" t="n">
        <v>148</v>
      </c>
      <c r="EF166" t="n">
        <v>83.59999999999999</v>
      </c>
      <c r="EG166" t="n">
        <v>37.7</v>
      </c>
      <c r="EH166" t="n">
        <v>91.59999999999999</v>
      </c>
      <c r="EI166" t="n">
        <v>833.1</v>
      </c>
      <c r="EJ166" t="n">
        <v>686.3</v>
      </c>
      <c r="EK166" t="n">
        <v>376.3</v>
      </c>
      <c r="EL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89.92</v>
      </c>
      <c r="DQ167" t="n">
        <v>44.96</v>
      </c>
      <c r="DR167" t="n">
        <v>89.92</v>
      </c>
      <c r="DS167" t="n">
        <v>0</v>
      </c>
      <c r="DT167" t="n">
        <v>2842</v>
      </c>
      <c r="DU167" t="n">
        <v>74.8</v>
      </c>
      <c r="DV167" t="inlineStr">
        <is>
          <t>flat</t>
        </is>
      </c>
      <c r="EF167" t="n">
        <v>160.6</v>
      </c>
      <c r="EG167" t="n">
        <v>80.3</v>
      </c>
      <c r="EH167" t="n">
        <v>152.2</v>
      </c>
      <c r="EI167" t="n">
        <v>1896.5</v>
      </c>
      <c r="EJ167" t="n">
        <v>2419.7</v>
      </c>
      <c r="EK167" t="n">
        <v>1063.2</v>
      </c>
      <c r="EL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86.84</v>
      </c>
      <c r="DQ168" t="n">
        <v>27.24</v>
      </c>
      <c r="DR168" t="n">
        <v>54.48</v>
      </c>
      <c r="DS168" t="n">
        <v>32.36</v>
      </c>
      <c r="DT168" t="n">
        <v>2160</v>
      </c>
      <c r="DU168" t="n">
        <v>56.85</v>
      </c>
      <c r="DV168" t="inlineStr">
        <is>
          <t>ramp-up (injury / late WC return)</t>
        </is>
      </c>
      <c r="DW168" t="n">
        <v>95.54000000000001</v>
      </c>
      <c r="DY168" t="n">
        <v>20.85</v>
      </c>
      <c r="DZ168" t="n">
        <v>80.8</v>
      </c>
      <c r="EA168" t="n">
        <v>110.29</v>
      </c>
      <c r="EB168" t="n">
        <v>2</v>
      </c>
      <c r="EC168" t="n">
        <v>1</v>
      </c>
      <c r="ED168" t="n">
        <v>0</v>
      </c>
      <c r="EE168" t="n">
        <v>89</v>
      </c>
      <c r="EF168" t="n">
        <v>41.6</v>
      </c>
      <c r="EG168" t="n">
        <v>34.3</v>
      </c>
      <c r="EH168" t="n">
        <v>51.4</v>
      </c>
      <c r="EI168" t="n">
        <v>604.9</v>
      </c>
      <c r="EJ168" t="n">
        <v>411</v>
      </c>
      <c r="EK168" t="n">
        <v>244.7</v>
      </c>
      <c r="EL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84.76000000000001</v>
      </c>
      <c r="DQ169" t="n">
        <v>42.38</v>
      </c>
      <c r="DR169" t="n">
        <v>84.76000000000001</v>
      </c>
      <c r="DS169" t="n">
        <v>0</v>
      </c>
      <c r="DT169" t="n">
        <v>1744</v>
      </c>
      <c r="DU169" t="n">
        <v>45.9</v>
      </c>
      <c r="DV169" t="inlineStr">
        <is>
          <t>flat</t>
        </is>
      </c>
      <c r="DW169" t="n">
        <v>81.39</v>
      </c>
      <c r="DX169" t="n">
        <v>88</v>
      </c>
      <c r="DY169" t="n">
        <v>14.6</v>
      </c>
      <c r="DZ169" t="n">
        <v>57</v>
      </c>
      <c r="EA169" t="n">
        <v>101.71</v>
      </c>
      <c r="EB169" t="n">
        <v>10</v>
      </c>
      <c r="EC169" t="n">
        <v>4.8</v>
      </c>
      <c r="ED169" t="n">
        <v>0</v>
      </c>
      <c r="EE169" t="n">
        <v>150</v>
      </c>
      <c r="EF169" t="n">
        <v>53</v>
      </c>
      <c r="EG169" t="n">
        <v>25.1</v>
      </c>
      <c r="EH169" t="n">
        <v>106.1</v>
      </c>
      <c r="EI169" t="n">
        <v>425.6</v>
      </c>
      <c r="EJ169" t="n">
        <v>1504.6</v>
      </c>
      <c r="EK169" t="n">
        <v>331.7</v>
      </c>
      <c r="EL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31.68</v>
      </c>
      <c r="DQ170" t="n">
        <v>15.84</v>
      </c>
      <c r="DR170" t="n">
        <v>31.68</v>
      </c>
      <c r="DS170" t="n">
        <v>0</v>
      </c>
      <c r="DT170" t="n">
        <v>258</v>
      </c>
      <c r="DU170" t="n">
        <v>6.79</v>
      </c>
      <c r="DV170" t="inlineStr">
        <is>
          <t>flat</t>
        </is>
      </c>
      <c r="DW170" t="n">
        <v>84.8</v>
      </c>
      <c r="DX170" t="n">
        <v>79.33</v>
      </c>
      <c r="DY170" t="n">
        <v>24.98</v>
      </c>
      <c r="DZ170" t="n">
        <v>34</v>
      </c>
      <c r="EA170" t="n">
        <v>112</v>
      </c>
      <c r="EB170" t="n">
        <v>21</v>
      </c>
      <c r="EC170" t="n">
        <v>10.1</v>
      </c>
      <c r="ED170" t="n">
        <v>12.5</v>
      </c>
      <c r="EE170" t="n">
        <v>201</v>
      </c>
      <c r="EF170" t="n">
        <v>32.5</v>
      </c>
      <c r="EG170" t="n">
        <v>14.5</v>
      </c>
      <c r="EH170" t="n">
        <v>154.2</v>
      </c>
      <c r="EI170" t="n">
        <v>162.3</v>
      </c>
      <c r="EJ170" t="n">
        <v>1575.2</v>
      </c>
      <c r="EK170" t="n">
        <v>147.2</v>
      </c>
      <c r="EL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109.17</v>
      </c>
      <c r="DQ171" t="n">
        <v>54.65</v>
      </c>
      <c r="DR171" t="n">
        <v>109.3</v>
      </c>
      <c r="DS171" t="n">
        <v>-0.13</v>
      </c>
      <c r="DT171" t="n">
        <v>2702</v>
      </c>
      <c r="DU171" t="n">
        <v>71.09999999999999</v>
      </c>
      <c r="DV171" t="inlineStr">
        <is>
          <t>flat</t>
        </is>
      </c>
      <c r="DW171" t="n">
        <v>83.68000000000001</v>
      </c>
      <c r="DX171" t="n">
        <v>93.97</v>
      </c>
      <c r="DY171" t="n">
        <v>20.55</v>
      </c>
      <c r="DZ171" t="n">
        <v>26.29</v>
      </c>
      <c r="EA171" t="n">
        <v>119</v>
      </c>
      <c r="EB171" t="n">
        <v>126</v>
      </c>
      <c r="EC171" t="n">
        <v>60.6</v>
      </c>
      <c r="ED171" t="n">
        <v>5.3</v>
      </c>
      <c r="EE171" t="n">
        <v>256</v>
      </c>
      <c r="EF171" t="n">
        <v>87</v>
      </c>
      <c r="EG171" t="n">
        <v>43.5</v>
      </c>
      <c r="EH171" t="n">
        <v>87</v>
      </c>
      <c r="EI171" t="n">
        <v>1893.7</v>
      </c>
      <c r="EJ171" t="n">
        <v>819</v>
      </c>
      <c r="EK171" t="n">
        <v>571.7</v>
      </c>
      <c r="EL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7.77</v>
      </c>
      <c r="DQ172" t="n">
        <v>4.01</v>
      </c>
      <c r="DR172" t="n">
        <v>8.02</v>
      </c>
      <c r="DS172" t="n">
        <v>-0.25</v>
      </c>
      <c r="DT172" t="n">
        <v>27</v>
      </c>
      <c r="DU172" t="n">
        <v>0.7</v>
      </c>
      <c r="DV172" t="inlineStr">
        <is>
          <t>flat</t>
        </is>
      </c>
      <c r="DW172" t="n">
        <v>72.56</v>
      </c>
      <c r="DY172" t="n">
        <v>31.99</v>
      </c>
      <c r="DZ172" t="n">
        <v>29</v>
      </c>
      <c r="EA172" t="n">
        <v>108.67</v>
      </c>
      <c r="EB172" t="n">
        <v>10</v>
      </c>
      <c r="EC172" t="n">
        <v>4.8</v>
      </c>
      <c r="ED172" t="n">
        <v>80</v>
      </c>
      <c r="EE172" t="n">
        <v>42</v>
      </c>
      <c r="EF172" t="n">
        <v>62.6</v>
      </c>
      <c r="EG172" t="n">
        <v>15.5</v>
      </c>
      <c r="EH172" t="n">
        <v>42.8</v>
      </c>
      <c r="EI172" t="n">
        <v>633.7</v>
      </c>
      <c r="EJ172" t="n">
        <v>410.4</v>
      </c>
      <c r="EK172" t="n">
        <v>249.1</v>
      </c>
      <c r="EL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143.69</v>
      </c>
      <c r="DQ173" t="n">
        <v>71.43000000000001</v>
      </c>
      <c r="DR173" t="n">
        <v>142.86</v>
      </c>
      <c r="DS173" t="n">
        <v>0.83</v>
      </c>
      <c r="DT173" t="n">
        <v>3038</v>
      </c>
      <c r="DU173" t="n">
        <v>79.95</v>
      </c>
      <c r="DV173" t="inlineStr">
        <is>
          <t>flat</t>
        </is>
      </c>
      <c r="DW173" t="n">
        <v>49.09</v>
      </c>
      <c r="DX173" t="n">
        <v>56.05</v>
      </c>
      <c r="DY173" t="n">
        <v>19.93</v>
      </c>
      <c r="DZ173" t="n">
        <v>16</v>
      </c>
      <c r="EA173" t="n">
        <v>112</v>
      </c>
      <c r="EB173" t="n">
        <v>196</v>
      </c>
      <c r="EC173" t="n">
        <v>94.2</v>
      </c>
      <c r="ED173" t="n">
        <v>8.4</v>
      </c>
      <c r="EE173" t="n">
        <v>151</v>
      </c>
      <c r="EF173" t="n">
        <v>80.59999999999999</v>
      </c>
      <c r="EG173" t="n">
        <v>42.8</v>
      </c>
      <c r="EH173" t="n">
        <v>342.5</v>
      </c>
      <c r="EI173" t="n">
        <v>666.4</v>
      </c>
      <c r="EJ173" t="n">
        <v>2408.6</v>
      </c>
      <c r="EK173" t="n">
        <v>522</v>
      </c>
      <c r="EL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159.26</v>
      </c>
      <c r="DQ174" t="n">
        <v>79.84999999999999</v>
      </c>
      <c r="DR174" t="n">
        <v>159.7</v>
      </c>
      <c r="DS174" t="n">
        <v>-0.44</v>
      </c>
      <c r="DT174" t="n">
        <v>3164</v>
      </c>
      <c r="DU174" t="n">
        <v>83.25</v>
      </c>
      <c r="DV174" t="inlineStr">
        <is>
          <t>flat</t>
        </is>
      </c>
      <c r="DW174" t="n">
        <v>68.69</v>
      </c>
      <c r="DX174" t="n">
        <v>76.03</v>
      </c>
      <c r="DY174" t="n">
        <v>22.35</v>
      </c>
      <c r="DZ174" t="n">
        <v>16.5</v>
      </c>
      <c r="EA174" t="n">
        <v>120</v>
      </c>
      <c r="EB174" t="n">
        <v>114</v>
      </c>
      <c r="EC174" t="n">
        <v>54.8</v>
      </c>
      <c r="ED174" t="n">
        <v>3.4</v>
      </c>
      <c r="EE174" t="n">
        <v>152</v>
      </c>
      <c r="EF174" t="n">
        <v>90.90000000000001</v>
      </c>
      <c r="EG174" t="n">
        <v>35.6</v>
      </c>
      <c r="EH174" t="n">
        <v>41.9</v>
      </c>
      <c r="EI174" t="n">
        <v>1238</v>
      </c>
      <c r="EJ174" t="n">
        <v>451.7</v>
      </c>
      <c r="EK174" t="n">
        <v>330.9</v>
      </c>
      <c r="EL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70.51000000000001</v>
      </c>
      <c r="DQ175" t="n">
        <v>41.43</v>
      </c>
      <c r="DR175" t="n">
        <v>82.86</v>
      </c>
      <c r="DS175" t="n">
        <v>-12.35</v>
      </c>
      <c r="DT175" t="n">
        <v>1097</v>
      </c>
      <c r="DU175" t="n">
        <v>28.88</v>
      </c>
      <c r="DV175" t="inlineStr">
        <is>
          <t>fade (losing his place)</t>
        </is>
      </c>
      <c r="DW175" t="n">
        <v>85.31999999999999</v>
      </c>
      <c r="DX175" t="n">
        <v>88.14</v>
      </c>
      <c r="DY175" t="n">
        <v>20.69</v>
      </c>
      <c r="DZ175" t="n">
        <v>41</v>
      </c>
      <c r="EA175" t="n">
        <v>118.67</v>
      </c>
      <c r="EB175" t="n">
        <v>23</v>
      </c>
      <c r="EC175" t="n">
        <v>11.1</v>
      </c>
      <c r="ED175" t="n">
        <v>0</v>
      </c>
      <c r="EE175" t="n">
        <v>90</v>
      </c>
      <c r="EF175" t="n">
        <v>38.1</v>
      </c>
      <c r="EG175" t="n">
        <v>19.6</v>
      </c>
      <c r="EH175" t="n">
        <v>44.5</v>
      </c>
      <c r="EI175" t="n">
        <v>503.7</v>
      </c>
      <c r="EJ175" t="n">
        <v>456.5</v>
      </c>
      <c r="EK175" t="n">
        <v>239.5</v>
      </c>
      <c r="EL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81.09</v>
      </c>
      <c r="DQ176" t="n">
        <v>41.37</v>
      </c>
      <c r="DR176" t="n">
        <v>82.73999999999999</v>
      </c>
      <c r="DS176" t="n">
        <v>-1.65</v>
      </c>
      <c r="DT176" t="n">
        <v>1955</v>
      </c>
      <c r="DU176" t="n">
        <v>51.45</v>
      </c>
      <c r="DV176" t="inlineStr">
        <is>
          <t>flat</t>
        </is>
      </c>
      <c r="DW176" t="n">
        <v>83.48999999999999</v>
      </c>
      <c r="DX176" t="n">
        <v>91.8</v>
      </c>
      <c r="DY176" t="n">
        <v>23.44</v>
      </c>
      <c r="DZ176" t="n">
        <v>22.5</v>
      </c>
      <c r="EA176" t="n">
        <v>118.67</v>
      </c>
      <c r="EB176" t="n">
        <v>55</v>
      </c>
      <c r="EC176" t="n">
        <v>26.4</v>
      </c>
      <c r="ED176" t="n">
        <v>9.800000000000001</v>
      </c>
      <c r="EE176" t="n">
        <v>411</v>
      </c>
      <c r="EF176" t="n">
        <v>157.6</v>
      </c>
      <c r="EG176" t="n">
        <v>53.9</v>
      </c>
      <c r="EH176" t="n">
        <v>204.9</v>
      </c>
      <c r="EI176" t="n">
        <v>2013.6</v>
      </c>
      <c r="EJ176" t="n">
        <v>1128.8</v>
      </c>
      <c r="EK176" t="n">
        <v>723.3</v>
      </c>
      <c r="EL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110.54</v>
      </c>
      <c r="DQ177" t="n">
        <v>55.52</v>
      </c>
      <c r="DR177" t="n">
        <v>111.04</v>
      </c>
      <c r="DS177" t="n">
        <v>-0.5</v>
      </c>
      <c r="DT177" t="n">
        <v>2633</v>
      </c>
      <c r="DU177" t="n">
        <v>69.3</v>
      </c>
      <c r="DV177" t="inlineStr">
        <is>
          <t>flat</t>
        </is>
      </c>
      <c r="DW177" t="n">
        <v>84</v>
      </c>
      <c r="DZ177" t="n">
        <v>84</v>
      </c>
      <c r="EA177" t="n">
        <v>84</v>
      </c>
      <c r="EB177" t="n">
        <v>1</v>
      </c>
      <c r="EC177" t="n">
        <v>0.5</v>
      </c>
      <c r="ED177" t="n">
        <v>0</v>
      </c>
      <c r="EE177" t="n">
        <v>257</v>
      </c>
      <c r="EF177" t="n">
        <v>176.9</v>
      </c>
      <c r="EG177" t="n">
        <v>176.9</v>
      </c>
      <c r="EH177" t="n">
        <v>252.7</v>
      </c>
      <c r="EI177" t="n">
        <v>2269.4</v>
      </c>
      <c r="EJ177" t="n">
        <v>1901.9</v>
      </c>
      <c r="EK177" t="n">
        <v>1034.7</v>
      </c>
      <c r="EL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106.46</v>
      </c>
      <c r="DQ178" t="n">
        <v>53.23</v>
      </c>
      <c r="DR178" t="n">
        <v>106.46</v>
      </c>
      <c r="DS178" t="n">
        <v>0</v>
      </c>
      <c r="DT178" t="n">
        <v>2371</v>
      </c>
      <c r="DU178" t="n">
        <v>62.4</v>
      </c>
      <c r="DV178" t="inlineStr">
        <is>
          <t>flat</t>
        </is>
      </c>
      <c r="DW178" t="n">
        <v>95.63</v>
      </c>
      <c r="DX178" t="n">
        <v>87</v>
      </c>
      <c r="DY178" t="n">
        <v>10.61</v>
      </c>
      <c r="DZ178" t="n">
        <v>83</v>
      </c>
      <c r="EA178" t="n">
        <v>112</v>
      </c>
      <c r="EB178" t="n">
        <v>5</v>
      </c>
      <c r="EC178" t="n">
        <v>2.4</v>
      </c>
      <c r="ED178" t="n">
        <v>28.6</v>
      </c>
      <c r="EE178" t="n">
        <v>153</v>
      </c>
      <c r="EF178" t="n">
        <v>46.1</v>
      </c>
      <c r="EG178" t="n">
        <v>24.7</v>
      </c>
      <c r="EH178" t="n">
        <v>43.2</v>
      </c>
      <c r="EI178" t="n">
        <v>465.9</v>
      </c>
      <c r="EJ178" t="n">
        <v>283.7</v>
      </c>
      <c r="EK178" t="n">
        <v>176.3</v>
      </c>
      <c r="EL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35</v>
      </c>
      <c r="DQ179" t="n">
        <v>17.38</v>
      </c>
      <c r="DR179" t="n">
        <v>34.76</v>
      </c>
      <c r="DS179" t="n">
        <v>0.24</v>
      </c>
      <c r="DT179" t="n">
        <v>137</v>
      </c>
      <c r="DU179" t="n">
        <v>3.6</v>
      </c>
      <c r="DV179" t="inlineStr">
        <is>
          <t>flat</t>
        </is>
      </c>
      <c r="EF179" t="n">
        <v>318.5</v>
      </c>
      <c r="EG179" t="n">
        <v>147</v>
      </c>
      <c r="EH179" t="n">
        <v>100.6</v>
      </c>
      <c r="EI179" t="n">
        <v>4336.4</v>
      </c>
      <c r="EJ179" t="n">
        <v>678.8</v>
      </c>
      <c r="EK179" t="n">
        <v>586.9</v>
      </c>
      <c r="EL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47.78</v>
      </c>
      <c r="DQ180" t="n">
        <v>18.55</v>
      </c>
      <c r="DR180" t="n">
        <v>37.1</v>
      </c>
      <c r="DS180" t="n">
        <v>10.68</v>
      </c>
      <c r="DT180" t="n">
        <v>1285</v>
      </c>
      <c r="DU180" t="n">
        <v>33.82</v>
      </c>
      <c r="DV180" t="inlineStr">
        <is>
          <t>ramp-up (injury / late WC return)</t>
        </is>
      </c>
      <c r="EF180" t="n">
        <v>92.40000000000001</v>
      </c>
      <c r="EG180" t="n">
        <v>70.2</v>
      </c>
      <c r="EH180" t="n">
        <v>250.7</v>
      </c>
      <c r="EI180" t="n">
        <v>788.3</v>
      </c>
      <c r="EJ180" t="n">
        <v>2939.9</v>
      </c>
      <c r="EK180" t="n">
        <v>621.6</v>
      </c>
      <c r="EL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118.72</v>
      </c>
      <c r="DQ181" t="n">
        <v>59.36</v>
      </c>
      <c r="DR181" t="n">
        <v>118.72</v>
      </c>
      <c r="DS181" t="n">
        <v>0</v>
      </c>
      <c r="DT181" t="n">
        <v>2069</v>
      </c>
      <c r="DU181" t="n">
        <v>54.45</v>
      </c>
      <c r="DV181" t="inlineStr">
        <is>
          <t>flat</t>
        </is>
      </c>
      <c r="DW181" t="n">
        <v>69.59999999999999</v>
      </c>
      <c r="DX181" t="n">
        <v>77.67</v>
      </c>
      <c r="DY181" t="n">
        <v>28.34</v>
      </c>
      <c r="DZ181" t="n">
        <v>3.5</v>
      </c>
      <c r="EA181" t="n">
        <v>120</v>
      </c>
      <c r="EB181" t="n">
        <v>133</v>
      </c>
      <c r="EC181" t="n">
        <v>63.9</v>
      </c>
      <c r="ED181" t="n">
        <v>19.4</v>
      </c>
      <c r="EE181" t="n">
        <v>91</v>
      </c>
      <c r="EF181" t="n">
        <v>35</v>
      </c>
      <c r="EG181" t="n">
        <v>20.6</v>
      </c>
      <c r="EH181" t="n">
        <v>134.2</v>
      </c>
      <c r="EI181" t="n">
        <v>175.1</v>
      </c>
      <c r="EJ181" t="n">
        <v>1509.4</v>
      </c>
      <c r="EK181" t="n">
        <v>156.9</v>
      </c>
      <c r="EL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77.01000000000001</v>
      </c>
      <c r="DQ182" t="n">
        <v>43.01</v>
      </c>
      <c r="DR182" t="n">
        <v>86.02</v>
      </c>
      <c r="DS182" t="n">
        <v>-9.01</v>
      </c>
      <c r="DT182" t="n">
        <v>1619</v>
      </c>
      <c r="DU182" t="n">
        <v>42.6</v>
      </c>
      <c r="DV182" t="inlineStr">
        <is>
          <t>fade (losing his place)</t>
        </is>
      </c>
      <c r="DW182" t="n">
        <v>92.5</v>
      </c>
      <c r="DY182" t="n">
        <v>11.6</v>
      </c>
      <c r="DZ182" t="n">
        <v>82</v>
      </c>
      <c r="EA182" t="n">
        <v>108</v>
      </c>
      <c r="EB182" t="n">
        <v>4</v>
      </c>
      <c r="EC182" t="n">
        <v>1.9</v>
      </c>
      <c r="ED182" t="n">
        <v>0</v>
      </c>
      <c r="EE182" t="n">
        <v>412</v>
      </c>
      <c r="EF182" t="n">
        <v>180.5</v>
      </c>
      <c r="EG182" t="n">
        <v>38.4</v>
      </c>
      <c r="EH182" t="n">
        <v>451.2</v>
      </c>
      <c r="EI182" t="n">
        <v>2070.1</v>
      </c>
      <c r="EJ182" t="n">
        <v>2208.9</v>
      </c>
      <c r="EK182" t="n">
        <v>1068.6</v>
      </c>
      <c r="EL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</v>
      </c>
      <c r="DQ183" t="n">
        <v>26</v>
      </c>
      <c r="DR183" t="n">
        <v>52</v>
      </c>
      <c r="DS183" t="n">
        <v>0</v>
      </c>
      <c r="DT183" t="n">
        <v>953</v>
      </c>
      <c r="DU183" t="n">
        <v>25.07</v>
      </c>
      <c r="DV183" t="inlineStr">
        <is>
          <t>flat</t>
        </is>
      </c>
      <c r="DW183" t="n">
        <v>70.83</v>
      </c>
      <c r="DX183" t="n">
        <v>85.59</v>
      </c>
      <c r="DY183" t="n">
        <v>27.32</v>
      </c>
      <c r="DZ183" t="n">
        <v>7.5</v>
      </c>
      <c r="EA183" t="n">
        <v>119.2</v>
      </c>
      <c r="EB183" t="n">
        <v>115</v>
      </c>
      <c r="EC183" t="n">
        <v>55.3</v>
      </c>
      <c r="ED183" t="n">
        <v>20.7</v>
      </c>
      <c r="EE183" t="n">
        <v>92</v>
      </c>
      <c r="EF183" t="n">
        <v>52.3</v>
      </c>
      <c r="EG183" t="n">
        <v>23.7</v>
      </c>
      <c r="EH183" t="n">
        <v>230.1</v>
      </c>
      <c r="EI183" t="n">
        <v>389.5</v>
      </c>
      <c r="EJ183" t="n">
        <v>2547.4</v>
      </c>
      <c r="EK183" t="n">
        <v>337.9</v>
      </c>
      <c r="EL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107.9</v>
      </c>
      <c r="DQ184" t="n">
        <v>56.4</v>
      </c>
      <c r="DR184" t="n">
        <v>112.8</v>
      </c>
      <c r="DS184" t="n">
        <v>-4.9</v>
      </c>
      <c r="DT184" t="n">
        <v>1858</v>
      </c>
      <c r="DU184" t="n">
        <v>48.9</v>
      </c>
      <c r="DV184" t="inlineStr">
        <is>
          <t>flat</t>
        </is>
      </c>
      <c r="DW184" t="n">
        <v>66.92</v>
      </c>
      <c r="DX184" t="n">
        <v>72.18000000000001</v>
      </c>
      <c r="DY184" t="n">
        <v>22.63</v>
      </c>
      <c r="DZ184" t="n">
        <v>25.78</v>
      </c>
      <c r="EA184" t="n">
        <v>115.2</v>
      </c>
      <c r="EB184" t="n">
        <v>90</v>
      </c>
      <c r="EC184" t="n">
        <v>43.3</v>
      </c>
      <c r="ED184" t="n">
        <v>28.6</v>
      </c>
      <c r="EE184" t="n">
        <v>43</v>
      </c>
      <c r="EF184" t="n">
        <v>59</v>
      </c>
      <c r="EG184" t="n">
        <v>26.9</v>
      </c>
      <c r="EH184" t="n">
        <v>66.7</v>
      </c>
      <c r="EI184" t="n">
        <v>716.9</v>
      </c>
      <c r="EJ184" t="n">
        <v>616</v>
      </c>
      <c r="EK184" t="n">
        <v>331.3</v>
      </c>
      <c r="EL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98.61</v>
      </c>
      <c r="DQ185" t="n">
        <v>49.41</v>
      </c>
      <c r="DR185" t="n">
        <v>98.81999999999999</v>
      </c>
      <c r="DS185" t="n">
        <v>-0.21</v>
      </c>
      <c r="DT185" t="n">
        <v>1864</v>
      </c>
      <c r="DU185" t="n">
        <v>49.05</v>
      </c>
      <c r="DV185" t="inlineStr">
        <is>
          <t>flat</t>
        </is>
      </c>
      <c r="DW185" t="n">
        <v>48.29</v>
      </c>
      <c r="DX185" t="n">
        <v>54.19</v>
      </c>
      <c r="DY185" t="n">
        <v>22.95</v>
      </c>
      <c r="DZ185" t="n">
        <v>12</v>
      </c>
      <c r="EA185" t="n">
        <v>120</v>
      </c>
      <c r="EB185" t="n">
        <v>156</v>
      </c>
      <c r="EC185" t="n">
        <v>75</v>
      </c>
      <c r="ED185" t="n">
        <v>14.3</v>
      </c>
      <c r="EE185" t="n">
        <v>44</v>
      </c>
      <c r="EF185" t="n">
        <v>62</v>
      </c>
      <c r="EG185" t="n">
        <v>35.9</v>
      </c>
      <c r="EH185" t="n">
        <v>34.9</v>
      </c>
      <c r="EI185" t="n">
        <v>1104</v>
      </c>
      <c r="EJ185" t="n">
        <v>315.9</v>
      </c>
      <c r="EK185" t="n">
        <v>245.6</v>
      </c>
      <c r="EL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43.24</v>
      </c>
      <c r="DQ186" t="n">
        <v>21.62</v>
      </c>
      <c r="DR186" t="n">
        <v>43.24</v>
      </c>
      <c r="DS186" t="n">
        <v>0</v>
      </c>
      <c r="DT186" t="n">
        <v>481</v>
      </c>
      <c r="DU186" t="n">
        <v>12.66</v>
      </c>
      <c r="DV186" t="inlineStr">
        <is>
          <t>flat</t>
        </is>
      </c>
      <c r="DW186" t="n">
        <v>92.92</v>
      </c>
      <c r="DX186" t="n">
        <v>99.59999999999999</v>
      </c>
      <c r="DY186" t="n">
        <v>22.72</v>
      </c>
      <c r="DZ186" t="n">
        <v>20</v>
      </c>
      <c r="EA186" t="n">
        <v>119.11</v>
      </c>
      <c r="EB186" t="n">
        <v>42</v>
      </c>
      <c r="EC186" t="n">
        <v>20.2</v>
      </c>
      <c r="ED186" t="n">
        <v>10.6</v>
      </c>
      <c r="EE186" t="n">
        <v>154</v>
      </c>
      <c r="EF186" t="n">
        <v>26.7</v>
      </c>
      <c r="EG186" t="n">
        <v>17.1</v>
      </c>
      <c r="EI186" t="n">
        <v>222.5</v>
      </c>
      <c r="EJ186" t="n">
        <v>6042.1</v>
      </c>
      <c r="EK186" t="n">
        <v>214.6</v>
      </c>
      <c r="EL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111.72</v>
      </c>
      <c r="DQ187" t="n">
        <v>55.86</v>
      </c>
      <c r="DR187" t="n">
        <v>111.72</v>
      </c>
      <c r="DS187" t="n">
        <v>0</v>
      </c>
      <c r="DT187" t="n">
        <v>3067</v>
      </c>
      <c r="DU187" t="n">
        <v>80.7</v>
      </c>
      <c r="DV187" t="inlineStr">
        <is>
          <t>flat</t>
        </is>
      </c>
      <c r="DW187" t="n">
        <v>105</v>
      </c>
      <c r="DY187" t="n">
        <v>12.71</v>
      </c>
      <c r="DZ187" t="n">
        <v>89.5</v>
      </c>
      <c r="EA187" t="n">
        <v>118.5</v>
      </c>
      <c r="EB187" t="n">
        <v>4</v>
      </c>
      <c r="EC187" t="n">
        <v>1.9</v>
      </c>
      <c r="ED187" t="n">
        <v>20</v>
      </c>
      <c r="EE187" t="n">
        <v>413</v>
      </c>
      <c r="EF187" t="n">
        <v>491.5</v>
      </c>
      <c r="EG187" t="n">
        <v>131.1</v>
      </c>
      <c r="EH187" t="n">
        <v>327.7</v>
      </c>
      <c r="EI187" t="n">
        <v>13106.5</v>
      </c>
      <c r="EJ187" t="n">
        <v>4293.1</v>
      </c>
      <c r="EK187" t="n">
        <v>3233.8</v>
      </c>
      <c r="EL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40.93</v>
      </c>
      <c r="DQ188" t="n">
        <v>20.83</v>
      </c>
      <c r="DR188" t="n">
        <v>41.66</v>
      </c>
      <c r="DS188" t="n">
        <v>-0.73</v>
      </c>
      <c r="DT188" t="n">
        <v>780</v>
      </c>
      <c r="DU188" t="n">
        <v>20.52</v>
      </c>
      <c r="DV188" t="inlineStr">
        <is>
          <t>fade (losing his place)</t>
        </is>
      </c>
      <c r="DW188" t="n">
        <v>99</v>
      </c>
      <c r="DZ188" t="n">
        <v>99</v>
      </c>
      <c r="EA188" t="n">
        <v>99</v>
      </c>
      <c r="EB188" t="n">
        <v>1</v>
      </c>
      <c r="EC188" t="n">
        <v>0.5</v>
      </c>
      <c r="ED188" t="n">
        <v>0</v>
      </c>
      <c r="EE188" t="n">
        <v>260</v>
      </c>
      <c r="EF188" t="n">
        <v>119.5</v>
      </c>
      <c r="EG188" t="n">
        <v>65.2</v>
      </c>
      <c r="EH188" t="n">
        <v>68.3</v>
      </c>
      <c r="EI188" t="n">
        <v>1826.9</v>
      </c>
      <c r="EJ188" t="n">
        <v>471.6</v>
      </c>
      <c r="EK188" t="n">
        <v>374.9</v>
      </c>
      <c r="EL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64.08</v>
      </c>
      <c r="DQ189" t="n">
        <v>32.09</v>
      </c>
      <c r="DR189" t="n">
        <v>64.18000000000001</v>
      </c>
      <c r="DS189" t="n">
        <v>-0.1</v>
      </c>
      <c r="DT189" t="n">
        <v>1448</v>
      </c>
      <c r="DU189" t="n">
        <v>38.1</v>
      </c>
      <c r="DV189" t="inlineStr">
        <is>
          <t>flat</t>
        </is>
      </c>
      <c r="DW189" t="n">
        <v>82.78</v>
      </c>
      <c r="DY189" t="n">
        <v>10.58</v>
      </c>
      <c r="DZ189" t="n">
        <v>76.67</v>
      </c>
      <c r="EA189" t="n">
        <v>95</v>
      </c>
      <c r="EB189" t="n">
        <v>3</v>
      </c>
      <c r="EC189" t="n">
        <v>1.4</v>
      </c>
      <c r="ED189" t="n">
        <v>0</v>
      </c>
      <c r="EE189" t="n">
        <v>157</v>
      </c>
      <c r="EF189" t="n">
        <v>60.9</v>
      </c>
      <c r="EG189" t="n">
        <v>35.5</v>
      </c>
      <c r="EH189" t="n">
        <v>114.7</v>
      </c>
      <c r="EI189" t="n">
        <v>859.3</v>
      </c>
      <c r="EJ189" t="n">
        <v>1214.4</v>
      </c>
      <c r="EK189" t="n">
        <v>503.2</v>
      </c>
      <c r="EL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40.12</v>
      </c>
      <c r="DQ190" t="n">
        <v>20.04</v>
      </c>
      <c r="DR190" t="n">
        <v>40.08</v>
      </c>
      <c r="DS190" t="n">
        <v>0.04</v>
      </c>
      <c r="DT190" t="n">
        <v>691</v>
      </c>
      <c r="DU190" t="n">
        <v>18.18</v>
      </c>
      <c r="DV190" t="inlineStr">
        <is>
          <t>flat</t>
        </is>
      </c>
      <c r="DW190" t="n">
        <v>68.06</v>
      </c>
      <c r="DX190" t="n">
        <v>79.33</v>
      </c>
      <c r="DY190" t="n">
        <v>25.86</v>
      </c>
      <c r="DZ190" t="n">
        <v>9</v>
      </c>
      <c r="EA190" t="n">
        <v>114.67</v>
      </c>
      <c r="EB190" t="n">
        <v>24</v>
      </c>
      <c r="EC190" t="n">
        <v>11.5</v>
      </c>
      <c r="ED190" t="n">
        <v>11.1</v>
      </c>
      <c r="EE190" t="n">
        <v>156</v>
      </c>
      <c r="EF190" t="n">
        <v>127.2</v>
      </c>
      <c r="EG190" t="n">
        <v>59</v>
      </c>
      <c r="EH190" t="n">
        <v>75.09999999999999</v>
      </c>
      <c r="EI190" t="n">
        <v>3314.4</v>
      </c>
      <c r="EJ190" t="n">
        <v>1343.9</v>
      </c>
      <c r="EK190" t="n">
        <v>956.2</v>
      </c>
      <c r="EL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40.77</v>
      </c>
      <c r="DQ191" t="n">
        <v>20.45</v>
      </c>
      <c r="DR191" t="n">
        <v>40.9</v>
      </c>
      <c r="DS191" t="n">
        <v>-0.13</v>
      </c>
      <c r="DT191" t="n">
        <v>268</v>
      </c>
      <c r="DU191" t="n">
        <v>7.06</v>
      </c>
      <c r="DV191" t="inlineStr">
        <is>
          <t>flat</t>
        </is>
      </c>
      <c r="DW191" t="n">
        <v>90.59999999999999</v>
      </c>
      <c r="DX191" t="n">
        <v>84.33</v>
      </c>
      <c r="DY191" t="n">
        <v>17.4</v>
      </c>
      <c r="DZ191" t="n">
        <v>39</v>
      </c>
      <c r="EA191" t="n">
        <v>119.33</v>
      </c>
      <c r="EB191" t="n">
        <v>40</v>
      </c>
      <c r="EC191" t="n">
        <v>19.2</v>
      </c>
      <c r="ED191" t="n">
        <v>7</v>
      </c>
      <c r="EE191" t="n">
        <v>155</v>
      </c>
      <c r="EF191" t="n">
        <v>35.5</v>
      </c>
      <c r="EG191" t="n">
        <v>16.6</v>
      </c>
      <c r="EH191" t="n">
        <v>96.8</v>
      </c>
      <c r="EI191" t="n">
        <v>138.4</v>
      </c>
      <c r="EJ191" t="n">
        <v>652.5</v>
      </c>
      <c r="EK191" t="n">
        <v>114.2</v>
      </c>
      <c r="EL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39.07</v>
      </c>
      <c r="DQ192" t="n">
        <v>20.21</v>
      </c>
      <c r="DR192" t="n">
        <v>40.42</v>
      </c>
      <c r="DS192" t="n">
        <v>-1.35</v>
      </c>
      <c r="DT192" t="n">
        <v>600</v>
      </c>
      <c r="DU192" t="n">
        <v>15.78</v>
      </c>
      <c r="DV192" t="inlineStr">
        <is>
          <t>fade (losing his place)</t>
        </is>
      </c>
      <c r="DW192" t="n">
        <v>72.31999999999999</v>
      </c>
      <c r="DX192" t="n">
        <v>75.90000000000001</v>
      </c>
      <c r="DY192" t="n">
        <v>24.55</v>
      </c>
      <c r="DZ192" t="n">
        <v>20.5</v>
      </c>
      <c r="EA192" t="n">
        <v>120</v>
      </c>
      <c r="EB192" t="n">
        <v>39</v>
      </c>
      <c r="EC192" t="n">
        <v>18.8</v>
      </c>
      <c r="ED192" t="n">
        <v>40.9</v>
      </c>
      <c r="EE192" t="n">
        <v>45</v>
      </c>
      <c r="EF192" t="n">
        <v>46.3</v>
      </c>
      <c r="EG192" t="n">
        <v>10.5</v>
      </c>
      <c r="EH192" t="n">
        <v>54.8</v>
      </c>
      <c r="EI192" t="n">
        <v>747</v>
      </c>
      <c r="EJ192" t="n">
        <v>350.8</v>
      </c>
      <c r="EK192" t="n">
        <v>238.7</v>
      </c>
      <c r="EL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143.24</v>
      </c>
      <c r="DQ193" t="n">
        <v>71.62</v>
      </c>
      <c r="DR193" t="n">
        <v>143.24</v>
      </c>
      <c r="DS193" t="n">
        <v>0</v>
      </c>
      <c r="DT193" t="n">
        <v>3249</v>
      </c>
      <c r="DU193" t="n">
        <v>85.5</v>
      </c>
      <c r="DV193" t="inlineStr">
        <is>
          <t>flat</t>
        </is>
      </c>
      <c r="DW193" t="n">
        <v>98.06999999999999</v>
      </c>
      <c r="DX193" t="n">
        <v>109.5</v>
      </c>
      <c r="DY193" t="n">
        <v>16.4</v>
      </c>
      <c r="DZ193" t="n">
        <v>61.5</v>
      </c>
      <c r="EA193" t="n">
        <v>119.5</v>
      </c>
      <c r="EB193" t="n">
        <v>43</v>
      </c>
      <c r="EC193" t="n">
        <v>20.7</v>
      </c>
      <c r="ED193" t="n">
        <v>8.5</v>
      </c>
      <c r="EE193" t="n">
        <v>261</v>
      </c>
      <c r="EF193" t="n">
        <v>190.1</v>
      </c>
      <c r="EG193" t="n">
        <v>121</v>
      </c>
      <c r="EH193" t="n">
        <v>443.7</v>
      </c>
      <c r="EI193" t="n">
        <v>874</v>
      </c>
      <c r="EJ193" t="n">
        <v>6455.5</v>
      </c>
      <c r="EK193" t="n">
        <v>769.8</v>
      </c>
      <c r="EL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69.98999999999999</v>
      </c>
      <c r="DQ194" t="n">
        <v>35.08</v>
      </c>
      <c r="DR194" t="n">
        <v>70.16</v>
      </c>
      <c r="DS194" t="n">
        <v>-0.17</v>
      </c>
      <c r="DT194" t="n">
        <v>1790</v>
      </c>
      <c r="DU194" t="n">
        <v>47.1</v>
      </c>
      <c r="DV194" t="inlineStr">
        <is>
          <t>flat</t>
        </is>
      </c>
      <c r="EF194" t="n">
        <v>124.4</v>
      </c>
      <c r="EG194" t="n">
        <v>59.7</v>
      </c>
      <c r="EH194" t="n">
        <v>99.5</v>
      </c>
      <c r="EI194" t="n">
        <v>1091.4</v>
      </c>
      <c r="EJ194" t="n">
        <v>675.4</v>
      </c>
      <c r="EK194" t="n">
        <v>417.2</v>
      </c>
      <c r="EL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P195" t="n">
        <v>1.6</v>
      </c>
      <c r="DQ195" t="n">
        <v>0.8</v>
      </c>
      <c r="DR195" t="n">
        <v>1.6</v>
      </c>
      <c r="DS195" t="n">
        <v>0</v>
      </c>
      <c r="DT195" t="n">
        <v>35</v>
      </c>
      <c r="DU195" t="n">
        <v>0.91</v>
      </c>
      <c r="DV195" t="inlineStr">
        <is>
          <t>flat</t>
        </is>
      </c>
      <c r="DW195" t="n">
        <v>115.85</v>
      </c>
      <c r="DY195" t="n">
        <v>2.95</v>
      </c>
      <c r="DZ195" t="n">
        <v>112.57</v>
      </c>
      <c r="EA195" t="n">
        <v>120</v>
      </c>
      <c r="EB195" t="n">
        <v>8</v>
      </c>
      <c r="EC195" t="n">
        <v>3.8</v>
      </c>
      <c r="ED195" t="n">
        <v>27.3</v>
      </c>
      <c r="EE195" t="n">
        <v>414</v>
      </c>
      <c r="EJ195" t="n">
        <v>79200</v>
      </c>
      <c r="EK195" t="n">
        <v>79200</v>
      </c>
      <c r="EL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31.83</v>
      </c>
      <c r="DQ196" t="n">
        <v>17.57</v>
      </c>
      <c r="DR196" t="n">
        <v>35.14</v>
      </c>
      <c r="DS196" t="n">
        <v>-3.31</v>
      </c>
      <c r="DT196" t="n">
        <v>174</v>
      </c>
      <c r="DU196" t="n">
        <v>4.57</v>
      </c>
      <c r="DV196" t="inlineStr">
        <is>
          <t>flat</t>
        </is>
      </c>
      <c r="DW196" t="n">
        <v>77.09999999999999</v>
      </c>
      <c r="DX196" t="n">
        <v>76.5</v>
      </c>
      <c r="DY196" t="n">
        <v>15.53</v>
      </c>
      <c r="DZ196" t="n">
        <v>61</v>
      </c>
      <c r="EA196" t="n">
        <v>92</v>
      </c>
      <c r="EB196" t="n">
        <v>3</v>
      </c>
      <c r="EC196" t="n">
        <v>1.4</v>
      </c>
      <c r="ED196" t="n">
        <v>0</v>
      </c>
      <c r="EE196" t="n">
        <v>262</v>
      </c>
      <c r="EF196" t="n">
        <v>81.59999999999999</v>
      </c>
      <c r="EG196" t="n">
        <v>51.4</v>
      </c>
      <c r="EH196" t="n">
        <v>126.2</v>
      </c>
      <c r="EI196" t="n">
        <v>754.9</v>
      </c>
      <c r="EJ196" t="n">
        <v>783.4</v>
      </c>
      <c r="EK196" t="n">
        <v>384.4</v>
      </c>
      <c r="EL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26.18</v>
      </c>
      <c r="DQ197" t="n">
        <v>13.09</v>
      </c>
      <c r="DR197" t="n">
        <v>26.18</v>
      </c>
      <c r="DS197" t="n">
        <v>0</v>
      </c>
      <c r="DT197" t="n">
        <v>528</v>
      </c>
      <c r="DU197" t="n">
        <v>13.9</v>
      </c>
      <c r="DV197" t="inlineStr">
        <is>
          <t>flat</t>
        </is>
      </c>
      <c r="EF197" t="n">
        <v>90.59999999999999</v>
      </c>
      <c r="EG197" t="n">
        <v>33.8</v>
      </c>
      <c r="EH197" t="n">
        <v>132.5</v>
      </c>
      <c r="EI197" t="n">
        <v>850.7</v>
      </c>
      <c r="EJ197" t="n">
        <v>1055.1</v>
      </c>
      <c r="EK197" t="n">
        <v>470.9</v>
      </c>
      <c r="EL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111.24</v>
      </c>
      <c r="DQ198" t="n">
        <v>43.01</v>
      </c>
      <c r="DR198" t="n">
        <v>86.02</v>
      </c>
      <c r="DS198" t="n">
        <v>25.22</v>
      </c>
      <c r="DT198" t="n">
        <v>2804</v>
      </c>
      <c r="DU198" t="n">
        <v>73.8</v>
      </c>
      <c r="DV198" t="inlineStr">
        <is>
          <t>ramp-up (injury / late WC return)</t>
        </is>
      </c>
      <c r="DW198" t="n">
        <v>82.87</v>
      </c>
      <c r="DX198" t="n">
        <v>88</v>
      </c>
      <c r="DY198" t="n">
        <v>29.62</v>
      </c>
      <c r="DZ198" t="n">
        <v>32.5</v>
      </c>
      <c r="EA198" t="n">
        <v>111.2</v>
      </c>
      <c r="EB198" t="n">
        <v>6</v>
      </c>
      <c r="EC198" t="n">
        <v>2.9</v>
      </c>
      <c r="ED198" t="n">
        <v>81.2</v>
      </c>
      <c r="EE198" t="n">
        <v>46</v>
      </c>
      <c r="EF198" t="n">
        <v>94.40000000000001</v>
      </c>
      <c r="EG198" t="n">
        <v>58.1</v>
      </c>
      <c r="EH198" t="n">
        <v>60.4</v>
      </c>
      <c r="EI198" t="n">
        <v>1291.4</v>
      </c>
      <c r="EJ198" t="n">
        <v>639</v>
      </c>
      <c r="EK198" t="n">
        <v>427.5</v>
      </c>
      <c r="EL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103.92</v>
      </c>
      <c r="DQ199" t="n">
        <v>50.84</v>
      </c>
      <c r="DR199" t="n">
        <v>101.68</v>
      </c>
      <c r="DS199" t="n">
        <v>2.24</v>
      </c>
      <c r="DT199" t="n">
        <v>2770</v>
      </c>
      <c r="DU199" t="n">
        <v>72.90000000000001</v>
      </c>
      <c r="DV199" t="inlineStr">
        <is>
          <t>flat</t>
        </is>
      </c>
      <c r="DW199" t="n">
        <v>98.59</v>
      </c>
      <c r="DX199" t="n">
        <v>92</v>
      </c>
      <c r="DY199" t="n">
        <v>16.81</v>
      </c>
      <c r="DZ199" t="n">
        <v>76.5</v>
      </c>
      <c r="EA199" t="n">
        <v>118</v>
      </c>
      <c r="EB199" t="n">
        <v>7</v>
      </c>
      <c r="EC199" t="n">
        <v>3.4</v>
      </c>
      <c r="ED199" t="n">
        <v>0</v>
      </c>
      <c r="EE199" t="n">
        <v>415</v>
      </c>
      <c r="EF199" t="n">
        <v>146.5</v>
      </c>
      <c r="EG199" t="n">
        <v>51.7</v>
      </c>
      <c r="EH199" t="n">
        <v>125.6</v>
      </c>
      <c r="EI199" t="n">
        <v>2666.7</v>
      </c>
      <c r="EJ199" t="n">
        <v>880.3</v>
      </c>
      <c r="EK199" t="n">
        <v>661.8</v>
      </c>
      <c r="EL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32.64</v>
      </c>
      <c r="DQ200" t="n">
        <v>19.42</v>
      </c>
      <c r="DR200" t="n">
        <v>38.84</v>
      </c>
      <c r="DS200" t="n">
        <v>-6.2</v>
      </c>
      <c r="DT200" t="n">
        <v>328</v>
      </c>
      <c r="DU200" t="n">
        <v>8.630000000000001</v>
      </c>
      <c r="DV200" t="inlineStr">
        <is>
          <t>fade (losing his place)</t>
        </is>
      </c>
      <c r="EF200" t="n">
        <v>123.1</v>
      </c>
      <c r="EG200" t="n">
        <v>61.5</v>
      </c>
      <c r="EH200" t="n">
        <v>184.6</v>
      </c>
      <c r="EI200" t="n">
        <v>2810.9</v>
      </c>
      <c r="EJ200" t="n">
        <v>1154.9</v>
      </c>
      <c r="EK200" t="n">
        <v>818.6</v>
      </c>
      <c r="EL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125.52</v>
      </c>
      <c r="DQ201" t="n">
        <v>62.7</v>
      </c>
      <c r="DR201" t="n">
        <v>125.4</v>
      </c>
      <c r="DS201" t="n">
        <v>0.12</v>
      </c>
      <c r="DT201" t="n">
        <v>2764</v>
      </c>
      <c r="DU201" t="n">
        <v>72.75</v>
      </c>
      <c r="DV201" t="inlineStr">
        <is>
          <t>flat</t>
        </is>
      </c>
      <c r="DW201" t="n">
        <v>69.91</v>
      </c>
      <c r="DX201" t="n">
        <v>83.12</v>
      </c>
      <c r="DY201" t="n">
        <v>24.25</v>
      </c>
      <c r="DZ201" t="n">
        <v>10</v>
      </c>
      <c r="EA201" t="n">
        <v>115</v>
      </c>
      <c r="EB201" t="n">
        <v>90</v>
      </c>
      <c r="EC201" t="n">
        <v>43.3</v>
      </c>
      <c r="ED201" t="n">
        <v>3.2</v>
      </c>
      <c r="EE201" t="n">
        <v>93</v>
      </c>
      <c r="EF201" t="n">
        <v>77.40000000000001</v>
      </c>
      <c r="EG201" t="n">
        <v>54.6</v>
      </c>
      <c r="EH201" t="n">
        <v>58</v>
      </c>
      <c r="EI201" t="n">
        <v>1246.3</v>
      </c>
      <c r="EJ201" t="n">
        <v>595</v>
      </c>
      <c r="EK201" t="n">
        <v>402.7</v>
      </c>
      <c r="EL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34.75</v>
      </c>
      <c r="DQ202" t="n">
        <v>19.09</v>
      </c>
      <c r="DR202" t="n">
        <v>38.18</v>
      </c>
      <c r="DS202" t="n">
        <v>-3.43</v>
      </c>
      <c r="DT202" t="n">
        <v>390</v>
      </c>
      <c r="DU202" t="n">
        <v>10.26</v>
      </c>
      <c r="DV202" t="inlineStr">
        <is>
          <t>flat</t>
        </is>
      </c>
      <c r="EF202" t="n">
        <v>53.7</v>
      </c>
      <c r="EG202" t="n">
        <v>23.3</v>
      </c>
      <c r="EH202" t="n">
        <v>67.09999999999999</v>
      </c>
      <c r="EI202" t="n">
        <v>347.9</v>
      </c>
      <c r="EJ202" t="n">
        <v>741.2</v>
      </c>
      <c r="EK202" t="n">
        <v>236.8</v>
      </c>
      <c r="EL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34.61</v>
      </c>
      <c r="DQ203" t="n">
        <v>17.31</v>
      </c>
      <c r="DR203" t="n">
        <v>34.62</v>
      </c>
      <c r="DS203" t="n">
        <v>-0.01</v>
      </c>
      <c r="DT203" t="n">
        <v>690</v>
      </c>
      <c r="DU203" t="n">
        <v>18.16</v>
      </c>
      <c r="DV203" t="inlineStr">
        <is>
          <t>flat</t>
        </is>
      </c>
      <c r="DW203" t="n">
        <v>80.81</v>
      </c>
      <c r="DX203" t="n">
        <v>86.89</v>
      </c>
      <c r="DY203" t="n">
        <v>19.62</v>
      </c>
      <c r="DZ203" t="n">
        <v>28</v>
      </c>
      <c r="EA203" t="n">
        <v>119.2</v>
      </c>
      <c r="EB203" t="n">
        <v>116</v>
      </c>
      <c r="EC203" t="n">
        <v>55.8</v>
      </c>
      <c r="ED203" t="n">
        <v>26.6</v>
      </c>
      <c r="EE203" t="n">
        <v>159</v>
      </c>
      <c r="EF203" t="n">
        <v>203.9</v>
      </c>
      <c r="EG203" t="n">
        <v>178.4</v>
      </c>
      <c r="EH203" t="n">
        <v>237.8</v>
      </c>
      <c r="EI203" t="n">
        <v>2157.5</v>
      </c>
      <c r="EJ203" t="n">
        <v>1602</v>
      </c>
      <c r="EK203" t="n">
        <v>919.4</v>
      </c>
      <c r="EL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33.82</v>
      </c>
      <c r="DQ204" t="n">
        <v>16.91</v>
      </c>
      <c r="DR204" t="n">
        <v>33.82</v>
      </c>
      <c r="DS204" t="n">
        <v>0</v>
      </c>
      <c r="DT204" t="n">
        <v>662</v>
      </c>
      <c r="DU204" t="n">
        <v>17.41</v>
      </c>
      <c r="DV204" t="inlineStr">
        <is>
          <t>flat</t>
        </is>
      </c>
      <c r="EF204" t="n">
        <v>76.90000000000001</v>
      </c>
      <c r="EG204" t="n">
        <v>93.40000000000001</v>
      </c>
      <c r="EH204" t="n">
        <v>72.59999999999999</v>
      </c>
      <c r="EI204" t="n">
        <v>718.5</v>
      </c>
      <c r="EJ204" t="n">
        <v>951.3</v>
      </c>
      <c r="EK204" t="n">
        <v>409.3</v>
      </c>
      <c r="EL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131.9</v>
      </c>
      <c r="DQ205" t="n">
        <v>66.31</v>
      </c>
      <c r="DR205" t="n">
        <v>132.62</v>
      </c>
      <c r="DS205" t="n">
        <v>-0.72</v>
      </c>
      <c r="DT205" t="n">
        <v>2861</v>
      </c>
      <c r="DU205" t="n">
        <v>75.3</v>
      </c>
      <c r="DV205" t="inlineStr">
        <is>
          <t>flat</t>
        </is>
      </c>
      <c r="DW205" t="n">
        <v>46.47</v>
      </c>
      <c r="DX205" t="n">
        <v>52.75</v>
      </c>
      <c r="DY205" t="n">
        <v>21.39</v>
      </c>
      <c r="DZ205" t="n">
        <v>14</v>
      </c>
      <c r="EA205" t="n">
        <v>118.86</v>
      </c>
      <c r="EB205" t="n">
        <v>178</v>
      </c>
      <c r="EC205" t="n">
        <v>85.59999999999999</v>
      </c>
      <c r="ED205" t="n">
        <v>7.8</v>
      </c>
      <c r="EE205" t="n">
        <v>47</v>
      </c>
      <c r="EF205" t="n">
        <v>39.6</v>
      </c>
      <c r="EG205" t="n">
        <v>21.8</v>
      </c>
      <c r="EH205" t="n">
        <v>79.3</v>
      </c>
      <c r="EI205" t="n">
        <v>415.9</v>
      </c>
      <c r="EJ205" t="n">
        <v>480.6</v>
      </c>
      <c r="EK205" t="n">
        <v>223</v>
      </c>
      <c r="EL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34.52</v>
      </c>
      <c r="DQ206" t="n">
        <v>17.34</v>
      </c>
      <c r="DR206" t="n">
        <v>34.68</v>
      </c>
      <c r="DS206" t="n">
        <v>-0.16</v>
      </c>
      <c r="DT206" t="n">
        <v>173</v>
      </c>
      <c r="DU206" t="n">
        <v>4.54</v>
      </c>
      <c r="DV206" t="inlineStr">
        <is>
          <t>flat</t>
        </is>
      </c>
      <c r="DW206" t="n">
        <v>74.88</v>
      </c>
      <c r="DX206" t="n">
        <v>74.75</v>
      </c>
      <c r="DY206" t="n">
        <v>21.72</v>
      </c>
      <c r="DZ206" t="n">
        <v>19</v>
      </c>
      <c r="EA206" t="n">
        <v>108</v>
      </c>
      <c r="EB206" t="n">
        <v>21</v>
      </c>
      <c r="EC206" t="n">
        <v>10.1</v>
      </c>
      <c r="ED206" t="n">
        <v>0</v>
      </c>
      <c r="EE206" t="n">
        <v>94</v>
      </c>
      <c r="EF206" t="n">
        <v>46.5</v>
      </c>
      <c r="EG206" t="n">
        <v>30.1</v>
      </c>
      <c r="EH206" t="n">
        <v>85.3</v>
      </c>
      <c r="EI206" t="n">
        <v>238.8</v>
      </c>
      <c r="EJ206" t="n">
        <v>547.6</v>
      </c>
      <c r="EK206" t="n">
        <v>166.3</v>
      </c>
      <c r="EL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74.98</v>
      </c>
      <c r="DQ207" t="n">
        <v>37.49</v>
      </c>
      <c r="DR207" t="n">
        <v>74.98</v>
      </c>
      <c r="DS207" t="n">
        <v>0</v>
      </c>
      <c r="DT207" t="n">
        <v>1932</v>
      </c>
      <c r="DU207" t="n">
        <v>50.85</v>
      </c>
      <c r="DV207" t="inlineStr">
        <is>
          <t>flat</t>
        </is>
      </c>
      <c r="EF207" t="n">
        <v>99.90000000000001</v>
      </c>
      <c r="EG207" t="n">
        <v>51.3</v>
      </c>
      <c r="EH207" t="n">
        <v>95</v>
      </c>
      <c r="EI207" t="n">
        <v>1214.5</v>
      </c>
      <c r="EJ207" t="n">
        <v>651.9</v>
      </c>
      <c r="EK207" t="n">
        <v>424.2</v>
      </c>
      <c r="EL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85</v>
      </c>
      <c r="DQ208" t="n">
        <v>42.69</v>
      </c>
      <c r="DR208" t="n">
        <v>85.38</v>
      </c>
      <c r="DS208" t="n">
        <v>-0.38</v>
      </c>
      <c r="DT208" t="n">
        <v>2217</v>
      </c>
      <c r="DU208" t="n">
        <v>58.35</v>
      </c>
      <c r="DV208" t="inlineStr">
        <is>
          <t>flat</t>
        </is>
      </c>
      <c r="EF208" t="n">
        <v>96.09999999999999</v>
      </c>
      <c r="EG208" t="n">
        <v>49.4</v>
      </c>
      <c r="EH208" t="n">
        <v>61.8</v>
      </c>
      <c r="EI208" t="n">
        <v>757.2</v>
      </c>
      <c r="EJ208" t="n">
        <v>849.4</v>
      </c>
      <c r="EK208" t="n">
        <v>400.3</v>
      </c>
      <c r="EL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117.2</v>
      </c>
      <c r="DQ209" t="n">
        <v>58.71</v>
      </c>
      <c r="DR209" t="n">
        <v>117.42</v>
      </c>
      <c r="DS209" t="n">
        <v>-0.22</v>
      </c>
      <c r="DT209" t="n">
        <v>2953</v>
      </c>
      <c r="DU209" t="n">
        <v>77.7</v>
      </c>
      <c r="DV209" t="inlineStr">
        <is>
          <t>flat</t>
        </is>
      </c>
      <c r="DW209" t="n">
        <v>90.52</v>
      </c>
      <c r="DX209" t="n">
        <v>94.81999999999999</v>
      </c>
      <c r="DY209" t="n">
        <v>19.19</v>
      </c>
      <c r="DZ209" t="n">
        <v>38.29</v>
      </c>
      <c r="EA209" t="n">
        <v>117</v>
      </c>
      <c r="EB209" t="n">
        <v>63</v>
      </c>
      <c r="EC209" t="n">
        <v>30.3</v>
      </c>
      <c r="ED209" t="n">
        <v>4.5</v>
      </c>
      <c r="EE209" t="n">
        <v>416</v>
      </c>
      <c r="EF209" t="n">
        <v>132.2</v>
      </c>
      <c r="EG209" t="n">
        <v>158.7</v>
      </c>
      <c r="EH209" t="n">
        <v>176.3</v>
      </c>
      <c r="EI209" t="n">
        <v>3872.6</v>
      </c>
      <c r="EJ209" t="n">
        <v>2686.8</v>
      </c>
      <c r="EK209" t="n">
        <v>1586.2</v>
      </c>
      <c r="EL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70.40000000000001</v>
      </c>
      <c r="DQ210" t="n">
        <v>35.2</v>
      </c>
      <c r="DR210" t="n">
        <v>70.40000000000001</v>
      </c>
      <c r="DS210" t="n">
        <v>0</v>
      </c>
      <c r="DT210" t="n">
        <v>1602</v>
      </c>
      <c r="DU210" t="n">
        <v>42.15</v>
      </c>
      <c r="DV210" t="inlineStr">
        <is>
          <t>flat</t>
        </is>
      </c>
      <c r="DW210" t="n">
        <v>82.16</v>
      </c>
      <c r="DY210" t="n">
        <v>24.42</v>
      </c>
      <c r="DZ210" t="n">
        <v>50.4</v>
      </c>
      <c r="EA210" t="n">
        <v>102</v>
      </c>
      <c r="EB210" t="n">
        <v>4</v>
      </c>
      <c r="EC210" t="n">
        <v>1.9</v>
      </c>
      <c r="ED210" t="n">
        <v>0</v>
      </c>
      <c r="EE210" t="n">
        <v>160</v>
      </c>
      <c r="EF210" t="n">
        <v>54</v>
      </c>
      <c r="EG210" t="n">
        <v>30.5</v>
      </c>
      <c r="EH210" t="n">
        <v>200.4</v>
      </c>
      <c r="EI210" t="n">
        <v>430.2</v>
      </c>
      <c r="EJ210" t="n">
        <v>1877.2</v>
      </c>
      <c r="EK210" t="n">
        <v>350</v>
      </c>
      <c r="EL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53.82</v>
      </c>
      <c r="DQ211" t="n">
        <v>27.03</v>
      </c>
      <c r="DR211" t="n">
        <v>54.06</v>
      </c>
      <c r="DS211" t="n">
        <v>-0.24</v>
      </c>
      <c r="DT211" t="n">
        <v>1082</v>
      </c>
      <c r="DU211" t="n">
        <v>28.48</v>
      </c>
      <c r="DV211" t="inlineStr">
        <is>
          <t>flat</t>
        </is>
      </c>
      <c r="DW211" t="n">
        <v>87.81</v>
      </c>
      <c r="DX211" t="n">
        <v>97</v>
      </c>
      <c r="DY211" t="n">
        <v>18.95</v>
      </c>
      <c r="DZ211" t="n">
        <v>53.33</v>
      </c>
      <c r="EA211" t="n">
        <v>114.67</v>
      </c>
      <c r="EB211" t="n">
        <v>18</v>
      </c>
      <c r="EC211" t="n">
        <v>8.699999999999999</v>
      </c>
      <c r="ED211" t="n">
        <v>14.3</v>
      </c>
      <c r="EE211" t="n">
        <v>95</v>
      </c>
      <c r="EF211" t="n">
        <v>74.3</v>
      </c>
      <c r="EG211" t="n">
        <v>29</v>
      </c>
      <c r="EH211" t="n">
        <v>90</v>
      </c>
      <c r="EI211" t="n">
        <v>678.1</v>
      </c>
      <c r="EJ211" t="n">
        <v>1319.9</v>
      </c>
      <c r="EK211" t="n">
        <v>448</v>
      </c>
      <c r="EL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73.06</v>
      </c>
      <c r="DQ212" t="n">
        <v>34.5</v>
      </c>
      <c r="DR212" t="n">
        <v>69</v>
      </c>
      <c r="DS212" t="n">
        <v>4.06</v>
      </c>
      <c r="DT212" t="n">
        <v>1693</v>
      </c>
      <c r="DU212" t="n">
        <v>44.55</v>
      </c>
      <c r="DV212" t="inlineStr">
        <is>
          <t>flat</t>
        </is>
      </c>
      <c r="DW212" t="n">
        <v>119</v>
      </c>
      <c r="DY212" t="n">
        <v>1.41</v>
      </c>
      <c r="DZ212" t="n">
        <v>118</v>
      </c>
      <c r="EA212" t="n">
        <v>120</v>
      </c>
      <c r="EB212" t="n">
        <v>2</v>
      </c>
      <c r="EC212" t="n">
        <v>1</v>
      </c>
      <c r="ED212" t="n">
        <v>60</v>
      </c>
      <c r="EE212" t="n">
        <v>269</v>
      </c>
      <c r="EF212" t="n">
        <v>214.8</v>
      </c>
      <c r="EG212" t="n">
        <v>107.4</v>
      </c>
      <c r="EH212" t="n">
        <v>572.7</v>
      </c>
      <c r="EI212" t="n">
        <v>2726.6</v>
      </c>
      <c r="EJ212" t="n">
        <v>2730.2</v>
      </c>
      <c r="EK212" t="n">
        <v>1364.2</v>
      </c>
      <c r="EL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81.69</v>
      </c>
      <c r="DQ213" t="n">
        <v>40.85</v>
      </c>
      <c r="DR213" t="n">
        <v>81.7</v>
      </c>
      <c r="DS213" t="n">
        <v>-0.01</v>
      </c>
      <c r="DT213" t="n">
        <v>1887</v>
      </c>
      <c r="DU213" t="n">
        <v>49.65</v>
      </c>
      <c r="DV213" t="inlineStr">
        <is>
          <t>flat</t>
        </is>
      </c>
      <c r="DW213" t="n">
        <v>90.39</v>
      </c>
      <c r="DX213" t="n">
        <v>61</v>
      </c>
      <c r="DY213" t="n">
        <v>18.64</v>
      </c>
      <c r="DZ213" t="n">
        <v>33.6</v>
      </c>
      <c r="EA213" t="n">
        <v>117.33</v>
      </c>
      <c r="EB213" t="n">
        <v>40</v>
      </c>
      <c r="EC213" t="n">
        <v>19.2</v>
      </c>
      <c r="ED213" t="n">
        <v>7</v>
      </c>
      <c r="EE213" t="n">
        <v>417</v>
      </c>
      <c r="EF213" t="n">
        <v>247.8</v>
      </c>
      <c r="EG213" t="n">
        <v>53.1</v>
      </c>
      <c r="EH213" t="n">
        <v>67.59999999999999</v>
      </c>
      <c r="EI213" t="n">
        <v>1452.7</v>
      </c>
      <c r="EJ213" t="n">
        <v>1113.8</v>
      </c>
      <c r="EK213" t="n">
        <v>630.4</v>
      </c>
      <c r="EL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71.34</v>
      </c>
      <c r="DQ214" t="n">
        <v>35.7</v>
      </c>
      <c r="DR214" t="n">
        <v>71.40000000000001</v>
      </c>
      <c r="DS214" t="n">
        <v>-0.06</v>
      </c>
      <c r="DT214" t="n">
        <v>1955</v>
      </c>
      <c r="DU214" t="n">
        <v>51.45</v>
      </c>
      <c r="DV214" t="inlineStr">
        <is>
          <t>flat</t>
        </is>
      </c>
      <c r="DW214" t="n">
        <v>108.33</v>
      </c>
      <c r="DX214" t="n">
        <v>104</v>
      </c>
      <c r="DY214" t="n">
        <v>11.69</v>
      </c>
      <c r="DZ214" t="n">
        <v>90</v>
      </c>
      <c r="EA214" t="n">
        <v>119</v>
      </c>
      <c r="EB214" t="n">
        <v>5</v>
      </c>
      <c r="EC214" t="n">
        <v>2.4</v>
      </c>
      <c r="ED214" t="n">
        <v>16.7</v>
      </c>
      <c r="EE214" t="n">
        <v>418</v>
      </c>
      <c r="EF214" t="n">
        <v>185.9</v>
      </c>
      <c r="EG214" t="n">
        <v>104.6</v>
      </c>
      <c r="EH214" t="n">
        <v>1673</v>
      </c>
      <c r="EI214" t="n">
        <v>1148.8</v>
      </c>
      <c r="EJ214" t="n">
        <v>8430.5</v>
      </c>
      <c r="EK214" t="n">
        <v>1011</v>
      </c>
      <c r="EL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38.29</v>
      </c>
      <c r="DQ215" t="n">
        <v>22.46</v>
      </c>
      <c r="DR215" t="n">
        <v>44.92</v>
      </c>
      <c r="DS215" t="n">
        <v>-6.63</v>
      </c>
      <c r="DT215" t="n">
        <v>722</v>
      </c>
      <c r="DU215" t="n">
        <v>19</v>
      </c>
      <c r="DV215" t="inlineStr">
        <is>
          <t>fade (losing his place)</t>
        </is>
      </c>
      <c r="EF215" t="n">
        <v>111.5</v>
      </c>
      <c r="EG215" t="n">
        <v>91.8</v>
      </c>
      <c r="EH215" t="n">
        <v>141.9</v>
      </c>
      <c r="EI215" t="n">
        <v>2422.4</v>
      </c>
      <c r="EJ215" t="n">
        <v>1554.4</v>
      </c>
      <c r="EK215" t="n">
        <v>946.8</v>
      </c>
      <c r="EL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101.08</v>
      </c>
      <c r="DQ216" t="n">
        <v>53.15</v>
      </c>
      <c r="DR216" t="n">
        <v>106.3</v>
      </c>
      <c r="DS216" t="n">
        <v>-5.22</v>
      </c>
      <c r="DT216" t="n">
        <v>1699</v>
      </c>
      <c r="DU216" t="n">
        <v>44.7</v>
      </c>
      <c r="DV216" t="inlineStr">
        <is>
          <t>flat</t>
        </is>
      </c>
      <c r="DW216" t="n">
        <v>75.92</v>
      </c>
      <c r="DX216" t="n">
        <v>79.86</v>
      </c>
      <c r="DY216" t="n">
        <v>19.73</v>
      </c>
      <c r="DZ216" t="n">
        <v>31.2</v>
      </c>
      <c r="EA216" t="n">
        <v>117.71</v>
      </c>
      <c r="EB216" t="n">
        <v>157</v>
      </c>
      <c r="EC216" t="n">
        <v>75.5</v>
      </c>
      <c r="ED216" t="n">
        <v>17.4</v>
      </c>
      <c r="EE216" t="n">
        <v>162</v>
      </c>
      <c r="EF216" t="n">
        <v>103.2</v>
      </c>
      <c r="EG216" t="n">
        <v>15</v>
      </c>
      <c r="EH216" t="n">
        <v>68.8</v>
      </c>
      <c r="EI216" t="n">
        <v>2035.4</v>
      </c>
      <c r="EJ216" t="n">
        <v>486.6</v>
      </c>
      <c r="EK216" t="n">
        <v>392.7</v>
      </c>
      <c r="EL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25.66</v>
      </c>
      <c r="DQ217" t="n">
        <v>12.83</v>
      </c>
      <c r="DR217" t="n">
        <v>25.66</v>
      </c>
      <c r="DS217" t="n">
        <v>0</v>
      </c>
      <c r="DT217" t="n">
        <v>304</v>
      </c>
      <c r="DU217" t="n">
        <v>8</v>
      </c>
      <c r="DV217" t="inlineStr">
        <is>
          <t>flat</t>
        </is>
      </c>
      <c r="DW217" t="n">
        <v>97.39</v>
      </c>
      <c r="DY217" t="n">
        <v>9.76</v>
      </c>
      <c r="DZ217" t="n">
        <v>90.18000000000001</v>
      </c>
      <c r="EA217" t="n">
        <v>108.5</v>
      </c>
      <c r="EB217" t="n">
        <v>3</v>
      </c>
      <c r="EC217" t="n">
        <v>1.4</v>
      </c>
      <c r="ED217" t="n">
        <v>25</v>
      </c>
      <c r="EE217" t="n">
        <v>270</v>
      </c>
      <c r="EF217" t="n">
        <v>135.4</v>
      </c>
      <c r="EG217" t="n">
        <v>70.90000000000001</v>
      </c>
      <c r="EH217" t="n">
        <v>496.3</v>
      </c>
      <c r="EI217" t="n">
        <v>2602.6</v>
      </c>
      <c r="EJ217" t="n">
        <v>6788.7</v>
      </c>
      <c r="EK217" t="n">
        <v>1881.4</v>
      </c>
      <c r="EL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78.79000000000001</v>
      </c>
      <c r="DQ218" t="n">
        <v>39.41</v>
      </c>
      <c r="DR218" t="n">
        <v>78.81999999999999</v>
      </c>
      <c r="DS218" t="n">
        <v>-0.03</v>
      </c>
      <c r="DT218" t="n">
        <v>1693</v>
      </c>
      <c r="DU218" t="n">
        <v>44.55</v>
      </c>
      <c r="DV218" t="inlineStr">
        <is>
          <t>flat</t>
        </is>
      </c>
      <c r="DW218" t="n">
        <v>102</v>
      </c>
      <c r="DY218" t="n">
        <v>2.83</v>
      </c>
      <c r="DZ218" t="n">
        <v>100</v>
      </c>
      <c r="EA218" t="n">
        <v>104</v>
      </c>
      <c r="EB218" t="n">
        <v>2</v>
      </c>
      <c r="EC218" t="n">
        <v>1</v>
      </c>
      <c r="ED218" t="n">
        <v>33.3</v>
      </c>
      <c r="EE218" t="n">
        <v>161</v>
      </c>
      <c r="EF218" t="n">
        <v>49.6</v>
      </c>
      <c r="EG218" t="n">
        <v>18.4</v>
      </c>
      <c r="EH218" t="n">
        <v>86</v>
      </c>
      <c r="EI218" t="n">
        <v>411.5</v>
      </c>
      <c r="EJ218" t="n">
        <v>1518</v>
      </c>
      <c r="EK218" t="n">
        <v>323.7</v>
      </c>
      <c r="EL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73.83</v>
      </c>
      <c r="DQ219" t="n">
        <v>39.12</v>
      </c>
      <c r="DR219" t="n">
        <v>78.23999999999999</v>
      </c>
      <c r="DS219" t="n">
        <v>-4.41</v>
      </c>
      <c r="DT219" t="n">
        <v>1353</v>
      </c>
      <c r="DU219" t="n">
        <v>35.6</v>
      </c>
      <c r="DV219" t="inlineStr">
        <is>
          <t>fade (losing his place)</t>
        </is>
      </c>
      <c r="DW219" t="n">
        <v>57.6</v>
      </c>
      <c r="DZ219" t="n">
        <v>57.6</v>
      </c>
      <c r="EA219" t="n">
        <v>57.6</v>
      </c>
      <c r="EB219" t="n">
        <v>1</v>
      </c>
      <c r="EC219" t="n">
        <v>0.5</v>
      </c>
      <c r="ED219" t="n">
        <v>0</v>
      </c>
      <c r="EE219" t="n">
        <v>96</v>
      </c>
      <c r="EF219" t="n">
        <v>53.6</v>
      </c>
      <c r="EG219" t="n">
        <v>18.8</v>
      </c>
      <c r="EH219" t="n">
        <v>57.1</v>
      </c>
      <c r="EI219" t="n">
        <v>388.3</v>
      </c>
      <c r="EJ219" t="n">
        <v>545.6</v>
      </c>
      <c r="EK219" t="n">
        <v>226.8</v>
      </c>
      <c r="EL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42.72</v>
      </c>
      <c r="DQ220" t="n">
        <v>21.4</v>
      </c>
      <c r="DR220" t="n">
        <v>42.8</v>
      </c>
      <c r="DS220" t="n">
        <v>-0.08</v>
      </c>
      <c r="DT220" t="n">
        <v>889</v>
      </c>
      <c r="DU220" t="n">
        <v>23.4</v>
      </c>
      <c r="DV220" t="inlineStr">
        <is>
          <t>flat</t>
        </is>
      </c>
      <c r="DW220" t="n">
        <v>66.87</v>
      </c>
      <c r="DY220" t="n">
        <v>9</v>
      </c>
      <c r="DZ220" t="n">
        <v>60.5</v>
      </c>
      <c r="EA220" t="n">
        <v>73.23</v>
      </c>
      <c r="EB220" t="n">
        <v>2</v>
      </c>
      <c r="EC220" t="n">
        <v>1</v>
      </c>
      <c r="ED220" t="n">
        <v>0</v>
      </c>
      <c r="EE220" t="n">
        <v>271</v>
      </c>
      <c r="EF220" t="n">
        <v>90.09999999999999</v>
      </c>
      <c r="EG220" t="n">
        <v>30</v>
      </c>
      <c r="EH220" t="n">
        <v>65.5</v>
      </c>
      <c r="EI220" t="n">
        <v>1195.2</v>
      </c>
      <c r="EJ220" t="n">
        <v>955.4</v>
      </c>
      <c r="EK220" t="n">
        <v>531</v>
      </c>
      <c r="EL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74.37</v>
      </c>
      <c r="DQ221" t="n">
        <v>40.55</v>
      </c>
      <c r="DR221" t="n">
        <v>81.09999999999999</v>
      </c>
      <c r="DS221" t="n">
        <v>-6.73</v>
      </c>
      <c r="DT221" t="n">
        <v>1761</v>
      </c>
      <c r="DU221" t="n">
        <v>46.35</v>
      </c>
      <c r="DV221" t="inlineStr">
        <is>
          <t>fade (losing his place)</t>
        </is>
      </c>
      <c r="DW221" t="n">
        <v>53.71</v>
      </c>
      <c r="DZ221" t="n">
        <v>53.71</v>
      </c>
      <c r="EA221" t="n">
        <v>53.71</v>
      </c>
      <c r="EB221" t="n">
        <v>1</v>
      </c>
      <c r="EC221" t="n">
        <v>0.5</v>
      </c>
      <c r="ED221" t="n">
        <v>0</v>
      </c>
      <c r="EE221" t="n">
        <v>272</v>
      </c>
      <c r="EF221" t="n">
        <v>201.4</v>
      </c>
      <c r="EG221" t="n">
        <v>128.2</v>
      </c>
      <c r="EH221" t="n">
        <v>94</v>
      </c>
      <c r="EI221" t="n">
        <v>1782.4</v>
      </c>
      <c r="EJ221" t="n">
        <v>1797.3</v>
      </c>
      <c r="EK221" t="n">
        <v>894.9</v>
      </c>
      <c r="EL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77.40000000000001</v>
      </c>
      <c r="DQ222" t="n">
        <v>38.7</v>
      </c>
      <c r="DR222" t="n">
        <v>77.40000000000001</v>
      </c>
      <c r="DS222" t="n">
        <v>0</v>
      </c>
      <c r="DT222" t="n">
        <v>2035</v>
      </c>
      <c r="DU222" t="n">
        <v>53.55</v>
      </c>
      <c r="DV222" t="inlineStr">
        <is>
          <t>flat</t>
        </is>
      </c>
      <c r="DW222" t="n">
        <v>91.5</v>
      </c>
      <c r="DZ222" t="n">
        <v>91.5</v>
      </c>
      <c r="EA222" t="n">
        <v>91.5</v>
      </c>
      <c r="EB222" t="n">
        <v>1</v>
      </c>
      <c r="EC222" t="n">
        <v>0.5</v>
      </c>
      <c r="ED222" t="n">
        <v>0</v>
      </c>
      <c r="EE222" t="n">
        <v>419</v>
      </c>
      <c r="EF222" t="n">
        <v>131.3</v>
      </c>
      <c r="EG222" t="n">
        <v>44.8</v>
      </c>
      <c r="EH222" t="n">
        <v>102.1</v>
      </c>
      <c r="EI222" t="n">
        <v>1237.6</v>
      </c>
      <c r="EJ222" t="n">
        <v>1143</v>
      </c>
      <c r="EK222" t="n">
        <v>594.2</v>
      </c>
      <c r="EL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17.88</v>
      </c>
      <c r="DQ223" t="n">
        <v>9.31</v>
      </c>
      <c r="DR223" t="n">
        <v>18.62</v>
      </c>
      <c r="DS223" t="n">
        <v>-0.74</v>
      </c>
      <c r="DT223" t="n">
        <v>285</v>
      </c>
      <c r="DU223" t="n">
        <v>7.51</v>
      </c>
      <c r="DV223" t="inlineStr">
        <is>
          <t>flat</t>
        </is>
      </c>
      <c r="EF223" t="n">
        <v>133.7</v>
      </c>
      <c r="EG223" t="n">
        <v>56.6</v>
      </c>
      <c r="EH223" t="n">
        <v>183.9</v>
      </c>
      <c r="EI223" t="n">
        <v>952.6</v>
      </c>
      <c r="EJ223" t="n">
        <v>997.8</v>
      </c>
      <c r="EK223" t="n">
        <v>487.3</v>
      </c>
      <c r="EL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46.83</v>
      </c>
      <c r="DQ224" t="n">
        <v>23.75</v>
      </c>
      <c r="DR224" t="n">
        <v>47.5</v>
      </c>
      <c r="DS224" t="n">
        <v>-0.67</v>
      </c>
      <c r="DT224" t="n">
        <v>975</v>
      </c>
      <c r="DU224" t="n">
        <v>25.65</v>
      </c>
      <c r="DV224" t="inlineStr">
        <is>
          <t>flat</t>
        </is>
      </c>
      <c r="DW224" t="n">
        <v>86.12</v>
      </c>
      <c r="DX224" t="n">
        <v>93.83</v>
      </c>
      <c r="DY224" t="n">
        <v>20.09</v>
      </c>
      <c r="DZ224" t="n">
        <v>41.78</v>
      </c>
      <c r="EA224" t="n">
        <v>120</v>
      </c>
      <c r="EB224" t="n">
        <v>80</v>
      </c>
      <c r="EC224" t="n">
        <v>38.5</v>
      </c>
      <c r="ED224" t="n">
        <v>38</v>
      </c>
      <c r="EE224" t="n">
        <v>164</v>
      </c>
      <c r="EF224" t="n">
        <v>97.09999999999999</v>
      </c>
      <c r="EG224" t="n">
        <v>36</v>
      </c>
      <c r="EH224" t="n">
        <v>80.90000000000001</v>
      </c>
      <c r="EI224" t="n">
        <v>1888.8</v>
      </c>
      <c r="EJ224" t="n">
        <v>518.8</v>
      </c>
      <c r="EK224" t="n">
        <v>407</v>
      </c>
      <c r="EL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85.12</v>
      </c>
      <c r="DQ225" t="n">
        <v>42.67</v>
      </c>
      <c r="DR225" t="n">
        <v>85.34</v>
      </c>
      <c r="DS225" t="n">
        <v>-0.22</v>
      </c>
      <c r="DT225" t="n">
        <v>2212</v>
      </c>
      <c r="DU225" t="n">
        <v>58.2</v>
      </c>
      <c r="DV225" t="inlineStr">
        <is>
          <t>flat</t>
        </is>
      </c>
      <c r="EF225" t="n">
        <v>54.7</v>
      </c>
      <c r="EG225" t="n">
        <v>43.4</v>
      </c>
      <c r="EH225" t="n">
        <v>96.8</v>
      </c>
      <c r="EI225" t="n">
        <v>995.6</v>
      </c>
      <c r="EJ225" t="n">
        <v>1193.6</v>
      </c>
      <c r="EK225" t="n">
        <v>542.8</v>
      </c>
      <c r="EL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114.47</v>
      </c>
      <c r="DQ226" t="n">
        <v>56.9</v>
      </c>
      <c r="DR226" t="n">
        <v>113.8</v>
      </c>
      <c r="DS226" t="n">
        <v>0.67</v>
      </c>
      <c r="DT226" t="n">
        <v>3215</v>
      </c>
      <c r="DU226" t="n">
        <v>84.59999999999999</v>
      </c>
      <c r="DV226" t="inlineStr">
        <is>
          <t>flat</t>
        </is>
      </c>
      <c r="DW226" t="n">
        <v>94.58</v>
      </c>
      <c r="DX226" t="n">
        <v>95.83</v>
      </c>
      <c r="DY226" t="n">
        <v>18.78</v>
      </c>
      <c r="DZ226" t="n">
        <v>52.67</v>
      </c>
      <c r="EA226" t="n">
        <v>116</v>
      </c>
      <c r="EB226" t="n">
        <v>35</v>
      </c>
      <c r="EC226" t="n">
        <v>16.8</v>
      </c>
      <c r="ED226" t="n">
        <v>10.3</v>
      </c>
      <c r="EE226" t="n">
        <v>275</v>
      </c>
      <c r="EF226" t="n">
        <v>442</v>
      </c>
      <c r="EG226" t="n">
        <v>73.7</v>
      </c>
      <c r="EH226" t="n">
        <v>132.6</v>
      </c>
      <c r="EI226" t="n">
        <v>9394.700000000001</v>
      </c>
      <c r="EJ226" t="n">
        <v>1760.6</v>
      </c>
      <c r="EK226" t="n">
        <v>1482.8</v>
      </c>
      <c r="EL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42.65</v>
      </c>
      <c r="DQ227" t="n">
        <v>23.23</v>
      </c>
      <c r="DR227" t="n">
        <v>46.46</v>
      </c>
      <c r="DS227" t="n">
        <v>-3.81</v>
      </c>
      <c r="DT227" t="n">
        <v>484</v>
      </c>
      <c r="DU227" t="n">
        <v>12.74</v>
      </c>
      <c r="DV227" t="inlineStr">
        <is>
          <t>flat</t>
        </is>
      </c>
      <c r="EF227" t="n">
        <v>24.8</v>
      </c>
      <c r="EG227" t="n">
        <v>16.3</v>
      </c>
      <c r="EH227" t="n">
        <v>45.7</v>
      </c>
      <c r="EI227" t="n">
        <v>192.4</v>
      </c>
      <c r="EJ227" t="n">
        <v>312.8</v>
      </c>
      <c r="EK227" t="n">
        <v>119.1</v>
      </c>
      <c r="EL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P228" t="n">
        <v>18.89</v>
      </c>
      <c r="DQ228" t="n">
        <v>9.49</v>
      </c>
      <c r="DR228" t="n">
        <v>18.98</v>
      </c>
      <c r="DS228" t="n">
        <v>-0.09</v>
      </c>
      <c r="DT228" t="n">
        <v>379</v>
      </c>
      <c r="DU228" t="n">
        <v>9.970000000000001</v>
      </c>
      <c r="DV228" t="inlineStr">
        <is>
          <t>flat</t>
        </is>
      </c>
      <c r="EG228" t="n">
        <v>119.2</v>
      </c>
      <c r="EH228" t="n">
        <v>214.6</v>
      </c>
      <c r="EJ228" t="n">
        <v>2945.9</v>
      </c>
      <c r="EK228" t="n">
        <v>2945.9</v>
      </c>
      <c r="EL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30.23</v>
      </c>
      <c r="DQ229" t="n">
        <v>15.29</v>
      </c>
      <c r="DR229" t="n">
        <v>30.58</v>
      </c>
      <c r="DS229" t="n">
        <v>-0.35</v>
      </c>
      <c r="DT229" t="n">
        <v>412</v>
      </c>
      <c r="DU229" t="n">
        <v>10.84</v>
      </c>
      <c r="DV229" t="inlineStr">
        <is>
          <t>flat</t>
        </is>
      </c>
      <c r="DW229" t="n">
        <v>92.97</v>
      </c>
      <c r="DX229" t="n">
        <v>111</v>
      </c>
      <c r="DY229" t="n">
        <v>14.75</v>
      </c>
      <c r="DZ229" t="n">
        <v>77.33</v>
      </c>
      <c r="EA229" t="n">
        <v>111</v>
      </c>
      <c r="EB229" t="n">
        <v>5</v>
      </c>
      <c r="EC229" t="n">
        <v>2.4</v>
      </c>
      <c r="ED229" t="n">
        <v>0</v>
      </c>
      <c r="EE229" t="n">
        <v>165</v>
      </c>
      <c r="EF229" t="n">
        <v>53.2</v>
      </c>
      <c r="EG229" t="n">
        <v>27.3</v>
      </c>
      <c r="EH229" t="n">
        <v>77.7</v>
      </c>
      <c r="EI229" t="n">
        <v>611.3</v>
      </c>
      <c r="EJ229" t="n">
        <v>674.1</v>
      </c>
      <c r="EK229" t="n">
        <v>320.6</v>
      </c>
      <c r="EL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40.27</v>
      </c>
      <c r="DQ230" t="n">
        <v>20.21</v>
      </c>
      <c r="DR230" t="n">
        <v>40.42</v>
      </c>
      <c r="DS230" t="n">
        <v>-0.15</v>
      </c>
      <c r="DT230" t="n">
        <v>684</v>
      </c>
      <c r="DU230" t="n">
        <v>18</v>
      </c>
      <c r="DV230" t="inlineStr">
        <is>
          <t>flat</t>
        </is>
      </c>
      <c r="DW230" t="n">
        <v>61.99</v>
      </c>
      <c r="DX230" t="n">
        <v>65.88</v>
      </c>
      <c r="DY230" t="n">
        <v>23.48</v>
      </c>
      <c r="DZ230" t="n">
        <v>10</v>
      </c>
      <c r="EA230" t="n">
        <v>119.33</v>
      </c>
      <c r="EB230" t="n">
        <v>93</v>
      </c>
      <c r="EC230" t="n">
        <v>44.7</v>
      </c>
      <c r="ED230" t="n">
        <v>18.4</v>
      </c>
      <c r="EE230" t="n">
        <v>48</v>
      </c>
      <c r="EF230" t="n">
        <v>30</v>
      </c>
      <c r="EG230" t="n">
        <v>11.3</v>
      </c>
      <c r="EH230" t="n">
        <v>52.4</v>
      </c>
      <c r="EI230" t="n">
        <v>247.3</v>
      </c>
      <c r="EJ230" t="n">
        <v>338.6</v>
      </c>
      <c r="EK230" t="n">
        <v>142.9</v>
      </c>
      <c r="EL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43.69</v>
      </c>
      <c r="DQ231" t="n">
        <v>21.91</v>
      </c>
      <c r="DR231" t="n">
        <v>43.82</v>
      </c>
      <c r="DS231" t="n">
        <v>-0.13</v>
      </c>
      <c r="DT231" t="n">
        <v>507</v>
      </c>
      <c r="DU231" t="n">
        <v>13.35</v>
      </c>
      <c r="DV231" t="inlineStr">
        <is>
          <t>flat</t>
        </is>
      </c>
      <c r="DW231" t="n">
        <v>70.51000000000001</v>
      </c>
      <c r="DX231" t="n">
        <v>67.5</v>
      </c>
      <c r="DY231" t="n">
        <v>24.93</v>
      </c>
      <c r="DZ231" t="n">
        <v>23</v>
      </c>
      <c r="EA231" t="n">
        <v>119.33</v>
      </c>
      <c r="EB231" t="n">
        <v>40</v>
      </c>
      <c r="EC231" t="n">
        <v>19.2</v>
      </c>
      <c r="ED231" t="n">
        <v>20</v>
      </c>
      <c r="EE231" t="n">
        <v>49</v>
      </c>
      <c r="EF231" t="n">
        <v>36.7</v>
      </c>
      <c r="EG231" t="n">
        <v>15.2</v>
      </c>
      <c r="EH231" t="n">
        <v>81.90000000000001</v>
      </c>
      <c r="EI231" t="n">
        <v>224.8</v>
      </c>
      <c r="EJ231" t="n">
        <v>554.8</v>
      </c>
      <c r="EK231" t="n">
        <v>160</v>
      </c>
      <c r="EL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35.47</v>
      </c>
      <c r="DQ232" t="n">
        <v>18.57</v>
      </c>
      <c r="DR232" t="n">
        <v>37.14</v>
      </c>
      <c r="DS232" t="n">
        <v>-1.67</v>
      </c>
      <c r="DT232" t="n">
        <v>807</v>
      </c>
      <c r="DU232" t="n">
        <v>21.24</v>
      </c>
      <c r="DV232" t="inlineStr">
        <is>
          <t>fade (losing his place)</t>
        </is>
      </c>
      <c r="DW232" t="n">
        <v>102.79</v>
      </c>
      <c r="DY232" t="n">
        <v>16.45</v>
      </c>
      <c r="DZ232" t="n">
        <v>50.67</v>
      </c>
      <c r="EA232" t="n">
        <v>120</v>
      </c>
      <c r="EB232" t="n">
        <v>24</v>
      </c>
      <c r="EC232" t="n">
        <v>11.5</v>
      </c>
      <c r="ED232" t="n">
        <v>4</v>
      </c>
      <c r="EE232" t="n">
        <v>280</v>
      </c>
      <c r="EF232" t="n">
        <v>192.2</v>
      </c>
      <c r="EG232" t="n">
        <v>78.59999999999999</v>
      </c>
      <c r="EH232" t="n">
        <v>432.5</v>
      </c>
      <c r="EI232" t="n">
        <v>1337.3</v>
      </c>
      <c r="EJ232" t="n">
        <v>4272.9</v>
      </c>
      <c r="EK232" t="n">
        <v>1018.5</v>
      </c>
      <c r="EL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78.17</v>
      </c>
      <c r="DQ233" t="n">
        <v>37.36</v>
      </c>
      <c r="DR233" t="n">
        <v>74.72</v>
      </c>
      <c r="DS233" t="n">
        <v>3.45</v>
      </c>
      <c r="DT233" t="n">
        <v>1989</v>
      </c>
      <c r="DU233" t="n">
        <v>52.35</v>
      </c>
      <c r="DV233" t="inlineStr">
        <is>
          <t>flat</t>
        </is>
      </c>
      <c r="EF233" t="n">
        <v>82.3</v>
      </c>
      <c r="EG233" t="n">
        <v>411.5</v>
      </c>
      <c r="EH233" t="n">
        <v>182.9</v>
      </c>
      <c r="EI233" t="n">
        <v>2432.5</v>
      </c>
      <c r="EJ233" t="n">
        <v>2148.1</v>
      </c>
      <c r="EK233" t="n">
        <v>1140.7</v>
      </c>
      <c r="EL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34.7</v>
      </c>
      <c r="DQ234" t="n">
        <v>17.35</v>
      </c>
      <c r="DR234" t="n">
        <v>34.7</v>
      </c>
      <c r="DS234" t="n">
        <v>0</v>
      </c>
      <c r="DT234" t="n">
        <v>452</v>
      </c>
      <c r="DU234" t="n">
        <v>11.9</v>
      </c>
      <c r="DV234" t="inlineStr">
        <is>
          <t>flat</t>
        </is>
      </c>
      <c r="EF234" t="n">
        <v>62.7</v>
      </c>
      <c r="EG234" t="n">
        <v>50.2</v>
      </c>
      <c r="EH234" t="n">
        <v>40.1</v>
      </c>
      <c r="EI234" t="n">
        <v>769.3</v>
      </c>
      <c r="EJ234" t="n">
        <v>432.5</v>
      </c>
      <c r="EK234" t="n">
        <v>276.8</v>
      </c>
      <c r="EL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34.92</v>
      </c>
      <c r="DQ235" t="n">
        <v>17.68</v>
      </c>
      <c r="DR235" t="n">
        <v>35.36</v>
      </c>
      <c r="DS235" t="n">
        <v>-0.44</v>
      </c>
      <c r="DT235" t="n">
        <v>349</v>
      </c>
      <c r="DU235" t="n">
        <v>9.18</v>
      </c>
      <c r="DV235" t="inlineStr">
        <is>
          <t>flat</t>
        </is>
      </c>
      <c r="DW235" t="n">
        <v>53.59</v>
      </c>
      <c r="DX235" t="n">
        <v>55</v>
      </c>
      <c r="DY235" t="n">
        <v>30.78</v>
      </c>
      <c r="DZ235" t="n">
        <v>7.43</v>
      </c>
      <c r="EA235" t="n">
        <v>114.67</v>
      </c>
      <c r="EB235" t="n">
        <v>110</v>
      </c>
      <c r="EC235" t="n">
        <v>52.9</v>
      </c>
      <c r="ED235" t="n">
        <v>37.5</v>
      </c>
      <c r="EE235" t="n">
        <v>29</v>
      </c>
      <c r="EF235" t="n">
        <v>23</v>
      </c>
      <c r="EG235" t="n">
        <v>13</v>
      </c>
      <c r="EH235" t="n">
        <v>57.6</v>
      </c>
      <c r="EI235" t="n">
        <v>211.1</v>
      </c>
      <c r="EJ235" t="n">
        <v>477.1</v>
      </c>
      <c r="EK235" t="n">
        <v>146.4</v>
      </c>
      <c r="EL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107.74</v>
      </c>
      <c r="DQ236" t="n">
        <v>54.34</v>
      </c>
      <c r="DR236" t="n">
        <v>108.68</v>
      </c>
      <c r="DS236" t="n">
        <v>-0.9399999999999999</v>
      </c>
      <c r="DT236" t="n">
        <v>1949</v>
      </c>
      <c r="DU236" t="n">
        <v>51.3</v>
      </c>
      <c r="DV236" t="inlineStr">
        <is>
          <t>flat</t>
        </is>
      </c>
      <c r="DW236" t="n">
        <v>80.09</v>
      </c>
      <c r="DX236" t="n">
        <v>77.75</v>
      </c>
      <c r="DY236" t="n">
        <v>17.71</v>
      </c>
      <c r="DZ236" t="n">
        <v>41.6</v>
      </c>
      <c r="EA236" t="n">
        <v>112.89</v>
      </c>
      <c r="EB236" t="n">
        <v>37</v>
      </c>
      <c r="EC236" t="n">
        <v>17.8</v>
      </c>
      <c r="ED236" t="n">
        <v>9.800000000000001</v>
      </c>
      <c r="EE236" t="n">
        <v>97</v>
      </c>
      <c r="EF236" t="n">
        <v>38.2</v>
      </c>
      <c r="EG236" t="n">
        <v>11.3</v>
      </c>
      <c r="EH236" t="n">
        <v>43.5</v>
      </c>
      <c r="EI236" t="n">
        <v>334</v>
      </c>
      <c r="EJ236" t="n">
        <v>319.3</v>
      </c>
      <c r="EK236" t="n">
        <v>163.2</v>
      </c>
      <c r="EL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44.53</v>
      </c>
      <c r="DQ237" t="n">
        <v>24.12</v>
      </c>
      <c r="DR237" t="n">
        <v>48.24</v>
      </c>
      <c r="DS237" t="n">
        <v>-3.71</v>
      </c>
      <c r="DT237" t="n">
        <v>670</v>
      </c>
      <c r="DU237" t="n">
        <v>17.62</v>
      </c>
      <c r="DV237" t="inlineStr">
        <is>
          <t>fade (losing his place)</t>
        </is>
      </c>
      <c r="EF237" t="n">
        <v>46.9</v>
      </c>
      <c r="EG237" t="n">
        <v>46.9</v>
      </c>
      <c r="EH237" t="n">
        <v>84.40000000000001</v>
      </c>
      <c r="EI237" t="n">
        <v>483.3</v>
      </c>
      <c r="EJ237" t="n">
        <v>512.7</v>
      </c>
      <c r="EK237" t="n">
        <v>248.8</v>
      </c>
      <c r="EL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25.56</v>
      </c>
      <c r="DQ238" t="n">
        <v>12.78</v>
      </c>
      <c r="DR238" t="n">
        <v>25.56</v>
      </c>
      <c r="DS238" t="n">
        <v>0</v>
      </c>
      <c r="DT238" t="n">
        <v>502</v>
      </c>
      <c r="DU238" t="n">
        <v>13.22</v>
      </c>
      <c r="DV238" t="inlineStr">
        <is>
          <t>flat</t>
        </is>
      </c>
      <c r="EF238" t="n">
        <v>188.3</v>
      </c>
      <c r="EG238" t="n">
        <v>109.8</v>
      </c>
      <c r="EH238" t="n">
        <v>119.8</v>
      </c>
      <c r="EI238" t="n">
        <v>2154</v>
      </c>
      <c r="EJ238" t="n">
        <v>1120</v>
      </c>
      <c r="EK238" t="n">
        <v>736.9</v>
      </c>
      <c r="EL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34.2</v>
      </c>
      <c r="DQ239" t="n">
        <v>17.24</v>
      </c>
      <c r="DR239" t="n">
        <v>34.48</v>
      </c>
      <c r="DS239" t="n">
        <v>-0.28</v>
      </c>
      <c r="DT239" t="n">
        <v>718</v>
      </c>
      <c r="DU239" t="n">
        <v>18.9</v>
      </c>
      <c r="DV239" t="inlineStr">
        <is>
          <t>flat</t>
        </is>
      </c>
      <c r="DW239" t="n">
        <v>96.28</v>
      </c>
      <c r="DX239" t="n">
        <v>107.75</v>
      </c>
      <c r="DY239" t="n">
        <v>19.06</v>
      </c>
      <c r="DZ239" t="n">
        <v>54.86</v>
      </c>
      <c r="EA239" t="n">
        <v>120</v>
      </c>
      <c r="EB239" t="n">
        <v>38</v>
      </c>
      <c r="EC239" t="n">
        <v>18.3</v>
      </c>
      <c r="ED239" t="n">
        <v>2.6</v>
      </c>
      <c r="EE239" t="n">
        <v>421</v>
      </c>
      <c r="EF239" t="n">
        <v>116.5</v>
      </c>
      <c r="EG239" t="n">
        <v>41.6</v>
      </c>
      <c r="EH239" t="n">
        <v>58.2</v>
      </c>
      <c r="EI239" t="n">
        <v>1085.1</v>
      </c>
      <c r="EJ239" t="n">
        <v>800.8</v>
      </c>
      <c r="EK239" t="n">
        <v>460.8</v>
      </c>
      <c r="EL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137.16</v>
      </c>
      <c r="DQ240" t="n">
        <v>68.63</v>
      </c>
      <c r="DR240" t="n">
        <v>137.26</v>
      </c>
      <c r="DS240" t="n">
        <v>-0.1</v>
      </c>
      <c r="DT240" t="n">
        <v>3004</v>
      </c>
      <c r="DU240" t="n">
        <v>79.05</v>
      </c>
      <c r="DV240" t="inlineStr">
        <is>
          <t>flat</t>
        </is>
      </c>
      <c r="DW240" t="n">
        <v>99.3</v>
      </c>
      <c r="DX240" t="n">
        <v>93.33</v>
      </c>
      <c r="DY240" t="n">
        <v>15.74</v>
      </c>
      <c r="DZ240" t="n">
        <v>61</v>
      </c>
      <c r="EA240" t="n">
        <v>120</v>
      </c>
      <c r="EB240" t="n">
        <v>25</v>
      </c>
      <c r="EC240" t="n">
        <v>12</v>
      </c>
      <c r="ED240" t="n">
        <v>3.8</v>
      </c>
      <c r="EE240" t="n">
        <v>422</v>
      </c>
      <c r="EF240" t="n">
        <v>79.5</v>
      </c>
      <c r="EG240" t="n">
        <v>23.7</v>
      </c>
      <c r="EH240" t="n">
        <v>61.2</v>
      </c>
      <c r="EI240" t="n">
        <v>1242.4</v>
      </c>
      <c r="EJ240" t="n">
        <v>593.7</v>
      </c>
      <c r="EK240" t="n">
        <v>401.7</v>
      </c>
      <c r="EL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23.52</v>
      </c>
      <c r="DQ241" t="n">
        <v>11.76</v>
      </c>
      <c r="DR241" t="n">
        <v>23.52</v>
      </c>
      <c r="DS241" t="n">
        <v>0</v>
      </c>
      <c r="DT241" t="n">
        <v>445</v>
      </c>
      <c r="DU241" t="n">
        <v>11.7</v>
      </c>
      <c r="DV241" t="inlineStr">
        <is>
          <t>flat</t>
        </is>
      </c>
      <c r="EF241" t="n">
        <v>48.4</v>
      </c>
      <c r="EG241" t="n">
        <v>50.5</v>
      </c>
      <c r="EH241" t="n">
        <v>77.40000000000001</v>
      </c>
      <c r="EI241" t="n">
        <v>819.5</v>
      </c>
      <c r="EJ241" t="n">
        <v>636.3</v>
      </c>
      <c r="EK241" t="n">
        <v>358.2</v>
      </c>
      <c r="EL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18.81</v>
      </c>
      <c r="DQ242" t="n">
        <v>9.41</v>
      </c>
      <c r="DR242" t="n">
        <v>18.82</v>
      </c>
      <c r="DS242" t="n">
        <v>-0.01</v>
      </c>
      <c r="DT242" t="n">
        <v>386</v>
      </c>
      <c r="DU242" t="n">
        <v>10.16</v>
      </c>
      <c r="DV242" t="inlineStr">
        <is>
          <t>flat</t>
        </is>
      </c>
      <c r="DW242" t="n">
        <v>102.5</v>
      </c>
      <c r="DX242" t="n">
        <v>85</v>
      </c>
      <c r="DY242" t="n">
        <v>24.75</v>
      </c>
      <c r="DZ242" t="n">
        <v>85</v>
      </c>
      <c r="EA242" t="n">
        <v>120</v>
      </c>
      <c r="EB242" t="n">
        <v>2</v>
      </c>
      <c r="EC242" t="n">
        <v>1</v>
      </c>
      <c r="ED242" t="n">
        <v>60</v>
      </c>
      <c r="EE242" t="n">
        <v>281</v>
      </c>
      <c r="EF242" t="n">
        <v>268</v>
      </c>
      <c r="EG242" t="n">
        <v>111.7</v>
      </c>
      <c r="EH242" t="n">
        <v>670</v>
      </c>
      <c r="EI242" t="n">
        <v>836.1</v>
      </c>
      <c r="EJ242" t="n">
        <v>10997.6</v>
      </c>
      <c r="EK242" t="n">
        <v>777</v>
      </c>
      <c r="EL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37.93</v>
      </c>
      <c r="DQ243" t="n">
        <v>18.96</v>
      </c>
      <c r="DR243" t="n">
        <v>37.92</v>
      </c>
      <c r="DS243" t="n">
        <v>0.01</v>
      </c>
      <c r="DT243" t="n">
        <v>808</v>
      </c>
      <c r="DU243" t="n">
        <v>21.26</v>
      </c>
      <c r="DV243" t="inlineStr">
        <is>
          <t>flat</t>
        </is>
      </c>
      <c r="DW243" t="n">
        <v>99.94</v>
      </c>
      <c r="DY243" t="n">
        <v>17.31</v>
      </c>
      <c r="DZ243" t="n">
        <v>74.5</v>
      </c>
      <c r="EA243" t="n">
        <v>116.8</v>
      </c>
      <c r="EB243" t="n">
        <v>8</v>
      </c>
      <c r="EC243" t="n">
        <v>3.8</v>
      </c>
      <c r="ED243" t="n">
        <v>0</v>
      </c>
      <c r="EE243" t="n">
        <v>423</v>
      </c>
      <c r="EF243" t="n">
        <v>195.4</v>
      </c>
      <c r="EG243" t="n">
        <v>69.8</v>
      </c>
      <c r="EH243" t="n">
        <v>162.8</v>
      </c>
      <c r="EI243" t="n">
        <v>5051.6</v>
      </c>
      <c r="EJ243" t="n">
        <v>3492.5</v>
      </c>
      <c r="EK243" t="n">
        <v>2064.9</v>
      </c>
      <c r="EL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46.7</v>
      </c>
      <c r="DQ244" t="n">
        <v>23.67</v>
      </c>
      <c r="DR244" t="n">
        <v>47.34</v>
      </c>
      <c r="DS244" t="n">
        <v>-0.64</v>
      </c>
      <c r="DT244" t="n">
        <v>1236</v>
      </c>
      <c r="DU244" t="n">
        <v>32.52</v>
      </c>
      <c r="DV244" t="inlineStr">
        <is>
          <t>flat</t>
        </is>
      </c>
      <c r="DW244" t="n">
        <v>115.33</v>
      </c>
      <c r="DZ244" t="n">
        <v>115.33</v>
      </c>
      <c r="EA244" t="n">
        <v>115.33</v>
      </c>
      <c r="EB244" t="n">
        <v>1</v>
      </c>
      <c r="EC244" t="n">
        <v>0.5</v>
      </c>
      <c r="ED244" t="n">
        <v>0</v>
      </c>
      <c r="EE244" t="n">
        <v>424</v>
      </c>
      <c r="EF244" t="n">
        <v>264.4</v>
      </c>
      <c r="EG244" t="n">
        <v>94.40000000000001</v>
      </c>
      <c r="EH244" t="n">
        <v>330.5</v>
      </c>
      <c r="EI244" t="n">
        <v>8118.9</v>
      </c>
      <c r="EJ244" t="n">
        <v>3088.2</v>
      </c>
      <c r="EK244" t="n">
        <v>2237.2</v>
      </c>
      <c r="EL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130.12</v>
      </c>
      <c r="DQ245" t="n">
        <v>63.99</v>
      </c>
      <c r="DR245" t="n">
        <v>127.98</v>
      </c>
      <c r="DS245" t="n">
        <v>2.14</v>
      </c>
      <c r="DT245" t="n">
        <v>3089</v>
      </c>
      <c r="DU245" t="n">
        <v>81.3</v>
      </c>
      <c r="DV245" t="inlineStr">
        <is>
          <t>flat</t>
        </is>
      </c>
      <c r="DW245" t="n">
        <v>90.2</v>
      </c>
      <c r="DX245" t="n">
        <v>101.4</v>
      </c>
      <c r="DY245" t="n">
        <v>18.51</v>
      </c>
      <c r="DZ245" t="n">
        <v>34.67</v>
      </c>
      <c r="EA245" t="n">
        <v>114.86</v>
      </c>
      <c r="EB245" t="n">
        <v>23</v>
      </c>
      <c r="EC245" t="n">
        <v>11.1</v>
      </c>
      <c r="ED245" t="n">
        <v>8</v>
      </c>
      <c r="EE245" t="n">
        <v>282</v>
      </c>
      <c r="EF245" t="n">
        <v>245.8</v>
      </c>
      <c r="EG245" t="n">
        <v>245.8</v>
      </c>
      <c r="EH245" t="n">
        <v>245.8</v>
      </c>
      <c r="EI245" t="n">
        <v>9329.5</v>
      </c>
      <c r="EJ245" t="n">
        <v>2309.7</v>
      </c>
      <c r="EK245" t="n">
        <v>1851.4</v>
      </c>
      <c r="EL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30.96</v>
      </c>
      <c r="DQ246" t="n">
        <v>15.48</v>
      </c>
      <c r="DR246" t="n">
        <v>30.96</v>
      </c>
      <c r="DS246" t="n">
        <v>0</v>
      </c>
      <c r="DT246" t="n">
        <v>317</v>
      </c>
      <c r="DU246" t="n">
        <v>8.34</v>
      </c>
      <c r="DV246" t="inlineStr">
        <is>
          <t>flat</t>
        </is>
      </c>
      <c r="DW246" t="n">
        <v>96.01000000000001</v>
      </c>
      <c r="DX246" t="n">
        <v>99.5</v>
      </c>
      <c r="DY246" t="n">
        <v>17.32</v>
      </c>
      <c r="DZ246" t="n">
        <v>65.33</v>
      </c>
      <c r="EA246" t="n">
        <v>113.6</v>
      </c>
      <c r="EB246" t="n">
        <v>13</v>
      </c>
      <c r="EC246" t="n">
        <v>6.2</v>
      </c>
      <c r="ED246" t="n">
        <v>18.8</v>
      </c>
      <c r="EE246" t="n">
        <v>283</v>
      </c>
      <c r="EF246" t="n">
        <v>64.09999999999999</v>
      </c>
      <c r="EG246" t="n">
        <v>57.3</v>
      </c>
      <c r="EH246" t="n">
        <v>272.2</v>
      </c>
      <c r="EI246" t="n">
        <v>1126.6</v>
      </c>
      <c r="EJ246" t="n">
        <v>2855.7</v>
      </c>
      <c r="EK246" t="n">
        <v>807.9</v>
      </c>
      <c r="EL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61.94</v>
      </c>
      <c r="DQ247" t="n">
        <v>31.12</v>
      </c>
      <c r="DR247" t="n">
        <v>62.24</v>
      </c>
      <c r="DS247" t="n">
        <v>-0.3</v>
      </c>
      <c r="DT247" t="n">
        <v>1493</v>
      </c>
      <c r="DU247" t="n">
        <v>39.3</v>
      </c>
      <c r="DV247" t="inlineStr">
        <is>
          <t>flat</t>
        </is>
      </c>
      <c r="DW247" t="n">
        <v>93</v>
      </c>
      <c r="DY247" t="n">
        <v>9.9</v>
      </c>
      <c r="DZ247" t="n">
        <v>86</v>
      </c>
      <c r="EA247" t="n">
        <v>100</v>
      </c>
      <c r="EB247" t="n">
        <v>2</v>
      </c>
      <c r="EC247" t="n">
        <v>1</v>
      </c>
      <c r="ED247" t="n">
        <v>0</v>
      </c>
      <c r="EE247" t="n">
        <v>425</v>
      </c>
      <c r="EF247" t="n">
        <v>146.9</v>
      </c>
      <c r="EG247" t="n">
        <v>63</v>
      </c>
      <c r="EH247" t="n">
        <v>264.4</v>
      </c>
      <c r="EI247" t="n">
        <v>947</v>
      </c>
      <c r="EJ247" t="n">
        <v>2341.2</v>
      </c>
      <c r="EK247" t="n">
        <v>674.2</v>
      </c>
      <c r="EL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112.92</v>
      </c>
      <c r="DQ248" t="n">
        <v>56.46</v>
      </c>
      <c r="DR248" t="n">
        <v>112.92</v>
      </c>
      <c r="DS248" t="n">
        <v>0</v>
      </c>
      <c r="DT248" t="n">
        <v>2417</v>
      </c>
      <c r="DU248" t="n">
        <v>63.6</v>
      </c>
      <c r="DV248" t="inlineStr">
        <is>
          <t>flat</t>
        </is>
      </c>
      <c r="DW248" t="n">
        <v>95.44</v>
      </c>
      <c r="DY248" t="n">
        <v>18.07</v>
      </c>
      <c r="DZ248" t="n">
        <v>69.09</v>
      </c>
      <c r="EA248" t="n">
        <v>117.33</v>
      </c>
      <c r="EB248" t="n">
        <v>7</v>
      </c>
      <c r="EC248" t="n">
        <v>3.4</v>
      </c>
      <c r="ED248" t="n">
        <v>22.2</v>
      </c>
      <c r="EE248" t="n">
        <v>167</v>
      </c>
      <c r="EF248" t="n">
        <v>77.8</v>
      </c>
      <c r="EG248" t="n">
        <v>22.4</v>
      </c>
      <c r="EH248" t="n">
        <v>83.40000000000001</v>
      </c>
      <c r="EI248" t="n">
        <v>1050.2</v>
      </c>
      <c r="EJ248" t="n">
        <v>762</v>
      </c>
      <c r="EK248" t="n">
        <v>441.6</v>
      </c>
      <c r="EL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inlineStr">
        <is>
          <t>flat</t>
        </is>
      </c>
      <c r="EF249" t="n">
        <v>250.8</v>
      </c>
      <c r="EG249" t="n">
        <v>125.4</v>
      </c>
      <c r="EH249" t="n">
        <v>1254</v>
      </c>
      <c r="EI249" t="n">
        <v>1150.1</v>
      </c>
      <c r="EJ249" t="n">
        <v>46526.6</v>
      </c>
      <c r="EK249" t="n">
        <v>1122.3</v>
      </c>
      <c r="EL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28.76</v>
      </c>
      <c r="DQ250" t="n">
        <v>15.7</v>
      </c>
      <c r="DR250" t="n">
        <v>31.4</v>
      </c>
      <c r="DS250" t="n">
        <v>-2.64</v>
      </c>
      <c r="DT250" t="n">
        <v>277</v>
      </c>
      <c r="DU250" t="n">
        <v>7.29</v>
      </c>
      <c r="DV250" t="inlineStr">
        <is>
          <t>flat</t>
        </is>
      </c>
      <c r="DW250" t="n">
        <v>91.43000000000001</v>
      </c>
      <c r="DZ250" t="n">
        <v>91.43000000000001</v>
      </c>
      <c r="EA250" t="n">
        <v>91.43000000000001</v>
      </c>
      <c r="EB250" t="n">
        <v>1</v>
      </c>
      <c r="EC250" t="n">
        <v>0.5</v>
      </c>
      <c r="ED250" t="n">
        <v>50</v>
      </c>
      <c r="EE250" t="n">
        <v>169</v>
      </c>
      <c r="EF250" t="n">
        <v>79.59999999999999</v>
      </c>
      <c r="EG250" t="n">
        <v>31.8</v>
      </c>
      <c r="EH250" t="n">
        <v>191</v>
      </c>
      <c r="EI250" t="n">
        <v>716.9</v>
      </c>
      <c r="EJ250" t="n">
        <v>2646.8</v>
      </c>
      <c r="EK250" t="n">
        <v>564.1</v>
      </c>
      <c r="EL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111.04</v>
      </c>
      <c r="DQ251" t="n">
        <v>55.55</v>
      </c>
      <c r="DR251" t="n">
        <v>111.1</v>
      </c>
      <c r="DS251" t="n">
        <v>-0.06</v>
      </c>
      <c r="DT251" t="n">
        <v>2519</v>
      </c>
      <c r="DU251" t="n">
        <v>66.3</v>
      </c>
      <c r="DV251" t="inlineStr">
        <is>
          <t>flat</t>
        </is>
      </c>
      <c r="DW251" t="n">
        <v>90.56</v>
      </c>
      <c r="DY251" t="n">
        <v>12.53</v>
      </c>
      <c r="DZ251" t="n">
        <v>80.56999999999999</v>
      </c>
      <c r="EA251" t="n">
        <v>104.62</v>
      </c>
      <c r="EB251" t="n">
        <v>3</v>
      </c>
      <c r="EC251" t="n">
        <v>1.4</v>
      </c>
      <c r="ED251" t="n">
        <v>25</v>
      </c>
      <c r="EE251" t="n">
        <v>168</v>
      </c>
      <c r="EF251" t="n">
        <v>41.2</v>
      </c>
      <c r="EG251" t="n">
        <v>16.9</v>
      </c>
      <c r="EH251" t="n">
        <v>73.59999999999999</v>
      </c>
      <c r="EI251" t="n">
        <v>809.7</v>
      </c>
      <c r="EJ251" t="n">
        <v>760</v>
      </c>
      <c r="EK251" t="n">
        <v>392.1</v>
      </c>
      <c r="EL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37.78</v>
      </c>
      <c r="DQ252" t="n">
        <v>18.89</v>
      </c>
      <c r="DR252" t="n">
        <v>37.78</v>
      </c>
      <c r="DS252" t="n">
        <v>0</v>
      </c>
      <c r="DT252" t="n">
        <v>752</v>
      </c>
      <c r="DU252" t="n">
        <v>19.8</v>
      </c>
      <c r="DV252" t="inlineStr">
        <is>
          <t>flat</t>
        </is>
      </c>
      <c r="EF252" t="n">
        <v>64.90000000000001</v>
      </c>
      <c r="EG252" t="n">
        <v>68.7</v>
      </c>
      <c r="EH252" t="n">
        <v>106.2</v>
      </c>
      <c r="EI252" t="n">
        <v>941</v>
      </c>
      <c r="EJ252" t="n">
        <v>1139.6</v>
      </c>
      <c r="EK252" t="n">
        <v>515.4</v>
      </c>
      <c r="EL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67.38</v>
      </c>
      <c r="DQ253" t="n">
        <v>33.7</v>
      </c>
      <c r="DR253" t="n">
        <v>67.40000000000001</v>
      </c>
      <c r="DS253" t="n">
        <v>-0.02</v>
      </c>
      <c r="DT253" t="n">
        <v>1345</v>
      </c>
      <c r="DU253" t="n">
        <v>35.4</v>
      </c>
      <c r="DV253" t="inlineStr">
        <is>
          <t>flat</t>
        </is>
      </c>
      <c r="DW253" t="n">
        <v>83.01000000000001</v>
      </c>
      <c r="DX253" t="n">
        <v>99.5</v>
      </c>
      <c r="DY253" t="n">
        <v>18.63</v>
      </c>
      <c r="DZ253" t="n">
        <v>46</v>
      </c>
      <c r="EA253" t="n">
        <v>108.67</v>
      </c>
      <c r="EB253" t="n">
        <v>27</v>
      </c>
      <c r="EC253" t="n">
        <v>13</v>
      </c>
      <c r="ED253" t="n">
        <v>0</v>
      </c>
      <c r="EE253" t="n">
        <v>98</v>
      </c>
      <c r="EF253" t="n">
        <v>76.59999999999999</v>
      </c>
      <c r="EG253" t="n">
        <v>22.1</v>
      </c>
      <c r="EH253" t="n">
        <v>86.8</v>
      </c>
      <c r="EI253" t="n">
        <v>839.1</v>
      </c>
      <c r="EJ253" t="n">
        <v>746.2</v>
      </c>
      <c r="EK253" t="n">
        <v>395</v>
      </c>
      <c r="EL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36.68</v>
      </c>
      <c r="DQ254" t="n">
        <v>18.42</v>
      </c>
      <c r="DR254" t="n">
        <v>36.84</v>
      </c>
      <c r="DS254" t="n">
        <v>-0.16</v>
      </c>
      <c r="DT254" t="n">
        <v>406</v>
      </c>
      <c r="DU254" t="n">
        <v>10.69</v>
      </c>
      <c r="DV254" t="inlineStr">
        <is>
          <t>flat</t>
        </is>
      </c>
      <c r="EF254" t="n">
        <v>39.1</v>
      </c>
      <c r="EG254" t="n">
        <v>36.2</v>
      </c>
      <c r="EH254" t="n">
        <v>88.90000000000001</v>
      </c>
      <c r="EI254" t="n">
        <v>543.2</v>
      </c>
      <c r="EJ254" t="n">
        <v>811.8</v>
      </c>
      <c r="EK254" t="n">
        <v>325.4</v>
      </c>
      <c r="EL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117.06</v>
      </c>
      <c r="DQ255" t="n">
        <v>58.53</v>
      </c>
      <c r="DR255" t="n">
        <v>117.06</v>
      </c>
      <c r="DS255" t="n">
        <v>0</v>
      </c>
      <c r="DT255" t="n">
        <v>2861</v>
      </c>
      <c r="DU255" t="n">
        <v>75.3</v>
      </c>
      <c r="DV255" t="inlineStr">
        <is>
          <t>flat</t>
        </is>
      </c>
      <c r="DW255" t="n">
        <v>85.81</v>
      </c>
      <c r="DX255" t="n">
        <v>57</v>
      </c>
      <c r="DY255" t="n">
        <v>19.47</v>
      </c>
      <c r="DZ255" t="n">
        <v>57</v>
      </c>
      <c r="EA255" t="n">
        <v>113.6</v>
      </c>
      <c r="EB255" t="n">
        <v>8</v>
      </c>
      <c r="EC255" t="n">
        <v>3.8</v>
      </c>
      <c r="ED255" t="n">
        <v>11.1</v>
      </c>
      <c r="EE255" t="n">
        <v>286</v>
      </c>
      <c r="EF255" t="n">
        <v>113.4</v>
      </c>
      <c r="EG255" t="n">
        <v>62.4</v>
      </c>
      <c r="EH255" t="n">
        <v>155.9</v>
      </c>
      <c r="EI255" t="n">
        <v>547.5</v>
      </c>
      <c r="EJ255" t="n">
        <v>1590.2</v>
      </c>
      <c r="EK255" t="n">
        <v>407.3</v>
      </c>
      <c r="EL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8.48</v>
      </c>
      <c r="DQ256" t="n">
        <v>4.24</v>
      </c>
      <c r="DR256" t="n">
        <v>8.48</v>
      </c>
      <c r="DS256" t="n">
        <v>0</v>
      </c>
      <c r="DT256" t="n">
        <v>130</v>
      </c>
      <c r="DU256" t="n">
        <v>3.41</v>
      </c>
      <c r="DV256" t="inlineStr">
        <is>
          <t>flat</t>
        </is>
      </c>
      <c r="DW256" t="n">
        <v>98.37</v>
      </c>
      <c r="DX256" t="n">
        <v>119</v>
      </c>
      <c r="DY256" t="n">
        <v>14.25</v>
      </c>
      <c r="DZ256" t="n">
        <v>78.86</v>
      </c>
      <c r="EA256" t="n">
        <v>119</v>
      </c>
      <c r="EB256" t="n">
        <v>7</v>
      </c>
      <c r="EC256" t="n">
        <v>3.4</v>
      </c>
      <c r="ED256" t="n">
        <v>12.5</v>
      </c>
      <c r="EE256" t="n">
        <v>287</v>
      </c>
      <c r="EF256" t="n">
        <v>1275</v>
      </c>
      <c r="EG256" t="n">
        <v>127.5</v>
      </c>
      <c r="EH256" t="n">
        <v>425</v>
      </c>
      <c r="EI256" t="n">
        <v>75292.89999999999</v>
      </c>
      <c r="EJ256" t="n">
        <v>9287.4</v>
      </c>
      <c r="EK256" t="n">
        <v>8267.6</v>
      </c>
      <c r="EL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33.37</v>
      </c>
      <c r="DQ257" t="n">
        <v>15.07</v>
      </c>
      <c r="DR257" t="n">
        <v>30.14</v>
      </c>
      <c r="DS257" t="n">
        <v>3.23</v>
      </c>
      <c r="DT257" t="n">
        <v>419</v>
      </c>
      <c r="DU257" t="n">
        <v>11.02</v>
      </c>
      <c r="DV257" t="inlineStr">
        <is>
          <t>flat</t>
        </is>
      </c>
      <c r="EF257" t="n">
        <v>44.2</v>
      </c>
      <c r="EG257" t="n">
        <v>23.7</v>
      </c>
      <c r="EH257" t="n">
        <v>48.6</v>
      </c>
      <c r="EI257" t="n">
        <v>443.8</v>
      </c>
      <c r="EJ257" t="n">
        <v>614.7</v>
      </c>
      <c r="EK257" t="n">
        <v>257.7</v>
      </c>
      <c r="EL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20.35</v>
      </c>
      <c r="DQ258" t="n">
        <v>10.56</v>
      </c>
      <c r="DR258" t="n">
        <v>21.12</v>
      </c>
      <c r="DS258" t="n">
        <v>-0.77</v>
      </c>
      <c r="DT258" t="n">
        <v>21</v>
      </c>
      <c r="DU258" t="n">
        <v>0.54</v>
      </c>
      <c r="DV258" t="inlineStr">
        <is>
          <t>flat</t>
        </is>
      </c>
      <c r="DW258" t="n">
        <v>92.06</v>
      </c>
      <c r="DX258" t="n">
        <v>74</v>
      </c>
      <c r="DY258" t="n">
        <v>28.08</v>
      </c>
      <c r="DZ258" t="n">
        <v>25.33</v>
      </c>
      <c r="EA258" t="n">
        <v>119.33</v>
      </c>
      <c r="EB258" t="n">
        <v>39</v>
      </c>
      <c r="EC258" t="n">
        <v>18.8</v>
      </c>
      <c r="ED258" t="n">
        <v>7.1</v>
      </c>
      <c r="EE258" t="n">
        <v>172</v>
      </c>
      <c r="EF258" t="n">
        <v>30.3</v>
      </c>
      <c r="EG258" t="n">
        <v>16.5</v>
      </c>
      <c r="EH258" t="n">
        <v>364</v>
      </c>
      <c r="EI258" t="n">
        <v>228.2</v>
      </c>
      <c r="EJ258" t="n">
        <v>5470.2</v>
      </c>
      <c r="EK258" t="n">
        <v>219.1</v>
      </c>
      <c r="EL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55</v>
      </c>
      <c r="DQ259" t="n">
        <v>27.5</v>
      </c>
      <c r="DR259" t="n">
        <v>55</v>
      </c>
      <c r="DS259" t="n">
        <v>0</v>
      </c>
      <c r="DT259" t="n">
        <v>1510</v>
      </c>
      <c r="DU259" t="n">
        <v>39.75</v>
      </c>
      <c r="DV259" t="inlineStr">
        <is>
          <t>flat</t>
        </is>
      </c>
      <c r="EF259" t="n">
        <v>91.8</v>
      </c>
      <c r="EG259" t="n">
        <v>55.7</v>
      </c>
      <c r="EH259" t="n">
        <v>74.3</v>
      </c>
      <c r="EI259" t="n">
        <v>1304.8</v>
      </c>
      <c r="EJ259" t="n">
        <v>806.9</v>
      </c>
      <c r="EK259" t="n">
        <v>498.6</v>
      </c>
      <c r="EL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20.77</v>
      </c>
      <c r="DQ260" t="n">
        <v>13.02</v>
      </c>
      <c r="DR260" t="n">
        <v>26.04</v>
      </c>
      <c r="DS260" t="n">
        <v>-5.27</v>
      </c>
      <c r="DT260" t="n">
        <v>287</v>
      </c>
      <c r="DU260" t="n">
        <v>7.54</v>
      </c>
      <c r="DV260" t="inlineStr">
        <is>
          <t>fade (losing his place)</t>
        </is>
      </c>
      <c r="DW260" t="n">
        <v>86.29000000000001</v>
      </c>
      <c r="DX260" t="n">
        <v>89.42</v>
      </c>
      <c r="DY260" t="n">
        <v>20.17</v>
      </c>
      <c r="DZ260" t="n">
        <v>41</v>
      </c>
      <c r="EA260" t="n">
        <v>120</v>
      </c>
      <c r="EB260" t="n">
        <v>99</v>
      </c>
      <c r="EC260" t="n">
        <v>47.6</v>
      </c>
      <c r="ED260" t="n">
        <v>27.7</v>
      </c>
      <c r="EE260" t="n">
        <v>171</v>
      </c>
      <c r="EF260" t="n">
        <v>139.8</v>
      </c>
      <c r="EG260" t="n">
        <v>43.7</v>
      </c>
      <c r="EH260" t="n">
        <v>87.40000000000001</v>
      </c>
      <c r="EI260" t="n">
        <v>1907.4</v>
      </c>
      <c r="EJ260" t="n">
        <v>621.9</v>
      </c>
      <c r="EK260" t="n">
        <v>469</v>
      </c>
      <c r="EL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88.93000000000001</v>
      </c>
      <c r="DQ261" t="n">
        <v>46.96</v>
      </c>
      <c r="DR261" t="n">
        <v>93.92</v>
      </c>
      <c r="DS261" t="n">
        <v>-4.99</v>
      </c>
      <c r="DT261" t="n">
        <v>1858</v>
      </c>
      <c r="DU261" t="n">
        <v>48.9</v>
      </c>
      <c r="DV261" t="inlineStr">
        <is>
          <t>fade (losing his place)</t>
        </is>
      </c>
      <c r="DW261" t="n">
        <v>65.33</v>
      </c>
      <c r="DY261" t="n">
        <v>12.22</v>
      </c>
      <c r="DZ261" t="n">
        <v>52</v>
      </c>
      <c r="EA261" t="n">
        <v>76</v>
      </c>
      <c r="EB261" t="n">
        <v>3</v>
      </c>
      <c r="EC261" t="n">
        <v>1.4</v>
      </c>
      <c r="ED261" t="n">
        <v>0</v>
      </c>
      <c r="EE261" t="n">
        <v>174</v>
      </c>
      <c r="EF261" t="n">
        <v>107.5</v>
      </c>
      <c r="EG261" t="n">
        <v>33.8</v>
      </c>
      <c r="EH261" t="n">
        <v>91</v>
      </c>
      <c r="EI261" t="n">
        <v>862.7</v>
      </c>
      <c r="EJ261" t="n">
        <v>1521.4</v>
      </c>
      <c r="EK261" t="n">
        <v>550.5</v>
      </c>
      <c r="EL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48.9</v>
      </c>
      <c r="DQ262" t="n">
        <v>24.45</v>
      </c>
      <c r="DR262" t="n">
        <v>48.9</v>
      </c>
      <c r="DS262" t="n">
        <v>0</v>
      </c>
      <c r="DT262" t="n">
        <v>832</v>
      </c>
      <c r="DU262" t="n">
        <v>21.89</v>
      </c>
      <c r="DV262" t="inlineStr">
        <is>
          <t>flat</t>
        </is>
      </c>
      <c r="DW262" t="n">
        <v>90.67</v>
      </c>
      <c r="DZ262" t="n">
        <v>90.67</v>
      </c>
      <c r="EA262" t="n">
        <v>90.67</v>
      </c>
      <c r="EB262" t="n">
        <v>1</v>
      </c>
      <c r="EC262" t="n">
        <v>0.5</v>
      </c>
      <c r="ED262" t="n">
        <v>0</v>
      </c>
      <c r="EE262" t="n">
        <v>173</v>
      </c>
      <c r="EF262" t="n">
        <v>82.59999999999999</v>
      </c>
      <c r="EG262" t="n">
        <v>22.7</v>
      </c>
      <c r="EH262" t="n">
        <v>181.8</v>
      </c>
      <c r="EI262" t="n">
        <v>532.5</v>
      </c>
      <c r="EJ262" t="n">
        <v>870.8</v>
      </c>
      <c r="EK262" t="n">
        <v>330.4</v>
      </c>
      <c r="EL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37.88</v>
      </c>
      <c r="DQ263" t="n">
        <v>19.23</v>
      </c>
      <c r="DR263" t="n">
        <v>38.46</v>
      </c>
      <c r="DS263" t="n">
        <v>-0.58</v>
      </c>
      <c r="DT263" t="n">
        <v>419</v>
      </c>
      <c r="DU263" t="n">
        <v>11.03</v>
      </c>
      <c r="DV263" t="inlineStr">
        <is>
          <t>flat</t>
        </is>
      </c>
      <c r="DW263" t="n">
        <v>77.83</v>
      </c>
      <c r="DX263" t="n">
        <v>86.5</v>
      </c>
      <c r="DY263" t="n">
        <v>23.94</v>
      </c>
      <c r="DZ263" t="n">
        <v>34.29</v>
      </c>
      <c r="EA263" t="n">
        <v>119.2</v>
      </c>
      <c r="EB263" t="n">
        <v>37</v>
      </c>
      <c r="EC263" t="n">
        <v>17.8</v>
      </c>
      <c r="ED263" t="n">
        <v>21.3</v>
      </c>
      <c r="EE263" t="n">
        <v>50</v>
      </c>
      <c r="EF263" t="n">
        <v>40.8</v>
      </c>
      <c r="EG263" t="n">
        <v>10.3</v>
      </c>
      <c r="EH263" t="n">
        <v>90.8</v>
      </c>
      <c r="EI263" t="n">
        <v>283.2</v>
      </c>
      <c r="EJ263" t="n">
        <v>648.1</v>
      </c>
      <c r="EK263" t="n">
        <v>197.1</v>
      </c>
      <c r="EL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123.4</v>
      </c>
      <c r="DQ264" t="n">
        <v>61.99</v>
      </c>
      <c r="DR264" t="n">
        <v>123.98</v>
      </c>
      <c r="DS264" t="n">
        <v>-0.58</v>
      </c>
      <c r="DT264" t="n">
        <v>2269</v>
      </c>
      <c r="DU264" t="n">
        <v>59.7</v>
      </c>
      <c r="DV264" t="inlineStr">
        <is>
          <t>flat</t>
        </is>
      </c>
      <c r="DW264" t="n">
        <v>78.09999999999999</v>
      </c>
      <c r="DX264" t="n">
        <v>80.20999999999999</v>
      </c>
      <c r="DY264" t="n">
        <v>23.8</v>
      </c>
      <c r="DZ264" t="n">
        <v>11</v>
      </c>
      <c r="EA264" t="n">
        <v>119.33</v>
      </c>
      <c r="EB264" t="n">
        <v>72</v>
      </c>
      <c r="EC264" t="n">
        <v>34.6</v>
      </c>
      <c r="ED264" t="n">
        <v>4</v>
      </c>
      <c r="EE264" t="n">
        <v>99</v>
      </c>
      <c r="EF264" t="n">
        <v>34.2</v>
      </c>
      <c r="EG264" t="n">
        <v>10.3</v>
      </c>
      <c r="EH264" t="n">
        <v>34.2</v>
      </c>
      <c r="EI264" t="n">
        <v>427.1</v>
      </c>
      <c r="EJ264" t="n">
        <v>264.5</v>
      </c>
      <c r="EK264" t="n">
        <v>163.3</v>
      </c>
      <c r="EL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17.78</v>
      </c>
      <c r="DQ265" t="n">
        <v>8.890000000000001</v>
      </c>
      <c r="DR265" t="n">
        <v>17.78</v>
      </c>
      <c r="DS265" t="n">
        <v>0</v>
      </c>
      <c r="DT265" t="n">
        <v>72</v>
      </c>
      <c r="DU265" t="n">
        <v>1.89</v>
      </c>
      <c r="DV265" t="inlineStr">
        <is>
          <t>flat</t>
        </is>
      </c>
      <c r="DW265" t="n">
        <v>90.78</v>
      </c>
      <c r="DX265" t="n">
        <v>56.5</v>
      </c>
      <c r="DY265" t="n">
        <v>22.77</v>
      </c>
      <c r="DZ265" t="n">
        <v>46.29</v>
      </c>
      <c r="EA265" t="n">
        <v>116</v>
      </c>
      <c r="EB265" t="n">
        <v>20</v>
      </c>
      <c r="EC265" t="n">
        <v>9.6</v>
      </c>
      <c r="ED265" t="n">
        <v>9.1</v>
      </c>
      <c r="EE265" t="n">
        <v>175</v>
      </c>
      <c r="EF265" t="n">
        <v>32</v>
      </c>
      <c r="EG265" t="n">
        <v>19.2</v>
      </c>
      <c r="EH265" t="n">
        <v>80</v>
      </c>
      <c r="EI265" t="n">
        <v>119.6</v>
      </c>
      <c r="EJ265" t="n">
        <v>459.4</v>
      </c>
      <c r="EK265" t="n">
        <v>94.90000000000001</v>
      </c>
      <c r="EL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41.46</v>
      </c>
      <c r="DQ266" t="n">
        <v>17.73</v>
      </c>
      <c r="DR266" t="n">
        <v>35.46</v>
      </c>
      <c r="DS266" t="n">
        <v>6</v>
      </c>
      <c r="DT266" t="n">
        <v>1026</v>
      </c>
      <c r="DU266" t="n">
        <v>27</v>
      </c>
      <c r="DV266" t="inlineStr">
        <is>
          <t>flat</t>
        </is>
      </c>
      <c r="DW266" t="n">
        <v>109</v>
      </c>
      <c r="DZ266" t="n">
        <v>109</v>
      </c>
      <c r="EA266" t="n">
        <v>109</v>
      </c>
      <c r="EB266" t="n">
        <v>1</v>
      </c>
      <c r="EC266" t="n">
        <v>0.5</v>
      </c>
      <c r="ED266" t="n">
        <v>0</v>
      </c>
      <c r="EE266" t="n">
        <v>288</v>
      </c>
      <c r="EF266" t="n">
        <v>106.4</v>
      </c>
      <c r="EG266" t="n">
        <v>65</v>
      </c>
      <c r="EH266" t="n">
        <v>390</v>
      </c>
      <c r="EI266" t="n">
        <v>865.6</v>
      </c>
      <c r="EJ266" t="n">
        <v>1859.8</v>
      </c>
      <c r="EK266" t="n">
        <v>590.7</v>
      </c>
      <c r="EL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P267" t="n">
        <v>1.46</v>
      </c>
      <c r="DQ267" t="n">
        <v>0.73</v>
      </c>
      <c r="DR267" t="n">
        <v>1.46</v>
      </c>
      <c r="DS267" t="n">
        <v>0</v>
      </c>
      <c r="DT267" t="n">
        <v>35</v>
      </c>
      <c r="DU267" t="n">
        <v>0.91</v>
      </c>
      <c r="DV267" t="inlineStr">
        <is>
          <t>flat</t>
        </is>
      </c>
      <c r="DW267" t="n">
        <v>113.92</v>
      </c>
      <c r="DY267" t="n">
        <v>7.65</v>
      </c>
      <c r="DZ267" t="n">
        <v>89</v>
      </c>
      <c r="EA267" t="n">
        <v>120</v>
      </c>
      <c r="EB267" t="n">
        <v>18</v>
      </c>
      <c r="EC267" t="n">
        <v>8.699999999999999</v>
      </c>
      <c r="ED267" t="n">
        <v>5.3</v>
      </c>
      <c r="EE267" t="n">
        <v>427</v>
      </c>
      <c r="EL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115.22</v>
      </c>
      <c r="DQ268" t="n">
        <v>57.63</v>
      </c>
      <c r="DR268" t="n">
        <v>115.26</v>
      </c>
      <c r="DS268" t="n">
        <v>-0.04</v>
      </c>
      <c r="DT268" t="n">
        <v>2645</v>
      </c>
      <c r="DU268" t="n">
        <v>69.59999999999999</v>
      </c>
      <c r="DV268" t="inlineStr">
        <is>
          <t>flat</t>
        </is>
      </c>
      <c r="DW268" t="n">
        <v>84.36</v>
      </c>
      <c r="DX268" t="n">
        <v>102</v>
      </c>
      <c r="DY268" t="n">
        <v>26.2</v>
      </c>
      <c r="DZ268" t="n">
        <v>37.6</v>
      </c>
      <c r="EA268" t="n">
        <v>115.2</v>
      </c>
      <c r="EB268" t="n">
        <v>11</v>
      </c>
      <c r="EC268" t="n">
        <v>5.3</v>
      </c>
      <c r="ED268" t="n">
        <v>8.300000000000001</v>
      </c>
      <c r="EE268" t="n">
        <v>176</v>
      </c>
      <c r="EF268" t="n">
        <v>85.8</v>
      </c>
      <c r="EG268" t="n">
        <v>14.9</v>
      </c>
      <c r="EH268" t="n">
        <v>46.8</v>
      </c>
      <c r="EI268" t="n">
        <v>710.6</v>
      </c>
      <c r="EJ268" t="n">
        <v>500.4</v>
      </c>
      <c r="EK268" t="n">
        <v>293.6</v>
      </c>
      <c r="EL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19.29</v>
      </c>
      <c r="DQ269" t="n">
        <v>11.82</v>
      </c>
      <c r="DR269" t="n">
        <v>23.64</v>
      </c>
      <c r="DS269" t="n">
        <v>-4.35</v>
      </c>
      <c r="DT269" t="n">
        <v>176</v>
      </c>
      <c r="DU269" t="n">
        <v>4.63</v>
      </c>
      <c r="DV269" t="inlineStr">
        <is>
          <t>fade (losing his place)</t>
        </is>
      </c>
      <c r="DW269" t="n">
        <v>96.34</v>
      </c>
      <c r="DY269" t="n">
        <v>5.62</v>
      </c>
      <c r="DZ269" t="n">
        <v>91.43000000000001</v>
      </c>
      <c r="EA269" t="n">
        <v>105.33</v>
      </c>
      <c r="EB269" t="n">
        <v>5</v>
      </c>
      <c r="EC269" t="n">
        <v>2.4</v>
      </c>
      <c r="ED269" t="n">
        <v>0</v>
      </c>
      <c r="EE269" t="n">
        <v>428</v>
      </c>
      <c r="EF269" t="n">
        <v>306.7</v>
      </c>
      <c r="EG269" t="n">
        <v>115</v>
      </c>
      <c r="EH269" t="n">
        <v>460</v>
      </c>
      <c r="EI269" t="n">
        <v>3315</v>
      </c>
      <c r="EJ269" t="n">
        <v>3373.2</v>
      </c>
      <c r="EK269" t="n">
        <v>1671.9</v>
      </c>
      <c r="EL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50.67</v>
      </c>
      <c r="DQ270" t="n">
        <v>21.31</v>
      </c>
      <c r="DR270" t="n">
        <v>42.62</v>
      </c>
      <c r="DS270" t="n">
        <v>8.050000000000001</v>
      </c>
      <c r="DT270" t="n">
        <v>1328</v>
      </c>
      <c r="DU270" t="n">
        <v>34.95</v>
      </c>
      <c r="DV270" t="inlineStr">
        <is>
          <t>ramp-up (injury / late WC return)</t>
        </is>
      </c>
      <c r="DW270" t="n">
        <v>78.5</v>
      </c>
      <c r="DZ270" t="n">
        <v>78.5</v>
      </c>
      <c r="EA270" t="n">
        <v>78.5</v>
      </c>
      <c r="EB270" t="n">
        <v>1</v>
      </c>
      <c r="EC270" t="n">
        <v>0.5</v>
      </c>
      <c r="ED270" t="n">
        <v>50</v>
      </c>
      <c r="EE270" t="n">
        <v>289</v>
      </c>
      <c r="EF270" t="n">
        <v>154.7</v>
      </c>
      <c r="EG270" t="n">
        <v>33.1</v>
      </c>
      <c r="EH270" t="n">
        <v>232</v>
      </c>
      <c r="EI270" t="n">
        <v>4642</v>
      </c>
      <c r="EJ270" t="n">
        <v>912.6</v>
      </c>
      <c r="EK270" t="n">
        <v>762.7</v>
      </c>
      <c r="EL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12.84</v>
      </c>
      <c r="DQ271" t="n">
        <v>6.57</v>
      </c>
      <c r="DR271" t="n">
        <v>13.14</v>
      </c>
      <c r="DS271" t="n">
        <v>-0.3</v>
      </c>
      <c r="DT271" t="n">
        <v>59</v>
      </c>
      <c r="DU271" t="n">
        <v>1.55</v>
      </c>
      <c r="DV271" t="inlineStr">
        <is>
          <t>flat</t>
        </is>
      </c>
      <c r="DW271" t="n">
        <v>90.76000000000001</v>
      </c>
      <c r="DX271" t="n">
        <v>102.5</v>
      </c>
      <c r="DY271" t="n">
        <v>24.48</v>
      </c>
      <c r="DZ271" t="n">
        <v>20.5</v>
      </c>
      <c r="EA271" t="n">
        <v>117.71</v>
      </c>
      <c r="EB271" t="n">
        <v>18</v>
      </c>
      <c r="EC271" t="n">
        <v>8.699999999999999</v>
      </c>
      <c r="ED271" t="n">
        <v>5.3</v>
      </c>
      <c r="EE271" t="n">
        <v>177</v>
      </c>
      <c r="EF271" t="n">
        <v>24.3</v>
      </c>
      <c r="EG271" t="n">
        <v>12.6</v>
      </c>
      <c r="EH271" t="n">
        <v>55.2</v>
      </c>
      <c r="EI271" t="n">
        <v>184.3</v>
      </c>
      <c r="EJ271" t="n">
        <v>780.1</v>
      </c>
      <c r="EK271" t="n">
        <v>149.1</v>
      </c>
      <c r="EL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65.56</v>
      </c>
      <c r="DQ272" t="n">
        <v>41.25</v>
      </c>
      <c r="DR272" t="n">
        <v>82.5</v>
      </c>
      <c r="DS272" t="n">
        <v>-16.94</v>
      </c>
      <c r="DT272" t="n">
        <v>935</v>
      </c>
      <c r="DU272" t="n">
        <v>24.6</v>
      </c>
      <c r="DV272" t="inlineStr">
        <is>
          <t>fade (losing his place)</t>
        </is>
      </c>
      <c r="DW272" t="n">
        <v>73.7</v>
      </c>
      <c r="DX272" t="n">
        <v>82.38</v>
      </c>
      <c r="DY272" t="n">
        <v>23.34</v>
      </c>
      <c r="DZ272" t="n">
        <v>26</v>
      </c>
      <c r="EA272" t="n">
        <v>119</v>
      </c>
      <c r="EB272" t="n">
        <v>61</v>
      </c>
      <c r="EC272" t="n">
        <v>29.3</v>
      </c>
      <c r="ED272" t="n">
        <v>0</v>
      </c>
      <c r="EE272" t="n">
        <v>100</v>
      </c>
      <c r="EF272" t="n">
        <v>55.6</v>
      </c>
      <c r="EG272" t="n">
        <v>30.5</v>
      </c>
      <c r="EH272" t="n">
        <v>45</v>
      </c>
      <c r="EI272" t="n">
        <v>410.6</v>
      </c>
      <c r="EJ272" t="n">
        <v>491.6</v>
      </c>
      <c r="EK272" t="n">
        <v>223.7</v>
      </c>
      <c r="EL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26.88</v>
      </c>
      <c r="DQ273" t="n">
        <v>13.48</v>
      </c>
      <c r="DR273" t="n">
        <v>26.96</v>
      </c>
      <c r="DS273" t="n">
        <v>-0.08</v>
      </c>
      <c r="DT273" t="n">
        <v>324</v>
      </c>
      <c r="DU273" t="n">
        <v>8.529999999999999</v>
      </c>
      <c r="DV273" t="inlineStr">
        <is>
          <t>flat</t>
        </is>
      </c>
      <c r="EF273" t="n">
        <v>44.5</v>
      </c>
      <c r="EG273" t="n">
        <v>68.7</v>
      </c>
      <c r="EH273" t="n">
        <v>68.7</v>
      </c>
      <c r="EI273" t="n">
        <v>747.6</v>
      </c>
      <c r="EJ273" t="n">
        <v>1008.8</v>
      </c>
      <c r="EK273" t="n">
        <v>429.4</v>
      </c>
      <c r="EL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54.04</v>
      </c>
      <c r="DQ274" t="n">
        <v>27.02</v>
      </c>
      <c r="DR274" t="n">
        <v>54.04</v>
      </c>
      <c r="DS274" t="n">
        <v>0</v>
      </c>
      <c r="DT274" t="n">
        <v>523</v>
      </c>
      <c r="DU274" t="n">
        <v>13.77</v>
      </c>
      <c r="DV274" t="inlineStr">
        <is>
          <t>flat</t>
        </is>
      </c>
      <c r="DW274" t="n">
        <v>68.66</v>
      </c>
      <c r="DX274" t="n">
        <v>81.54000000000001</v>
      </c>
      <c r="DY274" t="n">
        <v>27.96</v>
      </c>
      <c r="DZ274" t="n">
        <v>10</v>
      </c>
      <c r="EA274" t="n">
        <v>120</v>
      </c>
      <c r="EB274" t="n">
        <v>118</v>
      </c>
      <c r="EC274" t="n">
        <v>56.7</v>
      </c>
      <c r="ED274" t="n">
        <v>20.3</v>
      </c>
      <c r="EE274" t="n">
        <v>101</v>
      </c>
      <c r="EF274" t="n">
        <v>39</v>
      </c>
      <c r="EG274" t="n">
        <v>24.2</v>
      </c>
      <c r="EH274" t="n">
        <v>179.2</v>
      </c>
      <c r="EI274" t="n">
        <v>234.1</v>
      </c>
      <c r="EJ274" t="n">
        <v>2792.6</v>
      </c>
      <c r="EK274" t="n">
        <v>216</v>
      </c>
      <c r="EL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159.04</v>
      </c>
      <c r="DQ275" t="n">
        <v>83.47</v>
      </c>
      <c r="DR275" t="n">
        <v>166.94</v>
      </c>
      <c r="DS275" t="n">
        <v>-7.9</v>
      </c>
      <c r="DT275" t="n">
        <v>2177</v>
      </c>
      <c r="DU275" t="n">
        <v>57.3</v>
      </c>
      <c r="DV275" t="inlineStr">
        <is>
          <t>flat</t>
        </is>
      </c>
      <c r="DW275" t="n">
        <v>5.95</v>
      </c>
      <c r="DX275" t="n">
        <v>5.46</v>
      </c>
      <c r="DY275" t="n">
        <v>8.539999999999999</v>
      </c>
      <c r="DZ275" t="n">
        <v>1</v>
      </c>
      <c r="EA275" t="n">
        <v>102.67</v>
      </c>
      <c r="EB275" t="n">
        <v>172</v>
      </c>
      <c r="EC275" t="n">
        <v>82.7</v>
      </c>
      <c r="ED275" t="n">
        <v>19.6</v>
      </c>
      <c r="EE275" t="n">
        <v>5</v>
      </c>
      <c r="EF275" t="n">
        <v>40.8</v>
      </c>
      <c r="EG275" t="n">
        <v>23.1</v>
      </c>
      <c r="EH275" t="n">
        <v>347</v>
      </c>
      <c r="EI275" t="n">
        <v>237.9</v>
      </c>
      <c r="EJ275" t="n">
        <v>1498.7</v>
      </c>
      <c r="EK275" t="n">
        <v>205.3</v>
      </c>
      <c r="EL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P276" t="n">
        <v>24.43</v>
      </c>
      <c r="DQ276" t="n">
        <v>13.9</v>
      </c>
      <c r="DR276" t="n">
        <v>27.8</v>
      </c>
      <c r="DS276" t="n">
        <v>-3.37</v>
      </c>
      <c r="DT276" t="n">
        <v>272</v>
      </c>
      <c r="DU276" t="n">
        <v>7.16</v>
      </c>
      <c r="DV276" t="inlineStr">
        <is>
          <t>flat</t>
        </is>
      </c>
      <c r="EG276" t="n">
        <v>148.9</v>
      </c>
      <c r="EH276" t="n">
        <v>521</v>
      </c>
      <c r="EJ276" t="n">
        <v>8641.799999999999</v>
      </c>
      <c r="EK276" t="n">
        <v>8641.799999999999</v>
      </c>
      <c r="EL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37.43</v>
      </c>
      <c r="DQ277" t="n">
        <v>29.03</v>
      </c>
      <c r="DR277" t="n">
        <v>58.06</v>
      </c>
      <c r="DS277" t="n">
        <v>-20.63</v>
      </c>
      <c r="DT277" t="n">
        <v>295</v>
      </c>
      <c r="DU277" t="n">
        <v>7.77</v>
      </c>
      <c r="DV277" t="inlineStr">
        <is>
          <t>fade (losing his place)</t>
        </is>
      </c>
      <c r="DW277" t="n">
        <v>66.15000000000001</v>
      </c>
      <c r="DX277" t="n">
        <v>71.67</v>
      </c>
      <c r="DY277" t="n">
        <v>23.01</v>
      </c>
      <c r="DZ277" t="n">
        <v>18.4</v>
      </c>
      <c r="EA277" t="n">
        <v>116</v>
      </c>
      <c r="EB277" t="n">
        <v>161</v>
      </c>
      <c r="EC277" t="n">
        <v>77.40000000000001</v>
      </c>
      <c r="ED277" t="n">
        <v>13.4</v>
      </c>
      <c r="EE277" t="n">
        <v>178</v>
      </c>
      <c r="EF277" t="n">
        <v>986</v>
      </c>
      <c r="EG277" t="n">
        <v>109.6</v>
      </c>
      <c r="EH277" t="n">
        <v>197.2</v>
      </c>
      <c r="EI277" t="n">
        <v>10610.5</v>
      </c>
      <c r="EJ277" t="n">
        <v>2135.5</v>
      </c>
      <c r="EK277" t="n">
        <v>1777.7</v>
      </c>
      <c r="EL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148.36</v>
      </c>
      <c r="DQ278" t="n">
        <v>70.88</v>
      </c>
      <c r="DR278" t="n">
        <v>141.76</v>
      </c>
      <c r="DS278" t="n">
        <v>6.6</v>
      </c>
      <c r="DT278" t="n">
        <v>2747</v>
      </c>
      <c r="DU278" t="n">
        <v>72.3</v>
      </c>
      <c r="DV278" t="inlineStr">
        <is>
          <t>flat</t>
        </is>
      </c>
      <c r="DW278" t="n">
        <v>55.64</v>
      </c>
      <c r="DX278" t="n">
        <v>66.94</v>
      </c>
      <c r="DY278" t="n">
        <v>29.98</v>
      </c>
      <c r="DZ278" t="n">
        <v>8</v>
      </c>
      <c r="EA278" t="n">
        <v>120</v>
      </c>
      <c r="EB278" t="n">
        <v>167</v>
      </c>
      <c r="EC278" t="n">
        <v>80.3</v>
      </c>
      <c r="ED278" t="n">
        <v>10.2</v>
      </c>
      <c r="EE278" t="n">
        <v>102</v>
      </c>
      <c r="EF278" t="n">
        <v>49.8</v>
      </c>
      <c r="EG278" t="n">
        <v>18.1</v>
      </c>
      <c r="EH278" t="n">
        <v>166.2</v>
      </c>
      <c r="EI278" t="n">
        <v>304.1</v>
      </c>
      <c r="EJ278" t="n">
        <v>2126.6</v>
      </c>
      <c r="EK278" t="n">
        <v>266.1</v>
      </c>
      <c r="EL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39.27</v>
      </c>
      <c r="DQ279" t="n">
        <v>20.06</v>
      </c>
      <c r="DR279" t="n">
        <v>40.12</v>
      </c>
      <c r="DS279" t="n">
        <v>-0.85</v>
      </c>
      <c r="DT279" t="n">
        <v>451</v>
      </c>
      <c r="DU279" t="n">
        <v>11.87</v>
      </c>
      <c r="DV279" t="inlineStr">
        <is>
          <t>flat</t>
        </is>
      </c>
      <c r="EF279" t="n">
        <v>290.7</v>
      </c>
      <c r="EG279" t="n">
        <v>218</v>
      </c>
      <c r="EH279" t="n">
        <v>79.3</v>
      </c>
      <c r="EI279" t="n">
        <v>13452</v>
      </c>
      <c r="EJ279" t="n">
        <v>2011.7</v>
      </c>
      <c r="EK279" t="n">
        <v>1750</v>
      </c>
      <c r="EL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9.32</v>
      </c>
      <c r="DQ280" t="n">
        <v>5.01</v>
      </c>
      <c r="DR280" t="n">
        <v>10.02</v>
      </c>
      <c r="DS280" t="n">
        <v>-0.7</v>
      </c>
      <c r="DT280" t="n">
        <v>136</v>
      </c>
      <c r="DU280" t="n">
        <v>3.58</v>
      </c>
      <c r="DV280" t="inlineStr">
        <is>
          <t>flat</t>
        </is>
      </c>
      <c r="EF280" t="n">
        <v>164.2</v>
      </c>
      <c r="EG280" t="n">
        <v>82.09999999999999</v>
      </c>
      <c r="EH280" t="n">
        <v>328.5</v>
      </c>
      <c r="EI280" t="n">
        <v>1017.9</v>
      </c>
      <c r="EJ280" t="n">
        <v>4903.6</v>
      </c>
      <c r="EK280" t="n">
        <v>842.9</v>
      </c>
      <c r="EL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25.74</v>
      </c>
      <c r="DQ281" t="n">
        <v>12.64</v>
      </c>
      <c r="DR281" t="n">
        <v>25.28</v>
      </c>
      <c r="DS281" t="n">
        <v>0.46</v>
      </c>
      <c r="DT281" t="n">
        <v>395</v>
      </c>
      <c r="DU281" t="n">
        <v>10.4</v>
      </c>
      <c r="DV281" t="inlineStr">
        <is>
          <t>flat</t>
        </is>
      </c>
      <c r="EF281" t="n">
        <v>205</v>
      </c>
      <c r="EG281" t="n">
        <v>68.3</v>
      </c>
      <c r="EH281" t="n">
        <v>146.4</v>
      </c>
      <c r="EI281" t="n">
        <v>796</v>
      </c>
      <c r="EJ281" t="n">
        <v>1962.7</v>
      </c>
      <c r="EK281" t="n">
        <v>566.3</v>
      </c>
      <c r="EL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39.81</v>
      </c>
      <c r="DQ282" t="n">
        <v>20.87</v>
      </c>
      <c r="DR282" t="n">
        <v>41.74</v>
      </c>
      <c r="DS282" t="n">
        <v>-1.93</v>
      </c>
      <c r="DT282" t="n">
        <v>889</v>
      </c>
      <c r="DU282" t="n">
        <v>23.4</v>
      </c>
      <c r="DV282" t="inlineStr">
        <is>
          <t>fade (losing his place)</t>
        </is>
      </c>
      <c r="EF282" t="n">
        <v>935</v>
      </c>
      <c r="EG282" t="n">
        <v>155.8</v>
      </c>
      <c r="EH282" t="n">
        <v>311.7</v>
      </c>
      <c r="EI282" t="n">
        <v>18547.6</v>
      </c>
      <c r="EJ282" t="n">
        <v>1788</v>
      </c>
      <c r="EK282" t="n">
        <v>1630.8</v>
      </c>
      <c r="EL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43.26</v>
      </c>
      <c r="DQ283" t="n">
        <v>23.19</v>
      </c>
      <c r="DR283" t="n">
        <v>46.38</v>
      </c>
      <c r="DS283" t="n">
        <v>-3.12</v>
      </c>
      <c r="DT283" t="n">
        <v>826</v>
      </c>
      <c r="DU283" t="n">
        <v>21.75</v>
      </c>
      <c r="DV283" t="inlineStr">
        <is>
          <t>fade (losing his place)</t>
        </is>
      </c>
      <c r="EF283" t="n">
        <v>799</v>
      </c>
      <c r="EG283" t="n">
        <v>159.8</v>
      </c>
      <c r="EH283" t="n">
        <v>199.8</v>
      </c>
      <c r="EI283" t="n">
        <v>22597.7</v>
      </c>
      <c r="EJ283" t="n">
        <v>2587.5</v>
      </c>
      <c r="EK283" t="n">
        <v>2321.7</v>
      </c>
      <c r="EL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40.64</v>
      </c>
      <c r="DQ284" t="n">
        <v>20.34</v>
      </c>
      <c r="DR284" t="n">
        <v>40.68</v>
      </c>
      <c r="DS284" t="n">
        <v>-0.04</v>
      </c>
      <c r="DT284" t="n">
        <v>912</v>
      </c>
      <c r="DU284" t="n">
        <v>24</v>
      </c>
      <c r="DV284" t="inlineStr">
        <is>
          <t>flat</t>
        </is>
      </c>
      <c r="DW284" t="n">
        <v>109.5</v>
      </c>
      <c r="DZ284" t="n">
        <v>109.5</v>
      </c>
      <c r="EA284" t="n">
        <v>109.5</v>
      </c>
      <c r="EB284" t="n">
        <v>1</v>
      </c>
      <c r="EC284" t="n">
        <v>0.5</v>
      </c>
      <c r="ED284" t="n">
        <v>0</v>
      </c>
      <c r="EE284" t="n">
        <v>294</v>
      </c>
      <c r="EF284" t="n">
        <v>57.2</v>
      </c>
      <c r="EG284" t="n">
        <v>22.6</v>
      </c>
      <c r="EH284" t="n">
        <v>69.40000000000001</v>
      </c>
      <c r="EI284" t="n">
        <v>734.7</v>
      </c>
      <c r="EJ284" t="n">
        <v>613.7</v>
      </c>
      <c r="EK284" t="n">
        <v>334.4</v>
      </c>
      <c r="EL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19.94</v>
      </c>
      <c r="DQ285" t="n">
        <v>9.869999999999999</v>
      </c>
      <c r="DR285" t="n">
        <v>19.74</v>
      </c>
      <c r="DS285" t="n">
        <v>0.2</v>
      </c>
      <c r="DT285" t="n">
        <v>89</v>
      </c>
      <c r="DU285" t="n">
        <v>2.34</v>
      </c>
      <c r="DV285" t="inlineStr">
        <is>
          <t>flat</t>
        </is>
      </c>
      <c r="EF285" t="n">
        <v>67.40000000000001</v>
      </c>
      <c r="EG285" t="n">
        <v>97.3</v>
      </c>
      <c r="EH285" t="n">
        <v>292</v>
      </c>
      <c r="EI285" t="n">
        <v>1124.6</v>
      </c>
      <c r="EJ285" t="n">
        <v>6066.6</v>
      </c>
      <c r="EK285" t="n">
        <v>948.7</v>
      </c>
      <c r="EL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19.45</v>
      </c>
      <c r="DQ286" t="n">
        <v>10.6</v>
      </c>
      <c r="DR286" t="n">
        <v>21.2</v>
      </c>
      <c r="DS286" t="n">
        <v>-1.75</v>
      </c>
      <c r="DT286" t="n">
        <v>40</v>
      </c>
      <c r="DU286" t="n">
        <v>1.06</v>
      </c>
      <c r="DV286" t="inlineStr">
        <is>
          <t>flat</t>
        </is>
      </c>
      <c r="DW286" t="n">
        <v>85.25</v>
      </c>
      <c r="DY286" t="n">
        <v>26.52</v>
      </c>
      <c r="DZ286" t="n">
        <v>66.5</v>
      </c>
      <c r="EA286" t="n">
        <v>104</v>
      </c>
      <c r="EB286" t="n">
        <v>2</v>
      </c>
      <c r="EC286" t="n">
        <v>1</v>
      </c>
      <c r="ED286" t="n">
        <v>0</v>
      </c>
      <c r="EE286" t="n">
        <v>179</v>
      </c>
      <c r="EF286" t="n">
        <v>18.6</v>
      </c>
      <c r="EG286" t="n">
        <v>8.800000000000001</v>
      </c>
      <c r="EH286" t="n">
        <v>105.7</v>
      </c>
      <c r="EI286" t="n">
        <v>203.5</v>
      </c>
      <c r="EJ286" t="n">
        <v>304.5</v>
      </c>
      <c r="EK286" t="n">
        <v>122</v>
      </c>
      <c r="EL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23.18</v>
      </c>
      <c r="DQ287" t="n">
        <v>11.79</v>
      </c>
      <c r="DR287" t="n">
        <v>23.58</v>
      </c>
      <c r="DS287" t="n">
        <v>-0.4</v>
      </c>
      <c r="DT287" t="n">
        <v>166</v>
      </c>
      <c r="DU287" t="n">
        <v>4.38</v>
      </c>
      <c r="DV287" t="inlineStr">
        <is>
          <t>flat</t>
        </is>
      </c>
      <c r="EF287" t="n">
        <v>113.2</v>
      </c>
      <c r="EG287" t="n">
        <v>67.90000000000001</v>
      </c>
      <c r="EI287" t="n">
        <v>1371.9</v>
      </c>
      <c r="EJ287" t="n">
        <v>1754.9</v>
      </c>
      <c r="EK287" t="n">
        <v>770</v>
      </c>
      <c r="EL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11.82</v>
      </c>
      <c r="DQ288" t="n">
        <v>5.91</v>
      </c>
      <c r="DR288" t="n">
        <v>11.82</v>
      </c>
      <c r="DS288" t="n">
        <v>0</v>
      </c>
      <c r="DT288" t="n">
        <v>144</v>
      </c>
      <c r="DU288" t="n">
        <v>3.78</v>
      </c>
      <c r="DV288" t="inlineStr">
        <is>
          <t>flat</t>
        </is>
      </c>
      <c r="DW288" t="n">
        <v>119.33</v>
      </c>
      <c r="DZ288" t="n">
        <v>119.33</v>
      </c>
      <c r="EA288" t="n">
        <v>119.33</v>
      </c>
      <c r="EB288" t="n">
        <v>1</v>
      </c>
      <c r="EC288" t="n">
        <v>0.5</v>
      </c>
      <c r="ED288" t="n">
        <v>0</v>
      </c>
      <c r="EE288" t="n">
        <v>297</v>
      </c>
      <c r="EF288" t="n">
        <v>63.2</v>
      </c>
      <c r="EG288" t="n">
        <v>37.9</v>
      </c>
      <c r="EH288" t="n">
        <v>84.2</v>
      </c>
      <c r="EI288" t="n">
        <v>913.2</v>
      </c>
      <c r="EJ288" t="n">
        <v>715.4</v>
      </c>
      <c r="EK288" t="n">
        <v>401.1</v>
      </c>
      <c r="EL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50.42</v>
      </c>
      <c r="DQ289" t="n">
        <v>25.21</v>
      </c>
      <c r="DR289" t="n">
        <v>50.42</v>
      </c>
      <c r="DS289" t="n">
        <v>0</v>
      </c>
      <c r="DT289" t="n">
        <v>540</v>
      </c>
      <c r="DU289" t="n">
        <v>14.2</v>
      </c>
      <c r="DV289" t="inlineStr">
        <is>
          <t>flat</t>
        </is>
      </c>
      <c r="DW289" t="n">
        <v>91.45</v>
      </c>
      <c r="DX289" t="n">
        <v>95.45</v>
      </c>
      <c r="DY289" t="n">
        <v>24.23</v>
      </c>
      <c r="DZ289" t="n">
        <v>31</v>
      </c>
      <c r="EA289" t="n">
        <v>120</v>
      </c>
      <c r="EB289" t="n">
        <v>54</v>
      </c>
      <c r="EC289" t="n">
        <v>26</v>
      </c>
      <c r="ED289" t="n">
        <v>5.3</v>
      </c>
      <c r="EE289" t="n">
        <v>180</v>
      </c>
      <c r="EF289" t="n">
        <v>30.8</v>
      </c>
      <c r="EG289" t="n">
        <v>16.2</v>
      </c>
      <c r="EH289" t="n">
        <v>123.4</v>
      </c>
      <c r="EI289" t="n">
        <v>251.6</v>
      </c>
      <c r="EJ289" t="n">
        <v>1776</v>
      </c>
      <c r="EK289" t="n">
        <v>220.4</v>
      </c>
      <c r="EL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133.33</v>
      </c>
      <c r="DQ290" t="n">
        <v>66.68000000000001</v>
      </c>
      <c r="DR290" t="n">
        <v>133.36</v>
      </c>
      <c r="DS290" t="n">
        <v>-0.03</v>
      </c>
      <c r="DT290" t="n">
        <v>2394</v>
      </c>
      <c r="DU290" t="n">
        <v>63</v>
      </c>
      <c r="DV290" t="inlineStr">
        <is>
          <t>flat</t>
        </is>
      </c>
      <c r="DW290" t="n">
        <v>32.13</v>
      </c>
      <c r="DX290" t="n">
        <v>30.79</v>
      </c>
      <c r="DY290" t="n">
        <v>21.51</v>
      </c>
      <c r="DZ290" t="n">
        <v>5.54</v>
      </c>
      <c r="EA290" t="n">
        <v>106.67</v>
      </c>
      <c r="EB290" t="n">
        <v>160</v>
      </c>
      <c r="EC290" t="n">
        <v>76.90000000000001</v>
      </c>
      <c r="ED290" t="n">
        <v>23.8</v>
      </c>
      <c r="EE290" t="n">
        <v>22</v>
      </c>
      <c r="EF290" t="n">
        <v>32.1</v>
      </c>
      <c r="EG290" t="n">
        <v>14.8</v>
      </c>
      <c r="EH290" t="n">
        <v>52.5</v>
      </c>
      <c r="EI290" t="n">
        <v>140.6</v>
      </c>
      <c r="EJ290" t="n">
        <v>550.3</v>
      </c>
      <c r="EK290" t="n">
        <v>112</v>
      </c>
      <c r="EL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18.62</v>
      </c>
      <c r="DQ291" t="n">
        <v>9.31</v>
      </c>
      <c r="DR291" t="n">
        <v>18.62</v>
      </c>
      <c r="DS291" t="n">
        <v>0</v>
      </c>
      <c r="DT291" t="n">
        <v>64</v>
      </c>
      <c r="DU291" t="n">
        <v>1.68</v>
      </c>
      <c r="DV291" t="inlineStr">
        <is>
          <t>flat</t>
        </is>
      </c>
      <c r="EF291" t="n">
        <v>60.4</v>
      </c>
      <c r="EG291" t="n">
        <v>24.5</v>
      </c>
      <c r="EH291" t="n">
        <v>112.1</v>
      </c>
      <c r="EI291" t="n">
        <v>339.4</v>
      </c>
      <c r="EJ291" t="n">
        <v>2173.1</v>
      </c>
      <c r="EK291" t="n">
        <v>293.6</v>
      </c>
      <c r="EL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32.7</v>
      </c>
      <c r="DQ292" t="n">
        <v>16.82</v>
      </c>
      <c r="DR292" t="n">
        <v>33.64</v>
      </c>
      <c r="DS292" t="n">
        <v>-0.9399999999999999</v>
      </c>
      <c r="DT292" t="n">
        <v>727</v>
      </c>
      <c r="DU292" t="n">
        <v>19.14</v>
      </c>
      <c r="DV292" t="inlineStr">
        <is>
          <t>fade (losing his place)</t>
        </is>
      </c>
      <c r="DW292" t="n">
        <v>94.90000000000001</v>
      </c>
      <c r="DY292" t="n">
        <v>13.6</v>
      </c>
      <c r="DZ292" t="n">
        <v>79.2</v>
      </c>
      <c r="EA292" t="n">
        <v>103</v>
      </c>
      <c r="EB292" t="n">
        <v>3</v>
      </c>
      <c r="EC292" t="n">
        <v>1.4</v>
      </c>
      <c r="ED292" t="n">
        <v>0</v>
      </c>
      <c r="EE292" t="n">
        <v>296</v>
      </c>
      <c r="EF292" t="n">
        <v>61.4</v>
      </c>
      <c r="EG292" t="n">
        <v>33.8</v>
      </c>
      <c r="EH292" t="n">
        <v>112.5</v>
      </c>
      <c r="EI292" t="n">
        <v>1098.7</v>
      </c>
      <c r="EJ292" t="n">
        <v>1898.8</v>
      </c>
      <c r="EK292" t="n">
        <v>696</v>
      </c>
      <c r="EL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46.92</v>
      </c>
      <c r="DQ293" t="n">
        <v>24.85</v>
      </c>
      <c r="DR293" t="n">
        <v>49.7</v>
      </c>
      <c r="DS293" t="n">
        <v>-2.78</v>
      </c>
      <c r="DT293" t="n">
        <v>821</v>
      </c>
      <c r="DU293" t="n">
        <v>21.6</v>
      </c>
      <c r="DV293" t="inlineStr">
        <is>
          <t>fade (losing his place)</t>
        </is>
      </c>
      <c r="DW293" t="n">
        <v>93.77</v>
      </c>
      <c r="DX293" t="n">
        <v>99.29000000000001</v>
      </c>
      <c r="DY293" t="n">
        <v>21.21</v>
      </c>
      <c r="DZ293" t="n">
        <v>40</v>
      </c>
      <c r="EA293" t="n">
        <v>119.27</v>
      </c>
      <c r="EB293" t="n">
        <v>40</v>
      </c>
      <c r="EC293" t="n">
        <v>19.2</v>
      </c>
      <c r="ED293" t="n">
        <v>11.1</v>
      </c>
      <c r="EE293" t="n">
        <v>181</v>
      </c>
      <c r="EF293" t="n">
        <v>16.7</v>
      </c>
      <c r="EG293" t="n">
        <v>8.4</v>
      </c>
      <c r="EH293" t="n">
        <v>35.1</v>
      </c>
      <c r="EI293" t="n">
        <v>160.4</v>
      </c>
      <c r="EJ293" t="n">
        <v>385.7</v>
      </c>
      <c r="EK293" t="n">
        <v>113.3</v>
      </c>
      <c r="EL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13.14</v>
      </c>
      <c r="DQ294" t="n">
        <v>7.11</v>
      </c>
      <c r="DR294" t="n">
        <v>14.22</v>
      </c>
      <c r="DS294" t="n">
        <v>-1.08</v>
      </c>
      <c r="DT294" t="n">
        <v>261</v>
      </c>
      <c r="DU294" t="n">
        <v>6.87</v>
      </c>
      <c r="DV294" t="inlineStr">
        <is>
          <t>flat</t>
        </is>
      </c>
      <c r="DW294" t="n">
        <v>70.5</v>
      </c>
      <c r="DZ294" t="n">
        <v>70.5</v>
      </c>
      <c r="EA294" t="n">
        <v>70.5</v>
      </c>
      <c r="EB294" t="n">
        <v>1</v>
      </c>
      <c r="EC294" t="n">
        <v>0.5</v>
      </c>
      <c r="ED294" t="n">
        <v>0</v>
      </c>
      <c r="EE294" t="n">
        <v>434</v>
      </c>
      <c r="EF294" t="n">
        <v>394</v>
      </c>
      <c r="EG294" t="n">
        <v>197</v>
      </c>
      <c r="EH294" t="n">
        <v>788</v>
      </c>
      <c r="EI294" t="n">
        <v>8639.5</v>
      </c>
      <c r="EJ294" t="n">
        <v>1931.4</v>
      </c>
      <c r="EK294" t="n">
        <v>1578.5</v>
      </c>
      <c r="EL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P295" t="n">
        <v>1.58</v>
      </c>
      <c r="DQ295" t="n">
        <v>0.79</v>
      </c>
      <c r="DR295" t="n">
        <v>1.58</v>
      </c>
      <c r="DS295" t="n">
        <v>0</v>
      </c>
      <c r="DT295" t="n">
        <v>35</v>
      </c>
      <c r="DU295" t="n">
        <v>0.91</v>
      </c>
      <c r="DV295" t="inlineStr">
        <is>
          <t>flat</t>
        </is>
      </c>
      <c r="DW295" t="n">
        <v>110.54</v>
      </c>
      <c r="DX295" t="n">
        <v>116.71</v>
      </c>
      <c r="DY295" t="n">
        <v>16.58</v>
      </c>
      <c r="DZ295" t="n">
        <v>25</v>
      </c>
      <c r="EA295" t="n">
        <v>120</v>
      </c>
      <c r="EB295" t="n">
        <v>60</v>
      </c>
      <c r="EC295" t="n">
        <v>28.8</v>
      </c>
      <c r="ED295" t="n">
        <v>47.4</v>
      </c>
      <c r="EE295" t="n">
        <v>298</v>
      </c>
      <c r="EL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17.08</v>
      </c>
      <c r="DQ296" t="n">
        <v>8.539999999999999</v>
      </c>
      <c r="DR296" t="n">
        <v>17.08</v>
      </c>
      <c r="DS296" t="n">
        <v>0</v>
      </c>
      <c r="DT296" t="n">
        <v>178</v>
      </c>
      <c r="DU296" t="n">
        <v>4.68</v>
      </c>
      <c r="DV296" t="inlineStr">
        <is>
          <t>flat</t>
        </is>
      </c>
      <c r="DW296" t="n">
        <v>54.67</v>
      </c>
      <c r="DZ296" t="n">
        <v>54.67</v>
      </c>
      <c r="EA296" t="n">
        <v>54.67</v>
      </c>
      <c r="EB296" t="n">
        <v>1</v>
      </c>
      <c r="EC296" t="n">
        <v>0.5</v>
      </c>
      <c r="ED296" t="n">
        <v>0</v>
      </c>
      <c r="EE296" t="n">
        <v>299</v>
      </c>
      <c r="EF296" t="n">
        <v>108.2</v>
      </c>
      <c r="EG296" t="n">
        <v>40.6</v>
      </c>
      <c r="EH296" t="n">
        <v>92.7</v>
      </c>
      <c r="EI296" t="n">
        <v>1893.2</v>
      </c>
      <c r="EJ296" t="n">
        <v>959.8</v>
      </c>
      <c r="EK296" t="n">
        <v>636.9</v>
      </c>
      <c r="EL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27.64</v>
      </c>
      <c r="DQ297" t="n">
        <v>13.64</v>
      </c>
      <c r="DR297" t="n">
        <v>27.28</v>
      </c>
      <c r="DS297" t="n">
        <v>0.36</v>
      </c>
      <c r="DT297" t="n">
        <v>442</v>
      </c>
      <c r="DU297" t="n">
        <v>11.64</v>
      </c>
      <c r="DV297" t="inlineStr">
        <is>
          <t>flat</t>
        </is>
      </c>
      <c r="DW297" t="n">
        <v>115.5</v>
      </c>
      <c r="DZ297" t="n">
        <v>115.5</v>
      </c>
      <c r="EA297" t="n">
        <v>115.5</v>
      </c>
      <c r="EB297" t="n">
        <v>1</v>
      </c>
      <c r="EC297" t="n">
        <v>0.5</v>
      </c>
      <c r="ED297" t="n">
        <v>66.7</v>
      </c>
      <c r="EE297" t="n">
        <v>300</v>
      </c>
      <c r="EF297" t="n">
        <v>118.8</v>
      </c>
      <c r="EG297" t="n">
        <v>54</v>
      </c>
      <c r="EH297" t="n">
        <v>118.8</v>
      </c>
      <c r="EI297" t="n">
        <v>2476.6</v>
      </c>
      <c r="EJ297" t="n">
        <v>628.8</v>
      </c>
      <c r="EK297" t="n">
        <v>501.5</v>
      </c>
      <c r="EL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135.8</v>
      </c>
      <c r="DQ298" t="n">
        <v>67.90000000000001</v>
      </c>
      <c r="DR298" t="n">
        <v>135.8</v>
      </c>
      <c r="DS298" t="n">
        <v>0</v>
      </c>
      <c r="DT298" t="n">
        <v>3203</v>
      </c>
      <c r="DU298" t="n">
        <v>84.3</v>
      </c>
      <c r="DV298" t="inlineStr">
        <is>
          <t>flat</t>
        </is>
      </c>
      <c r="DW298" t="n">
        <v>85.97</v>
      </c>
      <c r="DX298" t="n">
        <v>90.77</v>
      </c>
      <c r="DY298" t="n">
        <v>17.39</v>
      </c>
      <c r="DZ298" t="n">
        <v>44.67</v>
      </c>
      <c r="EA298" t="n">
        <v>120</v>
      </c>
      <c r="EB298" t="n">
        <v>114</v>
      </c>
      <c r="EC298" t="n">
        <v>54.8</v>
      </c>
      <c r="ED298" t="n">
        <v>18.6</v>
      </c>
      <c r="EE298" t="n">
        <v>182</v>
      </c>
      <c r="EF298" t="n">
        <v>113</v>
      </c>
      <c r="EG298" t="n">
        <v>75.3</v>
      </c>
      <c r="EH298" t="n">
        <v>226</v>
      </c>
      <c r="EI298" t="n">
        <v>2086.3</v>
      </c>
      <c r="EJ298" t="n">
        <v>2806.1</v>
      </c>
      <c r="EK298" t="n">
        <v>1196.6</v>
      </c>
      <c r="EL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28.21</v>
      </c>
      <c r="DQ299" t="n">
        <v>14.23</v>
      </c>
      <c r="DR299" t="n">
        <v>28.46</v>
      </c>
      <c r="DS299" t="n">
        <v>-0.25</v>
      </c>
      <c r="DT299" t="n">
        <v>120</v>
      </c>
      <c r="DU299" t="n">
        <v>3.15</v>
      </c>
      <c r="DV299" t="inlineStr">
        <is>
          <t>flat</t>
        </is>
      </c>
      <c r="EF299" t="n">
        <v>52.1</v>
      </c>
      <c r="EG299" t="n">
        <v>24.8</v>
      </c>
      <c r="EH299" t="n">
        <v>57.9</v>
      </c>
      <c r="EI299" t="n">
        <v>1244</v>
      </c>
      <c r="EJ299" t="n">
        <v>516.6</v>
      </c>
      <c r="EK299" t="n">
        <v>365</v>
      </c>
      <c r="EL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76.68000000000001</v>
      </c>
      <c r="DQ300" t="n">
        <v>38.34</v>
      </c>
      <c r="DR300" t="n">
        <v>76.68000000000001</v>
      </c>
      <c r="DS300" t="n">
        <v>0</v>
      </c>
      <c r="DT300" t="n">
        <v>2394</v>
      </c>
      <c r="DU300" t="n">
        <v>63</v>
      </c>
      <c r="DV300" t="inlineStr">
        <is>
          <t>flat</t>
        </is>
      </c>
      <c r="DW300" t="n">
        <v>96.06999999999999</v>
      </c>
      <c r="DY300" t="n">
        <v>29.15</v>
      </c>
      <c r="DZ300" t="n">
        <v>64</v>
      </c>
      <c r="EA300" t="n">
        <v>120</v>
      </c>
      <c r="EB300" t="n">
        <v>5</v>
      </c>
      <c r="EC300" t="n">
        <v>2.4</v>
      </c>
      <c r="ED300" t="n">
        <v>16.7</v>
      </c>
      <c r="EE300" t="n">
        <v>520</v>
      </c>
      <c r="EF300" t="n">
        <v>406</v>
      </c>
      <c r="EG300" t="n">
        <v>116</v>
      </c>
      <c r="EI300" t="n">
        <v>1307.9</v>
      </c>
      <c r="EJ300" t="n">
        <v>32480</v>
      </c>
      <c r="EK300" t="n">
        <v>1257.3</v>
      </c>
      <c r="EL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28.7</v>
      </c>
      <c r="DQ301" t="n">
        <v>14.35</v>
      </c>
      <c r="DR301" t="n">
        <v>28.7</v>
      </c>
      <c r="DS301" t="n">
        <v>0</v>
      </c>
      <c r="DT301" t="n">
        <v>340</v>
      </c>
      <c r="DU301" t="n">
        <v>8.94</v>
      </c>
      <c r="DV301" t="inlineStr">
        <is>
          <t>flat</t>
        </is>
      </c>
      <c r="EF301" t="n">
        <v>66.90000000000001</v>
      </c>
      <c r="EG301" t="n">
        <v>60.2</v>
      </c>
      <c r="EH301" t="n">
        <v>120.4</v>
      </c>
      <c r="EI301" t="n">
        <v>1033.7</v>
      </c>
      <c r="EJ301" t="n">
        <v>2015.1</v>
      </c>
      <c r="EK301" t="n">
        <v>683.2</v>
      </c>
      <c r="EL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46.71</v>
      </c>
      <c r="DQ302" t="n">
        <v>23.55</v>
      </c>
      <c r="DR302" t="n">
        <v>47.1</v>
      </c>
      <c r="DS302" t="n">
        <v>-0.39</v>
      </c>
      <c r="DT302" t="n">
        <v>685</v>
      </c>
      <c r="DU302" t="n">
        <v>18.02</v>
      </c>
      <c r="DV302" t="inlineStr">
        <is>
          <t>flat</t>
        </is>
      </c>
      <c r="DW302" t="n">
        <v>94.12</v>
      </c>
      <c r="DX302" t="n">
        <v>90</v>
      </c>
      <c r="DY302" t="n">
        <v>13.44</v>
      </c>
      <c r="DZ302" t="n">
        <v>77.14</v>
      </c>
      <c r="EA302" t="n">
        <v>111.2</v>
      </c>
      <c r="EB302" t="n">
        <v>6</v>
      </c>
      <c r="EC302" t="n">
        <v>2.9</v>
      </c>
      <c r="ED302" t="n">
        <v>33.3</v>
      </c>
      <c r="EE302" t="n">
        <v>437</v>
      </c>
      <c r="EF302" t="n">
        <v>333.8</v>
      </c>
      <c r="EG302" t="n">
        <v>34.2</v>
      </c>
      <c r="EH302" t="n">
        <v>111.2</v>
      </c>
      <c r="EI302" t="n">
        <v>6700.7</v>
      </c>
      <c r="EJ302" t="n">
        <v>1449.5</v>
      </c>
      <c r="EK302" t="n">
        <v>1191.7</v>
      </c>
      <c r="EL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24.5</v>
      </c>
      <c r="DQ303" t="n">
        <v>12.78</v>
      </c>
      <c r="DR303" t="n">
        <v>25.56</v>
      </c>
      <c r="DS303" t="n">
        <v>-1.06</v>
      </c>
      <c r="DT303" t="n">
        <v>394</v>
      </c>
      <c r="DU303" t="n">
        <v>10.38</v>
      </c>
      <c r="DV303" t="inlineStr">
        <is>
          <t>flat</t>
        </is>
      </c>
      <c r="DW303" t="n">
        <v>89.81999999999999</v>
      </c>
      <c r="DY303" t="n">
        <v>14.76</v>
      </c>
      <c r="DZ303" t="n">
        <v>81</v>
      </c>
      <c r="EA303" t="n">
        <v>106.86</v>
      </c>
      <c r="EB303" t="n">
        <v>3</v>
      </c>
      <c r="EC303" t="n">
        <v>1.4</v>
      </c>
      <c r="ED303" t="n">
        <v>25</v>
      </c>
      <c r="EE303" t="n">
        <v>183</v>
      </c>
      <c r="EF303" t="n">
        <v>348.5</v>
      </c>
      <c r="EG303" t="n">
        <v>53.6</v>
      </c>
      <c r="EH303" t="n">
        <v>174.2</v>
      </c>
      <c r="EI303" t="n">
        <v>6176.5</v>
      </c>
      <c r="EJ303" t="n">
        <v>3682.7</v>
      </c>
      <c r="EK303" t="n">
        <v>2307.1</v>
      </c>
      <c r="EL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40.1</v>
      </c>
      <c r="DQ304" t="n">
        <v>22.92</v>
      </c>
      <c r="DR304" t="n">
        <v>45.84</v>
      </c>
      <c r="DS304" t="n">
        <v>-5.74</v>
      </c>
      <c r="DT304" t="n">
        <v>884</v>
      </c>
      <c r="DU304" t="n">
        <v>23.25</v>
      </c>
      <c r="DV304" t="inlineStr">
        <is>
          <t>fade (losing his place)</t>
        </is>
      </c>
      <c r="DW304" t="n">
        <v>107.67</v>
      </c>
      <c r="DX304" t="n">
        <v>118</v>
      </c>
      <c r="DY304" t="n">
        <v>14.97</v>
      </c>
      <c r="DZ304" t="n">
        <v>90.5</v>
      </c>
      <c r="EA304" t="n">
        <v>118</v>
      </c>
      <c r="EB304" t="n">
        <v>3</v>
      </c>
      <c r="EC304" t="n">
        <v>1.4</v>
      </c>
      <c r="ED304" t="n">
        <v>0</v>
      </c>
      <c r="EE304" t="n">
        <v>436</v>
      </c>
      <c r="EF304" t="n">
        <v>314</v>
      </c>
      <c r="EG304" t="n">
        <v>188.4</v>
      </c>
      <c r="EH304" t="n">
        <v>471</v>
      </c>
      <c r="EI304" t="n">
        <v>4319.8</v>
      </c>
      <c r="EJ304" t="n">
        <v>2698.8</v>
      </c>
      <c r="EK304" t="n">
        <v>1661</v>
      </c>
      <c r="EL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16.22</v>
      </c>
      <c r="DQ305" t="n">
        <v>8.18</v>
      </c>
      <c r="DR305" t="n">
        <v>16.36</v>
      </c>
      <c r="DS305" t="n">
        <v>-0.14</v>
      </c>
      <c r="DT305" t="n">
        <v>191</v>
      </c>
      <c r="DU305" t="n">
        <v>5.03</v>
      </c>
      <c r="DV305" t="inlineStr">
        <is>
          <t>flat</t>
        </is>
      </c>
      <c r="DW305" t="n">
        <v>103</v>
      </c>
      <c r="DZ305" t="n">
        <v>103</v>
      </c>
      <c r="EA305" t="n">
        <v>103</v>
      </c>
      <c r="EB305" t="n">
        <v>1</v>
      </c>
      <c r="EC305" t="n">
        <v>0.5</v>
      </c>
      <c r="ED305" t="n">
        <v>0</v>
      </c>
      <c r="EE305" t="n">
        <v>302</v>
      </c>
      <c r="EF305" t="n">
        <v>34</v>
      </c>
      <c r="EG305" t="n">
        <v>24.2</v>
      </c>
      <c r="EH305" t="n">
        <v>67.90000000000001</v>
      </c>
      <c r="EI305" t="n">
        <v>623.3</v>
      </c>
      <c r="EJ305" t="n">
        <v>774.3</v>
      </c>
      <c r="EK305" t="n">
        <v>345.3</v>
      </c>
      <c r="EL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83.16</v>
      </c>
      <c r="DQ306" t="n">
        <v>41.58</v>
      </c>
      <c r="DR306" t="n">
        <v>83.16</v>
      </c>
      <c r="DS306" t="n">
        <v>0</v>
      </c>
      <c r="DT306" t="n">
        <v>1277</v>
      </c>
      <c r="DU306" t="n">
        <v>33.6</v>
      </c>
      <c r="DV306" t="inlineStr">
        <is>
          <t>flat</t>
        </is>
      </c>
      <c r="DW306" t="n">
        <v>66.25</v>
      </c>
      <c r="DX306" t="n">
        <v>77.83</v>
      </c>
      <c r="DY306" t="n">
        <v>29.35</v>
      </c>
      <c r="DZ306" t="n">
        <v>12</v>
      </c>
      <c r="EA306" t="n">
        <v>118.67</v>
      </c>
      <c r="EB306" t="n">
        <v>147</v>
      </c>
      <c r="EC306" t="n">
        <v>70.7</v>
      </c>
      <c r="ED306" t="n">
        <v>9.300000000000001</v>
      </c>
      <c r="EE306" t="n">
        <v>103</v>
      </c>
      <c r="EF306" t="n">
        <v>39.8</v>
      </c>
      <c r="EG306" t="n">
        <v>14</v>
      </c>
      <c r="EH306" t="n">
        <v>129.2</v>
      </c>
      <c r="EI306" t="n">
        <v>162.4</v>
      </c>
      <c r="EJ306" t="n">
        <v>1457.3</v>
      </c>
      <c r="EK306" t="n">
        <v>146.1</v>
      </c>
      <c r="EL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W307" t="n">
        <v>102.56</v>
      </c>
      <c r="DY307" t="n">
        <v>11.24</v>
      </c>
      <c r="DZ307" t="n">
        <v>81.33</v>
      </c>
      <c r="EA307" t="n">
        <v>116.8</v>
      </c>
      <c r="EB307" t="n">
        <v>10</v>
      </c>
      <c r="EC307" t="n">
        <v>4.8</v>
      </c>
      <c r="ED307" t="n">
        <v>9.1</v>
      </c>
      <c r="EE307" t="n">
        <v>184</v>
      </c>
      <c r="EF307" t="n">
        <v>14.3</v>
      </c>
      <c r="EG307" t="n">
        <v>10.7</v>
      </c>
      <c r="EH307" t="n">
        <v>214</v>
      </c>
      <c r="EI307" t="n">
        <v>98.90000000000001</v>
      </c>
      <c r="EJ307" t="n">
        <v>1208.6</v>
      </c>
      <c r="EK307" t="n">
        <v>91.40000000000001</v>
      </c>
      <c r="EL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19.99</v>
      </c>
      <c r="DQ308" t="n">
        <v>10.24</v>
      </c>
      <c r="DR308" t="n">
        <v>20.48</v>
      </c>
      <c r="DS308" t="n">
        <v>-0.49</v>
      </c>
      <c r="DT308" t="n">
        <v>406</v>
      </c>
      <c r="DU308" t="n">
        <v>10.68</v>
      </c>
      <c r="DV308" t="inlineStr">
        <is>
          <t>flat</t>
        </is>
      </c>
      <c r="EF308" t="n">
        <v>141.2</v>
      </c>
      <c r="EG308" t="n">
        <v>62.8</v>
      </c>
      <c r="EH308" t="n">
        <v>282.5</v>
      </c>
      <c r="EI308" t="n">
        <v>3139.8</v>
      </c>
      <c r="EJ308" t="n">
        <v>4783.2</v>
      </c>
      <c r="EK308" t="n">
        <v>1895.5</v>
      </c>
      <c r="EL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23.06</v>
      </c>
      <c r="DQ309" t="n">
        <v>11.55</v>
      </c>
      <c r="DR309" t="n">
        <v>23.1</v>
      </c>
      <c r="DS309" t="n">
        <v>-0.04</v>
      </c>
      <c r="DT309" t="n">
        <v>164</v>
      </c>
      <c r="DU309" t="n">
        <v>4.32</v>
      </c>
      <c r="DV309" t="inlineStr">
        <is>
          <t>flat</t>
        </is>
      </c>
      <c r="EF309" t="n">
        <v>61</v>
      </c>
      <c r="EG309" t="n">
        <v>25</v>
      </c>
      <c r="EH309" t="n">
        <v>49.9</v>
      </c>
      <c r="EI309" t="n">
        <v>841.7</v>
      </c>
      <c r="EJ309" t="n">
        <v>493.2</v>
      </c>
      <c r="EK309" t="n">
        <v>311</v>
      </c>
      <c r="EL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23.7</v>
      </c>
      <c r="DQ310" t="n">
        <v>11.86</v>
      </c>
      <c r="DR310" t="n">
        <v>23.72</v>
      </c>
      <c r="DS310" t="n">
        <v>-0.02</v>
      </c>
      <c r="DT310" t="n">
        <v>464</v>
      </c>
      <c r="DU310" t="n">
        <v>12.21</v>
      </c>
      <c r="DV310" t="inlineStr">
        <is>
          <t>flat</t>
        </is>
      </c>
      <c r="DW310" t="n">
        <v>70.01000000000001</v>
      </c>
      <c r="DY310" t="n">
        <v>37.98</v>
      </c>
      <c r="DZ310" t="n">
        <v>32</v>
      </c>
      <c r="EA310" t="n">
        <v>102.86</v>
      </c>
      <c r="EB310" t="n">
        <v>4</v>
      </c>
      <c r="EC310" t="n">
        <v>1.9</v>
      </c>
      <c r="ED310" t="n">
        <v>0</v>
      </c>
      <c r="EE310" t="n">
        <v>104</v>
      </c>
      <c r="EF310" t="n">
        <v>48.6</v>
      </c>
      <c r="EG310" t="n">
        <v>17.4</v>
      </c>
      <c r="EH310" t="n">
        <v>54</v>
      </c>
      <c r="EI310" t="n">
        <v>570.9</v>
      </c>
      <c r="EJ310" t="n">
        <v>506.7</v>
      </c>
      <c r="EK310" t="n">
        <v>268.5</v>
      </c>
      <c r="EL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18.24</v>
      </c>
      <c r="DQ311" t="n">
        <v>9.16</v>
      </c>
      <c r="DR311" t="n">
        <v>18.32</v>
      </c>
      <c r="DS311" t="n">
        <v>-0.08</v>
      </c>
      <c r="DT311" t="n">
        <v>345</v>
      </c>
      <c r="DU311" t="n">
        <v>9.08</v>
      </c>
      <c r="DV311" t="inlineStr">
        <is>
          <t>flat</t>
        </is>
      </c>
      <c r="EF311" t="n">
        <v>429</v>
      </c>
      <c r="EG311" t="n">
        <v>61.3</v>
      </c>
      <c r="EI311" t="n">
        <v>2587</v>
      </c>
      <c r="EJ311" t="n">
        <v>85800</v>
      </c>
      <c r="EK311" t="n">
        <v>2511.2</v>
      </c>
      <c r="EL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17.96</v>
      </c>
      <c r="DQ312" t="n">
        <v>9</v>
      </c>
      <c r="DR312" t="n">
        <v>18</v>
      </c>
      <c r="DS312" t="n">
        <v>-0.04</v>
      </c>
      <c r="DT312" t="n">
        <v>86</v>
      </c>
      <c r="DU312" t="n">
        <v>2.25</v>
      </c>
      <c r="DV312" t="inlineStr">
        <is>
          <t>flat</t>
        </is>
      </c>
      <c r="DW312" t="n">
        <v>72.28</v>
      </c>
      <c r="DX312" t="n">
        <v>64.29000000000001</v>
      </c>
      <c r="DY312" t="n">
        <v>30.34</v>
      </c>
      <c r="DZ312" t="n">
        <v>6</v>
      </c>
      <c r="EA312" t="n">
        <v>116</v>
      </c>
      <c r="EB312" t="n">
        <v>25</v>
      </c>
      <c r="EC312" t="n">
        <v>12</v>
      </c>
      <c r="ED312" t="n">
        <v>30.6</v>
      </c>
      <c r="EE312" t="n">
        <v>105</v>
      </c>
      <c r="EF312" t="n">
        <v>22</v>
      </c>
      <c r="EG312" t="n">
        <v>10</v>
      </c>
      <c r="EH312" t="n">
        <v>139.3</v>
      </c>
      <c r="EI312" t="n">
        <v>125</v>
      </c>
      <c r="EJ312" t="n">
        <v>1784.1</v>
      </c>
      <c r="EK312" t="n">
        <v>116.8</v>
      </c>
      <c r="EL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35.54</v>
      </c>
      <c r="DQ313" t="n">
        <v>17.84</v>
      </c>
      <c r="DR313" t="n">
        <v>35.68</v>
      </c>
      <c r="DS313" t="n">
        <v>-0.14</v>
      </c>
      <c r="DT313" t="n">
        <v>429</v>
      </c>
      <c r="DU313" t="n">
        <v>11.29</v>
      </c>
      <c r="DV313" t="inlineStr">
        <is>
          <t>flat</t>
        </is>
      </c>
      <c r="EF313" t="n">
        <v>39.1</v>
      </c>
      <c r="EG313" t="n">
        <v>19.5</v>
      </c>
      <c r="EH313" t="n">
        <v>60.8</v>
      </c>
      <c r="EI313" t="n">
        <v>639.8</v>
      </c>
      <c r="EJ313" t="n">
        <v>912</v>
      </c>
      <c r="EK313" t="n">
        <v>376</v>
      </c>
      <c r="EL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42.3</v>
      </c>
      <c r="DQ314" t="n">
        <v>21.15</v>
      </c>
      <c r="DR314" t="n">
        <v>42.3</v>
      </c>
      <c r="DS314" t="n">
        <v>0</v>
      </c>
      <c r="DT314" t="n">
        <v>266</v>
      </c>
      <c r="DU314" t="n">
        <v>7</v>
      </c>
      <c r="DV314" t="inlineStr">
        <is>
          <t>flat</t>
        </is>
      </c>
      <c r="DW314" t="n">
        <v>94.25</v>
      </c>
      <c r="DX314" t="n">
        <v>88</v>
      </c>
      <c r="DY314" t="n">
        <v>23.35</v>
      </c>
      <c r="DZ314" t="n">
        <v>23.2</v>
      </c>
      <c r="EA314" t="n">
        <v>119.2</v>
      </c>
      <c r="EB314" t="n">
        <v>20</v>
      </c>
      <c r="EC314" t="n">
        <v>9.6</v>
      </c>
      <c r="ED314" t="n">
        <v>4.8</v>
      </c>
      <c r="EE314" t="n">
        <v>187</v>
      </c>
      <c r="EF314" t="n">
        <v>27.6</v>
      </c>
      <c r="EG314" t="n">
        <v>15.9</v>
      </c>
      <c r="EH314" t="n">
        <v>59.1</v>
      </c>
      <c r="EI314" t="n">
        <v>223</v>
      </c>
      <c r="EJ314" t="n">
        <v>582.9</v>
      </c>
      <c r="EK314" t="n">
        <v>161.3</v>
      </c>
      <c r="EL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37.29</v>
      </c>
      <c r="DQ315" t="n">
        <v>18.32</v>
      </c>
      <c r="DR315" t="n">
        <v>36.64</v>
      </c>
      <c r="DS315" t="n">
        <v>0.65</v>
      </c>
      <c r="DT315" t="n">
        <v>280</v>
      </c>
      <c r="DU315" t="n">
        <v>7.36</v>
      </c>
      <c r="DV315" t="inlineStr">
        <is>
          <t>flat</t>
        </is>
      </c>
      <c r="DW315" t="n">
        <v>95.79000000000001</v>
      </c>
      <c r="DX315" t="n">
        <v>61</v>
      </c>
      <c r="DY315" t="n">
        <v>25.83</v>
      </c>
      <c r="DZ315" t="n">
        <v>25.33</v>
      </c>
      <c r="EA315" t="n">
        <v>120</v>
      </c>
      <c r="EB315" t="n">
        <v>27</v>
      </c>
      <c r="EC315" t="n">
        <v>13</v>
      </c>
      <c r="ED315" t="n">
        <v>6.9</v>
      </c>
      <c r="EE315" t="n">
        <v>186</v>
      </c>
      <c r="EF315" t="n">
        <v>30.9</v>
      </c>
      <c r="EG315" t="n">
        <v>12.6</v>
      </c>
      <c r="EH315" t="n">
        <v>69.5</v>
      </c>
      <c r="EI315" t="n">
        <v>135.7</v>
      </c>
      <c r="EJ315" t="n">
        <v>1136.5</v>
      </c>
      <c r="EK315" t="n">
        <v>121.2</v>
      </c>
      <c r="EL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9.890000000000001</v>
      </c>
      <c r="DQ316" t="n">
        <v>4.95</v>
      </c>
      <c r="DR316" t="n">
        <v>9.9</v>
      </c>
      <c r="DS316" t="n">
        <v>-0.01</v>
      </c>
      <c r="DT316" t="n">
        <v>140</v>
      </c>
      <c r="DU316" t="n">
        <v>3.69</v>
      </c>
      <c r="DV316" t="inlineStr">
        <is>
          <t>flat</t>
        </is>
      </c>
      <c r="DW316" t="n">
        <v>74.17</v>
      </c>
      <c r="DX316" t="n">
        <v>103</v>
      </c>
      <c r="DY316" t="n">
        <v>40.78</v>
      </c>
      <c r="DZ316" t="n">
        <v>45.33</v>
      </c>
      <c r="EA316" t="n">
        <v>103</v>
      </c>
      <c r="EB316" t="n">
        <v>2</v>
      </c>
      <c r="EC316" t="n">
        <v>1</v>
      </c>
      <c r="ED316" t="n">
        <v>0</v>
      </c>
      <c r="EE316" t="n">
        <v>439</v>
      </c>
      <c r="EF316" t="n">
        <v>238</v>
      </c>
      <c r="EG316" t="n">
        <v>238</v>
      </c>
      <c r="EI316" t="n">
        <v>2377.7</v>
      </c>
      <c r="EJ316" t="n">
        <v>11900</v>
      </c>
      <c r="EK316" t="n">
        <v>1981.7</v>
      </c>
      <c r="EL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29.02</v>
      </c>
      <c r="DQ317" t="n">
        <v>15.06</v>
      </c>
      <c r="DR317" t="n">
        <v>30.12</v>
      </c>
      <c r="DS317" t="n">
        <v>-1.1</v>
      </c>
      <c r="DT317" t="n">
        <v>111</v>
      </c>
      <c r="DU317" t="n">
        <v>2.92</v>
      </c>
      <c r="DV317" t="inlineStr">
        <is>
          <t>flat</t>
        </is>
      </c>
      <c r="EF317" t="n">
        <v>56.2</v>
      </c>
      <c r="EG317" t="n">
        <v>19.6</v>
      </c>
      <c r="EH317" t="n">
        <v>37.5</v>
      </c>
      <c r="EI317" t="n">
        <v>745.4</v>
      </c>
      <c r="EJ317" t="n">
        <v>349.3</v>
      </c>
      <c r="EK317" t="n">
        <v>237.8</v>
      </c>
      <c r="EL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21.83</v>
      </c>
      <c r="DQ318" t="n">
        <v>11.46</v>
      </c>
      <c r="DR318" t="n">
        <v>22.92</v>
      </c>
      <c r="DS318" t="n">
        <v>-1.09</v>
      </c>
      <c r="DT318" t="n">
        <v>357</v>
      </c>
      <c r="DU318" t="n">
        <v>9.390000000000001</v>
      </c>
      <c r="DV318" t="inlineStr">
        <is>
          <t>flat</t>
        </is>
      </c>
      <c r="EF318" t="n">
        <v>104.8</v>
      </c>
      <c r="EG318" t="n">
        <v>47.6</v>
      </c>
      <c r="EH318" t="n">
        <v>131</v>
      </c>
      <c r="EI318" t="n">
        <v>852.7</v>
      </c>
      <c r="EJ318" t="n">
        <v>3069.8</v>
      </c>
      <c r="EK318" t="n">
        <v>667.3</v>
      </c>
      <c r="EL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P319" t="n">
        <v>123.36</v>
      </c>
      <c r="DQ319" t="n">
        <v>61.68</v>
      </c>
      <c r="DR319" t="n">
        <v>123.36</v>
      </c>
      <c r="DS319" t="n">
        <v>0</v>
      </c>
      <c r="DT319" t="n">
        <v>3385</v>
      </c>
      <c r="DU319" t="n">
        <v>89.09</v>
      </c>
      <c r="DV319" t="inlineStr">
        <is>
          <t>flat</t>
        </is>
      </c>
      <c r="DW319" t="n">
        <v>96.84</v>
      </c>
      <c r="DX319" t="n">
        <v>108.19</v>
      </c>
      <c r="DY319" t="n">
        <v>25.43</v>
      </c>
      <c r="DZ319" t="n">
        <v>4</v>
      </c>
      <c r="EA319" t="n">
        <v>120</v>
      </c>
      <c r="EB319" t="n">
        <v>137</v>
      </c>
      <c r="EC319" t="n">
        <v>65.90000000000001</v>
      </c>
      <c r="ED319" t="n">
        <v>4.9</v>
      </c>
      <c r="EE319" t="n">
        <v>441</v>
      </c>
      <c r="EL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17.4</v>
      </c>
      <c r="DQ320" t="n">
        <v>8.699999999999999</v>
      </c>
      <c r="DR320" t="n">
        <v>17.4</v>
      </c>
      <c r="DS320" t="n">
        <v>0</v>
      </c>
      <c r="DT320" t="n">
        <v>356</v>
      </c>
      <c r="DU320" t="n">
        <v>9.359999999999999</v>
      </c>
      <c r="DV320" t="inlineStr">
        <is>
          <t>flat</t>
        </is>
      </c>
      <c r="EF320" t="n">
        <v>137.5</v>
      </c>
      <c r="EG320" t="n">
        <v>55</v>
      </c>
      <c r="EH320" t="n">
        <v>550</v>
      </c>
      <c r="EI320" t="n">
        <v>1803.4</v>
      </c>
      <c r="EJ320" t="n">
        <v>1972.4</v>
      </c>
      <c r="EK320" t="n">
        <v>942.1</v>
      </c>
      <c r="EL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45.82</v>
      </c>
      <c r="DQ321" t="n">
        <v>23.13</v>
      </c>
      <c r="DR321" t="n">
        <v>46.26</v>
      </c>
      <c r="DS321" t="n">
        <v>-0.44</v>
      </c>
      <c r="DT321" t="n">
        <v>1151</v>
      </c>
      <c r="DU321" t="n">
        <v>30.3</v>
      </c>
      <c r="DV321" t="inlineStr">
        <is>
          <t>flat</t>
        </is>
      </c>
      <c r="DW321" t="n">
        <v>96.41</v>
      </c>
      <c r="DX321" t="n">
        <v>102.67</v>
      </c>
      <c r="DY321" t="n">
        <v>14.93</v>
      </c>
      <c r="DZ321" t="n">
        <v>53.5</v>
      </c>
      <c r="EA321" t="n">
        <v>117</v>
      </c>
      <c r="EB321" t="n">
        <v>17</v>
      </c>
      <c r="EC321" t="n">
        <v>8.199999999999999</v>
      </c>
      <c r="ED321" t="n">
        <v>15</v>
      </c>
      <c r="EE321" t="n">
        <v>442</v>
      </c>
      <c r="EF321" t="n">
        <v>284.8</v>
      </c>
      <c r="EG321" t="n">
        <v>81.40000000000001</v>
      </c>
      <c r="EH321" t="n">
        <v>142.4</v>
      </c>
      <c r="EI321" t="n">
        <v>3568.8</v>
      </c>
      <c r="EJ321" t="n">
        <v>1726.3</v>
      </c>
      <c r="EK321" t="n">
        <v>1163.5</v>
      </c>
      <c r="EL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9.380000000000001</v>
      </c>
      <c r="DQ322" t="n">
        <v>4.76</v>
      </c>
      <c r="DR322" t="n">
        <v>9.52</v>
      </c>
      <c r="DS322" t="n">
        <v>-0.14</v>
      </c>
      <c r="DT322" t="n">
        <v>50</v>
      </c>
      <c r="DU322" t="n">
        <v>1.32</v>
      </c>
      <c r="DV322" t="inlineStr">
        <is>
          <t>flat</t>
        </is>
      </c>
      <c r="DW322" t="n">
        <v>92.2</v>
      </c>
      <c r="DY322" t="n">
        <v>12.85</v>
      </c>
      <c r="DZ322" t="n">
        <v>77.70999999999999</v>
      </c>
      <c r="EA322" t="n">
        <v>102.22</v>
      </c>
      <c r="EB322" t="n">
        <v>3</v>
      </c>
      <c r="EC322" t="n">
        <v>1.4</v>
      </c>
      <c r="ED322" t="n">
        <v>0</v>
      </c>
      <c r="EE322" t="n">
        <v>443</v>
      </c>
      <c r="EF322" t="n">
        <v>133.7</v>
      </c>
      <c r="EG322" t="n">
        <v>16</v>
      </c>
      <c r="EH322" t="n">
        <v>57.3</v>
      </c>
      <c r="EI322" t="n">
        <v>2455.8</v>
      </c>
      <c r="EJ322" t="n">
        <v>272.4</v>
      </c>
      <c r="EK322" t="n">
        <v>245.2</v>
      </c>
      <c r="EL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11.32</v>
      </c>
      <c r="DQ323" t="n">
        <v>5.66</v>
      </c>
      <c r="DR323" t="n">
        <v>11.32</v>
      </c>
      <c r="DS323" t="n">
        <v>0</v>
      </c>
      <c r="DT323" t="n">
        <v>101</v>
      </c>
      <c r="DU323" t="n">
        <v>2.65</v>
      </c>
      <c r="DV323" t="inlineStr">
        <is>
          <t>flat</t>
        </is>
      </c>
      <c r="DW323" t="n">
        <v>111</v>
      </c>
      <c r="DZ323" t="n">
        <v>111</v>
      </c>
      <c r="EA323" t="n">
        <v>111</v>
      </c>
      <c r="EB323" t="n">
        <v>1</v>
      </c>
      <c r="EC323" t="n">
        <v>0.5</v>
      </c>
      <c r="ED323" t="n">
        <v>0</v>
      </c>
      <c r="EE323" t="n">
        <v>305</v>
      </c>
      <c r="EF323" t="n">
        <v>367</v>
      </c>
      <c r="EG323" t="n">
        <v>91.8</v>
      </c>
      <c r="EH323" t="n">
        <v>367</v>
      </c>
      <c r="EI323" t="n">
        <v>1446.5</v>
      </c>
      <c r="EJ323" t="n">
        <v>2855.9</v>
      </c>
      <c r="EK323" t="n">
        <v>960.2</v>
      </c>
      <c r="EL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12</v>
      </c>
      <c r="DQ324" t="n">
        <v>6</v>
      </c>
      <c r="DR324" t="n">
        <v>12</v>
      </c>
      <c r="DS324" t="n">
        <v>0</v>
      </c>
      <c r="DT324" t="n">
        <v>274</v>
      </c>
      <c r="DU324" t="n">
        <v>7.2</v>
      </c>
      <c r="DV324" t="inlineStr">
        <is>
          <t>flat</t>
        </is>
      </c>
      <c r="DW324" t="n">
        <v>98.29000000000001</v>
      </c>
      <c r="DZ324" t="n">
        <v>98.29000000000001</v>
      </c>
      <c r="EA324" t="n">
        <v>98.29000000000001</v>
      </c>
      <c r="EB324" t="n">
        <v>1</v>
      </c>
      <c r="EC324" t="n">
        <v>0.5</v>
      </c>
      <c r="ED324" t="n">
        <v>50</v>
      </c>
      <c r="EE324" t="n">
        <v>189</v>
      </c>
      <c r="EF324" t="n">
        <v>87.2</v>
      </c>
      <c r="EG324" t="n">
        <v>31.7</v>
      </c>
      <c r="EH324" t="n">
        <v>87.2</v>
      </c>
      <c r="EI324" t="n">
        <v>2066.4</v>
      </c>
      <c r="EJ324" t="n">
        <v>1976.2</v>
      </c>
      <c r="EK324" t="n">
        <v>1010.2</v>
      </c>
      <c r="EL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EF325" t="n">
        <v>26.5</v>
      </c>
      <c r="EG325" t="n">
        <v>9.9</v>
      </c>
      <c r="EI325" t="n">
        <v>250.4</v>
      </c>
      <c r="EJ325" t="n">
        <v>31800</v>
      </c>
      <c r="EK325" t="n">
        <v>248.5</v>
      </c>
      <c r="EL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15.22</v>
      </c>
      <c r="DQ326" t="n">
        <v>7.61</v>
      </c>
      <c r="DR326" t="n">
        <v>15.22</v>
      </c>
      <c r="DS326" t="n">
        <v>0</v>
      </c>
      <c r="DT326" t="n">
        <v>15</v>
      </c>
      <c r="DU326" t="n">
        <v>0.4</v>
      </c>
      <c r="DV326" t="inlineStr">
        <is>
          <t>flat</t>
        </is>
      </c>
      <c r="DW326" t="n">
        <v>109.62</v>
      </c>
      <c r="DX326" t="n">
        <v>106</v>
      </c>
      <c r="DY326" t="n">
        <v>3.64</v>
      </c>
      <c r="DZ326" t="n">
        <v>106</v>
      </c>
      <c r="EA326" t="n">
        <v>113</v>
      </c>
      <c r="EB326" t="n">
        <v>4</v>
      </c>
      <c r="EC326" t="n">
        <v>1.9</v>
      </c>
      <c r="ED326" t="n">
        <v>20</v>
      </c>
      <c r="EE326" t="n">
        <v>307</v>
      </c>
      <c r="EF326" t="n">
        <v>17.4</v>
      </c>
      <c r="EG326" t="n">
        <v>13.6</v>
      </c>
      <c r="EH326" t="n">
        <v>244</v>
      </c>
      <c r="EI326" t="n">
        <v>246</v>
      </c>
      <c r="EJ326" t="n">
        <v>2261.3</v>
      </c>
      <c r="EK326" t="n">
        <v>221.9</v>
      </c>
      <c r="EL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28.18</v>
      </c>
      <c r="DQ327" t="n">
        <v>14.09</v>
      </c>
      <c r="DR327" t="n">
        <v>28.18</v>
      </c>
      <c r="DS327" t="n">
        <v>0</v>
      </c>
      <c r="DT327" t="n">
        <v>633</v>
      </c>
      <c r="DU327" t="n">
        <v>16.65</v>
      </c>
      <c r="DV327" t="inlineStr">
        <is>
          <t>flat</t>
        </is>
      </c>
      <c r="ED327" t="n">
        <v>100</v>
      </c>
      <c r="EE327" t="n">
        <v>190</v>
      </c>
      <c r="EF327" t="n">
        <v>72</v>
      </c>
      <c r="EG327" t="n">
        <v>19.2</v>
      </c>
      <c r="EH327" t="n">
        <v>48</v>
      </c>
      <c r="EI327" t="n">
        <v>1516.8</v>
      </c>
      <c r="EJ327" t="n">
        <v>467.6</v>
      </c>
      <c r="EK327" t="n">
        <v>357.4</v>
      </c>
      <c r="EL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24.2</v>
      </c>
      <c r="DQ328" t="n">
        <v>11.6</v>
      </c>
      <c r="DR328" t="n">
        <v>23.2</v>
      </c>
      <c r="DS328" t="n">
        <v>1</v>
      </c>
      <c r="DT328" t="n">
        <v>268</v>
      </c>
      <c r="DU328" t="n">
        <v>7.06</v>
      </c>
      <c r="DV328" t="inlineStr">
        <is>
          <t>flat</t>
        </is>
      </c>
      <c r="DW328" t="n">
        <v>103.31</v>
      </c>
      <c r="DY328" t="n">
        <v>1.85</v>
      </c>
      <c r="DZ328" t="n">
        <v>102</v>
      </c>
      <c r="EA328" t="n">
        <v>104.62</v>
      </c>
      <c r="EB328" t="n">
        <v>2</v>
      </c>
      <c r="EC328" t="n">
        <v>1</v>
      </c>
      <c r="ED328" t="n">
        <v>60</v>
      </c>
      <c r="EE328" t="n">
        <v>193</v>
      </c>
      <c r="EF328" t="n">
        <v>33</v>
      </c>
      <c r="EG328" t="n">
        <v>12</v>
      </c>
      <c r="EH328" t="n">
        <v>22</v>
      </c>
      <c r="EI328" t="n">
        <v>247.9</v>
      </c>
      <c r="EJ328" t="n">
        <v>534.1</v>
      </c>
      <c r="EK328" t="n">
        <v>169.3</v>
      </c>
      <c r="EL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P329" t="n">
        <v>0.38</v>
      </c>
      <c r="DQ329" t="n">
        <v>0.19</v>
      </c>
      <c r="DR329" t="n">
        <v>0.38</v>
      </c>
      <c r="DS329" t="n">
        <v>0</v>
      </c>
      <c r="DT329" t="n">
        <v>0</v>
      </c>
      <c r="DU329" t="n">
        <v>0.01</v>
      </c>
      <c r="DV329" t="inlineStr">
        <is>
          <t>flat</t>
        </is>
      </c>
      <c r="DW329" t="n">
        <v>115.87</v>
      </c>
      <c r="DX329" t="n">
        <v>113.5</v>
      </c>
      <c r="DY329" t="n">
        <v>2.78</v>
      </c>
      <c r="DZ329" t="n">
        <v>112</v>
      </c>
      <c r="EA329" t="n">
        <v>120</v>
      </c>
      <c r="EB329" t="n">
        <v>9</v>
      </c>
      <c r="EC329" t="n">
        <v>4.3</v>
      </c>
      <c r="ED329" t="n">
        <v>18.2</v>
      </c>
      <c r="EE329" t="n">
        <v>445</v>
      </c>
      <c r="EJ329" t="n">
        <v>27000</v>
      </c>
      <c r="EK329" t="n">
        <v>27000</v>
      </c>
      <c r="EL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inlineStr">
        <is>
          <t>flat</t>
        </is>
      </c>
      <c r="EF330" t="n">
        <v>50.5</v>
      </c>
      <c r="EG330" t="n">
        <v>28.9</v>
      </c>
      <c r="EH330" t="n">
        <v>50.5</v>
      </c>
      <c r="EI330" t="n">
        <v>171.9</v>
      </c>
      <c r="EJ330" t="n">
        <v>1225.7</v>
      </c>
      <c r="EK330" t="n">
        <v>150.8</v>
      </c>
      <c r="EL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44.95</v>
      </c>
      <c r="DQ331" t="n">
        <v>22.51</v>
      </c>
      <c r="DR331" t="n">
        <v>45.02</v>
      </c>
      <c r="DS331" t="n">
        <v>-0.07000000000000001</v>
      </c>
      <c r="DT331" t="n">
        <v>885</v>
      </c>
      <c r="DU331" t="n">
        <v>23.3</v>
      </c>
      <c r="DV331" t="inlineStr">
        <is>
          <t>flat</t>
        </is>
      </c>
      <c r="DW331" t="n">
        <v>77.31</v>
      </c>
      <c r="DY331" t="n">
        <v>19.27</v>
      </c>
      <c r="DZ331" t="n">
        <v>51.2</v>
      </c>
      <c r="EA331" t="n">
        <v>97.59999999999999</v>
      </c>
      <c r="EB331" t="n">
        <v>4</v>
      </c>
      <c r="EC331" t="n">
        <v>1.9</v>
      </c>
      <c r="ED331" t="n">
        <v>0</v>
      </c>
      <c r="EE331" t="n">
        <v>194</v>
      </c>
      <c r="EF331" t="n">
        <v>35.1</v>
      </c>
      <c r="EG331" t="n">
        <v>17.6</v>
      </c>
      <c r="EH331" t="n">
        <v>117</v>
      </c>
      <c r="EI331" t="n">
        <v>477.9</v>
      </c>
      <c r="EJ331" t="n">
        <v>277.3</v>
      </c>
      <c r="EK331" t="n">
        <v>175.5</v>
      </c>
      <c r="EL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P332" t="n">
        <v>1.52</v>
      </c>
      <c r="DQ332" t="n">
        <v>0.76</v>
      </c>
      <c r="DR332" t="n">
        <v>1.52</v>
      </c>
      <c r="DS332" t="n">
        <v>0</v>
      </c>
      <c r="DT332" t="n">
        <v>35</v>
      </c>
      <c r="DU332" t="n">
        <v>0.91</v>
      </c>
      <c r="DV332" t="inlineStr">
        <is>
          <t>flat</t>
        </is>
      </c>
      <c r="DW332" t="n">
        <v>117.52</v>
      </c>
      <c r="DX332" t="n">
        <v>115</v>
      </c>
      <c r="DY332" t="n">
        <v>2.26</v>
      </c>
      <c r="DZ332" t="n">
        <v>112.5</v>
      </c>
      <c r="EA332" t="n">
        <v>120</v>
      </c>
      <c r="EB332" t="n">
        <v>21</v>
      </c>
      <c r="EC332" t="n">
        <v>10.1</v>
      </c>
      <c r="ED332" t="n">
        <v>8.699999999999999</v>
      </c>
      <c r="EE332" t="n">
        <v>444</v>
      </c>
      <c r="EL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7.27</v>
      </c>
      <c r="DQ333" t="n">
        <v>3.82</v>
      </c>
      <c r="DR333" t="n">
        <v>7.64</v>
      </c>
      <c r="DS333" t="n">
        <v>-0.37</v>
      </c>
      <c r="DT333" t="n">
        <v>85</v>
      </c>
      <c r="DU333" t="n">
        <v>2.24</v>
      </c>
      <c r="DV333" t="inlineStr">
        <is>
          <t>flat</t>
        </is>
      </c>
      <c r="DW333" t="n">
        <v>69.76000000000001</v>
      </c>
      <c r="DX333" t="n">
        <v>61</v>
      </c>
      <c r="DY333" t="n">
        <v>38.09</v>
      </c>
      <c r="DZ333" t="n">
        <v>12</v>
      </c>
      <c r="EA333" t="n">
        <v>110</v>
      </c>
      <c r="EB333" t="n">
        <v>5</v>
      </c>
      <c r="EC333" t="n">
        <v>2.4</v>
      </c>
      <c r="ED333" t="n">
        <v>0</v>
      </c>
      <c r="EE333" t="n">
        <v>191</v>
      </c>
      <c r="EF333" t="n">
        <v>25.3</v>
      </c>
      <c r="EG333" t="n">
        <v>8</v>
      </c>
      <c r="EH333" t="n">
        <v>38</v>
      </c>
      <c r="EI333" t="n">
        <v>163.5</v>
      </c>
      <c r="EJ333" t="n">
        <v>325.6</v>
      </c>
      <c r="EK333" t="n">
        <v>108.9</v>
      </c>
      <c r="EL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8.640000000000001</v>
      </c>
      <c r="DQ334" t="n">
        <v>4.34</v>
      </c>
      <c r="DR334" t="n">
        <v>8.68</v>
      </c>
      <c r="DS334" t="n">
        <v>-0.04</v>
      </c>
      <c r="DT334" t="n">
        <v>46</v>
      </c>
      <c r="DU334" t="n">
        <v>1.21</v>
      </c>
      <c r="DV334" t="inlineStr">
        <is>
          <t>flat</t>
        </is>
      </c>
      <c r="EF334" t="n">
        <v>44.5</v>
      </c>
      <c r="EG334" t="n">
        <v>89</v>
      </c>
      <c r="EH334" t="n">
        <v>29.7</v>
      </c>
      <c r="EI334" t="n">
        <v>821.8</v>
      </c>
      <c r="EJ334" t="n">
        <v>208.7</v>
      </c>
      <c r="EK334" t="n">
        <v>166.4</v>
      </c>
      <c r="EL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21.46</v>
      </c>
      <c r="DQ335" t="n">
        <v>10.73</v>
      </c>
      <c r="DR335" t="n">
        <v>21.46</v>
      </c>
      <c r="DS335" t="n">
        <v>0</v>
      </c>
      <c r="DT335" t="n">
        <v>52</v>
      </c>
      <c r="DU335" t="n">
        <v>1.38</v>
      </c>
      <c r="DV335" t="inlineStr">
        <is>
          <t>flat</t>
        </is>
      </c>
      <c r="EF335" t="n">
        <v>57</v>
      </c>
      <c r="EG335" t="n">
        <v>22.2</v>
      </c>
      <c r="EH335" t="n">
        <v>399</v>
      </c>
      <c r="EI335" t="n">
        <v>517</v>
      </c>
      <c r="EJ335" t="n">
        <v>1605.2</v>
      </c>
      <c r="EK335" t="n">
        <v>391.1</v>
      </c>
      <c r="EL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1.16</v>
      </c>
      <c r="DQ336" t="n">
        <v>1.16</v>
      </c>
      <c r="DR336" t="n">
        <v>2.32</v>
      </c>
      <c r="DS336" t="n">
        <v>-1.16</v>
      </c>
      <c r="DT336" t="n">
        <v>0</v>
      </c>
      <c r="DU336" t="n">
        <v>0</v>
      </c>
      <c r="DV336" t="inlineStr">
        <is>
          <t>flat</t>
        </is>
      </c>
      <c r="EF336" t="n">
        <v>318</v>
      </c>
      <c r="EG336" t="n">
        <v>35.3</v>
      </c>
      <c r="EI336" t="n">
        <v>33133.6</v>
      </c>
      <c r="EJ336" t="n">
        <v>10600</v>
      </c>
      <c r="EK336" t="n">
        <v>8030.8</v>
      </c>
      <c r="EL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inlineStr">
        <is>
          <t>flat</t>
        </is>
      </c>
      <c r="DW337" t="n">
        <v>100.65</v>
      </c>
      <c r="DX337" t="n">
        <v>100</v>
      </c>
      <c r="DY337" t="n">
        <v>12.37</v>
      </c>
      <c r="DZ337" t="n">
        <v>80.73</v>
      </c>
      <c r="EA337" t="n">
        <v>114.5</v>
      </c>
      <c r="EB337" t="n">
        <v>5</v>
      </c>
      <c r="EC337" t="n">
        <v>2.4</v>
      </c>
      <c r="ED337" t="n">
        <v>0</v>
      </c>
      <c r="EE337" t="n">
        <v>311</v>
      </c>
      <c r="EF337" t="n">
        <v>20.4</v>
      </c>
      <c r="EG337" t="n">
        <v>16.6</v>
      </c>
      <c r="EH337" t="n">
        <v>88.3</v>
      </c>
      <c r="EI337" t="n">
        <v>131</v>
      </c>
      <c r="EJ337" t="n">
        <v>505.4</v>
      </c>
      <c r="EK337" t="n">
        <v>104</v>
      </c>
      <c r="EL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10.49</v>
      </c>
      <c r="DQ338" t="n">
        <v>5.25</v>
      </c>
      <c r="DR338" t="n">
        <v>10.5</v>
      </c>
      <c r="DS338" t="n">
        <v>-0.01</v>
      </c>
      <c r="DT338" t="n">
        <v>249</v>
      </c>
      <c r="DU338" t="n">
        <v>6.55</v>
      </c>
      <c r="DV338" t="inlineStr">
        <is>
          <t>flat</t>
        </is>
      </c>
      <c r="DW338" t="n">
        <v>78.67</v>
      </c>
      <c r="DZ338" t="n">
        <v>78.67</v>
      </c>
      <c r="EA338" t="n">
        <v>78.67</v>
      </c>
      <c r="EB338" t="n">
        <v>1</v>
      </c>
      <c r="EC338" t="n">
        <v>0.5</v>
      </c>
      <c r="ED338" t="n">
        <v>0</v>
      </c>
      <c r="EE338" t="n">
        <v>448</v>
      </c>
      <c r="EF338" t="n">
        <v>171.3</v>
      </c>
      <c r="EG338" t="n">
        <v>128.5</v>
      </c>
      <c r="EH338" t="n">
        <v>514</v>
      </c>
      <c r="EI338" t="n">
        <v>1361.9</v>
      </c>
      <c r="EJ338" t="n">
        <v>7407</v>
      </c>
      <c r="EK338" t="n">
        <v>1150.4</v>
      </c>
      <c r="EL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18.36</v>
      </c>
      <c r="DQ339" t="n">
        <v>9.529999999999999</v>
      </c>
      <c r="DR339" t="n">
        <v>19.06</v>
      </c>
      <c r="DS339" t="n">
        <v>-0.7</v>
      </c>
      <c r="DT339" t="n">
        <v>128</v>
      </c>
      <c r="DU339" t="n">
        <v>3.36</v>
      </c>
      <c r="DV339" t="inlineStr">
        <is>
          <t>flat</t>
        </is>
      </c>
      <c r="EF339" t="n">
        <v>124.7</v>
      </c>
      <c r="EG339" t="n">
        <v>124.7</v>
      </c>
      <c r="EH339" t="n">
        <v>374</v>
      </c>
      <c r="EI339" t="n">
        <v>1536.8</v>
      </c>
      <c r="EJ339" t="n">
        <v>774.9</v>
      </c>
      <c r="EK339" t="n">
        <v>515.1</v>
      </c>
      <c r="EL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47.2</v>
      </c>
      <c r="DQ340" t="n">
        <v>23.6</v>
      </c>
      <c r="DR340" t="n">
        <v>47.2</v>
      </c>
      <c r="DS340" t="n">
        <v>0</v>
      </c>
      <c r="DT340" t="n">
        <v>648</v>
      </c>
      <c r="DU340" t="n">
        <v>17.04</v>
      </c>
      <c r="DV340" t="inlineStr">
        <is>
          <t>flat</t>
        </is>
      </c>
      <c r="EF340" t="n">
        <v>57.3</v>
      </c>
      <c r="EG340" t="n">
        <v>25.1</v>
      </c>
      <c r="EH340" t="n">
        <v>133.7</v>
      </c>
      <c r="EI340" t="n">
        <v>478.6</v>
      </c>
      <c r="EJ340" t="n">
        <v>4639.3</v>
      </c>
      <c r="EK340" t="n">
        <v>433.9</v>
      </c>
      <c r="EL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19</v>
      </c>
      <c r="DQ341" t="n">
        <v>9.5</v>
      </c>
      <c r="DR341" t="n">
        <v>19</v>
      </c>
      <c r="DS341" t="n">
        <v>0</v>
      </c>
      <c r="DT341" t="n">
        <v>10</v>
      </c>
      <c r="DU341" t="n">
        <v>0.25</v>
      </c>
      <c r="DV341" t="inlineStr">
        <is>
          <t>flat</t>
        </is>
      </c>
      <c r="EF341" t="n">
        <v>50</v>
      </c>
      <c r="EG341" t="n">
        <v>50</v>
      </c>
      <c r="EI341" t="n">
        <v>143.9</v>
      </c>
      <c r="EJ341" t="n">
        <v>6666.7</v>
      </c>
      <c r="EK341" t="n">
        <v>140.9</v>
      </c>
      <c r="EL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inlineStr">
        <is>
          <t>flat</t>
        </is>
      </c>
      <c r="EF342" t="n">
        <v>23.6</v>
      </c>
      <c r="EG342" t="n">
        <v>14.8</v>
      </c>
      <c r="EH342" t="n">
        <v>59</v>
      </c>
      <c r="EI342" t="n">
        <v>146.5</v>
      </c>
      <c r="EJ342" t="n">
        <v>1396.3</v>
      </c>
      <c r="EK342" t="n">
        <v>132.6</v>
      </c>
      <c r="EL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P343" t="n">
        <v>123.14</v>
      </c>
      <c r="DQ343" t="n">
        <v>61.57</v>
      </c>
      <c r="DR343" t="n">
        <v>123.14</v>
      </c>
      <c r="DS343" t="n">
        <v>0</v>
      </c>
      <c r="DT343" t="n">
        <v>3385</v>
      </c>
      <c r="DU343" t="n">
        <v>89.09</v>
      </c>
      <c r="DV343" t="inlineStr">
        <is>
          <t>flat</t>
        </is>
      </c>
      <c r="DW343" t="n">
        <v>88.72</v>
      </c>
      <c r="DX343" t="n">
        <v>99.7</v>
      </c>
      <c r="DY343" t="n">
        <v>29.86</v>
      </c>
      <c r="DZ343" t="n">
        <v>2.4</v>
      </c>
      <c r="EA343" t="n">
        <v>120</v>
      </c>
      <c r="EB343" t="n">
        <v>158</v>
      </c>
      <c r="EC343" t="n">
        <v>76</v>
      </c>
      <c r="ED343" t="n">
        <v>15.1</v>
      </c>
      <c r="EE343" t="n">
        <v>312</v>
      </c>
      <c r="EL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EF344" t="n">
        <v>43.7</v>
      </c>
      <c r="EG344" t="n">
        <v>37.4</v>
      </c>
      <c r="EH344" t="n">
        <v>131</v>
      </c>
      <c r="EI344" t="n">
        <v>734</v>
      </c>
      <c r="EJ344" t="n">
        <v>922.5</v>
      </c>
      <c r="EK344" t="n">
        <v>408.8</v>
      </c>
      <c r="EL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6.15</v>
      </c>
      <c r="DQ345" t="n">
        <v>3.17</v>
      </c>
      <c r="DR345" t="n">
        <v>6.34</v>
      </c>
      <c r="DS345" t="n">
        <v>-0.19</v>
      </c>
      <c r="DT345" t="n">
        <v>76</v>
      </c>
      <c r="DU345" t="n">
        <v>2</v>
      </c>
      <c r="DV345" t="inlineStr">
        <is>
          <t>flat</t>
        </is>
      </c>
      <c r="EF345" t="n">
        <v>170</v>
      </c>
      <c r="EG345" t="n">
        <v>85</v>
      </c>
      <c r="EH345" t="n">
        <v>170</v>
      </c>
      <c r="EI345" t="n">
        <v>3334.6</v>
      </c>
      <c r="EJ345" t="n">
        <v>1799.8</v>
      </c>
      <c r="EK345" t="n">
        <v>1168.9</v>
      </c>
      <c r="EL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P346" t="n">
        <v>21.91</v>
      </c>
      <c r="DQ346" t="n">
        <v>10.96</v>
      </c>
      <c r="DR346" t="n">
        <v>21.92</v>
      </c>
      <c r="DS346" t="n">
        <v>-0.01</v>
      </c>
      <c r="DT346" t="n">
        <v>480</v>
      </c>
      <c r="DU346" t="n">
        <v>12.63</v>
      </c>
      <c r="DV346" t="inlineStr">
        <is>
          <t>flat</t>
        </is>
      </c>
      <c r="EG346" t="n">
        <v>44</v>
      </c>
      <c r="EH346" t="n">
        <v>88</v>
      </c>
      <c r="EJ346" t="n">
        <v>240.9</v>
      </c>
      <c r="EK346" t="n">
        <v>240.9</v>
      </c>
      <c r="EL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W347" t="n">
        <v>116.82</v>
      </c>
      <c r="DY347" t="n">
        <v>1.6</v>
      </c>
      <c r="DZ347" t="n">
        <v>114.46</v>
      </c>
      <c r="EA347" t="n">
        <v>118</v>
      </c>
      <c r="EB347" t="n">
        <v>4</v>
      </c>
      <c r="EC347" t="n">
        <v>1.9</v>
      </c>
      <c r="ED347" t="n">
        <v>20</v>
      </c>
      <c r="EE347" t="n">
        <v>449</v>
      </c>
      <c r="EH347" t="n">
        <v>540</v>
      </c>
      <c r="EJ347" t="n">
        <v>3140.3</v>
      </c>
      <c r="EK347" t="n">
        <v>3140.3</v>
      </c>
      <c r="EL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17.28</v>
      </c>
      <c r="DQ348" t="n">
        <v>9.07</v>
      </c>
      <c r="DR348" t="n">
        <v>18.14</v>
      </c>
      <c r="DS348" t="n">
        <v>-0.86</v>
      </c>
      <c r="DT348" t="n">
        <v>160</v>
      </c>
      <c r="DU348" t="n">
        <v>4.2</v>
      </c>
      <c r="DV348" t="inlineStr">
        <is>
          <t>flat</t>
        </is>
      </c>
      <c r="EF348" t="n">
        <v>35</v>
      </c>
      <c r="EG348" t="n">
        <v>10.5</v>
      </c>
      <c r="EH348" t="n">
        <v>105</v>
      </c>
      <c r="EI348" t="n">
        <v>297.5</v>
      </c>
      <c r="EJ348" t="n">
        <v>357.7</v>
      </c>
      <c r="EK348" t="n">
        <v>162.4</v>
      </c>
      <c r="EL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P349" t="n">
        <v>1.5</v>
      </c>
      <c r="DQ349" t="n">
        <v>0.75</v>
      </c>
      <c r="DR349" t="n">
        <v>1.5</v>
      </c>
      <c r="DS349" t="n">
        <v>0</v>
      </c>
      <c r="DT349" t="n">
        <v>35</v>
      </c>
      <c r="DU349" t="n">
        <v>0.91</v>
      </c>
      <c r="DV349" t="inlineStr">
        <is>
          <t>flat</t>
        </is>
      </c>
      <c r="DW349" t="n">
        <v>118.75</v>
      </c>
      <c r="DY349" t="n">
        <v>1.85</v>
      </c>
      <c r="DZ349" t="n">
        <v>116</v>
      </c>
      <c r="EA349" t="n">
        <v>120</v>
      </c>
      <c r="EB349" t="n">
        <v>4</v>
      </c>
      <c r="EC349" t="n">
        <v>1.9</v>
      </c>
      <c r="ED349" t="n">
        <v>20</v>
      </c>
      <c r="EE349" t="n">
        <v>450</v>
      </c>
      <c r="EL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P350" t="n">
        <v>16.43</v>
      </c>
      <c r="DQ350" t="n">
        <v>8.23</v>
      </c>
      <c r="DR350" t="n">
        <v>16.46</v>
      </c>
      <c r="DS350" t="n">
        <v>-0.03</v>
      </c>
      <c r="DT350" t="n">
        <v>115</v>
      </c>
      <c r="DU350" t="n">
        <v>3.02</v>
      </c>
      <c r="DV350" t="inlineStr">
        <is>
          <t>flat</t>
        </is>
      </c>
      <c r="EG350" t="n">
        <v>70.59999999999999</v>
      </c>
      <c r="EH350" t="n">
        <v>176.5</v>
      </c>
      <c r="EJ350" t="n">
        <v>1389.6</v>
      </c>
      <c r="EK350" t="n">
        <v>1389.6</v>
      </c>
      <c r="EL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6.08</v>
      </c>
      <c r="DQ351" t="n">
        <v>3.05</v>
      </c>
      <c r="DR351" t="n">
        <v>6.1</v>
      </c>
      <c r="DS351" t="n">
        <v>-0.02</v>
      </c>
      <c r="DT351" t="n">
        <v>108</v>
      </c>
      <c r="DU351" t="n">
        <v>2.84</v>
      </c>
      <c r="DV351" t="inlineStr">
        <is>
          <t>flat</t>
        </is>
      </c>
      <c r="EF351" t="n">
        <v>68</v>
      </c>
      <c r="EG351" t="n">
        <v>45.3</v>
      </c>
      <c r="EH351" t="n">
        <v>136</v>
      </c>
      <c r="EI351" t="n">
        <v>211.1</v>
      </c>
      <c r="EJ351" t="n">
        <v>2871.1</v>
      </c>
      <c r="EK351" t="n">
        <v>196.7</v>
      </c>
      <c r="EL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P352" t="n">
        <v>2.96</v>
      </c>
      <c r="DQ352" t="n">
        <v>1.52</v>
      </c>
      <c r="DR352" t="n">
        <v>3.04</v>
      </c>
      <c r="DS352" t="n">
        <v>-0.08</v>
      </c>
      <c r="DT352" t="n">
        <v>3</v>
      </c>
      <c r="DU352" t="n">
        <v>0.08</v>
      </c>
      <c r="DV352" t="inlineStr">
        <is>
          <t>flat</t>
        </is>
      </c>
      <c r="EG352" t="n">
        <v>193</v>
      </c>
      <c r="EJ352" t="n">
        <v>38600</v>
      </c>
      <c r="EK352" t="n">
        <v>38600</v>
      </c>
      <c r="EL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17.64</v>
      </c>
      <c r="DQ353" t="n">
        <v>10.59</v>
      </c>
      <c r="DR353" t="n">
        <v>21.18</v>
      </c>
      <c r="DS353" t="n">
        <v>-3.54</v>
      </c>
      <c r="DT353" t="n">
        <v>206</v>
      </c>
      <c r="DU353" t="n">
        <v>5.42</v>
      </c>
      <c r="DV353" t="inlineStr">
        <is>
          <t>flat</t>
        </is>
      </c>
      <c r="DW353" t="n">
        <v>101</v>
      </c>
      <c r="DZ353" t="n">
        <v>101</v>
      </c>
      <c r="EA353" t="n">
        <v>101</v>
      </c>
      <c r="EB353" t="n">
        <v>1</v>
      </c>
      <c r="EC353" t="n">
        <v>0.5</v>
      </c>
      <c r="ED353" t="n">
        <v>0</v>
      </c>
      <c r="EE353" t="n">
        <v>196</v>
      </c>
      <c r="EF353" t="n">
        <v>62.5</v>
      </c>
      <c r="EH353" t="n">
        <v>31.2</v>
      </c>
      <c r="EI353" t="n">
        <v>1125.3</v>
      </c>
      <c r="EJ353" t="n">
        <v>295</v>
      </c>
      <c r="EK353" t="n">
        <v>233.7</v>
      </c>
      <c r="EL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8.34</v>
      </c>
      <c r="DQ354" t="n">
        <v>4.17</v>
      </c>
      <c r="DR354" t="n">
        <v>8.34</v>
      </c>
      <c r="DS354" t="n">
        <v>0</v>
      </c>
      <c r="DT354" t="n">
        <v>38</v>
      </c>
      <c r="DU354" t="n">
        <v>1</v>
      </c>
      <c r="DV354" t="inlineStr">
        <is>
          <t>flat</t>
        </is>
      </c>
      <c r="DW354" t="n">
        <v>102.08</v>
      </c>
      <c r="DX354" t="n">
        <v>38</v>
      </c>
      <c r="DY354" t="n">
        <v>26.03</v>
      </c>
      <c r="DZ354" t="n">
        <v>38</v>
      </c>
      <c r="EA354" t="n">
        <v>115.08</v>
      </c>
      <c r="EB354" t="n">
        <v>8</v>
      </c>
      <c r="EC354" t="n">
        <v>3.8</v>
      </c>
      <c r="ED354" t="n">
        <v>11.1</v>
      </c>
      <c r="EE354" t="n">
        <v>197</v>
      </c>
      <c r="EF354" t="n">
        <v>22.2</v>
      </c>
      <c r="EG354" t="n">
        <v>11.1</v>
      </c>
      <c r="EH354" t="n">
        <v>89</v>
      </c>
      <c r="EI354" t="n">
        <v>257.6</v>
      </c>
      <c r="EJ354" t="n">
        <v>5678.1</v>
      </c>
      <c r="EK354" t="n">
        <v>246.4</v>
      </c>
      <c r="EL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W355" t="n">
        <v>114.8</v>
      </c>
      <c r="DY355" t="n">
        <v>7.04</v>
      </c>
      <c r="DZ355" t="n">
        <v>93</v>
      </c>
      <c r="EA355" t="n">
        <v>120</v>
      </c>
      <c r="EB355" t="n">
        <v>15</v>
      </c>
      <c r="EC355" t="n">
        <v>7.2</v>
      </c>
      <c r="ED355" t="n">
        <v>67.40000000000001</v>
      </c>
      <c r="EE355" t="n">
        <v>318</v>
      </c>
      <c r="EL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P356" t="n">
        <v>102.63</v>
      </c>
      <c r="DQ356" t="n">
        <v>51.32</v>
      </c>
      <c r="DR356" t="n">
        <v>102.64</v>
      </c>
      <c r="DS356" t="n">
        <v>-0.01</v>
      </c>
      <c r="DT356" t="n">
        <v>2576</v>
      </c>
      <c r="DU356" t="n">
        <v>67.8</v>
      </c>
      <c r="DV356" t="inlineStr">
        <is>
          <t>flat</t>
        </is>
      </c>
      <c r="DW356" t="n">
        <v>85.94</v>
      </c>
      <c r="DX356" t="n">
        <v>90.5</v>
      </c>
      <c r="DY356" t="n">
        <v>22.08</v>
      </c>
      <c r="DZ356" t="n">
        <v>25.33</v>
      </c>
      <c r="EA356" t="n">
        <v>117</v>
      </c>
      <c r="EB356" t="n">
        <v>92</v>
      </c>
      <c r="EC356" t="n">
        <v>44.2</v>
      </c>
      <c r="ED356" t="n">
        <v>4.2</v>
      </c>
      <c r="EE356" t="n">
        <v>320</v>
      </c>
      <c r="EG356" t="n">
        <v>75</v>
      </c>
      <c r="EJ356" t="n">
        <v>3750</v>
      </c>
      <c r="EK356" t="n">
        <v>3750</v>
      </c>
      <c r="EL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19.79</v>
      </c>
      <c r="DQ357" t="n">
        <v>10.15</v>
      </c>
      <c r="DR357" t="n">
        <v>20.3</v>
      </c>
      <c r="DS357" t="n">
        <v>-0.51</v>
      </c>
      <c r="DT357" t="n">
        <v>126</v>
      </c>
      <c r="DU357" t="n">
        <v>3.31</v>
      </c>
      <c r="DV357" t="inlineStr">
        <is>
          <t>flat</t>
        </is>
      </c>
      <c r="EF357" t="n">
        <v>67.5</v>
      </c>
      <c r="EG357" t="n">
        <v>19.3</v>
      </c>
      <c r="EH357" t="n">
        <v>27</v>
      </c>
      <c r="EI357" t="n">
        <v>927.3</v>
      </c>
      <c r="EJ357" t="n">
        <v>392.9</v>
      </c>
      <c r="EK357" t="n">
        <v>276</v>
      </c>
      <c r="EL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4.14</v>
      </c>
      <c r="DQ358" t="n">
        <v>2.09</v>
      </c>
      <c r="DR358" t="n">
        <v>4.18</v>
      </c>
      <c r="DS358" t="n">
        <v>-0.04</v>
      </c>
      <c r="DT358" t="n">
        <v>11</v>
      </c>
      <c r="DU358" t="n">
        <v>0.28</v>
      </c>
      <c r="DV358" t="inlineStr">
        <is>
          <t>flat</t>
        </is>
      </c>
      <c r="EF358" t="n">
        <v>27.5</v>
      </c>
      <c r="EG358" t="n">
        <v>27.5</v>
      </c>
      <c r="EH358" t="n">
        <v>165</v>
      </c>
      <c r="EI358" t="n">
        <v>590.1</v>
      </c>
      <c r="EJ358" t="n">
        <v>2569.9</v>
      </c>
      <c r="EK358" t="n">
        <v>479.9</v>
      </c>
      <c r="EL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P359" t="n">
        <v>1.5</v>
      </c>
      <c r="DQ359" t="n">
        <v>0.75</v>
      </c>
      <c r="DR359" t="n">
        <v>1.5</v>
      </c>
      <c r="DS359" t="n">
        <v>0</v>
      </c>
      <c r="DT359" t="n">
        <v>35</v>
      </c>
      <c r="DU359" t="n">
        <v>0.91</v>
      </c>
      <c r="DV359" t="inlineStr">
        <is>
          <t>flat</t>
        </is>
      </c>
      <c r="DW359" t="n">
        <v>116.7</v>
      </c>
      <c r="DY359" t="n">
        <v>2.71</v>
      </c>
      <c r="DZ359" t="n">
        <v>113</v>
      </c>
      <c r="EA359" t="n">
        <v>120</v>
      </c>
      <c r="EB359" t="n">
        <v>9</v>
      </c>
      <c r="EC359" t="n">
        <v>4.3</v>
      </c>
      <c r="ED359" t="n">
        <v>18.2</v>
      </c>
      <c r="EE359" t="n">
        <v>454</v>
      </c>
      <c r="EL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129.67</v>
      </c>
      <c r="DQ360" t="n">
        <v>63.84</v>
      </c>
      <c r="DR360" t="n">
        <v>127.68</v>
      </c>
      <c r="DS360" t="n">
        <v>1.99</v>
      </c>
      <c r="DT360" t="n">
        <v>2804</v>
      </c>
      <c r="DU360" t="n">
        <v>73.8</v>
      </c>
      <c r="DV360" t="inlineStr">
        <is>
          <t>flat</t>
        </is>
      </c>
      <c r="DW360" t="n">
        <v>102.08</v>
      </c>
      <c r="DY360" t="n">
        <v>7.66</v>
      </c>
      <c r="DZ360" t="n">
        <v>96.67</v>
      </c>
      <c r="EA360" t="n">
        <v>107.5</v>
      </c>
      <c r="EB360" t="n">
        <v>2</v>
      </c>
      <c r="EC360" t="n">
        <v>1</v>
      </c>
      <c r="ED360" t="n">
        <v>33.3</v>
      </c>
      <c r="EE360" t="n">
        <v>321</v>
      </c>
      <c r="EF360" t="n">
        <v>50.5</v>
      </c>
      <c r="EG360" t="n">
        <v>101</v>
      </c>
      <c r="EI360" t="n">
        <v>1358.5</v>
      </c>
      <c r="EJ360" t="n">
        <v>5050</v>
      </c>
      <c r="EK360" t="n">
        <v>1070.5</v>
      </c>
      <c r="EL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P361" t="n">
        <v>2.79</v>
      </c>
      <c r="DQ361" t="n">
        <v>1.56</v>
      </c>
      <c r="DR361" t="n">
        <v>3.12</v>
      </c>
      <c r="DS361" t="n">
        <v>-0.33</v>
      </c>
      <c r="DT361" t="n">
        <v>14</v>
      </c>
      <c r="DU361" t="n">
        <v>0.36</v>
      </c>
      <c r="DV361" t="inlineStr">
        <is>
          <t>flat</t>
        </is>
      </c>
      <c r="EG361" t="n">
        <v>470</v>
      </c>
      <c r="EJ361" t="n">
        <v>15666.7</v>
      </c>
      <c r="EK361" t="n">
        <v>15666.7</v>
      </c>
      <c r="EL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inlineStr">
        <is>
          <t>flat</t>
        </is>
      </c>
      <c r="EH362" t="n">
        <v>103</v>
      </c>
      <c r="EJ362" t="n">
        <v>11381.6</v>
      </c>
      <c r="EK362" t="n">
        <v>11381.6</v>
      </c>
      <c r="EL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inlineStr">
        <is>
          <t>flat</t>
        </is>
      </c>
      <c r="DW363" t="n">
        <v>117</v>
      </c>
      <c r="DY363" t="n">
        <v>2.83</v>
      </c>
      <c r="DZ363" t="n">
        <v>115</v>
      </c>
      <c r="EA363" t="n">
        <v>119</v>
      </c>
      <c r="EB363" t="n">
        <v>2</v>
      </c>
      <c r="EC363" t="n">
        <v>1</v>
      </c>
      <c r="ED363" t="n">
        <v>0</v>
      </c>
      <c r="EE363" t="n">
        <v>523</v>
      </c>
      <c r="EL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5.63</v>
      </c>
      <c r="DQ364" t="n">
        <v>2.84</v>
      </c>
      <c r="DR364" t="n">
        <v>5.68</v>
      </c>
      <c r="DS364" t="n">
        <v>-0.05</v>
      </c>
      <c r="DT364" t="n">
        <v>24</v>
      </c>
      <c r="DU364" t="n">
        <v>0.63</v>
      </c>
      <c r="DV364" t="inlineStr">
        <is>
          <t>flat</t>
        </is>
      </c>
      <c r="DW364" t="n">
        <v>88.75</v>
      </c>
      <c r="DY364" t="n">
        <v>22.27</v>
      </c>
      <c r="DZ364" t="n">
        <v>73</v>
      </c>
      <c r="EA364" t="n">
        <v>104.5</v>
      </c>
      <c r="EB364" t="n">
        <v>2</v>
      </c>
      <c r="EC364" t="n">
        <v>1</v>
      </c>
      <c r="ED364" t="n">
        <v>0</v>
      </c>
      <c r="EE364" t="n">
        <v>322</v>
      </c>
      <c r="EF364" t="n">
        <v>21</v>
      </c>
      <c r="EG364" t="n">
        <v>21</v>
      </c>
      <c r="EH364" t="n">
        <v>21</v>
      </c>
      <c r="EI364" t="n">
        <v>56.8</v>
      </c>
      <c r="EJ364" t="n">
        <v>1050</v>
      </c>
      <c r="EK364" t="n">
        <v>53.8</v>
      </c>
      <c r="EL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7.6</v>
      </c>
      <c r="DQ365" t="n">
        <v>3.8</v>
      </c>
      <c r="DR365" t="n">
        <v>7.6</v>
      </c>
      <c r="DS365" t="n">
        <v>0</v>
      </c>
      <c r="DT365" t="n">
        <v>19</v>
      </c>
      <c r="DU365" t="n">
        <v>0.5</v>
      </c>
      <c r="DV365" t="inlineStr">
        <is>
          <t>flat</t>
        </is>
      </c>
      <c r="EF365" t="n">
        <v>99</v>
      </c>
      <c r="EG365" t="n">
        <v>33</v>
      </c>
      <c r="EH365" t="n">
        <v>49.5</v>
      </c>
      <c r="EI365" t="n">
        <v>2504.9</v>
      </c>
      <c r="EJ365" t="n">
        <v>1353.7</v>
      </c>
      <c r="EK365" t="n">
        <v>878.8</v>
      </c>
      <c r="EL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P366" t="n">
        <v>9.16</v>
      </c>
      <c r="DQ366" t="n">
        <v>4.59</v>
      </c>
      <c r="DR366" t="n">
        <v>9.18</v>
      </c>
      <c r="DS366" t="n">
        <v>-0.02</v>
      </c>
      <c r="DT366" t="n">
        <v>42</v>
      </c>
      <c r="DU366" t="n">
        <v>1.1</v>
      </c>
      <c r="DV366" t="inlineStr">
        <is>
          <t>flat</t>
        </is>
      </c>
      <c r="DW366" t="n">
        <v>85.5</v>
      </c>
      <c r="DX366" t="n">
        <v>115</v>
      </c>
      <c r="DY366" t="n">
        <v>41.72</v>
      </c>
      <c r="DZ366" t="n">
        <v>56</v>
      </c>
      <c r="EA366" t="n">
        <v>115</v>
      </c>
      <c r="EB366" t="n">
        <v>2</v>
      </c>
      <c r="EC366" t="n">
        <v>1</v>
      </c>
      <c r="ED366" t="n">
        <v>0</v>
      </c>
      <c r="EE366" t="n">
        <v>457</v>
      </c>
      <c r="EG366" t="n">
        <v>12.2</v>
      </c>
      <c r="EH366" t="n">
        <v>49</v>
      </c>
      <c r="EJ366" t="n">
        <v>644.8</v>
      </c>
      <c r="EK366" t="n">
        <v>644.8</v>
      </c>
      <c r="EL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inlineStr">
        <is>
          <t>flat</t>
        </is>
      </c>
      <c r="EG367" t="n">
        <v>83</v>
      </c>
      <c r="EJ367" t="n">
        <v>16600</v>
      </c>
      <c r="EK367" t="n">
        <v>16600</v>
      </c>
      <c r="EL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inlineStr">
        <is>
          <t>flat</t>
        </is>
      </c>
      <c r="ED368" t="n">
        <v>100</v>
      </c>
      <c r="EE368" t="n">
        <v>324</v>
      </c>
      <c r="EF368" t="n">
        <v>67.5</v>
      </c>
      <c r="EG368" t="n">
        <v>45</v>
      </c>
      <c r="EH368" t="n">
        <v>135</v>
      </c>
      <c r="EI368" t="n">
        <v>421</v>
      </c>
      <c r="EJ368" t="n">
        <v>2929.6</v>
      </c>
      <c r="EK368" t="n">
        <v>368.1</v>
      </c>
      <c r="EL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4.5</v>
      </c>
      <c r="DQ369" t="n">
        <v>2.25</v>
      </c>
      <c r="DR369" t="n">
        <v>4.5</v>
      </c>
      <c r="DS369" t="n">
        <v>0</v>
      </c>
      <c r="DT369" t="n">
        <v>103</v>
      </c>
      <c r="DU369" t="n">
        <v>2.7</v>
      </c>
      <c r="DV369" t="inlineStr">
        <is>
          <t>flat</t>
        </is>
      </c>
      <c r="EF369" t="n">
        <v>22</v>
      </c>
      <c r="EG369" t="n">
        <v>12.2</v>
      </c>
      <c r="EH369" t="n">
        <v>110</v>
      </c>
      <c r="EI369" t="n">
        <v>379.6</v>
      </c>
      <c r="EJ369" t="n">
        <v>1265.5</v>
      </c>
      <c r="EK369" t="n">
        <v>292</v>
      </c>
      <c r="EL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EF370" t="n">
        <v>57</v>
      </c>
      <c r="EI370" t="n">
        <v>1761.8</v>
      </c>
      <c r="EJ370" t="n">
        <v>3800</v>
      </c>
      <c r="EK370" t="n">
        <v>1203.7</v>
      </c>
      <c r="EL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inlineStr">
        <is>
          <t>flat</t>
        </is>
      </c>
      <c r="EG371" t="n">
        <v>92</v>
      </c>
      <c r="EJ371" t="n">
        <v>6133.3</v>
      </c>
      <c r="EK371" t="n">
        <v>6133.3</v>
      </c>
      <c r="EL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inlineStr">
        <is>
          <t>flat</t>
        </is>
      </c>
      <c r="DW372" t="n">
        <v>72</v>
      </c>
      <c r="DX372" t="n">
        <v>72</v>
      </c>
      <c r="DZ372" t="n">
        <v>72</v>
      </c>
      <c r="EA372" t="n">
        <v>72</v>
      </c>
      <c r="EB372" t="n">
        <v>1</v>
      </c>
      <c r="EC372" t="n">
        <v>0.5</v>
      </c>
      <c r="ED372" t="n">
        <v>0</v>
      </c>
      <c r="EE372" t="n">
        <v>325</v>
      </c>
      <c r="EG372" t="n">
        <v>13.3</v>
      </c>
      <c r="EJ372" t="n">
        <v>2000</v>
      </c>
      <c r="EK372" t="n">
        <v>2000</v>
      </c>
      <c r="EL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9.35</v>
      </c>
      <c r="DQ373" t="n">
        <v>4.75</v>
      </c>
      <c r="DR373" t="n">
        <v>9.5</v>
      </c>
      <c r="DS373" t="n">
        <v>-0.15</v>
      </c>
      <c r="DT373" t="n">
        <v>116</v>
      </c>
      <c r="DU373" t="n">
        <v>3.04</v>
      </c>
      <c r="DV373" t="inlineStr">
        <is>
          <t>flat</t>
        </is>
      </c>
      <c r="DW373" t="n">
        <v>87.27</v>
      </c>
      <c r="DZ373" t="n">
        <v>87.27</v>
      </c>
      <c r="EA373" t="n">
        <v>87.27</v>
      </c>
      <c r="EB373" t="n">
        <v>1</v>
      </c>
      <c r="EC373" t="n">
        <v>0.5</v>
      </c>
      <c r="ED373" t="n">
        <v>0</v>
      </c>
      <c r="EE373" t="n">
        <v>326</v>
      </c>
      <c r="EF373" t="n">
        <v>47</v>
      </c>
      <c r="EG373" t="n">
        <v>11.8</v>
      </c>
      <c r="EI373" t="n">
        <v>914.4</v>
      </c>
      <c r="EJ373" t="n">
        <v>1880</v>
      </c>
      <c r="EK373" t="n">
        <v>615.2</v>
      </c>
      <c r="EL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10.07</v>
      </c>
      <c r="DQ374" t="n">
        <v>5.23</v>
      </c>
      <c r="DR374" t="n">
        <v>10.46</v>
      </c>
      <c r="DS374" t="n">
        <v>-0.39</v>
      </c>
      <c r="DT374" t="n">
        <v>112</v>
      </c>
      <c r="DU374" t="n">
        <v>2.94</v>
      </c>
      <c r="DV374" t="inlineStr">
        <is>
          <t>flat</t>
        </is>
      </c>
      <c r="EF374" t="n">
        <v>142</v>
      </c>
      <c r="EG374" t="n">
        <v>28.4</v>
      </c>
      <c r="EH374" t="n">
        <v>47.3</v>
      </c>
      <c r="EI374" t="n">
        <v>9003</v>
      </c>
      <c r="EJ374" t="n">
        <v>1222.2</v>
      </c>
      <c r="EK374" t="n">
        <v>1076.1</v>
      </c>
      <c r="EL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EF375" t="n">
        <v>40.5</v>
      </c>
      <c r="EG375" t="n">
        <v>10.1</v>
      </c>
      <c r="EH375" t="n">
        <v>27</v>
      </c>
      <c r="EI375" t="n">
        <v>1199.1</v>
      </c>
      <c r="EJ375" t="n">
        <v>279</v>
      </c>
      <c r="EK375" t="n">
        <v>226.3</v>
      </c>
      <c r="EL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65.47</v>
      </c>
      <c r="DQ376" t="n">
        <v>34.27</v>
      </c>
      <c r="DR376" t="n">
        <v>68.54000000000001</v>
      </c>
      <c r="DS376" t="n">
        <v>-3.07</v>
      </c>
      <c r="DT376" t="n">
        <v>1060</v>
      </c>
      <c r="DU376" t="n">
        <v>27.9</v>
      </c>
      <c r="DV376" t="inlineStr">
        <is>
          <t>flat</t>
        </is>
      </c>
      <c r="DW376" t="n">
        <v>60.24</v>
      </c>
      <c r="DX376" t="n">
        <v>63.07</v>
      </c>
      <c r="DY376" t="n">
        <v>22.37</v>
      </c>
      <c r="DZ376" t="n">
        <v>21.09</v>
      </c>
      <c r="EA376" t="n">
        <v>117</v>
      </c>
      <c r="EB376" t="n">
        <v>150</v>
      </c>
      <c r="EC376" t="n">
        <v>72.09999999999999</v>
      </c>
      <c r="ED376" t="n">
        <v>8.5</v>
      </c>
      <c r="EE376" t="n">
        <v>51</v>
      </c>
      <c r="EF376" t="n">
        <v>17</v>
      </c>
      <c r="EG376" t="n">
        <v>6.8</v>
      </c>
      <c r="EI376" t="n">
        <v>90</v>
      </c>
      <c r="EJ376" t="n">
        <v>1133.3</v>
      </c>
      <c r="EK376" t="n">
        <v>83.3</v>
      </c>
      <c r="EL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5.64</v>
      </c>
      <c r="DQ377" t="n">
        <v>2.85</v>
      </c>
      <c r="DR377" t="n">
        <v>5.7</v>
      </c>
      <c r="DS377" t="n">
        <v>-0.06</v>
      </c>
      <c r="DT377" t="n">
        <v>14</v>
      </c>
      <c r="DU377" t="n">
        <v>0.38</v>
      </c>
      <c r="DV377" t="inlineStr">
        <is>
          <t>flat</t>
        </is>
      </c>
      <c r="EF377" t="n">
        <v>10</v>
      </c>
      <c r="EG377" t="n">
        <v>13.3</v>
      </c>
      <c r="EI377" t="n">
        <v>438.8</v>
      </c>
      <c r="EJ377" t="n">
        <v>8000</v>
      </c>
      <c r="EK377" t="n">
        <v>416</v>
      </c>
      <c r="EL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inlineStr">
        <is>
          <t>flat</t>
        </is>
      </c>
      <c r="EF378" t="n">
        <v>107</v>
      </c>
      <c r="EG378" t="n">
        <v>53.5</v>
      </c>
      <c r="EH378" t="n">
        <v>53.5</v>
      </c>
      <c r="EI378" t="n">
        <v>3175.7</v>
      </c>
      <c r="EJ378" t="n">
        <v>1586.6</v>
      </c>
      <c r="EK378" t="n">
        <v>1058</v>
      </c>
      <c r="EL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inlineStr">
        <is>
          <t>flat</t>
        </is>
      </c>
      <c r="EG379" t="n">
        <v>34</v>
      </c>
      <c r="EL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inlineStr">
        <is>
          <t>flat</t>
        </is>
      </c>
      <c r="DW380" t="n">
        <v>67</v>
      </c>
      <c r="DZ380" t="n">
        <v>67</v>
      </c>
      <c r="EA380" t="n">
        <v>67</v>
      </c>
      <c r="EB380" t="n">
        <v>1</v>
      </c>
      <c r="EC380" t="n">
        <v>0.5</v>
      </c>
      <c r="ED380" t="n">
        <v>0</v>
      </c>
      <c r="EE380" t="n">
        <v>459</v>
      </c>
      <c r="EF380" t="n">
        <v>100</v>
      </c>
      <c r="EG380" t="n">
        <v>100</v>
      </c>
      <c r="EI380" t="n">
        <v>217.5</v>
      </c>
      <c r="EK380" t="n">
        <v>217.5</v>
      </c>
      <c r="EL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inlineStr">
        <is>
          <t>flat</t>
        </is>
      </c>
      <c r="EJ381" t="n">
        <v>33000</v>
      </c>
      <c r="EK381" t="n">
        <v>33000</v>
      </c>
      <c r="EL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W382" t="n">
        <v>115</v>
      </c>
      <c r="DX382" t="n">
        <v>115</v>
      </c>
      <c r="DZ382" t="n">
        <v>115</v>
      </c>
      <c r="EA382" t="n">
        <v>115</v>
      </c>
      <c r="EB382" t="n">
        <v>1</v>
      </c>
      <c r="EC382" t="n">
        <v>0.5</v>
      </c>
      <c r="ED382" t="n">
        <v>0</v>
      </c>
      <c r="EE382" t="n">
        <v>528</v>
      </c>
      <c r="EG382" t="n">
        <v>7</v>
      </c>
      <c r="EL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inlineStr">
        <is>
          <t>flat</t>
        </is>
      </c>
      <c r="EL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P384" t="n">
        <v>1.72</v>
      </c>
      <c r="DQ384" t="n">
        <v>0.86</v>
      </c>
      <c r="DR384" t="n">
        <v>1.72</v>
      </c>
      <c r="DS384" t="n">
        <v>0</v>
      </c>
      <c r="DT384" t="n">
        <v>35</v>
      </c>
      <c r="DU384" t="n">
        <v>0.91</v>
      </c>
      <c r="DV384" t="inlineStr">
        <is>
          <t>flat</t>
        </is>
      </c>
      <c r="DW384" t="n">
        <v>113.14</v>
      </c>
      <c r="DX384" t="n">
        <v>115</v>
      </c>
      <c r="DY384" t="n">
        <v>17.2</v>
      </c>
      <c r="DZ384" t="n">
        <v>35.2</v>
      </c>
      <c r="EA384" t="n">
        <v>120</v>
      </c>
      <c r="EB384" t="n">
        <v>23</v>
      </c>
      <c r="EC384" t="n">
        <v>11.1</v>
      </c>
      <c r="ED384" t="n">
        <v>53.1</v>
      </c>
      <c r="EE384" t="n">
        <v>330</v>
      </c>
      <c r="EL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inlineStr">
        <is>
          <t>flat</t>
        </is>
      </c>
      <c r="ED385" t="n">
        <v>100</v>
      </c>
      <c r="EE385" t="n">
        <v>463</v>
      </c>
      <c r="EG385" t="n">
        <v>12.5</v>
      </c>
      <c r="EH385" t="n">
        <v>12.5</v>
      </c>
      <c r="EJ385" t="n">
        <v>118.6</v>
      </c>
      <c r="EK385" t="n">
        <v>118.6</v>
      </c>
      <c r="EL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inlineStr">
        <is>
          <t>flat</t>
        </is>
      </c>
      <c r="EF386" t="n">
        <v>2</v>
      </c>
      <c r="EG386" t="n">
        <v>2</v>
      </c>
      <c r="EH386" t="n">
        <v>2</v>
      </c>
      <c r="EI386" t="n">
        <v>26.2</v>
      </c>
      <c r="EK386" t="n">
        <v>26.2</v>
      </c>
      <c r="EL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P387" t="n">
        <v>6.44</v>
      </c>
      <c r="DQ387" t="n">
        <v>3.2</v>
      </c>
      <c r="DR387" t="n">
        <v>6.4</v>
      </c>
      <c r="DS387" t="n">
        <v>0.04</v>
      </c>
      <c r="DT387" t="n">
        <v>52</v>
      </c>
      <c r="DU387" t="n">
        <v>1.36</v>
      </c>
      <c r="DV387" t="inlineStr">
        <is>
          <t>flat</t>
        </is>
      </c>
      <c r="EJ387" t="n">
        <v>3400</v>
      </c>
      <c r="EK387" t="n">
        <v>3400</v>
      </c>
      <c r="EL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P388" t="n">
        <v>9.6</v>
      </c>
      <c r="DQ388" t="n">
        <v>4.85</v>
      </c>
      <c r="DR388" t="n">
        <v>9.699999999999999</v>
      </c>
      <c r="DS388" t="n">
        <v>-0.1</v>
      </c>
      <c r="DT388" t="n">
        <v>147</v>
      </c>
      <c r="DU388" t="n">
        <v>3.88</v>
      </c>
      <c r="DV388" t="inlineStr">
        <is>
          <t>flat</t>
        </is>
      </c>
      <c r="EJ388" t="n">
        <v>26600</v>
      </c>
      <c r="EK388" t="n">
        <v>26600</v>
      </c>
      <c r="EL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2.77</v>
      </c>
      <c r="DQ389" t="n">
        <v>1.86</v>
      </c>
      <c r="DR389" t="n">
        <v>3.72</v>
      </c>
      <c r="DS389" t="n">
        <v>-0.95</v>
      </c>
      <c r="DT389" t="n">
        <v>19</v>
      </c>
      <c r="DU389" t="n">
        <v>0.49</v>
      </c>
      <c r="DV389" t="inlineStr">
        <is>
          <t>flat</t>
        </is>
      </c>
      <c r="EF389" t="n">
        <v>25</v>
      </c>
      <c r="EI389" t="n">
        <v>841.9</v>
      </c>
      <c r="EJ389" t="n">
        <v>5000</v>
      </c>
      <c r="EK389" t="n">
        <v>720.6</v>
      </c>
      <c r="EL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inlineStr">
        <is>
          <t>flat</t>
        </is>
      </c>
      <c r="EG390" t="n">
        <v>7</v>
      </c>
      <c r="EJ390" t="n">
        <v>1400</v>
      </c>
      <c r="EK390" t="n">
        <v>1400</v>
      </c>
      <c r="EL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EF391" t="n">
        <v>90</v>
      </c>
      <c r="EG391" t="n">
        <v>90</v>
      </c>
      <c r="EH391" t="n">
        <v>45</v>
      </c>
      <c r="EI391" t="n">
        <v>4681.8</v>
      </c>
      <c r="EJ391" t="n">
        <v>393</v>
      </c>
      <c r="EK391" t="n">
        <v>362.6</v>
      </c>
      <c r="EL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inlineStr">
        <is>
          <t>flat</t>
        </is>
      </c>
      <c r="EL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inlineStr">
        <is>
          <t>flat</t>
        </is>
      </c>
      <c r="EL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inlineStr">
        <is>
          <t>flat</t>
        </is>
      </c>
      <c r="EL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1.14</v>
      </c>
      <c r="DQ395" t="n">
        <v>0.57</v>
      </c>
      <c r="DR395" t="n">
        <v>1.14</v>
      </c>
      <c r="DS395" t="n">
        <v>0</v>
      </c>
      <c r="DT395" t="n">
        <v>0</v>
      </c>
      <c r="DU395" t="n">
        <v>0.01</v>
      </c>
      <c r="DV395" t="inlineStr">
        <is>
          <t>flat</t>
        </is>
      </c>
      <c r="EF395" t="n">
        <v>13</v>
      </c>
      <c r="EG395" t="n">
        <v>13</v>
      </c>
      <c r="EI395" t="n">
        <v>433.3</v>
      </c>
      <c r="EK395" t="n">
        <v>433.3</v>
      </c>
      <c r="EL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inlineStr">
        <is>
          <t>flat</t>
        </is>
      </c>
      <c r="ED396" t="n">
        <v>100</v>
      </c>
      <c r="EE396" t="n">
        <v>469</v>
      </c>
      <c r="EL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inlineStr">
        <is>
          <t>flat</t>
        </is>
      </c>
      <c r="EL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inlineStr">
        <is>
          <t>flat</t>
        </is>
      </c>
      <c r="DW398" t="n">
        <v>76</v>
      </c>
      <c r="DX398" t="n">
        <v>76</v>
      </c>
      <c r="DZ398" t="n">
        <v>76</v>
      </c>
      <c r="EA398" t="n">
        <v>76</v>
      </c>
      <c r="EB398" t="n">
        <v>1</v>
      </c>
      <c r="EC398" t="n">
        <v>0.5</v>
      </c>
      <c r="ED398" t="n">
        <v>0</v>
      </c>
      <c r="EE398" t="n">
        <v>473</v>
      </c>
      <c r="EH398" t="n">
        <v>15</v>
      </c>
      <c r="EJ398" t="n">
        <v>645.5</v>
      </c>
      <c r="EK398" t="n">
        <v>645.5</v>
      </c>
      <c r="EL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P399" t="n">
        <v>5.18</v>
      </c>
      <c r="DQ399" t="n">
        <v>2.59</v>
      </c>
      <c r="DR399" t="n">
        <v>5.18</v>
      </c>
      <c r="DS399" t="n">
        <v>0</v>
      </c>
      <c r="DT399" t="n">
        <v>125</v>
      </c>
      <c r="DU399" t="n">
        <v>3.3</v>
      </c>
      <c r="DV399" t="inlineStr">
        <is>
          <t>flat</t>
        </is>
      </c>
      <c r="EG399" t="n">
        <v>38</v>
      </c>
      <c r="EJ399" t="n">
        <v>1900</v>
      </c>
      <c r="EK399" t="n">
        <v>1900</v>
      </c>
      <c r="EL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inlineStr">
        <is>
          <t>flat</t>
        </is>
      </c>
      <c r="EL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EF401" t="n">
        <v>125</v>
      </c>
      <c r="EG401" t="n">
        <v>62.5</v>
      </c>
      <c r="EH401" t="n">
        <v>125</v>
      </c>
      <c r="EI401" t="n">
        <v>1684.4</v>
      </c>
      <c r="EJ401" t="n">
        <v>1810.8</v>
      </c>
      <c r="EK401" t="n">
        <v>872.6</v>
      </c>
      <c r="EL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inlineStr">
        <is>
          <t>flat</t>
        </is>
      </c>
      <c r="DW402" t="n">
        <v>69</v>
      </c>
      <c r="DX402" t="n">
        <v>69</v>
      </c>
      <c r="DZ402" t="n">
        <v>69</v>
      </c>
      <c r="EA402" t="n">
        <v>69</v>
      </c>
      <c r="EB402" t="n">
        <v>1</v>
      </c>
      <c r="EC402" t="n">
        <v>0.5</v>
      </c>
      <c r="ED402" t="n">
        <v>0</v>
      </c>
      <c r="EE402" t="n">
        <v>475</v>
      </c>
      <c r="EJ402" t="n">
        <v>2800</v>
      </c>
      <c r="EK402" t="n">
        <v>2800</v>
      </c>
      <c r="EL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P403" t="n">
        <v>7.79</v>
      </c>
      <c r="DQ403" t="n">
        <v>3.99</v>
      </c>
      <c r="DR403" t="n">
        <v>7.98</v>
      </c>
      <c r="DS403" t="n">
        <v>-0.19</v>
      </c>
      <c r="DT403" t="n">
        <v>12</v>
      </c>
      <c r="DU403" t="n">
        <v>0.32</v>
      </c>
      <c r="DV403" t="inlineStr">
        <is>
          <t>flat</t>
        </is>
      </c>
      <c r="DW403" t="n">
        <v>85</v>
      </c>
      <c r="DX403" t="n">
        <v>85</v>
      </c>
      <c r="DZ403" t="n">
        <v>85</v>
      </c>
      <c r="EA403" t="n">
        <v>85</v>
      </c>
      <c r="EB403" t="n">
        <v>1</v>
      </c>
      <c r="EC403" t="n">
        <v>0.5</v>
      </c>
      <c r="ED403" t="n">
        <v>0</v>
      </c>
      <c r="EE403" t="n">
        <v>471</v>
      </c>
      <c r="EG403" t="n">
        <v>26</v>
      </c>
      <c r="EJ403" t="n">
        <v>5200</v>
      </c>
      <c r="EK403" t="n">
        <v>5200</v>
      </c>
      <c r="EL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P404" t="n">
        <v>1.5</v>
      </c>
      <c r="DQ404" t="n">
        <v>0.75</v>
      </c>
      <c r="DR404" t="n">
        <v>1.5</v>
      </c>
      <c r="DS404" t="n">
        <v>0</v>
      </c>
      <c r="DT404" t="n">
        <v>35</v>
      </c>
      <c r="DU404" t="n">
        <v>0.91</v>
      </c>
      <c r="DV404" t="inlineStr">
        <is>
          <t>flat</t>
        </is>
      </c>
      <c r="DW404" t="n">
        <v>115.58</v>
      </c>
      <c r="DY404" t="n">
        <v>1.86</v>
      </c>
      <c r="DZ404" t="n">
        <v>113.45</v>
      </c>
      <c r="EA404" t="n">
        <v>119</v>
      </c>
      <c r="EB404" t="n">
        <v>9</v>
      </c>
      <c r="EC404" t="n">
        <v>4.3</v>
      </c>
      <c r="ED404" t="n">
        <v>0</v>
      </c>
      <c r="EE404" t="n">
        <v>468</v>
      </c>
      <c r="EL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inlineStr">
        <is>
          <t>flat</t>
        </is>
      </c>
      <c r="EJ405" t="n">
        <v>9000</v>
      </c>
      <c r="EK405" t="n">
        <v>9000</v>
      </c>
      <c r="EL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inlineStr">
        <is>
          <t>flat</t>
        </is>
      </c>
      <c r="EL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inlineStr">
        <is>
          <t>flat</t>
        </is>
      </c>
      <c r="DW407" t="n">
        <v>112.88</v>
      </c>
      <c r="DX407" t="n">
        <v>74</v>
      </c>
      <c r="DY407" t="n">
        <v>12.39</v>
      </c>
      <c r="DZ407" t="n">
        <v>74</v>
      </c>
      <c r="EA407" t="n">
        <v>120</v>
      </c>
      <c r="EB407" t="n">
        <v>14</v>
      </c>
      <c r="EC407" t="n">
        <v>6.7</v>
      </c>
      <c r="ED407" t="n">
        <v>39.1</v>
      </c>
      <c r="EE407" t="n">
        <v>334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inlineStr">
        <is>
          <t>flat</t>
        </is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  <c r="DP409" t="n">
        <v>109.72</v>
      </c>
      <c r="DQ409" t="n">
        <v>54.86</v>
      </c>
      <c r="DR409" t="n">
        <v>109.72</v>
      </c>
      <c r="DS409" t="n">
        <v>0</v>
      </c>
      <c r="DT409" t="n">
        <v>3317</v>
      </c>
      <c r="DU409" t="n">
        <v>87.3</v>
      </c>
      <c r="DV409" t="inlineStr">
        <is>
          <t>flat</t>
        </is>
      </c>
      <c r="DW409" t="n">
        <v>116.84</v>
      </c>
      <c r="DY409" t="n">
        <v>3.66</v>
      </c>
      <c r="DZ409" t="n">
        <v>107.5</v>
      </c>
      <c r="EA409" t="n">
        <v>120</v>
      </c>
      <c r="EB409" t="n">
        <v>12</v>
      </c>
      <c r="EC409" t="n">
        <v>5.8</v>
      </c>
      <c r="ED409" t="n">
        <v>7.7</v>
      </c>
      <c r="EE409" t="n">
        <v>507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inlineStr">
        <is>
          <t>flat</t>
        </is>
      </c>
      <c r="DW410" t="n">
        <v>117.6</v>
      </c>
      <c r="DZ410" t="n">
        <v>117.6</v>
      </c>
      <c r="EA410" t="n">
        <v>117.6</v>
      </c>
      <c r="EB410" t="n">
        <v>1</v>
      </c>
      <c r="EC410" t="n">
        <v>0.5</v>
      </c>
      <c r="ED410" t="n">
        <v>0</v>
      </c>
      <c r="EE410" t="n">
        <v>577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  <c r="DW411" t="n">
        <v>116</v>
      </c>
      <c r="DZ411" t="n">
        <v>116</v>
      </c>
      <c r="EA411" t="n">
        <v>116</v>
      </c>
      <c r="EB411" t="n">
        <v>1</v>
      </c>
      <c r="EC411" t="n">
        <v>0.5</v>
      </c>
      <c r="ED411" t="n">
        <v>0</v>
      </c>
      <c r="EE411" t="n">
        <v>584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  <c r="DP412" t="n">
        <v>1.52</v>
      </c>
      <c r="DQ412" t="n">
        <v>0.76</v>
      </c>
      <c r="DR412" t="n">
        <v>1.52</v>
      </c>
      <c r="DS412" t="n">
        <v>0</v>
      </c>
      <c r="DT412" t="n">
        <v>35</v>
      </c>
      <c r="DU412" t="n">
        <v>0.91</v>
      </c>
      <c r="DV412" t="inlineStr">
        <is>
          <t>flat</t>
        </is>
      </c>
      <c r="DW412" t="n">
        <v>114.21</v>
      </c>
      <c r="DY412" t="n">
        <v>3.4</v>
      </c>
      <c r="DZ412" t="n">
        <v>110.5</v>
      </c>
      <c r="EA412" t="n">
        <v>120</v>
      </c>
      <c r="EB412" t="n">
        <v>8</v>
      </c>
      <c r="EC412" t="n">
        <v>3.8</v>
      </c>
      <c r="ED412" t="n">
        <v>46.7</v>
      </c>
      <c r="EE412" t="n">
        <v>350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  <c r="DP413" t="n">
        <v>80.98</v>
      </c>
      <c r="DQ413" t="n">
        <v>40.52</v>
      </c>
      <c r="DR413" t="n">
        <v>81.04000000000001</v>
      </c>
      <c r="DS413" t="n">
        <v>-0.06</v>
      </c>
      <c r="DT413" t="n">
        <v>1708</v>
      </c>
      <c r="DU413" t="n">
        <v>44.95</v>
      </c>
      <c r="DV413" t="inlineStr">
        <is>
          <t>flat</t>
        </is>
      </c>
      <c r="DW413" t="n">
        <v>89.36</v>
      </c>
      <c r="DX413" t="n">
        <v>98.65000000000001</v>
      </c>
      <c r="DY413" t="n">
        <v>19.42</v>
      </c>
      <c r="DZ413" t="n">
        <v>38.67</v>
      </c>
      <c r="EA413" t="n">
        <v>120</v>
      </c>
      <c r="EB413" t="n">
        <v>92</v>
      </c>
      <c r="EC413" t="n">
        <v>44.2</v>
      </c>
      <c r="ED413" t="n">
        <v>6.1</v>
      </c>
      <c r="EE413" t="n">
        <v>380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inlineStr">
        <is>
          <t>flat</t>
        </is>
      </c>
      <c r="DW414" t="n">
        <v>5</v>
      </c>
      <c r="DX414" t="n">
        <v>5</v>
      </c>
      <c r="DZ414" t="n">
        <v>5</v>
      </c>
      <c r="EA414" t="n">
        <v>5</v>
      </c>
      <c r="EB414" t="n">
        <v>1</v>
      </c>
      <c r="EC414" t="n">
        <v>0.5</v>
      </c>
      <c r="ED414" t="n">
        <v>0</v>
      </c>
      <c r="EE414" t="n">
        <v>583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  <c r="DP415" t="n">
        <v>13.5</v>
      </c>
      <c r="DQ415" t="n">
        <v>6.75</v>
      </c>
      <c r="DR415" t="n">
        <v>13.5</v>
      </c>
      <c r="DS415" t="n">
        <v>0</v>
      </c>
      <c r="DT415" t="n">
        <v>256</v>
      </c>
      <c r="DU415" t="n">
        <v>6.75</v>
      </c>
      <c r="DV415" t="inlineStr">
        <is>
          <t>flat</t>
        </is>
      </c>
      <c r="DW415" t="n">
        <v>108.5</v>
      </c>
      <c r="DX415" t="n">
        <v>120</v>
      </c>
      <c r="DY415" t="n">
        <v>16.26</v>
      </c>
      <c r="DZ415" t="n">
        <v>97</v>
      </c>
      <c r="EA415" t="n">
        <v>120</v>
      </c>
      <c r="EB415" t="n">
        <v>2</v>
      </c>
      <c r="EC415" t="n">
        <v>1</v>
      </c>
      <c r="ED415" t="n">
        <v>50</v>
      </c>
      <c r="EE415" t="n">
        <v>368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inlineStr">
        <is>
          <t>flat</t>
        </is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  <c r="DP417" t="n">
        <v>14.39</v>
      </c>
      <c r="DQ417" t="n">
        <v>7.28</v>
      </c>
      <c r="DR417" t="n">
        <v>14.56</v>
      </c>
      <c r="DS417" t="n">
        <v>-0.17</v>
      </c>
      <c r="DT417" t="n">
        <v>176</v>
      </c>
      <c r="DU417" t="n">
        <v>4.63</v>
      </c>
      <c r="DV417" t="inlineStr">
        <is>
          <t>flat</t>
        </is>
      </c>
      <c r="DW417" t="n">
        <v>60.62</v>
      </c>
      <c r="DX417" t="n">
        <v>60.27</v>
      </c>
      <c r="DY417" t="n">
        <v>27.81</v>
      </c>
      <c r="DZ417" t="n">
        <v>10.67</v>
      </c>
      <c r="EA417" t="n">
        <v>111.11</v>
      </c>
      <c r="EB417" t="n">
        <v>95</v>
      </c>
      <c r="EC417" t="n">
        <v>45.7</v>
      </c>
      <c r="ED417" t="n">
        <v>41.7</v>
      </c>
      <c r="EE417" t="n">
        <v>30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inlineStr">
        <is>
          <t>flat</t>
        </is>
      </c>
      <c r="DW418" t="n">
        <v>105.81</v>
      </c>
      <c r="DY418" t="n">
        <v>3.81</v>
      </c>
      <c r="DZ418" t="n">
        <v>103.11</v>
      </c>
      <c r="EA418" t="n">
        <v>108.5</v>
      </c>
      <c r="EB418" t="n">
        <v>2</v>
      </c>
      <c r="EC418" t="n">
        <v>1</v>
      </c>
      <c r="ED418" t="n">
        <v>0</v>
      </c>
      <c r="EE418" t="n">
        <v>506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  <c r="DP419" t="n">
        <v>9.32</v>
      </c>
      <c r="DQ419" t="n">
        <v>4.66</v>
      </c>
      <c r="DR419" t="n">
        <v>9.32</v>
      </c>
      <c r="DS419" t="n">
        <v>0</v>
      </c>
      <c r="DT419" t="n">
        <v>274</v>
      </c>
      <c r="DU419" t="n">
        <v>7.2</v>
      </c>
      <c r="DV419" t="inlineStr">
        <is>
          <t>flat</t>
        </is>
      </c>
      <c r="DW419" t="n">
        <v>110.38</v>
      </c>
      <c r="DY419" t="n">
        <v>14.89</v>
      </c>
      <c r="DZ419" t="n">
        <v>77</v>
      </c>
      <c r="EA419" t="n">
        <v>120</v>
      </c>
      <c r="EB419" t="n">
        <v>7</v>
      </c>
      <c r="EC419" t="n">
        <v>3.4</v>
      </c>
      <c r="ED419" t="n">
        <v>22.2</v>
      </c>
      <c r="EE419" t="n">
        <v>512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inlineStr">
        <is>
          <t>flat</t>
        </is>
      </c>
      <c r="DW420" t="n">
        <v>12</v>
      </c>
      <c r="DX420" t="n">
        <v>12</v>
      </c>
      <c r="DZ420" t="n">
        <v>12</v>
      </c>
      <c r="EA420" t="n">
        <v>12</v>
      </c>
      <c r="EB420" t="n">
        <v>1</v>
      </c>
      <c r="EC420" t="n">
        <v>0.5</v>
      </c>
      <c r="ED420" t="n">
        <v>0</v>
      </c>
      <c r="EE420" t="n">
        <v>579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inlineStr">
        <is>
          <t>flat</t>
        </is>
      </c>
      <c r="DW421" t="n">
        <v>78.55</v>
      </c>
      <c r="DZ421" t="n">
        <v>78.55</v>
      </c>
      <c r="EA421" t="n">
        <v>78.55</v>
      </c>
      <c r="EB421" t="n">
        <v>1</v>
      </c>
      <c r="EC421" t="n">
        <v>0.5</v>
      </c>
      <c r="ED421" t="n">
        <v>0</v>
      </c>
      <c r="EE421" t="n">
        <v>511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  <c r="DP422" t="n">
        <v>1.46</v>
      </c>
      <c r="DQ422" t="n">
        <v>0.73</v>
      </c>
      <c r="DR422" t="n">
        <v>1.46</v>
      </c>
      <c r="DS422" t="n">
        <v>0</v>
      </c>
      <c r="DT422" t="n">
        <v>35</v>
      </c>
      <c r="DU422" t="n">
        <v>0.91</v>
      </c>
      <c r="DV422" t="inlineStr">
        <is>
          <t>flat</t>
        </is>
      </c>
      <c r="DW422" t="n">
        <v>119.2</v>
      </c>
      <c r="DZ422" t="n">
        <v>119.2</v>
      </c>
      <c r="EA422" t="n">
        <v>119.2</v>
      </c>
      <c r="EB422" t="n">
        <v>1</v>
      </c>
      <c r="EC422" t="n">
        <v>0.5</v>
      </c>
      <c r="ED422" t="n">
        <v>0</v>
      </c>
      <c r="EE422" t="n">
        <v>535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  <c r="DP423" t="n">
        <v>23.28</v>
      </c>
      <c r="DQ423" t="n">
        <v>13.75</v>
      </c>
      <c r="DR423" t="n">
        <v>27.5</v>
      </c>
      <c r="DS423" t="n">
        <v>-4.22</v>
      </c>
      <c r="DT423" t="n">
        <v>421</v>
      </c>
      <c r="DU423" t="n">
        <v>11.07</v>
      </c>
      <c r="DV423" t="inlineStr">
        <is>
          <t>flat</t>
        </is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inlineStr">
        <is>
          <t>flat</t>
        </is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inlineStr">
        <is>
          <t>flat</t>
        </is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inlineStr">
        <is>
          <t>flat</t>
        </is>
      </c>
      <c r="DW426" t="n">
        <v>117.76</v>
      </c>
      <c r="DX426" t="n">
        <v>119</v>
      </c>
      <c r="DY426" t="n">
        <v>1.67</v>
      </c>
      <c r="DZ426" t="n">
        <v>114.86</v>
      </c>
      <c r="EA426" t="n">
        <v>119</v>
      </c>
      <c r="EB426" t="n">
        <v>5</v>
      </c>
      <c r="EC426" t="n">
        <v>2.4</v>
      </c>
      <c r="ED426" t="n">
        <v>0</v>
      </c>
      <c r="EE426" t="n">
        <v>505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  <c r="DP427" t="n">
        <v>1.53</v>
      </c>
      <c r="DQ427" t="n">
        <v>0.77</v>
      </c>
      <c r="DR427" t="n">
        <v>1.54</v>
      </c>
      <c r="DS427" t="n">
        <v>-0.01</v>
      </c>
      <c r="DT427" t="n">
        <v>28</v>
      </c>
      <c r="DU427" t="n">
        <v>0.75</v>
      </c>
      <c r="DV427" t="inlineStr">
        <is>
          <t>flat</t>
        </is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  <c r="DP428" t="n">
        <v>0.74</v>
      </c>
      <c r="DQ428" t="n">
        <v>0.38</v>
      </c>
      <c r="DR428" t="n">
        <v>0.76</v>
      </c>
      <c r="DS428" t="n">
        <v>-0.02</v>
      </c>
      <c r="DT428" t="n">
        <v>11</v>
      </c>
      <c r="DU428" t="n">
        <v>0.3</v>
      </c>
      <c r="DV428" t="inlineStr">
        <is>
          <t>flat</t>
        </is>
      </c>
      <c r="DW428" t="n">
        <v>120</v>
      </c>
      <c r="DZ428" t="n">
        <v>120</v>
      </c>
      <c r="EA428" t="n">
        <v>120</v>
      </c>
      <c r="EB428" t="n">
        <v>1</v>
      </c>
      <c r="EC428" t="n">
        <v>0.5</v>
      </c>
      <c r="ED428" t="n">
        <v>0</v>
      </c>
      <c r="EE428" t="n">
        <v>549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  <c r="DP429" t="n">
        <v>0</v>
      </c>
      <c r="DQ429" t="n">
        <v>0</v>
      </c>
      <c r="DR429" t="n">
        <v>0</v>
      </c>
      <c r="DS429" t="n">
        <v>0</v>
      </c>
      <c r="DT429" t="n">
        <v>0</v>
      </c>
      <c r="DU429" t="n">
        <v>0</v>
      </c>
      <c r="DV429" t="inlineStr">
        <is>
          <t>flat</t>
        </is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  <c r="DP430" t="n">
        <v>1.46</v>
      </c>
      <c r="DQ430" t="n">
        <v>0.73</v>
      </c>
      <c r="DR430" t="n">
        <v>1.46</v>
      </c>
      <c r="DS430" t="n">
        <v>0</v>
      </c>
      <c r="DT430" t="n">
        <v>35</v>
      </c>
      <c r="DU430" t="n">
        <v>0.91</v>
      </c>
      <c r="DV430" t="inlineStr">
        <is>
          <t>flat</t>
        </is>
      </c>
      <c r="DW430" t="n">
        <v>119.12</v>
      </c>
      <c r="DY430" t="n">
        <v>0.9399999999999999</v>
      </c>
      <c r="DZ430" t="n">
        <v>118</v>
      </c>
      <c r="EA430" t="n">
        <v>120</v>
      </c>
      <c r="EB430" t="n">
        <v>5</v>
      </c>
      <c r="EC430" t="n">
        <v>2.4</v>
      </c>
      <c r="ED430" t="n">
        <v>16.7</v>
      </c>
      <c r="EE430" t="n">
        <v>536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  <c r="DP431" t="n">
        <v>0</v>
      </c>
      <c r="DQ431" t="n">
        <v>0</v>
      </c>
      <c r="DR431" t="n">
        <v>0</v>
      </c>
      <c r="DS431" t="n">
        <v>0</v>
      </c>
      <c r="DT431" t="n">
        <v>0</v>
      </c>
      <c r="DU431" t="n">
        <v>0</v>
      </c>
      <c r="DV431" t="inlineStr">
        <is>
          <t>flat</t>
        </is>
      </c>
      <c r="DW431" t="n">
        <v>115.83</v>
      </c>
      <c r="DY431" t="n">
        <v>0.29</v>
      </c>
      <c r="DZ431" t="n">
        <v>115.5</v>
      </c>
      <c r="EA431" t="n">
        <v>116</v>
      </c>
      <c r="EB431" t="n">
        <v>3</v>
      </c>
      <c r="EC431" t="n">
        <v>1.4</v>
      </c>
      <c r="ED431" t="n">
        <v>0</v>
      </c>
      <c r="EE431" t="n">
        <v>534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  <c r="DP432" t="n">
        <v>0</v>
      </c>
      <c r="DQ432" t="n">
        <v>0</v>
      </c>
      <c r="DR432" t="n">
        <v>0</v>
      </c>
      <c r="DS432" t="n">
        <v>0</v>
      </c>
      <c r="DT432" t="n">
        <v>0</v>
      </c>
      <c r="DU432" t="n">
        <v>0</v>
      </c>
      <c r="DV432" t="inlineStr">
        <is>
          <t>flat</t>
        </is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  <c r="DP433" t="n">
        <v>0</v>
      </c>
      <c r="DQ433" t="n">
        <v>0</v>
      </c>
      <c r="DR433" t="n">
        <v>0</v>
      </c>
      <c r="DS433" t="n">
        <v>0</v>
      </c>
      <c r="DT433" t="n">
        <v>0</v>
      </c>
      <c r="DU433" t="n">
        <v>0</v>
      </c>
      <c r="DV433" t="inlineStr">
        <is>
          <t>flat</t>
        </is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  <c r="DP434" t="n">
        <v>16.95</v>
      </c>
      <c r="DQ434" t="n">
        <v>8.539999999999999</v>
      </c>
      <c r="DR434" t="n">
        <v>17.08</v>
      </c>
      <c r="DS434" t="n">
        <v>-0.13</v>
      </c>
      <c r="DT434" t="n">
        <v>280</v>
      </c>
      <c r="DU434" t="n">
        <v>7.38</v>
      </c>
      <c r="DV434" t="inlineStr">
        <is>
          <t>flat</t>
        </is>
      </c>
      <c r="DW434" t="n">
        <v>83.09</v>
      </c>
      <c r="DY434" t="n">
        <v>15.8</v>
      </c>
      <c r="DZ434" t="n">
        <v>60.8</v>
      </c>
      <c r="EA434" t="n">
        <v>96.5</v>
      </c>
      <c r="EB434" t="n">
        <v>4</v>
      </c>
      <c r="EC434" t="n">
        <v>1.9</v>
      </c>
      <c r="ED434" t="n">
        <v>55.6</v>
      </c>
      <c r="EE434" t="n">
        <v>54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  <c r="DP435" t="n">
        <v>0</v>
      </c>
      <c r="DQ435" t="n">
        <v>0</v>
      </c>
      <c r="DR435" t="n">
        <v>0</v>
      </c>
      <c r="DS435" t="n">
        <v>0</v>
      </c>
      <c r="DT435" t="n">
        <v>0</v>
      </c>
      <c r="DU435" t="n">
        <v>0</v>
      </c>
      <c r="DV435" t="inlineStr">
        <is>
          <t>flat</t>
        </is>
      </c>
      <c r="DW435" t="n">
        <v>42.36</v>
      </c>
      <c r="DX435" t="n">
        <v>60</v>
      </c>
      <c r="DY435" t="n">
        <v>24.94</v>
      </c>
      <c r="DZ435" t="n">
        <v>24.73</v>
      </c>
      <c r="EA435" t="n">
        <v>60</v>
      </c>
      <c r="EB435" t="n">
        <v>2</v>
      </c>
      <c r="EC435" t="n">
        <v>1</v>
      </c>
      <c r="ED435" t="n">
        <v>0</v>
      </c>
      <c r="EE435" t="n">
        <v>503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  <c r="DP436" t="n">
        <v>0</v>
      </c>
      <c r="DQ436" t="n">
        <v>0</v>
      </c>
      <c r="DR436" t="n">
        <v>0</v>
      </c>
      <c r="DS436" t="n">
        <v>0</v>
      </c>
      <c r="DT436" t="n">
        <v>0</v>
      </c>
      <c r="DU436" t="n">
        <v>0</v>
      </c>
      <c r="DV436" t="inlineStr">
        <is>
          <t>flat</t>
        </is>
      </c>
      <c r="DW436" t="n">
        <v>91.56</v>
      </c>
      <c r="DZ436" t="n">
        <v>91.56</v>
      </c>
      <c r="EA436" t="n">
        <v>91.56</v>
      </c>
      <c r="EB436" t="n">
        <v>1</v>
      </c>
      <c r="EC436" t="n">
        <v>0.5</v>
      </c>
      <c r="ED436" t="n">
        <v>0</v>
      </c>
      <c r="EE436" t="n">
        <v>347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  <c r="DP437" t="n">
        <v>0</v>
      </c>
      <c r="DQ437" t="n">
        <v>0</v>
      </c>
      <c r="DR437" t="n">
        <v>0</v>
      </c>
      <c r="DS437" t="n">
        <v>0</v>
      </c>
      <c r="DT437" t="n">
        <v>0</v>
      </c>
      <c r="DU437" t="n">
        <v>0</v>
      </c>
      <c r="DV437" t="inlineStr">
        <is>
          <t>flat</t>
        </is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  <c r="DP438" t="n">
        <v>0</v>
      </c>
      <c r="DQ438" t="n">
        <v>0</v>
      </c>
      <c r="DR438" t="n">
        <v>0</v>
      </c>
      <c r="DS438" t="n">
        <v>0</v>
      </c>
      <c r="DT438" t="n">
        <v>0</v>
      </c>
      <c r="DU438" t="n">
        <v>0</v>
      </c>
      <c r="DV438" t="inlineStr">
        <is>
          <t>flat</t>
        </is>
      </c>
      <c r="DW438" t="n">
        <v>37</v>
      </c>
      <c r="DX438" t="n">
        <v>37</v>
      </c>
      <c r="DZ438" t="n">
        <v>37</v>
      </c>
      <c r="EA438" t="n">
        <v>37</v>
      </c>
      <c r="EB438" t="n">
        <v>1</v>
      </c>
      <c r="EC438" t="n">
        <v>0.5</v>
      </c>
      <c r="ED438" t="n">
        <v>50</v>
      </c>
      <c r="EE438" t="n">
        <v>574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  <c r="DP439" t="n">
        <v>9.369999999999999</v>
      </c>
      <c r="DQ439" t="n">
        <v>4.75</v>
      </c>
      <c r="DR439" t="n">
        <v>9.5</v>
      </c>
      <c r="DS439" t="n">
        <v>-0.13</v>
      </c>
      <c r="DT439" t="n">
        <v>10</v>
      </c>
      <c r="DU439" t="n">
        <v>0.25</v>
      </c>
      <c r="DV439" t="inlineStr">
        <is>
          <t>flat</t>
        </is>
      </c>
      <c r="DW439" t="n">
        <v>69.86</v>
      </c>
      <c r="DX439" t="n">
        <v>65.45</v>
      </c>
      <c r="DY439" t="n">
        <v>30.39</v>
      </c>
      <c r="DZ439" t="n">
        <v>22.67</v>
      </c>
      <c r="EA439" t="n">
        <v>118.77</v>
      </c>
      <c r="EB439" t="n">
        <v>74</v>
      </c>
      <c r="EC439" t="n">
        <v>35.6</v>
      </c>
      <c r="ED439" t="n">
        <v>46</v>
      </c>
      <c r="EE439" t="n">
        <v>52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  <c r="DP440" t="n">
        <v>0</v>
      </c>
      <c r="DQ440" t="n">
        <v>0</v>
      </c>
      <c r="DR440" t="n">
        <v>0</v>
      </c>
      <c r="DS440" t="n">
        <v>0</v>
      </c>
      <c r="DT440" t="n">
        <v>0</v>
      </c>
      <c r="DU440" t="n">
        <v>0</v>
      </c>
      <c r="DV440" t="inlineStr">
        <is>
          <t>flat</t>
        </is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  <c r="DP441" t="n">
        <v>0</v>
      </c>
      <c r="DQ441" t="n">
        <v>0</v>
      </c>
      <c r="DR441" t="n">
        <v>0</v>
      </c>
      <c r="DS441" t="n">
        <v>0</v>
      </c>
      <c r="DT441" t="n">
        <v>0</v>
      </c>
      <c r="DU441" t="n">
        <v>0</v>
      </c>
      <c r="DV441" t="inlineStr">
        <is>
          <t>flat</t>
        </is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  <c r="DP442" t="n">
        <v>0</v>
      </c>
      <c r="DQ442" t="n">
        <v>0</v>
      </c>
      <c r="DR442" t="n">
        <v>0</v>
      </c>
      <c r="DS442" t="n">
        <v>0</v>
      </c>
      <c r="DT442" t="n">
        <v>0</v>
      </c>
      <c r="DU442" t="n">
        <v>0</v>
      </c>
      <c r="DV442" t="inlineStr">
        <is>
          <t>flat</t>
        </is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  <c r="DP443" t="n">
        <v>0</v>
      </c>
      <c r="DQ443" t="n">
        <v>0</v>
      </c>
      <c r="DR443" t="n">
        <v>0</v>
      </c>
      <c r="DS443" t="n">
        <v>0</v>
      </c>
      <c r="DT443" t="n">
        <v>0</v>
      </c>
      <c r="DU443" t="n">
        <v>0</v>
      </c>
      <c r="DV443" t="inlineStr">
        <is>
          <t>flat</t>
        </is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  <c r="DP444" t="n">
        <v>0</v>
      </c>
      <c r="DQ444" t="n">
        <v>0</v>
      </c>
      <c r="DR444" t="n">
        <v>0</v>
      </c>
      <c r="DS444" t="n">
        <v>0</v>
      </c>
      <c r="DT444" t="n">
        <v>0</v>
      </c>
      <c r="DU444" t="n">
        <v>0</v>
      </c>
      <c r="DV444" t="inlineStr">
        <is>
          <t>flat</t>
        </is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  <c r="DP445" t="n">
        <v>0</v>
      </c>
      <c r="DQ445" t="n">
        <v>0</v>
      </c>
      <c r="DR445" t="n">
        <v>0</v>
      </c>
      <c r="DS445" t="n">
        <v>0</v>
      </c>
      <c r="DT445" t="n">
        <v>0</v>
      </c>
      <c r="DU445" t="n">
        <v>0</v>
      </c>
      <c r="DV445" t="inlineStr">
        <is>
          <t>flat</t>
        </is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  <c r="DP446" t="n">
        <v>0</v>
      </c>
      <c r="DQ446" t="n">
        <v>0</v>
      </c>
      <c r="DR446" t="n">
        <v>0</v>
      </c>
      <c r="DS446" t="n">
        <v>0</v>
      </c>
      <c r="DT446" t="n">
        <v>0</v>
      </c>
      <c r="DU446" t="n">
        <v>0</v>
      </c>
      <c r="DV446" t="inlineStr">
        <is>
          <t>flat</t>
        </is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  <c r="DP447" t="n">
        <v>0.15</v>
      </c>
      <c r="DQ447" t="n">
        <v>0.15</v>
      </c>
      <c r="DR447" t="n">
        <v>0.3</v>
      </c>
      <c r="DS447" t="n">
        <v>-0.15</v>
      </c>
      <c r="DT447" t="n">
        <v>0</v>
      </c>
      <c r="DU447" t="n">
        <v>0</v>
      </c>
      <c r="DV447" t="inlineStr">
        <is>
          <t>flat</t>
        </is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  <c r="DP448" t="n">
        <v>0</v>
      </c>
      <c r="DQ448" t="n">
        <v>0</v>
      </c>
      <c r="DR448" t="n">
        <v>0</v>
      </c>
      <c r="DS448" t="n">
        <v>0</v>
      </c>
      <c r="DT448" t="n">
        <v>0</v>
      </c>
      <c r="DU448" t="n">
        <v>0</v>
      </c>
      <c r="DV448" t="inlineStr">
        <is>
          <t>flat</t>
        </is>
      </c>
      <c r="DW448" t="n">
        <v>101</v>
      </c>
      <c r="DX448" t="n">
        <v>101</v>
      </c>
      <c r="DZ448" t="n">
        <v>101</v>
      </c>
      <c r="EA448" t="n">
        <v>101</v>
      </c>
      <c r="EB448" t="n">
        <v>1</v>
      </c>
      <c r="EC448" t="n">
        <v>0.5</v>
      </c>
      <c r="ED448" t="n">
        <v>0</v>
      </c>
      <c r="EE448" t="n">
        <v>508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  <c r="DP449" t="n">
        <v>5.61</v>
      </c>
      <c r="DQ449" t="n">
        <v>3.02</v>
      </c>
      <c r="DR449" t="n">
        <v>6.04</v>
      </c>
      <c r="DS449" t="n">
        <v>-0.43</v>
      </c>
      <c r="DT449" t="n">
        <v>103</v>
      </c>
      <c r="DU449" t="n">
        <v>2.7</v>
      </c>
      <c r="DV449" t="inlineStr">
        <is>
          <t>flat</t>
        </is>
      </c>
      <c r="DW449" t="n">
        <v>28</v>
      </c>
      <c r="DX449" t="n">
        <v>28</v>
      </c>
      <c r="DZ449" t="n">
        <v>28</v>
      </c>
      <c r="EA449" t="n">
        <v>28</v>
      </c>
      <c r="EB449" t="n">
        <v>1</v>
      </c>
      <c r="EC449" t="n">
        <v>0.5</v>
      </c>
      <c r="ED449" t="n">
        <v>50</v>
      </c>
      <c r="EE449" t="n">
        <v>576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  <c r="DP450" t="n">
        <v>0</v>
      </c>
      <c r="DQ450" t="n">
        <v>0</v>
      </c>
      <c r="DR450" t="n">
        <v>0</v>
      </c>
      <c r="DS450" t="n">
        <v>0</v>
      </c>
      <c r="DT450" t="n">
        <v>0</v>
      </c>
      <c r="DU450" t="n">
        <v>0</v>
      </c>
      <c r="DV450" t="inlineStr">
        <is>
          <t>flat</t>
        </is>
      </c>
      <c r="DW450" t="n">
        <v>115.5</v>
      </c>
      <c r="DZ450" t="n">
        <v>115.5</v>
      </c>
      <c r="EA450" t="n">
        <v>115.5</v>
      </c>
      <c r="EB450" t="n">
        <v>1</v>
      </c>
      <c r="EC450" t="n">
        <v>0.5</v>
      </c>
      <c r="ED450" t="n">
        <v>0</v>
      </c>
      <c r="EE450" t="n">
        <v>338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  <c r="DP451" t="n">
        <v>7.16</v>
      </c>
      <c r="DQ451" t="n">
        <v>3.58</v>
      </c>
      <c r="DR451" t="n">
        <v>7.16</v>
      </c>
      <c r="DS451" t="n">
        <v>0</v>
      </c>
      <c r="DT451" t="n">
        <v>79</v>
      </c>
      <c r="DU451" t="n">
        <v>2.07</v>
      </c>
      <c r="DV451" t="inlineStr">
        <is>
          <t>flat</t>
        </is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  <c r="DW452" t="n">
        <v>83.2</v>
      </c>
      <c r="DZ452" t="n">
        <v>83.2</v>
      </c>
      <c r="EA452" t="n">
        <v>83.2</v>
      </c>
      <c r="EB452" t="n">
        <v>1</v>
      </c>
      <c r="EC452" t="n">
        <v>0.5</v>
      </c>
      <c r="ED452" t="n">
        <v>0</v>
      </c>
      <c r="EE452" t="n">
        <v>587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  <c r="DP453" t="n">
        <v>0</v>
      </c>
      <c r="DQ453" t="n">
        <v>0</v>
      </c>
      <c r="DR453" t="n">
        <v>0</v>
      </c>
      <c r="DS453" t="n">
        <v>0</v>
      </c>
      <c r="DT453" t="n">
        <v>0</v>
      </c>
      <c r="DU453" t="n">
        <v>0</v>
      </c>
      <c r="DV453" t="inlineStr">
        <is>
          <t>flat</t>
        </is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  <c r="DP454" t="n">
        <v>115.08</v>
      </c>
      <c r="DQ454" t="n">
        <v>57.54</v>
      </c>
      <c r="DR454" t="n">
        <v>115.08</v>
      </c>
      <c r="DS454" t="n">
        <v>0</v>
      </c>
      <c r="DT454" t="n">
        <v>3385</v>
      </c>
      <c r="DU454" t="n">
        <v>89.09</v>
      </c>
      <c r="DV454" t="inlineStr">
        <is>
          <t>flat</t>
        </is>
      </c>
      <c r="DW454" t="n">
        <v>112.33</v>
      </c>
      <c r="DX454" t="n">
        <v>118.6</v>
      </c>
      <c r="DY454" t="n">
        <v>10.49</v>
      </c>
      <c r="DZ454" t="n">
        <v>68.8</v>
      </c>
      <c r="EA454" t="n">
        <v>120</v>
      </c>
      <c r="EB454" t="n">
        <v>55</v>
      </c>
      <c r="EC454" t="n">
        <v>26.4</v>
      </c>
      <c r="ED454" t="n">
        <v>3.5</v>
      </c>
      <c r="EE454" t="n">
        <v>479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  <c r="DP455" t="n">
        <v>0</v>
      </c>
      <c r="DQ455" t="n">
        <v>0</v>
      </c>
      <c r="DR455" t="n">
        <v>0</v>
      </c>
      <c r="DS455" t="n">
        <v>0</v>
      </c>
      <c r="DT455" t="n">
        <v>0</v>
      </c>
      <c r="DU455" t="n">
        <v>0</v>
      </c>
      <c r="DV455" t="inlineStr">
        <is>
          <t>flat</t>
        </is>
      </c>
      <c r="DW455" t="n">
        <v>26.67</v>
      </c>
      <c r="DZ455" t="n">
        <v>26.67</v>
      </c>
      <c r="EA455" t="n">
        <v>26.67</v>
      </c>
      <c r="EB455" t="n">
        <v>1</v>
      </c>
      <c r="EC455" t="n">
        <v>0.5</v>
      </c>
      <c r="ED455" t="n">
        <v>0</v>
      </c>
      <c r="EE455" t="n">
        <v>495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  <c r="DP456" t="n">
        <v>0</v>
      </c>
      <c r="DQ456" t="n">
        <v>0</v>
      </c>
      <c r="DR456" t="n">
        <v>0</v>
      </c>
      <c r="DS456" t="n">
        <v>0</v>
      </c>
      <c r="DT456" t="n">
        <v>0</v>
      </c>
      <c r="DU456" t="n">
        <v>0</v>
      </c>
      <c r="DV456" t="inlineStr">
        <is>
          <t>flat</t>
        </is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  <c r="DP457" t="n">
        <v>13.3</v>
      </c>
      <c r="DQ457" t="n">
        <v>6.71</v>
      </c>
      <c r="DR457" t="n">
        <v>13.42</v>
      </c>
      <c r="DS457" t="n">
        <v>-0.12</v>
      </c>
      <c r="DT457" t="n">
        <v>20</v>
      </c>
      <c r="DU457" t="n">
        <v>0.52</v>
      </c>
      <c r="DV457" t="inlineStr">
        <is>
          <t>flat</t>
        </is>
      </c>
      <c r="DW457" t="n">
        <v>117.71</v>
      </c>
      <c r="DZ457" t="n">
        <v>117.71</v>
      </c>
      <c r="EA457" t="n">
        <v>117.71</v>
      </c>
      <c r="EB457" t="n">
        <v>1</v>
      </c>
      <c r="EC457" t="n">
        <v>0.5</v>
      </c>
      <c r="ED457" t="n">
        <v>0</v>
      </c>
      <c r="EE457" t="n">
        <v>220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  <c r="DP458" t="n">
        <v>0</v>
      </c>
      <c r="DQ458" t="n">
        <v>0</v>
      </c>
      <c r="DR458" t="n">
        <v>0</v>
      </c>
      <c r="DS458" t="n">
        <v>0</v>
      </c>
      <c r="DT458" t="n">
        <v>0</v>
      </c>
      <c r="DU458" t="n">
        <v>0</v>
      </c>
      <c r="DV458" t="inlineStr">
        <is>
          <t>flat</t>
        </is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  <c r="DP459" t="n">
        <v>0</v>
      </c>
      <c r="DQ459" t="n">
        <v>0</v>
      </c>
      <c r="DR459" t="n">
        <v>0</v>
      </c>
      <c r="DS459" t="n">
        <v>0</v>
      </c>
      <c r="DT459" t="n">
        <v>0</v>
      </c>
      <c r="DU459" t="n">
        <v>0</v>
      </c>
      <c r="DV459" t="inlineStr">
        <is>
          <t>flat</t>
        </is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  <c r="DP460" t="n">
        <v>0</v>
      </c>
      <c r="DQ460" t="n">
        <v>0</v>
      </c>
      <c r="DR460" t="n">
        <v>0</v>
      </c>
      <c r="DS460" t="n">
        <v>0</v>
      </c>
      <c r="DT460" t="n">
        <v>0</v>
      </c>
      <c r="DU460" t="n">
        <v>0</v>
      </c>
      <c r="DV460" t="inlineStr">
        <is>
          <t>flat</t>
        </is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EF461" t="n">
        <v>97.2</v>
      </c>
      <c r="EG461" t="n">
        <v>97.2</v>
      </c>
      <c r="EH461" t="n">
        <v>97.2</v>
      </c>
      <c r="EI461" t="n">
        <v>794.3</v>
      </c>
      <c r="EJ461" t="n">
        <v>1187.9</v>
      </c>
      <c r="EK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EF462" t="n">
        <v>20</v>
      </c>
      <c r="EG462" t="n">
        <v>8</v>
      </c>
      <c r="EI462" t="n">
        <v>95</v>
      </c>
      <c r="EK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  <c r="DP463" t="n">
        <v>0</v>
      </c>
      <c r="DQ463" t="n">
        <v>0</v>
      </c>
      <c r="DR463" t="n">
        <v>0</v>
      </c>
      <c r="DS463" t="n">
        <v>0</v>
      </c>
      <c r="DT463" t="n">
        <v>0</v>
      </c>
      <c r="DU463" t="n">
        <v>0</v>
      </c>
      <c r="DV463" t="inlineStr">
        <is>
          <t>flat</t>
        </is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EF464" t="n">
        <v>198.7</v>
      </c>
      <c r="EG464" t="n">
        <v>49.7</v>
      </c>
      <c r="EH464" t="n">
        <v>198.7</v>
      </c>
      <c r="EI464" t="n">
        <v>2206.1</v>
      </c>
      <c r="EJ464" t="n">
        <v>883.6</v>
      </c>
      <c r="EK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EF465" t="n">
        <v>774.2</v>
      </c>
      <c r="EG465" t="n">
        <v>309.7</v>
      </c>
      <c r="EH465" t="n">
        <v>238.2</v>
      </c>
      <c r="EI465" t="n">
        <v>33286.3</v>
      </c>
      <c r="EJ465" t="n">
        <v>1859.6</v>
      </c>
      <c r="EK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EH466" t="n">
        <v>20</v>
      </c>
      <c r="EJ466" t="n">
        <v>527.6</v>
      </c>
      <c r="EK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EF467" t="n">
        <v>49.8</v>
      </c>
      <c r="EG467" t="n">
        <v>38.6</v>
      </c>
      <c r="EH467" t="n">
        <v>71.90000000000001</v>
      </c>
      <c r="EI467" t="n">
        <v>393.5</v>
      </c>
      <c r="EJ467" t="n">
        <v>814.4</v>
      </c>
      <c r="EK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EF468" t="n">
        <v>796</v>
      </c>
      <c r="EG468" t="n">
        <v>265.3</v>
      </c>
      <c r="EH468" t="n">
        <v>56.9</v>
      </c>
      <c r="EI468" t="n">
        <v>16600.7</v>
      </c>
      <c r="EJ468" t="n">
        <v>875</v>
      </c>
      <c r="EK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  <c r="DP470" t="n">
        <v>4.6</v>
      </c>
      <c r="DQ470" t="n">
        <v>2.3</v>
      </c>
      <c r="DR470" t="n">
        <v>4.6</v>
      </c>
      <c r="DS470" t="n">
        <v>0</v>
      </c>
      <c r="DT470" t="n">
        <v>65</v>
      </c>
      <c r="DU470" t="n">
        <v>1.71</v>
      </c>
      <c r="DV470" t="inlineStr">
        <is>
          <t>flat</t>
        </is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EF471" t="n">
        <v>72.40000000000001</v>
      </c>
      <c r="EG471" t="n">
        <v>61.8</v>
      </c>
      <c r="EH471" t="n">
        <v>161.6</v>
      </c>
      <c r="EI471" t="n">
        <v>1097.6</v>
      </c>
      <c r="EJ471" t="n">
        <v>1240.5</v>
      </c>
      <c r="EK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EH472" t="n">
        <v>1800</v>
      </c>
      <c r="EJ472" t="n">
        <v>81284</v>
      </c>
      <c r="EK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EF473" t="n">
        <v>263.7</v>
      </c>
      <c r="EG473" t="n">
        <v>113</v>
      </c>
      <c r="EH473" t="n">
        <v>263.7</v>
      </c>
      <c r="EI473" t="n">
        <v>9614.9</v>
      </c>
      <c r="EJ473" t="n">
        <v>4577.6</v>
      </c>
      <c r="EK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EF475" t="n">
        <v>45.3</v>
      </c>
      <c r="EG475" t="n">
        <v>17.7</v>
      </c>
      <c r="EH475" t="n">
        <v>58.3</v>
      </c>
      <c r="EI475" t="n">
        <v>415.1</v>
      </c>
      <c r="EJ475" t="n">
        <v>908.5</v>
      </c>
      <c r="EK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  <c r="DP476" t="n">
        <v>38.06</v>
      </c>
      <c r="DQ476" t="n">
        <v>19.05</v>
      </c>
      <c r="DR476" t="n">
        <v>38.1</v>
      </c>
      <c r="DS476" t="n">
        <v>-0.04</v>
      </c>
      <c r="DT476" t="n">
        <v>804</v>
      </c>
      <c r="DU476" t="n">
        <v>21.16</v>
      </c>
      <c r="DV476" t="inlineStr">
        <is>
          <t>flat</t>
        </is>
      </c>
      <c r="DW476" t="n">
        <v>91.93000000000001</v>
      </c>
      <c r="DY476" t="n">
        <v>10.56</v>
      </c>
      <c r="DZ476" t="n">
        <v>84.36</v>
      </c>
      <c r="EA476" t="n">
        <v>104</v>
      </c>
      <c r="EB476" t="n">
        <v>3</v>
      </c>
      <c r="EC476" t="n">
        <v>1.4</v>
      </c>
      <c r="ED476" t="n">
        <v>25</v>
      </c>
      <c r="EE476" t="n">
        <v>515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EG477" t="n">
        <v>219.5</v>
      </c>
      <c r="EH477" t="n">
        <v>439</v>
      </c>
      <c r="EJ477" t="n">
        <v>6994.6</v>
      </c>
      <c r="EK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EF478" t="n">
        <v>19</v>
      </c>
      <c r="EG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EF479" t="n">
        <v>219.2</v>
      </c>
      <c r="EG479" t="n">
        <v>1096</v>
      </c>
      <c r="EH479" t="n">
        <v>47.7</v>
      </c>
      <c r="EI479" t="n">
        <v>6053.8</v>
      </c>
      <c r="EJ479" t="n">
        <v>319.6</v>
      </c>
      <c r="EK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  <c r="DP480" t="n">
        <v>59.5</v>
      </c>
      <c r="DQ480" t="n">
        <v>30.66</v>
      </c>
      <c r="DR480" t="n">
        <v>61.32</v>
      </c>
      <c r="DS480" t="n">
        <v>-1.82</v>
      </c>
      <c r="DT480" t="n">
        <v>1545</v>
      </c>
      <c r="DU480" t="n">
        <v>40.65</v>
      </c>
      <c r="DV480" t="inlineStr">
        <is>
          <t>fade (losing his place)</t>
        </is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EF482" t="n">
        <v>29.7</v>
      </c>
      <c r="EG482" t="n">
        <v>20.7</v>
      </c>
      <c r="EH482" t="n">
        <v>88</v>
      </c>
      <c r="EI482" t="n">
        <v>183</v>
      </c>
      <c r="EJ482" t="n">
        <v>1131.1</v>
      </c>
      <c r="EK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  <c r="DP483" t="n">
        <v>1.14</v>
      </c>
      <c r="DQ483" t="n">
        <v>0.44</v>
      </c>
      <c r="DR483" t="n">
        <v>0.88</v>
      </c>
      <c r="DS483" t="n">
        <v>0.26</v>
      </c>
      <c r="DT483" t="n">
        <v>35</v>
      </c>
      <c r="DU483" t="n">
        <v>0.91</v>
      </c>
      <c r="DV483" t="inlineStr">
        <is>
          <t>flat</t>
        </is>
      </c>
      <c r="DW483" t="n">
        <v>116.86</v>
      </c>
      <c r="DY483" t="n">
        <v>3.07</v>
      </c>
      <c r="DZ483" t="n">
        <v>108.36</v>
      </c>
      <c r="EA483" t="n">
        <v>120</v>
      </c>
      <c r="EB483" t="n">
        <v>13</v>
      </c>
      <c r="EC483" t="n">
        <v>6.2</v>
      </c>
      <c r="ED483" t="n">
        <v>13.3</v>
      </c>
      <c r="EE483" t="n">
        <v>489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  <c r="DP484" t="n">
        <v>0</v>
      </c>
      <c r="DQ484" t="n">
        <v>0</v>
      </c>
      <c r="DR484" t="n">
        <v>0</v>
      </c>
      <c r="DS484" t="n">
        <v>0</v>
      </c>
      <c r="DT484" t="n">
        <v>0</v>
      </c>
      <c r="DU484" t="n">
        <v>0</v>
      </c>
      <c r="DV484" t="inlineStr">
        <is>
          <t>flat</t>
        </is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  <c r="DP486" t="n">
        <v>111.19</v>
      </c>
      <c r="DQ486" t="n">
        <v>56.36</v>
      </c>
      <c r="DR486" t="n">
        <v>112.72</v>
      </c>
      <c r="DS486" t="n">
        <v>-1.53</v>
      </c>
      <c r="DT486" t="n">
        <v>3015</v>
      </c>
      <c r="DU486" t="n">
        <v>79.34999999999999</v>
      </c>
      <c r="DV486" t="inlineStr">
        <is>
          <t>flat</t>
        </is>
      </c>
      <c r="DW486" t="n">
        <v>96.18000000000001</v>
      </c>
      <c r="DY486" t="n">
        <v>20.76</v>
      </c>
      <c r="DZ486" t="n">
        <v>81.5</v>
      </c>
      <c r="EA486" t="n">
        <v>110.86</v>
      </c>
      <c r="EB486" t="n">
        <v>2</v>
      </c>
      <c r="EC486" t="n">
        <v>1</v>
      </c>
      <c r="ED486" t="n">
        <v>33.3</v>
      </c>
      <c r="EE486" t="n">
        <v>554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  <c r="DP487" t="n">
        <v>1.38</v>
      </c>
      <c r="DQ487" t="n">
        <v>0.6899999999999999</v>
      </c>
      <c r="DR487" t="n">
        <v>1.38</v>
      </c>
      <c r="DS487" t="n">
        <v>0</v>
      </c>
      <c r="DT487" t="n">
        <v>35</v>
      </c>
      <c r="DU487" t="n">
        <v>0.92</v>
      </c>
      <c r="DV487" t="inlineStr">
        <is>
          <t>flat</t>
        </is>
      </c>
      <c r="DW487" t="n">
        <v>116</v>
      </c>
      <c r="DX487" t="n">
        <v>115.5</v>
      </c>
      <c r="DY487" t="n">
        <v>2.58</v>
      </c>
      <c r="DZ487" t="n">
        <v>112.5</v>
      </c>
      <c r="EA487" t="n">
        <v>120</v>
      </c>
      <c r="EB487" t="n">
        <v>12</v>
      </c>
      <c r="EC487" t="n">
        <v>5.8</v>
      </c>
      <c r="ED487" t="n">
        <v>0</v>
      </c>
      <c r="EE487" t="n">
        <v>498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EF488" t="n">
        <v>38</v>
      </c>
      <c r="EG488" t="n">
        <v>9.5</v>
      </c>
      <c r="EI488" t="n">
        <v>672.6</v>
      </c>
      <c r="EK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EF489" t="n">
        <v>49.1</v>
      </c>
      <c r="EG489" t="n">
        <v>27.7</v>
      </c>
      <c r="EH489" t="n">
        <v>79.8</v>
      </c>
      <c r="EI489" t="n">
        <v>1021.1</v>
      </c>
      <c r="EJ489" t="n">
        <v>645.2</v>
      </c>
      <c r="EK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  <c r="DP490" t="n">
        <v>1.38</v>
      </c>
      <c r="DQ490" t="n">
        <v>0.6899999999999999</v>
      </c>
      <c r="DR490" t="n">
        <v>1.38</v>
      </c>
      <c r="DS490" t="n">
        <v>0</v>
      </c>
      <c r="DT490" t="n">
        <v>35</v>
      </c>
      <c r="DU490" t="n">
        <v>0.91</v>
      </c>
      <c r="DV490" t="inlineStr">
        <is>
          <t>flat</t>
        </is>
      </c>
      <c r="DW490" t="n">
        <v>113.81</v>
      </c>
      <c r="DY490" t="n">
        <v>6.22</v>
      </c>
      <c r="DZ490" t="n">
        <v>104.67</v>
      </c>
      <c r="EA490" t="n">
        <v>118.5</v>
      </c>
      <c r="EB490" t="n">
        <v>4</v>
      </c>
      <c r="EC490" t="n">
        <v>1.9</v>
      </c>
      <c r="ED490" t="n">
        <v>20</v>
      </c>
      <c r="EE490" t="n">
        <v>482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EF491" t="n">
        <v>262.5</v>
      </c>
      <c r="EG491" t="n">
        <v>80.8</v>
      </c>
      <c r="EH491" t="n">
        <v>262.5</v>
      </c>
      <c r="EI491" t="n">
        <v>986.6</v>
      </c>
      <c r="EJ491" t="n">
        <v>4166.4</v>
      </c>
      <c r="EK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  <c r="DP493" t="n">
        <v>1</v>
      </c>
      <c r="DQ493" t="n">
        <v>0.5</v>
      </c>
      <c r="DR493" t="n">
        <v>1</v>
      </c>
      <c r="DS493" t="n">
        <v>0</v>
      </c>
      <c r="DT493" t="n">
        <v>34</v>
      </c>
      <c r="DU493" t="n">
        <v>0.9</v>
      </c>
      <c r="DV493" t="inlineStr">
        <is>
          <t>flat</t>
        </is>
      </c>
      <c r="DW493" t="n">
        <v>116.3</v>
      </c>
      <c r="DY493" t="n">
        <v>3.9</v>
      </c>
      <c r="DZ493" t="n">
        <v>112.73</v>
      </c>
      <c r="EA493" t="n">
        <v>120</v>
      </c>
      <c r="EB493" t="n">
        <v>4</v>
      </c>
      <c r="EC493" t="n">
        <v>1.9</v>
      </c>
      <c r="ED493" t="n">
        <v>33.3</v>
      </c>
      <c r="EE493" t="n">
        <v>563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EF495" t="n">
        <v>37.8</v>
      </c>
      <c r="EG495" t="n">
        <v>17.6</v>
      </c>
      <c r="EH495" t="n">
        <v>55.7</v>
      </c>
      <c r="EI495" t="n">
        <v>297</v>
      </c>
      <c r="EJ495" t="n">
        <v>402.2</v>
      </c>
      <c r="EK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EF496" t="n">
        <v>31.6</v>
      </c>
      <c r="EG496" t="n">
        <v>11.5</v>
      </c>
      <c r="EH496" t="n">
        <v>43.8</v>
      </c>
      <c r="EI496" t="n">
        <v>243.1</v>
      </c>
      <c r="EJ496" t="n">
        <v>334.2</v>
      </c>
      <c r="EK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EF497" t="n">
        <v>27</v>
      </c>
      <c r="EG497" t="n">
        <v>27</v>
      </c>
      <c r="EI497" t="n">
        <v>397</v>
      </c>
      <c r="EK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EF498" t="n">
        <v>114.7</v>
      </c>
      <c r="EG498" t="n">
        <v>43</v>
      </c>
      <c r="EH498" t="n">
        <v>98.3</v>
      </c>
      <c r="EI498" t="n">
        <v>627.6</v>
      </c>
      <c r="EJ498" t="n">
        <v>967</v>
      </c>
      <c r="EK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  <c r="DP499" t="n">
        <v>70.48999999999999</v>
      </c>
      <c r="DQ499" t="n">
        <v>38.21</v>
      </c>
      <c r="DR499" t="n">
        <v>76.42</v>
      </c>
      <c r="DS499" t="n">
        <v>-5.93</v>
      </c>
      <c r="DT499" t="n">
        <v>1824</v>
      </c>
      <c r="DU499" t="n">
        <v>48</v>
      </c>
      <c r="DV499" t="inlineStr">
        <is>
          <t>fade (losing his place)</t>
        </is>
      </c>
      <c r="DW499" t="n">
        <v>117</v>
      </c>
      <c r="DX499" t="n">
        <v>117</v>
      </c>
      <c r="DZ499" t="n">
        <v>117</v>
      </c>
      <c r="EA499" t="n">
        <v>117</v>
      </c>
      <c r="EB499" t="n">
        <v>1</v>
      </c>
      <c r="EC499" t="n">
        <v>0.5</v>
      </c>
      <c r="ED499" t="n">
        <v>0</v>
      </c>
      <c r="EE499" t="n">
        <v>556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  <c r="DP500" t="n">
        <v>28.94</v>
      </c>
      <c r="DQ500" t="n">
        <v>14.47</v>
      </c>
      <c r="DR500" t="n">
        <v>28.94</v>
      </c>
      <c r="DS500" t="n">
        <v>0</v>
      </c>
      <c r="DT500" t="n">
        <v>220</v>
      </c>
      <c r="DU500" t="n">
        <v>5.78</v>
      </c>
      <c r="DV500" t="inlineStr">
        <is>
          <t>flat</t>
        </is>
      </c>
      <c r="DW500" t="n">
        <v>100.78</v>
      </c>
      <c r="DX500" t="n">
        <v>100</v>
      </c>
      <c r="DY500" t="n">
        <v>11.73</v>
      </c>
      <c r="DZ500" t="n">
        <v>80.8</v>
      </c>
      <c r="EA500" t="n">
        <v>110.5</v>
      </c>
      <c r="EB500" t="n">
        <v>6</v>
      </c>
      <c r="EC500" t="n">
        <v>2.9</v>
      </c>
      <c r="ED500" t="n">
        <v>14.3</v>
      </c>
      <c r="EE500" t="n">
        <v>362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EH501" t="n">
        <v>2070</v>
      </c>
      <c r="EJ501" t="n">
        <v>24902.2</v>
      </c>
      <c r="EK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EF503" t="n">
        <v>66.59999999999999</v>
      </c>
      <c r="EG503" t="n">
        <v>48.8</v>
      </c>
      <c r="EH503" t="n">
        <v>274.6</v>
      </c>
      <c r="EI503" t="n">
        <v>644.8</v>
      </c>
      <c r="EJ503" t="n">
        <v>2856.8</v>
      </c>
      <c r="EK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EF504" t="n">
        <v>63.7</v>
      </c>
      <c r="EG504" t="n">
        <v>27.3</v>
      </c>
      <c r="EH504" t="n">
        <v>191</v>
      </c>
      <c r="EI504" t="n">
        <v>408</v>
      </c>
      <c r="EJ504" t="n">
        <v>763.3</v>
      </c>
      <c r="EK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EF505" t="n">
        <v>276</v>
      </c>
      <c r="EG505" t="n">
        <v>72.59999999999999</v>
      </c>
      <c r="EH505" t="n">
        <v>197.1</v>
      </c>
      <c r="EI505" t="n">
        <v>1161.4</v>
      </c>
      <c r="EJ505" t="n">
        <v>3865.6</v>
      </c>
      <c r="EK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EF506" t="n">
        <v>53.9</v>
      </c>
      <c r="EG506" t="n">
        <v>18.8</v>
      </c>
      <c r="EH506" t="n">
        <v>125.7</v>
      </c>
      <c r="EI506" t="n">
        <v>547.7</v>
      </c>
      <c r="EJ506" t="n">
        <v>909.1</v>
      </c>
      <c r="EK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  <c r="DP507" t="n">
        <v>9.65</v>
      </c>
      <c r="DQ507" t="n">
        <v>6.36</v>
      </c>
      <c r="DR507" t="n">
        <v>12.72</v>
      </c>
      <c r="DS507" t="n">
        <v>-3.07</v>
      </c>
      <c r="DT507" t="n">
        <v>103</v>
      </c>
      <c r="DU507" t="n">
        <v>2.7</v>
      </c>
      <c r="DV507" t="inlineStr">
        <is>
          <t>flat</t>
        </is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EF508" t="n">
        <v>96.2</v>
      </c>
      <c r="EG508" t="n">
        <v>30.7</v>
      </c>
      <c r="EH508" t="n">
        <v>61.4</v>
      </c>
      <c r="EI508" t="n">
        <v>995.3</v>
      </c>
      <c r="EJ508" t="n">
        <v>546.3</v>
      </c>
      <c r="EK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  <c r="DP509" t="n">
        <v>0</v>
      </c>
      <c r="DQ509" t="n">
        <v>0</v>
      </c>
      <c r="DR509" t="n">
        <v>0</v>
      </c>
      <c r="DS509" t="n">
        <v>0</v>
      </c>
      <c r="DT509" t="n">
        <v>0</v>
      </c>
      <c r="DU509" t="n">
        <v>0</v>
      </c>
      <c r="DV509" t="inlineStr">
        <is>
          <t>flat</t>
        </is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EF510" t="n">
        <v>125.6</v>
      </c>
      <c r="EG510" t="n">
        <v>76.5</v>
      </c>
      <c r="EH510" t="n">
        <v>146.6</v>
      </c>
      <c r="EI510" t="n">
        <v>1685.4</v>
      </c>
      <c r="EJ510" t="n">
        <v>2391.5</v>
      </c>
      <c r="EK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  <c r="DP511" t="n">
        <v>96.28</v>
      </c>
      <c r="DQ511" t="n">
        <v>48.17</v>
      </c>
      <c r="DR511" t="n">
        <v>96.34</v>
      </c>
      <c r="DS511" t="n">
        <v>-0.06</v>
      </c>
      <c r="DT511" t="n">
        <v>2668</v>
      </c>
      <c r="DU511" t="n">
        <v>70.2</v>
      </c>
      <c r="DV511" t="inlineStr">
        <is>
          <t>flat</t>
        </is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  <c r="DP512" t="n">
        <v>140.91</v>
      </c>
      <c r="DQ512" t="n">
        <v>70.48999999999999</v>
      </c>
      <c r="DR512" t="n">
        <v>140.98</v>
      </c>
      <c r="DS512" t="n">
        <v>-0.07000000000000001</v>
      </c>
      <c r="DT512" t="n">
        <v>3260</v>
      </c>
      <c r="DU512" t="n">
        <v>85.8</v>
      </c>
      <c r="DV512" t="inlineStr">
        <is>
          <t>flat</t>
        </is>
      </c>
      <c r="DW512" t="n">
        <v>83.7</v>
      </c>
      <c r="DX512" t="n">
        <v>92.27</v>
      </c>
      <c r="DY512" t="n">
        <v>20.55</v>
      </c>
      <c r="DZ512" t="n">
        <v>26.5</v>
      </c>
      <c r="EA512" t="n">
        <v>114.91</v>
      </c>
      <c r="EB512" t="n">
        <v>77</v>
      </c>
      <c r="EC512" t="n">
        <v>37</v>
      </c>
      <c r="ED512" t="n">
        <v>8.300000000000001</v>
      </c>
      <c r="EE512" t="n">
        <v>209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  <c r="DP513" t="n">
        <v>11.47</v>
      </c>
      <c r="DQ513" t="n">
        <v>5.88</v>
      </c>
      <c r="DR513" t="n">
        <v>11.76</v>
      </c>
      <c r="DS513" t="n">
        <v>-0.29</v>
      </c>
      <c r="DT513" t="n">
        <v>51</v>
      </c>
      <c r="DU513" t="n">
        <v>1.35</v>
      </c>
      <c r="DV513" t="inlineStr">
        <is>
          <t>flat</t>
        </is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  <c r="DP514" t="n">
        <v>0</v>
      </c>
      <c r="DQ514" t="n">
        <v>0</v>
      </c>
      <c r="DR514" t="n">
        <v>0</v>
      </c>
      <c r="DS514" t="n">
        <v>0</v>
      </c>
      <c r="DT514" t="n">
        <v>0</v>
      </c>
      <c r="DU514" t="n">
        <v>0</v>
      </c>
      <c r="DV514" t="inlineStr">
        <is>
          <t>flat</t>
        </is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EF515" t="n">
        <v>138.1</v>
      </c>
      <c r="EG515" t="n">
        <v>217</v>
      </c>
      <c r="EH515" t="n">
        <v>116.8</v>
      </c>
      <c r="EI515" t="n">
        <v>1497.7</v>
      </c>
      <c r="EJ515" t="n">
        <v>836.1</v>
      </c>
      <c r="EK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  <c r="DP516" t="n">
        <v>87.41</v>
      </c>
      <c r="DQ516" t="n">
        <v>43.71</v>
      </c>
      <c r="DR516" t="n">
        <v>87.42</v>
      </c>
      <c r="DS516" t="n">
        <v>-0.01</v>
      </c>
      <c r="DT516" t="n">
        <v>2992</v>
      </c>
      <c r="DU516" t="n">
        <v>78.75</v>
      </c>
      <c r="DV516" t="inlineStr">
        <is>
          <t>flat</t>
        </is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EF517" t="n">
        <v>46.3</v>
      </c>
      <c r="EG517" t="n">
        <v>19.7</v>
      </c>
      <c r="EH517" t="n">
        <v>53.2</v>
      </c>
      <c r="EI517" t="n">
        <v>465.9</v>
      </c>
      <c r="EJ517" t="n">
        <v>417.9</v>
      </c>
      <c r="EK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  <c r="DP518" t="n">
        <v>127.54</v>
      </c>
      <c r="DQ518" t="n">
        <v>58.93</v>
      </c>
      <c r="DR518" t="n">
        <v>117.86</v>
      </c>
      <c r="DS518" t="n">
        <v>9.68</v>
      </c>
      <c r="DT518" t="n">
        <v>2656</v>
      </c>
      <c r="DU518" t="n">
        <v>69.90000000000001</v>
      </c>
      <c r="DV518" t="inlineStr">
        <is>
          <t>ramp-up (injury / late WC return)</t>
        </is>
      </c>
      <c r="DW518" t="n">
        <v>82.77</v>
      </c>
      <c r="DX518" t="n">
        <v>89.93000000000001</v>
      </c>
      <c r="DY518" t="n">
        <v>24.52</v>
      </c>
      <c r="DZ518" t="n">
        <v>24</v>
      </c>
      <c r="EA518" t="n">
        <v>120</v>
      </c>
      <c r="EB518" t="n">
        <v>97</v>
      </c>
      <c r="EC518" t="n">
        <v>46.6</v>
      </c>
      <c r="ED518" t="n">
        <v>5.8</v>
      </c>
      <c r="EE518" t="n">
        <v>207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  <c r="DP519" t="n">
        <v>78.2</v>
      </c>
      <c r="DQ519" t="n">
        <v>39.1</v>
      </c>
      <c r="DR519" t="n">
        <v>78.2</v>
      </c>
      <c r="DS519" t="n">
        <v>0</v>
      </c>
      <c r="DT519" t="n">
        <v>2775</v>
      </c>
      <c r="DU519" t="n">
        <v>73.02</v>
      </c>
      <c r="DV519" t="inlineStr">
        <is>
          <t>flat</t>
        </is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EF520" t="n">
        <v>43.1</v>
      </c>
      <c r="EG520" t="n">
        <v>20.6</v>
      </c>
      <c r="EH520" t="n">
        <v>75.7</v>
      </c>
      <c r="EI520" t="n">
        <v>411.6</v>
      </c>
      <c r="EJ520" t="n">
        <v>403.8</v>
      </c>
      <c r="EK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EF521" t="n">
        <v>135.5</v>
      </c>
      <c r="EG521" t="n">
        <v>32.3</v>
      </c>
      <c r="EH521" t="n">
        <v>69.5</v>
      </c>
      <c r="EI521" t="n">
        <v>1436.8</v>
      </c>
      <c r="EJ521" t="n">
        <v>596.7</v>
      </c>
      <c r="EK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EF522" t="n">
        <v>60.2</v>
      </c>
      <c r="EG522" t="n">
        <v>29.2</v>
      </c>
      <c r="EH522" t="n">
        <v>85.2</v>
      </c>
      <c r="EI522" t="n">
        <v>714.3</v>
      </c>
      <c r="EJ522" t="n">
        <v>742.2</v>
      </c>
      <c r="EK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EF523" t="n">
        <v>601</v>
      </c>
      <c r="EG523" t="n">
        <v>601</v>
      </c>
      <c r="EI523" t="n">
        <v>2153.1</v>
      </c>
      <c r="EK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  <c r="DP524" t="n">
        <v>13.96</v>
      </c>
      <c r="DQ524" t="n">
        <v>6.98</v>
      </c>
      <c r="DR524" t="n">
        <v>13.96</v>
      </c>
      <c r="DS524" t="n">
        <v>0</v>
      </c>
      <c r="DT524" t="n">
        <v>193</v>
      </c>
      <c r="DU524" t="n">
        <v>5.07</v>
      </c>
      <c r="DV524" t="inlineStr">
        <is>
          <t>flat</t>
        </is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EF525" t="n">
        <v>76.40000000000001</v>
      </c>
      <c r="EG525" t="n">
        <v>50.1</v>
      </c>
      <c r="EH525" t="n">
        <v>96.8</v>
      </c>
      <c r="EI525" t="n">
        <v>545.5</v>
      </c>
      <c r="EJ525" t="n">
        <v>771.7</v>
      </c>
      <c r="EK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  <c r="DP526" t="n">
        <v>81.95</v>
      </c>
      <c r="DQ526" t="n">
        <v>41.09</v>
      </c>
      <c r="DR526" t="n">
        <v>82.18000000000001</v>
      </c>
      <c r="DS526" t="n">
        <v>-0.23</v>
      </c>
      <c r="DT526" t="n">
        <v>2833</v>
      </c>
      <c r="DU526" t="n">
        <v>74.55</v>
      </c>
      <c r="DV526" t="inlineStr">
        <is>
          <t>flat</t>
        </is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  <c r="DP527" t="n">
        <v>61.25</v>
      </c>
      <c r="DQ527" t="n">
        <v>30.78</v>
      </c>
      <c r="DR527" t="n">
        <v>61.56</v>
      </c>
      <c r="DS527" t="n">
        <v>-0.31</v>
      </c>
      <c r="DT527" t="n">
        <v>1476</v>
      </c>
      <c r="DU527" t="n">
        <v>38.85</v>
      </c>
      <c r="DV527" t="inlineStr">
        <is>
          <t>flat</t>
        </is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EF528" t="n">
        <v>177</v>
      </c>
      <c r="EI528" t="n">
        <v>7299.2</v>
      </c>
      <c r="EK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  <c r="DP530" t="n">
        <v>93.72</v>
      </c>
      <c r="DQ530" t="n">
        <v>46.86</v>
      </c>
      <c r="DR530" t="n">
        <v>93.72</v>
      </c>
      <c r="DS530" t="n">
        <v>0</v>
      </c>
      <c r="DT530" t="n">
        <v>2257</v>
      </c>
      <c r="DU530" t="n">
        <v>59.4</v>
      </c>
      <c r="DV530" t="inlineStr">
        <is>
          <t>flat</t>
        </is>
      </c>
      <c r="DW530" t="n">
        <v>102.86</v>
      </c>
      <c r="DZ530" t="n">
        <v>102.86</v>
      </c>
      <c r="EA530" t="n">
        <v>102.86</v>
      </c>
      <c r="EB530" t="n">
        <v>1</v>
      </c>
      <c r="EC530" t="n">
        <v>0.5</v>
      </c>
      <c r="ED530" t="n">
        <v>0</v>
      </c>
      <c r="EE530" t="n">
        <v>375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EF531" t="n">
        <v>23.9</v>
      </c>
      <c r="EG531" t="n">
        <v>13.4</v>
      </c>
      <c r="EH531" t="n">
        <v>92.09999999999999</v>
      </c>
      <c r="EI531" t="n">
        <v>136.1</v>
      </c>
      <c r="EJ531" t="n">
        <v>1746.2</v>
      </c>
      <c r="EK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EF532" t="n">
        <v>258.3</v>
      </c>
      <c r="EG532" t="n">
        <v>163.2</v>
      </c>
      <c r="EH532" t="n">
        <v>387.5</v>
      </c>
      <c r="EI532" t="n">
        <v>1582.7</v>
      </c>
      <c r="EJ532" t="n">
        <v>4274.2</v>
      </c>
      <c r="EK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  <c r="DP533" t="n">
        <v>7.58</v>
      </c>
      <c r="DQ533" t="n">
        <v>3.8</v>
      </c>
      <c r="DR533" t="n">
        <v>7.6</v>
      </c>
      <c r="DS533" t="n">
        <v>-0.02</v>
      </c>
      <c r="DT533" t="n">
        <v>30</v>
      </c>
      <c r="DU533" t="n">
        <v>0.8</v>
      </c>
      <c r="DV533" t="inlineStr">
        <is>
          <t>flat</t>
        </is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EF534" t="n">
        <v>88.2</v>
      </c>
      <c r="EG534" t="n">
        <v>176.5</v>
      </c>
      <c r="EH534" t="n">
        <v>70.59999999999999</v>
      </c>
      <c r="EI534" t="n">
        <v>4601.9</v>
      </c>
      <c r="EJ534" t="n">
        <v>783.1</v>
      </c>
      <c r="EK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  <c r="DP535" t="n">
        <v>35.18</v>
      </c>
      <c r="DQ535" t="n">
        <v>17.69</v>
      </c>
      <c r="DR535" t="n">
        <v>35.38</v>
      </c>
      <c r="DS535" t="n">
        <v>-0.2</v>
      </c>
      <c r="DT535" t="n">
        <v>675</v>
      </c>
      <c r="DU535" t="n">
        <v>17.76</v>
      </c>
      <c r="DV535" t="inlineStr">
        <is>
          <t>flat</t>
        </is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EF536" t="n">
        <v>497</v>
      </c>
      <c r="EG536" t="n">
        <v>71</v>
      </c>
      <c r="EI536" t="n">
        <v>13044.6</v>
      </c>
      <c r="EK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EF537" t="n">
        <v>77.3</v>
      </c>
      <c r="EG537" t="n">
        <v>92.8</v>
      </c>
      <c r="EH537" t="n">
        <v>77.3</v>
      </c>
      <c r="EI537" t="n">
        <v>2399.2</v>
      </c>
      <c r="EJ537" t="n">
        <v>1550.8</v>
      </c>
      <c r="EK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EF538" t="n">
        <v>87.3</v>
      </c>
      <c r="EG538" t="n">
        <v>15.6</v>
      </c>
      <c r="EH538" t="n">
        <v>41.6</v>
      </c>
      <c r="EI538" t="n">
        <v>1135.4</v>
      </c>
      <c r="EJ538" t="n">
        <v>425.4</v>
      </c>
      <c r="EK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EF539" t="n">
        <v>90</v>
      </c>
      <c r="EG539" t="n">
        <v>90</v>
      </c>
      <c r="EI539" t="n">
        <v>2032.1</v>
      </c>
      <c r="EK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  <c r="DP540" t="n">
        <v>22.59</v>
      </c>
      <c r="DQ540" t="n">
        <v>11.37</v>
      </c>
      <c r="DR540" t="n">
        <v>22.74</v>
      </c>
      <c r="DS540" t="n">
        <v>-0.15</v>
      </c>
      <c r="DT540" t="n">
        <v>281</v>
      </c>
      <c r="DU540" t="n">
        <v>7.4</v>
      </c>
      <c r="DV540" t="inlineStr">
        <is>
          <t>flat</t>
        </is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EF541" t="n">
        <v>222.7</v>
      </c>
      <c r="EG541" t="n">
        <v>119.9</v>
      </c>
      <c r="EH541" t="n">
        <v>389.8</v>
      </c>
      <c r="EI541" t="n">
        <v>1335.8</v>
      </c>
      <c r="EJ541" t="n">
        <v>7505.7</v>
      </c>
      <c r="EK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EG542" t="n">
        <v>138.9</v>
      </c>
      <c r="EH542" t="n">
        <v>115.8</v>
      </c>
      <c r="EJ542" t="n">
        <v>1458.4</v>
      </c>
      <c r="EK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EF543" t="n">
        <v>84.5</v>
      </c>
      <c r="EG543" t="n">
        <v>38.6</v>
      </c>
      <c r="EH543" t="n">
        <v>199.8</v>
      </c>
      <c r="EI543" t="n">
        <v>421.5</v>
      </c>
      <c r="EJ543" t="n">
        <v>2674.6</v>
      </c>
      <c r="EK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  <c r="DP544" t="n">
        <v>117.26</v>
      </c>
      <c r="DQ544" t="n">
        <v>58.63</v>
      </c>
      <c r="DR544" t="n">
        <v>117.26</v>
      </c>
      <c r="DS544" t="n">
        <v>0</v>
      </c>
      <c r="DT544" t="n">
        <v>3232</v>
      </c>
      <c r="DU544" t="n">
        <v>85.05</v>
      </c>
      <c r="DV544" t="inlineStr">
        <is>
          <t>flat</t>
        </is>
      </c>
      <c r="DW544" t="n">
        <v>110.33</v>
      </c>
      <c r="DX544" t="n">
        <v>115</v>
      </c>
      <c r="DY544" t="n">
        <v>8.960000000000001</v>
      </c>
      <c r="DZ544" t="n">
        <v>100</v>
      </c>
      <c r="EA544" t="n">
        <v>116</v>
      </c>
      <c r="EB544" t="n">
        <v>3</v>
      </c>
      <c r="EC544" t="n">
        <v>1.4</v>
      </c>
      <c r="ED544" t="n">
        <v>25</v>
      </c>
      <c r="EE544" t="n">
        <v>566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EF545" t="n">
        <v>43</v>
      </c>
      <c r="EG545" t="n">
        <v>19.2</v>
      </c>
      <c r="EH545" t="n">
        <v>44.8</v>
      </c>
      <c r="EI545" t="n">
        <v>460.7</v>
      </c>
      <c r="EJ545" t="n">
        <v>379.1</v>
      </c>
      <c r="EK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  <c r="DP546" t="n">
        <v>52.25</v>
      </c>
      <c r="DQ546" t="n">
        <v>30.22</v>
      </c>
      <c r="DR546" t="n">
        <v>60.44</v>
      </c>
      <c r="DS546" t="n">
        <v>-8.19</v>
      </c>
      <c r="DT546" t="n">
        <v>744</v>
      </c>
      <c r="DU546" t="n">
        <v>19.59</v>
      </c>
      <c r="DV546" t="inlineStr">
        <is>
          <t>fade (losing his place)</t>
        </is>
      </c>
      <c r="DW546" t="n">
        <v>96.94</v>
      </c>
      <c r="DX546" t="n">
        <v>86.5</v>
      </c>
      <c r="DY546" t="n">
        <v>19.46</v>
      </c>
      <c r="DZ546" t="n">
        <v>51</v>
      </c>
      <c r="EA546" t="n">
        <v>119</v>
      </c>
      <c r="EB546" t="n">
        <v>20</v>
      </c>
      <c r="EC546" t="n">
        <v>9.6</v>
      </c>
      <c r="ED546" t="n">
        <v>0</v>
      </c>
      <c r="EE546" t="n">
        <v>345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  <c r="DP547" t="n">
        <v>15.23</v>
      </c>
      <c r="DQ547" t="n">
        <v>7.62</v>
      </c>
      <c r="DR547" t="n">
        <v>15.24</v>
      </c>
      <c r="DS547" t="n">
        <v>-0.01</v>
      </c>
      <c r="DT547" t="n">
        <v>270</v>
      </c>
      <c r="DU547" t="n">
        <v>7.11</v>
      </c>
      <c r="DV547" t="inlineStr">
        <is>
          <t>flat</t>
        </is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  <c r="DP548" t="n">
        <v>18.81</v>
      </c>
      <c r="DQ548" t="n">
        <v>9.41</v>
      </c>
      <c r="DR548" t="n">
        <v>18.82</v>
      </c>
      <c r="DS548" t="n">
        <v>-0.01</v>
      </c>
      <c r="DT548" t="n">
        <v>382</v>
      </c>
      <c r="DU548" t="n">
        <v>10.05</v>
      </c>
      <c r="DV548" t="inlineStr">
        <is>
          <t>flat</t>
        </is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  <c r="DP549" t="n">
        <v>47.58</v>
      </c>
      <c r="DQ549" t="n">
        <v>23.79</v>
      </c>
      <c r="DR549" t="n">
        <v>47.58</v>
      </c>
      <c r="DS549" t="n">
        <v>0</v>
      </c>
      <c r="DT549" t="n">
        <v>448</v>
      </c>
      <c r="DU549" t="n">
        <v>11.79</v>
      </c>
      <c r="DV549" t="inlineStr">
        <is>
          <t>flat</t>
        </is>
      </c>
      <c r="DW549" t="n">
        <v>101.61</v>
      </c>
      <c r="DY549" t="n">
        <v>12.17</v>
      </c>
      <c r="DZ549" t="n">
        <v>79.2</v>
      </c>
      <c r="EA549" t="n">
        <v>117</v>
      </c>
      <c r="EB549" t="n">
        <v>10</v>
      </c>
      <c r="EC549" t="n">
        <v>4.8</v>
      </c>
      <c r="ED549" t="n">
        <v>9.1</v>
      </c>
      <c r="EE549" t="n">
        <v>360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  <c r="DP552" t="n">
        <v>123.24</v>
      </c>
      <c r="DQ552" t="n">
        <v>61.62</v>
      </c>
      <c r="DR552" t="n">
        <v>123.24</v>
      </c>
      <c r="DS552" t="n">
        <v>0</v>
      </c>
      <c r="DT552" t="n">
        <v>2822</v>
      </c>
      <c r="DU552" t="n">
        <v>74.25</v>
      </c>
      <c r="DV552" t="inlineStr">
        <is>
          <t>flat</t>
        </is>
      </c>
      <c r="DW552" t="n">
        <v>98.67</v>
      </c>
      <c r="DZ552" t="n">
        <v>98.67</v>
      </c>
      <c r="EA552" t="n">
        <v>98.67</v>
      </c>
      <c r="EB552" t="n">
        <v>1</v>
      </c>
      <c r="EC552" t="n">
        <v>0.5</v>
      </c>
      <c r="ED552" t="n">
        <v>0</v>
      </c>
      <c r="EE552" t="n">
        <v>517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EF553" t="n">
        <v>66.09999999999999</v>
      </c>
      <c r="EG553" t="n">
        <v>60.8</v>
      </c>
      <c r="EH553" t="n">
        <v>66.09999999999999</v>
      </c>
      <c r="EI553" t="n">
        <v>623.1</v>
      </c>
      <c r="EJ553" t="n">
        <v>505</v>
      </c>
      <c r="EK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EH554" t="n">
        <v>1003</v>
      </c>
      <c r="EJ554" t="n">
        <v>14126.6</v>
      </c>
      <c r="EK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  <c r="DP555" t="n">
        <v>40.42</v>
      </c>
      <c r="DQ555" t="n">
        <v>20.34</v>
      </c>
      <c r="DR555" t="n">
        <v>40.68</v>
      </c>
      <c r="DS555" t="n">
        <v>-0.26</v>
      </c>
      <c r="DT555" t="n">
        <v>724</v>
      </c>
      <c r="DU555" t="n">
        <v>19.05</v>
      </c>
      <c r="DV555" t="inlineStr">
        <is>
          <t>flat</t>
        </is>
      </c>
      <c r="DW555" t="n">
        <v>109.18</v>
      </c>
      <c r="DY555" t="n">
        <v>2.22</v>
      </c>
      <c r="DZ555" t="n">
        <v>106.5</v>
      </c>
      <c r="EA555" t="n">
        <v>111.5</v>
      </c>
      <c r="EB555" t="n">
        <v>4</v>
      </c>
      <c r="EC555" t="n">
        <v>1.9</v>
      </c>
      <c r="ED555" t="n">
        <v>20</v>
      </c>
      <c r="EE555" t="n">
        <v>205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EF556" t="n">
        <v>121</v>
      </c>
      <c r="EG556" t="n">
        <v>302.5</v>
      </c>
      <c r="EI556" t="n">
        <v>2848.6</v>
      </c>
      <c r="EK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  <c r="DP557" t="n">
        <v>0</v>
      </c>
      <c r="DQ557" t="n">
        <v>0</v>
      </c>
      <c r="DR557" t="n">
        <v>0</v>
      </c>
      <c r="DS557" t="n">
        <v>0</v>
      </c>
      <c r="DT557" t="n">
        <v>0</v>
      </c>
      <c r="DU557" t="n">
        <v>0</v>
      </c>
      <c r="DV557" t="inlineStr">
        <is>
          <t>flat</t>
        </is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EG558" t="n">
        <v>157</v>
      </c>
      <c r="EH558" t="n">
        <v>52.3</v>
      </c>
      <c r="EJ558" t="n">
        <v>776.8</v>
      </c>
      <c r="EK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EF559" t="n">
        <v>83.90000000000001</v>
      </c>
      <c r="EG559" t="n">
        <v>57.7</v>
      </c>
      <c r="EH559" t="n">
        <v>48.6</v>
      </c>
      <c r="EI559" t="n">
        <v>1314</v>
      </c>
      <c r="EJ559" t="n">
        <v>506.3</v>
      </c>
      <c r="EK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EF560" t="n">
        <v>70.09999999999999</v>
      </c>
      <c r="EG560" t="n">
        <v>28.7</v>
      </c>
      <c r="EH560" t="n">
        <v>101.9</v>
      </c>
      <c r="EI560" t="n">
        <v>340.4</v>
      </c>
      <c r="EJ560" t="n">
        <v>1250.8</v>
      </c>
      <c r="EK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  <c r="DP561" t="n">
        <v>61.27</v>
      </c>
      <c r="DQ561" t="n">
        <v>31.48</v>
      </c>
      <c r="DR561" t="n">
        <v>62.96</v>
      </c>
      <c r="DS561" t="n">
        <v>-1.69</v>
      </c>
      <c r="DT561" t="n">
        <v>1282</v>
      </c>
      <c r="DU561" t="n">
        <v>33.75</v>
      </c>
      <c r="DV561" t="inlineStr">
        <is>
          <t>flat</t>
        </is>
      </c>
      <c r="DW561" t="n">
        <v>104.47</v>
      </c>
      <c r="DY561" t="n">
        <v>8.41</v>
      </c>
      <c r="DZ561" t="n">
        <v>86.5</v>
      </c>
      <c r="EA561" t="n">
        <v>118.67</v>
      </c>
      <c r="EB561" t="n">
        <v>15</v>
      </c>
      <c r="EC561" t="n">
        <v>7.2</v>
      </c>
      <c r="ED561" t="n">
        <v>0</v>
      </c>
      <c r="EE561" t="n">
        <v>344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EF562" t="n">
        <v>59.6</v>
      </c>
      <c r="EG562" t="n">
        <v>50</v>
      </c>
      <c r="EH562" t="n">
        <v>96.2</v>
      </c>
      <c r="EI562" t="n">
        <v>1438.3</v>
      </c>
      <c r="EJ562" t="n">
        <v>1028.3</v>
      </c>
      <c r="EK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EF563" t="n">
        <v>255.3</v>
      </c>
      <c r="EG563" t="n">
        <v>62.3</v>
      </c>
      <c r="EH563" t="n">
        <v>255.3</v>
      </c>
      <c r="EI563" t="n">
        <v>1279.5</v>
      </c>
      <c r="EJ563" t="n">
        <v>2829</v>
      </c>
      <c r="EK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  <c r="DP564" t="n">
        <v>45.98</v>
      </c>
      <c r="DQ564" t="n">
        <v>22.62</v>
      </c>
      <c r="DR564" t="n">
        <v>45.24</v>
      </c>
      <c r="DS564" t="n">
        <v>0.74</v>
      </c>
      <c r="DT564" t="n">
        <v>1317</v>
      </c>
      <c r="DU564" t="n">
        <v>34.65</v>
      </c>
      <c r="DV564" t="inlineStr">
        <is>
          <t>flat</t>
        </is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  <c r="DP565" t="n">
        <v>86.13</v>
      </c>
      <c r="DQ565" t="n">
        <v>43.07</v>
      </c>
      <c r="DR565" t="n">
        <v>86.14</v>
      </c>
      <c r="DS565" t="n">
        <v>-0.01</v>
      </c>
      <c r="DT565" t="n">
        <v>2787</v>
      </c>
      <c r="DU565" t="n">
        <v>73.34999999999999</v>
      </c>
      <c r="DV565" t="inlineStr">
        <is>
          <t>flat</t>
        </is>
      </c>
      <c r="DW565" t="n">
        <v>94.5</v>
      </c>
      <c r="DX565" t="n">
        <v>94.5</v>
      </c>
      <c r="DY565" t="n">
        <v>14.85</v>
      </c>
      <c r="DZ565" t="n">
        <v>84</v>
      </c>
      <c r="EA565" t="n">
        <v>105</v>
      </c>
      <c r="EB565" t="n">
        <v>2</v>
      </c>
      <c r="EC565" t="n">
        <v>1</v>
      </c>
      <c r="ED565" t="n">
        <v>0</v>
      </c>
      <c r="EE565" t="n">
        <v>559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  <c r="DP566" t="n">
        <v>55.83</v>
      </c>
      <c r="DQ566" t="n">
        <v>27.99</v>
      </c>
      <c r="DR566" t="n">
        <v>55.98</v>
      </c>
      <c r="DS566" t="n">
        <v>-0.15</v>
      </c>
      <c r="DT566" t="n">
        <v>1146</v>
      </c>
      <c r="DU566" t="n">
        <v>30.16</v>
      </c>
      <c r="DV566" t="inlineStr">
        <is>
          <t>flat</t>
        </is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EF567" t="n">
        <v>37.8</v>
      </c>
      <c r="EG567" t="n">
        <v>21.6</v>
      </c>
      <c r="EH567" t="n">
        <v>69.8</v>
      </c>
      <c r="EI567" t="n">
        <v>207.2</v>
      </c>
      <c r="EJ567" t="n">
        <v>488.3</v>
      </c>
      <c r="EK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  <c r="DP568" t="n">
        <v>83.93000000000001</v>
      </c>
      <c r="DQ568" t="n">
        <v>42.09</v>
      </c>
      <c r="DR568" t="n">
        <v>84.18000000000001</v>
      </c>
      <c r="DS568" t="n">
        <v>-0.25</v>
      </c>
      <c r="DT568" t="n">
        <v>1978</v>
      </c>
      <c r="DU568" t="n">
        <v>52.05</v>
      </c>
      <c r="DV568" t="inlineStr">
        <is>
          <t>flat</t>
        </is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EF569" t="n">
        <v>109.9</v>
      </c>
      <c r="EG569" t="n">
        <v>63.2</v>
      </c>
      <c r="EH569" t="n">
        <v>632</v>
      </c>
      <c r="EI569" t="n">
        <v>905.7</v>
      </c>
      <c r="EJ569" t="n">
        <v>5163.6</v>
      </c>
      <c r="EK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  <c r="DP570" t="n">
        <v>38.47</v>
      </c>
      <c r="DQ570" t="n">
        <v>18.92</v>
      </c>
      <c r="DR570" t="n">
        <v>37.84</v>
      </c>
      <c r="DS570" t="n">
        <v>0.63</v>
      </c>
      <c r="DT570" t="n">
        <v>800</v>
      </c>
      <c r="DU570" t="n">
        <v>21.04</v>
      </c>
      <c r="DV570" t="inlineStr">
        <is>
          <t>flat</t>
        </is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  <c r="DP571" t="n">
        <v>111.08</v>
      </c>
      <c r="DQ571" t="n">
        <v>55.5</v>
      </c>
      <c r="DR571" t="n">
        <v>111</v>
      </c>
      <c r="DS571" t="n">
        <v>0.08</v>
      </c>
      <c r="DT571" t="n">
        <v>2440</v>
      </c>
      <c r="DU571" t="n">
        <v>64.2</v>
      </c>
      <c r="DV571" t="inlineStr">
        <is>
          <t>flat</t>
        </is>
      </c>
      <c r="DW571" t="n">
        <v>90.31</v>
      </c>
      <c r="DY571" t="n">
        <v>7.86</v>
      </c>
      <c r="DZ571" t="n">
        <v>81.5</v>
      </c>
      <c r="EA571" t="n">
        <v>96.62</v>
      </c>
      <c r="EB571" t="n">
        <v>3</v>
      </c>
      <c r="EC571" t="n">
        <v>1.4</v>
      </c>
      <c r="ED571" t="n">
        <v>0</v>
      </c>
      <c r="EE571" t="n">
        <v>204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  <c r="DP572" t="n">
        <v>46.72</v>
      </c>
      <c r="DQ572" t="n">
        <v>23.36</v>
      </c>
      <c r="DR572" t="n">
        <v>46.72</v>
      </c>
      <c r="DS572" t="n">
        <v>0</v>
      </c>
      <c r="DT572" t="n">
        <v>1197</v>
      </c>
      <c r="DU572" t="n">
        <v>31.5</v>
      </c>
      <c r="DV572" t="inlineStr">
        <is>
          <t>flat</t>
        </is>
      </c>
      <c r="DW572" t="n">
        <v>96.76000000000001</v>
      </c>
      <c r="DX572" t="n">
        <v>89</v>
      </c>
      <c r="DY572" t="n">
        <v>9.32</v>
      </c>
      <c r="DZ572" t="n">
        <v>88.56999999999999</v>
      </c>
      <c r="EA572" t="n">
        <v>106.46</v>
      </c>
      <c r="EB572" t="n">
        <v>4</v>
      </c>
      <c r="EC572" t="n">
        <v>1.9</v>
      </c>
      <c r="ED572" t="n">
        <v>0</v>
      </c>
      <c r="EE572" t="n">
        <v>487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  <c r="DP573" t="n">
        <v>98.5</v>
      </c>
      <c r="DQ573" t="n">
        <v>49.61</v>
      </c>
      <c r="DR573" t="n">
        <v>99.22</v>
      </c>
      <c r="DS573" t="n">
        <v>-0.72</v>
      </c>
      <c r="DT573" t="n">
        <v>2770</v>
      </c>
      <c r="DU573" t="n">
        <v>72.90000000000001</v>
      </c>
      <c r="DV573" t="inlineStr">
        <is>
          <t>flat</t>
        </is>
      </c>
      <c r="DW573" t="n">
        <v>87</v>
      </c>
      <c r="DX573" t="n">
        <v>87</v>
      </c>
      <c r="DZ573" t="n">
        <v>87</v>
      </c>
      <c r="EA573" t="n">
        <v>87</v>
      </c>
      <c r="EB573" t="n">
        <v>1</v>
      </c>
      <c r="EC573" t="n">
        <v>0.5</v>
      </c>
      <c r="ED573" t="n">
        <v>0</v>
      </c>
      <c r="EE573" t="n">
        <v>492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  <c r="DP574" t="n">
        <v>53.66</v>
      </c>
      <c r="DQ574" t="n">
        <v>28.25</v>
      </c>
      <c r="DR574" t="n">
        <v>56.5</v>
      </c>
      <c r="DS574" t="n">
        <v>-2.84</v>
      </c>
      <c r="DT574" t="n">
        <v>1053</v>
      </c>
      <c r="DU574" t="n">
        <v>27.7</v>
      </c>
      <c r="DV574" t="inlineStr">
        <is>
          <t>fade (losing his place)</t>
        </is>
      </c>
      <c r="DW574" t="n">
        <v>86.23999999999999</v>
      </c>
      <c r="DX574" t="n">
        <v>69</v>
      </c>
      <c r="DY574" t="n">
        <v>9.35</v>
      </c>
      <c r="DZ574" t="n">
        <v>69</v>
      </c>
      <c r="EA574" t="n">
        <v>97.70999999999999</v>
      </c>
      <c r="EB574" t="n">
        <v>7</v>
      </c>
      <c r="EC574" t="n">
        <v>3.4</v>
      </c>
      <c r="ED574" t="n">
        <v>12.5</v>
      </c>
      <c r="EE574" t="n">
        <v>208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EF575" t="n">
        <v>27.9</v>
      </c>
      <c r="EG575" t="n">
        <v>18.6</v>
      </c>
      <c r="EH575" t="n">
        <v>116.2</v>
      </c>
      <c r="EI575" t="n">
        <v>195.9</v>
      </c>
      <c r="EJ575" t="n">
        <v>1866.2</v>
      </c>
      <c r="EK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EF576" t="n">
        <v>83.5</v>
      </c>
      <c r="EG576" t="n">
        <v>21.7</v>
      </c>
      <c r="EH576" t="n">
        <v>87.90000000000001</v>
      </c>
      <c r="EI576" t="n">
        <v>618.4</v>
      </c>
      <c r="EJ576" t="n">
        <v>904.1</v>
      </c>
      <c r="EK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EF577" t="n">
        <v>153.2</v>
      </c>
      <c r="EG577" t="n">
        <v>120.4</v>
      </c>
      <c r="EH577" t="n">
        <v>210.6</v>
      </c>
      <c r="EI577" t="n">
        <v>2012.6</v>
      </c>
      <c r="EJ577" t="n">
        <v>2177.7</v>
      </c>
      <c r="EK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EH578" t="n">
        <v>16</v>
      </c>
      <c r="EJ578" t="n">
        <v>167.4</v>
      </c>
      <c r="EK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EG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EF580" t="n">
        <v>112.4</v>
      </c>
      <c r="EG580" t="n">
        <v>50.2</v>
      </c>
      <c r="EH580" t="n">
        <v>262.3</v>
      </c>
      <c r="EI580" t="n">
        <v>1369.1</v>
      </c>
      <c r="EJ580" t="n">
        <v>1583.6</v>
      </c>
      <c r="EK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EF581" t="n">
        <v>33.5</v>
      </c>
      <c r="EG581" t="n">
        <v>25</v>
      </c>
      <c r="EH581" t="n">
        <v>177.6</v>
      </c>
      <c r="EI581" t="n">
        <v>185.9</v>
      </c>
      <c r="EJ581" t="n">
        <v>2593.3</v>
      </c>
      <c r="EK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  <c r="DP582" t="n">
        <v>0</v>
      </c>
      <c r="DQ582" t="n">
        <v>0</v>
      </c>
      <c r="DR582" t="n">
        <v>0</v>
      </c>
      <c r="DS582" t="n">
        <v>0</v>
      </c>
      <c r="DT582" t="n">
        <v>0</v>
      </c>
      <c r="DU582" t="n">
        <v>0</v>
      </c>
      <c r="DV582" t="inlineStr">
        <is>
          <t>flat</t>
        </is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EF583" t="n">
        <v>62.4</v>
      </c>
      <c r="EG583" t="n">
        <v>23.6</v>
      </c>
      <c r="EH583" t="n">
        <v>291</v>
      </c>
      <c r="EI583" t="n">
        <v>474.7</v>
      </c>
      <c r="EJ583" t="n">
        <v>2292.2</v>
      </c>
      <c r="EK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  <c r="DP584" t="n">
        <v>21.86</v>
      </c>
      <c r="DQ584" t="n">
        <v>10.76</v>
      </c>
      <c r="DR584" t="n">
        <v>21.52</v>
      </c>
      <c r="DS584" t="n">
        <v>0.34</v>
      </c>
      <c r="DT584" t="n">
        <v>619</v>
      </c>
      <c r="DU584" t="n">
        <v>16.29</v>
      </c>
      <c r="DV584" t="inlineStr">
        <is>
          <t>flat</t>
        </is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EF585" t="n">
        <v>68.59999999999999</v>
      </c>
      <c r="EG585" t="n">
        <v>24.9</v>
      </c>
      <c r="EH585" t="n">
        <v>137.2</v>
      </c>
      <c r="EI585" t="n">
        <v>381.9</v>
      </c>
      <c r="EJ585" t="n">
        <v>1197.3</v>
      </c>
      <c r="EK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  <c r="DP586" t="n">
        <v>38.69</v>
      </c>
      <c r="DQ586" t="n">
        <v>19.35</v>
      </c>
      <c r="DR586" t="n">
        <v>38.7</v>
      </c>
      <c r="DS586" t="n">
        <v>-0.01</v>
      </c>
      <c r="DT586" t="n">
        <v>847</v>
      </c>
      <c r="DU586" t="n">
        <v>22.29</v>
      </c>
      <c r="DV586" t="inlineStr">
        <is>
          <t>flat</t>
        </is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EG587" t="n">
        <v>37</v>
      </c>
      <c r="EH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  <c r="DP588" t="n">
        <v>125.91</v>
      </c>
      <c r="DQ588" t="n">
        <v>63.17</v>
      </c>
      <c r="DR588" t="n">
        <v>126.34</v>
      </c>
      <c r="DS588" t="n">
        <v>-0.43</v>
      </c>
      <c r="DT588" t="n">
        <v>2155</v>
      </c>
      <c r="DU588" t="n">
        <v>56.7</v>
      </c>
      <c r="DV588" t="inlineStr">
        <is>
          <t>flat</t>
        </is>
      </c>
      <c r="DW588" t="n">
        <v>59.56</v>
      </c>
      <c r="DX588" t="n">
        <v>63.49</v>
      </c>
      <c r="DY588" t="n">
        <v>24.81</v>
      </c>
      <c r="DZ588" t="n">
        <v>16</v>
      </c>
      <c r="EA588" t="n">
        <v>120</v>
      </c>
      <c r="EB588" t="n">
        <v>138</v>
      </c>
      <c r="EC588" t="n">
        <v>66.3</v>
      </c>
      <c r="ED588" t="n">
        <v>6.1</v>
      </c>
      <c r="EE588" t="n">
        <v>55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  <c r="DP589" t="n">
        <v>28.36</v>
      </c>
      <c r="DQ589" t="n">
        <v>14.34</v>
      </c>
      <c r="DR589" t="n">
        <v>28.68</v>
      </c>
      <c r="DS589" t="n">
        <v>-0.32</v>
      </c>
      <c r="DT589" t="n">
        <v>192</v>
      </c>
      <c r="DU589" t="n">
        <v>5.04</v>
      </c>
      <c r="DV589" t="inlineStr">
        <is>
          <t>flat</t>
        </is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EF590" t="n">
        <v>53.1</v>
      </c>
      <c r="EG590" t="n">
        <v>20.2</v>
      </c>
      <c r="EH590" t="n">
        <v>169.8</v>
      </c>
      <c r="EI590" t="n">
        <v>337.4</v>
      </c>
      <c r="EJ590" t="n">
        <v>1392.4</v>
      </c>
      <c r="EK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EF591" t="n">
        <v>428</v>
      </c>
      <c r="EG591" t="n">
        <v>142.7</v>
      </c>
      <c r="EH591" t="n">
        <v>85.59999999999999</v>
      </c>
      <c r="EI591" t="n">
        <v>46359.8</v>
      </c>
      <c r="EJ591" t="n">
        <v>1263.4</v>
      </c>
      <c r="EK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  <c r="DP592" t="n">
        <v>112.72</v>
      </c>
      <c r="DQ592" t="n">
        <v>56.36</v>
      </c>
      <c r="DR592" t="n">
        <v>112.72</v>
      </c>
      <c r="DS592" t="n">
        <v>0</v>
      </c>
      <c r="DT592" t="n">
        <v>2502</v>
      </c>
      <c r="DU592" t="n">
        <v>65.84999999999999</v>
      </c>
      <c r="DV592" t="inlineStr">
        <is>
          <t>flat</t>
        </is>
      </c>
      <c r="DW592" t="n">
        <v>87.88</v>
      </c>
      <c r="DX592" t="n">
        <v>81</v>
      </c>
      <c r="DY592" t="n">
        <v>14.7</v>
      </c>
      <c r="DZ592" t="n">
        <v>70</v>
      </c>
      <c r="EA592" t="n">
        <v>111</v>
      </c>
      <c r="EB592" t="n">
        <v>9</v>
      </c>
      <c r="EC592" t="n">
        <v>4.3</v>
      </c>
      <c r="ED592" t="n">
        <v>10</v>
      </c>
      <c r="EE592" t="n">
        <v>213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  <c r="DP593" t="n">
        <v>62.43</v>
      </c>
      <c r="DQ593" t="n">
        <v>31.23</v>
      </c>
      <c r="DR593" t="n">
        <v>62.46</v>
      </c>
      <c r="DS593" t="n">
        <v>-0.03</v>
      </c>
      <c r="DT593" t="n">
        <v>1060</v>
      </c>
      <c r="DU593" t="n">
        <v>27.9</v>
      </c>
      <c r="DV593" t="inlineStr">
        <is>
          <t>flat</t>
        </is>
      </c>
      <c r="DW593" t="n">
        <v>87</v>
      </c>
      <c r="DX593" t="n">
        <v>94</v>
      </c>
      <c r="DY593" t="n">
        <v>9.9</v>
      </c>
      <c r="DZ593" t="n">
        <v>80</v>
      </c>
      <c r="EA593" t="n">
        <v>94</v>
      </c>
      <c r="EB593" t="n">
        <v>2</v>
      </c>
      <c r="EC593" t="n">
        <v>1</v>
      </c>
      <c r="ED593" t="n">
        <v>0</v>
      </c>
      <c r="EE593" t="n">
        <v>210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  <c r="DP594" t="n">
        <v>0</v>
      </c>
      <c r="DQ594" t="n">
        <v>0</v>
      </c>
      <c r="DR594" t="n">
        <v>0</v>
      </c>
      <c r="DS594" t="n">
        <v>0</v>
      </c>
      <c r="DT594" t="n">
        <v>0</v>
      </c>
      <c r="DU594" t="n">
        <v>0</v>
      </c>
      <c r="DV594" t="inlineStr">
        <is>
          <t>flat</t>
        </is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  <c r="DP595" t="n">
        <v>86.53</v>
      </c>
      <c r="DQ595" t="n">
        <v>41.28</v>
      </c>
      <c r="DR595" t="n">
        <v>82.56</v>
      </c>
      <c r="DS595" t="n">
        <v>3.97</v>
      </c>
      <c r="DT595" t="n">
        <v>2525</v>
      </c>
      <c r="DU595" t="n">
        <v>66.45</v>
      </c>
      <c r="DV595" t="inlineStr">
        <is>
          <t>flat</t>
        </is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  <c r="DP596" t="n">
        <v>89.81</v>
      </c>
      <c r="DQ596" t="n">
        <v>45.9</v>
      </c>
      <c r="DR596" t="n">
        <v>91.8</v>
      </c>
      <c r="DS596" t="n">
        <v>-1.99</v>
      </c>
      <c r="DT596" t="n">
        <v>1984</v>
      </c>
      <c r="DU596" t="n">
        <v>52.2</v>
      </c>
      <c r="DV596" t="inlineStr">
        <is>
          <t>flat</t>
        </is>
      </c>
      <c r="DW596" t="n">
        <v>81.31999999999999</v>
      </c>
      <c r="DX596" t="n">
        <v>88</v>
      </c>
      <c r="DY596" t="n">
        <v>20.62</v>
      </c>
      <c r="DZ596" t="n">
        <v>46.4</v>
      </c>
      <c r="EA596" t="n">
        <v>112</v>
      </c>
      <c r="EB596" t="n">
        <v>31</v>
      </c>
      <c r="EC596" t="n">
        <v>14.9</v>
      </c>
      <c r="ED596" t="n">
        <v>6.1</v>
      </c>
      <c r="EE596" t="n">
        <v>219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  <c r="DP597" t="n">
        <v>7.46</v>
      </c>
      <c r="DQ597" t="n">
        <v>3.7</v>
      </c>
      <c r="DR597" t="n">
        <v>7.4</v>
      </c>
      <c r="DS597" t="n">
        <v>0.06</v>
      </c>
      <c r="DT597" t="n">
        <v>38</v>
      </c>
      <c r="DU597" t="n">
        <v>1</v>
      </c>
      <c r="DV597" t="inlineStr">
        <is>
          <t>flat</t>
        </is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  <c r="DP598" t="n">
        <v>57.86</v>
      </c>
      <c r="DQ598" t="n">
        <v>28.93</v>
      </c>
      <c r="DR598" t="n">
        <v>57.86</v>
      </c>
      <c r="DS598" t="n">
        <v>0</v>
      </c>
      <c r="DT598" t="n">
        <v>1533</v>
      </c>
      <c r="DU598" t="n">
        <v>40.35</v>
      </c>
      <c r="DV598" t="inlineStr">
        <is>
          <t>flat</t>
        </is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EF599" t="n">
        <v>45.9</v>
      </c>
      <c r="EG599" t="n">
        <v>21.4</v>
      </c>
      <c r="EH599" t="n">
        <v>88.59999999999999</v>
      </c>
      <c r="EI599" t="n">
        <v>435.2</v>
      </c>
      <c r="EJ599" t="n">
        <v>766.4</v>
      </c>
      <c r="EK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  <c r="DP601" t="n">
        <v>106.68</v>
      </c>
      <c r="DQ601" t="n">
        <v>53.34</v>
      </c>
      <c r="DR601" t="n">
        <v>106.68</v>
      </c>
      <c r="DS601" t="n">
        <v>0</v>
      </c>
      <c r="DT601" t="n">
        <v>3342</v>
      </c>
      <c r="DU601" t="n">
        <v>87.95999999999999</v>
      </c>
      <c r="DV601" t="inlineStr">
        <is>
          <t>flat</t>
        </is>
      </c>
      <c r="DW601" t="n">
        <v>102.66</v>
      </c>
      <c r="DX601" t="n">
        <v>96.75</v>
      </c>
      <c r="DY601" t="n">
        <v>12.61</v>
      </c>
      <c r="DZ601" t="n">
        <v>78.40000000000001</v>
      </c>
      <c r="EA601" t="n">
        <v>117.6</v>
      </c>
      <c r="EB601" t="n">
        <v>17</v>
      </c>
      <c r="EC601" t="n">
        <v>8.199999999999999</v>
      </c>
      <c r="ED601" t="n">
        <v>15</v>
      </c>
      <c r="EE601" t="n">
        <v>540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  <c r="DP602" t="n">
        <v>28.36</v>
      </c>
      <c r="DQ602" t="n">
        <v>14.17</v>
      </c>
      <c r="DR602" t="n">
        <v>28.34</v>
      </c>
      <c r="DS602" t="n">
        <v>0.02</v>
      </c>
      <c r="DT602" t="n">
        <v>346</v>
      </c>
      <c r="DU602" t="n">
        <v>9.109999999999999</v>
      </c>
      <c r="DV602" t="inlineStr">
        <is>
          <t>flat</t>
        </is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  <c r="DP603" t="n">
        <v>17.3</v>
      </c>
      <c r="DQ603" t="n">
        <v>8.69</v>
      </c>
      <c r="DR603" t="n">
        <v>17.38</v>
      </c>
      <c r="DS603" t="n">
        <v>-0.08</v>
      </c>
      <c r="DT603" t="n">
        <v>148</v>
      </c>
      <c r="DU603" t="n">
        <v>3.89</v>
      </c>
      <c r="DV603" t="inlineStr">
        <is>
          <t>flat</t>
        </is>
      </c>
      <c r="DW603" t="n">
        <v>116.92</v>
      </c>
      <c r="DZ603" t="n">
        <v>116.92</v>
      </c>
      <c r="EA603" t="n">
        <v>116.92</v>
      </c>
      <c r="EB603" t="n">
        <v>1</v>
      </c>
      <c r="EC603" t="n">
        <v>0.5</v>
      </c>
      <c r="ED603" t="n">
        <v>50</v>
      </c>
      <c r="EE603" t="n">
        <v>336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  <c r="DP604" t="n">
        <v>100.42</v>
      </c>
      <c r="DQ604" t="n">
        <v>50.21</v>
      </c>
      <c r="DR604" t="n">
        <v>100.42</v>
      </c>
      <c r="DS604" t="n">
        <v>0</v>
      </c>
      <c r="DT604" t="n">
        <v>3186</v>
      </c>
      <c r="DU604" t="n">
        <v>83.84999999999999</v>
      </c>
      <c r="DV604" t="inlineStr">
        <is>
          <t>flat</t>
        </is>
      </c>
      <c r="DW604" t="n">
        <v>95.95</v>
      </c>
      <c r="DX604" t="n">
        <v>108.5</v>
      </c>
      <c r="DY604" t="n">
        <v>14.11</v>
      </c>
      <c r="DZ604" t="n">
        <v>72.56999999999999</v>
      </c>
      <c r="EA604" t="n">
        <v>114.91</v>
      </c>
      <c r="EB604" t="n">
        <v>11</v>
      </c>
      <c r="EC604" t="n">
        <v>5.3</v>
      </c>
      <c r="ED604" t="n">
        <v>0</v>
      </c>
      <c r="EE604" t="n">
        <v>567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  <c r="DP605" t="n">
        <v>116.02</v>
      </c>
      <c r="DQ605" t="n">
        <v>58.01</v>
      </c>
      <c r="DR605" t="n">
        <v>116.02</v>
      </c>
      <c r="DS605" t="n">
        <v>0</v>
      </c>
      <c r="DT605" t="n">
        <v>3135</v>
      </c>
      <c r="DU605" t="n">
        <v>82.5</v>
      </c>
      <c r="DV605" t="inlineStr">
        <is>
          <t>flat</t>
        </is>
      </c>
      <c r="DW605" t="n">
        <v>105.6</v>
      </c>
      <c r="DZ605" t="n">
        <v>105.6</v>
      </c>
      <c r="EA605" t="n">
        <v>105.6</v>
      </c>
      <c r="EB605" t="n">
        <v>1</v>
      </c>
      <c r="EC605" t="n">
        <v>0.5</v>
      </c>
      <c r="ED605" t="n">
        <v>66.7</v>
      </c>
      <c r="EE605" t="n">
        <v>538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EF606" t="n">
        <v>175.3</v>
      </c>
      <c r="EG606" t="n">
        <v>65.8</v>
      </c>
      <c r="EH606" t="n">
        <v>175.3</v>
      </c>
      <c r="EI606" t="n">
        <v>2999.2</v>
      </c>
      <c r="EJ606" t="n">
        <v>1825.5</v>
      </c>
      <c r="EK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EF607" t="n">
        <v>320</v>
      </c>
      <c r="EG607" t="n">
        <v>80</v>
      </c>
      <c r="EI607" t="n">
        <v>4822.3</v>
      </c>
      <c r="EK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  <c r="DP608" t="n">
        <v>0</v>
      </c>
      <c r="DQ608" t="n">
        <v>0</v>
      </c>
      <c r="DR608" t="n">
        <v>0</v>
      </c>
      <c r="DS608" t="n">
        <v>0</v>
      </c>
      <c r="DT608" t="n">
        <v>0</v>
      </c>
      <c r="DU608" t="n">
        <v>0</v>
      </c>
      <c r="DV608" t="inlineStr">
        <is>
          <t>flat</t>
        </is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EF609" t="n">
        <v>908.5</v>
      </c>
      <c r="EG609" t="n">
        <v>201.9</v>
      </c>
      <c r="EH609" t="n">
        <v>363.4</v>
      </c>
      <c r="EI609" t="n">
        <v>2769.8</v>
      </c>
      <c r="EJ609" t="n">
        <v>4782.1</v>
      </c>
      <c r="EK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  <c r="DP610" t="n">
        <v>38.74</v>
      </c>
      <c r="DQ610" t="n">
        <v>19.37</v>
      </c>
      <c r="DR610" t="n">
        <v>38.74</v>
      </c>
      <c r="DS610" t="n">
        <v>0</v>
      </c>
      <c r="DT610" t="n">
        <v>38</v>
      </c>
      <c r="DU610" t="n">
        <v>1</v>
      </c>
      <c r="DV610" t="inlineStr">
        <is>
          <t>flat</t>
        </is>
      </c>
      <c r="DW610" t="n">
        <v>105.5</v>
      </c>
      <c r="DZ610" t="n">
        <v>105.5</v>
      </c>
      <c r="EA610" t="n">
        <v>105.5</v>
      </c>
      <c r="EB610" t="n">
        <v>1</v>
      </c>
      <c r="EC610" t="n">
        <v>0.5</v>
      </c>
      <c r="ED610" t="n">
        <v>0</v>
      </c>
      <c r="EE610" t="n">
        <v>363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  <c r="DP611" t="n">
        <v>52.5</v>
      </c>
      <c r="DQ611" t="n">
        <v>26.26</v>
      </c>
      <c r="DR611" t="n">
        <v>52.52</v>
      </c>
      <c r="DS611" t="n">
        <v>-0.02</v>
      </c>
      <c r="DT611" t="n">
        <v>1305</v>
      </c>
      <c r="DU611" t="n">
        <v>34.35</v>
      </c>
      <c r="DV611" t="inlineStr">
        <is>
          <t>flat</t>
        </is>
      </c>
      <c r="DW611" t="n">
        <v>113</v>
      </c>
      <c r="DZ611" t="n">
        <v>113</v>
      </c>
      <c r="EA611" t="n">
        <v>113</v>
      </c>
      <c r="EB611" t="n">
        <v>1</v>
      </c>
      <c r="EC611" t="n">
        <v>0.5</v>
      </c>
      <c r="ED611" t="n">
        <v>0</v>
      </c>
      <c r="EE611" t="n">
        <v>386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  <c r="DP612" t="n">
        <v>0</v>
      </c>
      <c r="DQ612" t="n">
        <v>0</v>
      </c>
      <c r="DR612" t="n">
        <v>0</v>
      </c>
      <c r="DS612" t="n">
        <v>0</v>
      </c>
      <c r="DT612" t="n">
        <v>0</v>
      </c>
      <c r="DU612" t="n">
        <v>0</v>
      </c>
      <c r="DV612" t="inlineStr">
        <is>
          <t>flat</t>
        </is>
      </c>
      <c r="DW612" t="n">
        <v>119</v>
      </c>
      <c r="DX612" t="n">
        <v>119</v>
      </c>
      <c r="DZ612" t="n">
        <v>119</v>
      </c>
      <c r="EA612" t="n">
        <v>119</v>
      </c>
      <c r="EB612" t="n">
        <v>1</v>
      </c>
      <c r="EC612" t="n">
        <v>0.5</v>
      </c>
      <c r="ED612" t="n">
        <v>0</v>
      </c>
      <c r="EE612" t="n">
        <v>573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  <c r="DP613" t="n">
        <v>16.49</v>
      </c>
      <c r="DQ613" t="n">
        <v>8.25</v>
      </c>
      <c r="DR613" t="n">
        <v>16.5</v>
      </c>
      <c r="DS613" t="n">
        <v>-0.01</v>
      </c>
      <c r="DT613" t="n">
        <v>253</v>
      </c>
      <c r="DU613" t="n">
        <v>6.66</v>
      </c>
      <c r="DV613" t="inlineStr">
        <is>
          <t>flat</t>
        </is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  <c r="DP614" t="n">
        <v>0</v>
      </c>
      <c r="DQ614" t="n">
        <v>0</v>
      </c>
      <c r="DR614" t="n">
        <v>0</v>
      </c>
      <c r="DS614" t="n">
        <v>0</v>
      </c>
      <c r="DT614" t="n">
        <v>0</v>
      </c>
      <c r="DU614" t="n">
        <v>0</v>
      </c>
      <c r="DV614" t="inlineStr">
        <is>
          <t>flat</t>
        </is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EF615" t="n">
        <v>64.8</v>
      </c>
      <c r="EG615" t="n">
        <v>56</v>
      </c>
      <c r="EH615" t="n">
        <v>58.6</v>
      </c>
      <c r="EI615" t="n">
        <v>1641.7</v>
      </c>
      <c r="EJ615" t="n">
        <v>433.7</v>
      </c>
      <c r="EK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EH616" t="n">
        <v>810</v>
      </c>
      <c r="EJ616" t="n">
        <v>43552.6</v>
      </c>
      <c r="EK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EF617" t="n">
        <v>31.8</v>
      </c>
      <c r="EG617" t="n">
        <v>14.1</v>
      </c>
      <c r="EH617" t="n">
        <v>127</v>
      </c>
      <c r="EI617" t="n">
        <v>107.2</v>
      </c>
      <c r="EJ617" t="n">
        <v>3465.7</v>
      </c>
      <c r="EK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  <c r="DP618" t="n">
        <v>124.44</v>
      </c>
      <c r="DQ618" t="n">
        <v>62.22</v>
      </c>
      <c r="DR618" t="n">
        <v>124.44</v>
      </c>
      <c r="DS618" t="n">
        <v>0</v>
      </c>
      <c r="DT618" t="n">
        <v>3374</v>
      </c>
      <c r="DU618" t="n">
        <v>88.8</v>
      </c>
      <c r="DV618" t="inlineStr">
        <is>
          <t>flat</t>
        </is>
      </c>
      <c r="DW618" t="n">
        <v>107.61</v>
      </c>
      <c r="DX618" t="n">
        <v>113.67</v>
      </c>
      <c r="DY618" t="n">
        <v>16.57</v>
      </c>
      <c r="DZ618" t="n">
        <v>41.71</v>
      </c>
      <c r="EA618" t="n">
        <v>120</v>
      </c>
      <c r="EB618" t="n">
        <v>71</v>
      </c>
      <c r="EC618" t="n">
        <v>34.1</v>
      </c>
      <c r="ED618" t="n">
        <v>6.6</v>
      </c>
      <c r="EE618" t="n">
        <v>376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  <c r="DP619" t="n">
        <v>109.89</v>
      </c>
      <c r="DQ619" t="n">
        <v>55.05</v>
      </c>
      <c r="DR619" t="n">
        <v>110.1</v>
      </c>
      <c r="DS619" t="n">
        <v>-0.21</v>
      </c>
      <c r="DT619" t="n">
        <v>3385</v>
      </c>
      <c r="DU619" t="n">
        <v>89.08</v>
      </c>
      <c r="DV619" t="inlineStr">
        <is>
          <t>flat</t>
        </is>
      </c>
      <c r="DW619" t="n">
        <v>114.87</v>
      </c>
      <c r="DY619" t="n">
        <v>4.21</v>
      </c>
      <c r="DZ619" t="n">
        <v>106</v>
      </c>
      <c r="EA619" t="n">
        <v>119.27</v>
      </c>
      <c r="EB619" t="n">
        <v>12</v>
      </c>
      <c r="EC619" t="n">
        <v>5.8</v>
      </c>
      <c r="ED619" t="n">
        <v>0</v>
      </c>
      <c r="EE619" t="n">
        <v>516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EF620" t="n">
        <v>293.7</v>
      </c>
      <c r="EG620" t="n">
        <v>97.90000000000001</v>
      </c>
      <c r="EH620" t="n">
        <v>419.6</v>
      </c>
      <c r="EI620" t="n">
        <v>6503.4</v>
      </c>
      <c r="EJ620" t="n">
        <v>4183.1</v>
      </c>
      <c r="EK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EF621" t="n">
        <v>256.5</v>
      </c>
      <c r="EG621" t="n">
        <v>73.3</v>
      </c>
      <c r="EH621" t="n">
        <v>384.8</v>
      </c>
      <c r="EI621" t="n">
        <v>2530.4</v>
      </c>
      <c r="EJ621" t="n">
        <v>9152.799999999999</v>
      </c>
      <c r="EK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  <c r="DP622" t="n">
        <v>40.99</v>
      </c>
      <c r="DQ622" t="n">
        <v>20.08</v>
      </c>
      <c r="DR622" t="n">
        <v>40.16</v>
      </c>
      <c r="DS622" t="n">
        <v>0.83</v>
      </c>
      <c r="DT622" t="n">
        <v>948</v>
      </c>
      <c r="DU622" t="n">
        <v>24.95</v>
      </c>
      <c r="DV622" t="inlineStr">
        <is>
          <t>flat</t>
        </is>
      </c>
      <c r="DW622" t="n">
        <v>89.59999999999999</v>
      </c>
      <c r="DZ622" t="n">
        <v>89.59999999999999</v>
      </c>
      <c r="EA622" t="n">
        <v>89.59999999999999</v>
      </c>
      <c r="EB622" t="n">
        <v>1</v>
      </c>
      <c r="EC622" t="n">
        <v>0.5</v>
      </c>
      <c r="ED622" t="n">
        <v>50</v>
      </c>
      <c r="EE622" t="n">
        <v>340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  <c r="DP623" t="n">
        <v>55.14</v>
      </c>
      <c r="DQ623" t="n">
        <v>27.57</v>
      </c>
      <c r="DR623" t="n">
        <v>55.14</v>
      </c>
      <c r="DS623" t="n">
        <v>0</v>
      </c>
      <c r="DT623" t="n">
        <v>958</v>
      </c>
      <c r="DU623" t="n">
        <v>25.2</v>
      </c>
      <c r="DV623" t="inlineStr">
        <is>
          <t>flat</t>
        </is>
      </c>
      <c r="DW623" t="n">
        <v>92.14</v>
      </c>
      <c r="DY623" t="n">
        <v>15.18</v>
      </c>
      <c r="DZ623" t="n">
        <v>81.33</v>
      </c>
      <c r="EA623" t="n">
        <v>109.5</v>
      </c>
      <c r="EB623" t="n">
        <v>3</v>
      </c>
      <c r="EC623" t="n">
        <v>1.4</v>
      </c>
      <c r="ED623" t="n">
        <v>0</v>
      </c>
      <c r="EE623" t="n">
        <v>216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  <c r="DP624" t="n">
        <v>139.88</v>
      </c>
      <c r="DQ624" t="n">
        <v>69.94</v>
      </c>
      <c r="DR624" t="n">
        <v>139.88</v>
      </c>
      <c r="DS624" t="n">
        <v>0</v>
      </c>
      <c r="DT624" t="n">
        <v>3175</v>
      </c>
      <c r="DU624" t="n">
        <v>83.55</v>
      </c>
      <c r="DV624" t="inlineStr">
        <is>
          <t>flat</t>
        </is>
      </c>
      <c r="DW624" t="n">
        <v>97.06</v>
      </c>
      <c r="DX624" t="n">
        <v>111</v>
      </c>
      <c r="DY624" t="n">
        <v>12.77</v>
      </c>
      <c r="DZ624" t="n">
        <v>74</v>
      </c>
      <c r="EA624" t="n">
        <v>119</v>
      </c>
      <c r="EB624" t="n">
        <v>21</v>
      </c>
      <c r="EC624" t="n">
        <v>10.1</v>
      </c>
      <c r="ED624" t="n">
        <v>8.699999999999999</v>
      </c>
      <c r="EE624" t="n">
        <v>381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EF625" t="n">
        <v>48</v>
      </c>
      <c r="EG625" t="n">
        <v>19.2</v>
      </c>
      <c r="EH625" t="n">
        <v>320</v>
      </c>
      <c r="EI625" t="n">
        <v>420.2</v>
      </c>
      <c r="EJ625" t="n">
        <v>6344.4</v>
      </c>
      <c r="EK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  <c r="DP626" t="n">
        <v>0</v>
      </c>
      <c r="DQ626" t="n">
        <v>0</v>
      </c>
      <c r="DR626" t="n">
        <v>0</v>
      </c>
      <c r="DS626" t="n">
        <v>0</v>
      </c>
      <c r="DT626" t="n">
        <v>0</v>
      </c>
      <c r="DU626" t="n">
        <v>0</v>
      </c>
      <c r="DV626" t="inlineStr">
        <is>
          <t>flat</t>
        </is>
      </c>
      <c r="DW626" t="n">
        <v>114.4</v>
      </c>
      <c r="DZ626" t="n">
        <v>114.4</v>
      </c>
      <c r="EA626" t="n">
        <v>114.4</v>
      </c>
      <c r="EB626" t="n">
        <v>1</v>
      </c>
      <c r="EC626" t="n">
        <v>0.5</v>
      </c>
      <c r="ED626" t="n">
        <v>0</v>
      </c>
      <c r="EE626" t="n">
        <v>537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EF627" t="n">
        <v>29.9</v>
      </c>
      <c r="EG627" t="n">
        <v>13.9</v>
      </c>
      <c r="EH627" t="n">
        <v>117.2</v>
      </c>
      <c r="EI627" t="n">
        <v>189.5</v>
      </c>
      <c r="EJ627" t="n">
        <v>1213.3</v>
      </c>
      <c r="EK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EF628" t="n">
        <v>389</v>
      </c>
      <c r="EG628" t="n">
        <v>145.9</v>
      </c>
      <c r="EH628" t="n">
        <v>145.9</v>
      </c>
      <c r="EI628" t="n">
        <v>5488.3</v>
      </c>
      <c r="EJ628" t="n">
        <v>966.5</v>
      </c>
      <c r="EK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EF630" t="n">
        <v>147.8</v>
      </c>
      <c r="EG630" t="n">
        <v>50.3</v>
      </c>
      <c r="EH630" t="n">
        <v>62.2</v>
      </c>
      <c r="EI630" t="n">
        <v>2637.8</v>
      </c>
      <c r="EJ630" t="n">
        <v>641.8</v>
      </c>
      <c r="EK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EG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  <c r="DP632" t="n">
        <v>0</v>
      </c>
      <c r="DQ632" t="n">
        <v>0</v>
      </c>
      <c r="DR632" t="n">
        <v>0</v>
      </c>
      <c r="DS632" t="n">
        <v>0</v>
      </c>
      <c r="DT632" t="n">
        <v>0</v>
      </c>
      <c r="DU632" t="n">
        <v>0</v>
      </c>
      <c r="DV632" t="inlineStr">
        <is>
          <t>flat</t>
        </is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EF633" t="n">
        <v>23</v>
      </c>
      <c r="EG633" t="n">
        <v>17.2</v>
      </c>
      <c r="EI633" t="n">
        <v>399.3</v>
      </c>
      <c r="EK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EF634" t="n">
        <v>128.8</v>
      </c>
      <c r="EG634" t="n">
        <v>57.2</v>
      </c>
      <c r="EI634" t="n">
        <v>2478.8</v>
      </c>
      <c r="EK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  <c r="DP635" t="n">
        <v>134</v>
      </c>
      <c r="DQ635" t="n">
        <v>67.04000000000001</v>
      </c>
      <c r="DR635" t="n">
        <v>134.08</v>
      </c>
      <c r="DS635" t="n">
        <v>-0.08</v>
      </c>
      <c r="DT635" t="n">
        <v>3098</v>
      </c>
      <c r="DU635" t="n">
        <v>81.53</v>
      </c>
      <c r="DV635" t="inlineStr">
        <is>
          <t>flat</t>
        </is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EF637" t="n">
        <v>203.3</v>
      </c>
      <c r="EG637" t="n">
        <v>70.40000000000001</v>
      </c>
      <c r="EH637" t="n">
        <v>91.5</v>
      </c>
      <c r="EI637" t="n">
        <v>4848.1</v>
      </c>
      <c r="EJ637" t="n">
        <v>655.9</v>
      </c>
      <c r="EK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EF639" t="n">
        <v>349.7</v>
      </c>
      <c r="EG639" t="n">
        <v>55.2</v>
      </c>
      <c r="EH639" t="n">
        <v>131.1</v>
      </c>
      <c r="EI639" t="n">
        <v>12706.2</v>
      </c>
      <c r="EJ639" t="n">
        <v>804</v>
      </c>
      <c r="EK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  <c r="DP640" t="n">
        <v>35.34</v>
      </c>
      <c r="DQ640" t="n">
        <v>17.7</v>
      </c>
      <c r="DR640" t="n">
        <v>35.4</v>
      </c>
      <c r="DS640" t="n">
        <v>-0.06</v>
      </c>
      <c r="DT640" t="n">
        <v>534</v>
      </c>
      <c r="DU640" t="n">
        <v>14.04</v>
      </c>
      <c r="DV640" t="inlineStr">
        <is>
          <t>flat</t>
        </is>
      </c>
      <c r="DW640" t="n">
        <v>108.1</v>
      </c>
      <c r="DY640" t="n">
        <v>6.33</v>
      </c>
      <c r="DZ640" t="n">
        <v>100.8</v>
      </c>
      <c r="EA640" t="n">
        <v>112</v>
      </c>
      <c r="EB640" t="n">
        <v>3</v>
      </c>
      <c r="EC640" t="n">
        <v>1.4</v>
      </c>
      <c r="ED640" t="n">
        <v>0</v>
      </c>
      <c r="EE640" t="n">
        <v>387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  <c r="DP641" t="n">
        <v>26.3</v>
      </c>
      <c r="DQ641" t="n">
        <v>12.56</v>
      </c>
      <c r="DR641" t="n">
        <v>25.12</v>
      </c>
      <c r="DS641" t="n">
        <v>1.18</v>
      </c>
      <c r="DT641" t="n">
        <v>93</v>
      </c>
      <c r="DU641" t="n">
        <v>2.45</v>
      </c>
      <c r="DV641" t="inlineStr">
        <is>
          <t>flat</t>
        </is>
      </c>
      <c r="DW641" t="n">
        <v>117</v>
      </c>
      <c r="DX641" t="n">
        <v>117</v>
      </c>
      <c r="DZ641" t="n">
        <v>117</v>
      </c>
      <c r="EA641" t="n">
        <v>117</v>
      </c>
      <c r="EB641" t="n">
        <v>1</v>
      </c>
      <c r="EC641" t="n">
        <v>0.5</v>
      </c>
      <c r="ED641" t="n">
        <v>0</v>
      </c>
      <c r="EE641" t="n">
        <v>496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  <c r="DP642" t="n">
        <v>114.84</v>
      </c>
      <c r="DQ642" t="n">
        <v>57.47</v>
      </c>
      <c r="DR642" t="n">
        <v>114.94</v>
      </c>
      <c r="DS642" t="n">
        <v>-0.1</v>
      </c>
      <c r="DT642" t="n">
        <v>2736</v>
      </c>
      <c r="DU642" t="n">
        <v>72</v>
      </c>
      <c r="DV642" t="inlineStr">
        <is>
          <t>flat</t>
        </is>
      </c>
      <c r="DW642" t="n">
        <v>105.33</v>
      </c>
      <c r="DZ642" t="n">
        <v>105.33</v>
      </c>
      <c r="EA642" t="n">
        <v>105.33</v>
      </c>
      <c r="EB642" t="n">
        <v>1</v>
      </c>
      <c r="EC642" t="n">
        <v>0.5</v>
      </c>
      <c r="ED642" t="n">
        <v>0</v>
      </c>
      <c r="EE642" t="n">
        <v>356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  <c r="DP643" t="n">
        <v>75.39</v>
      </c>
      <c r="DQ643" t="n">
        <v>37.95</v>
      </c>
      <c r="DR643" t="n">
        <v>75.90000000000001</v>
      </c>
      <c r="DS643" t="n">
        <v>-0.51</v>
      </c>
      <c r="DT643" t="n">
        <v>1927</v>
      </c>
      <c r="DU643" t="n">
        <v>50.7</v>
      </c>
      <c r="DV643" t="inlineStr">
        <is>
          <t>flat</t>
        </is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EF644" t="n">
        <v>71.40000000000001</v>
      </c>
      <c r="EG644" t="n">
        <v>39.7</v>
      </c>
      <c r="EH644" t="n">
        <v>194.7</v>
      </c>
      <c r="EI644" t="n">
        <v>722.2</v>
      </c>
      <c r="EJ644" t="n">
        <v>1780.9</v>
      </c>
      <c r="EK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  <c r="DP645" t="n">
        <v>88.95999999999999</v>
      </c>
      <c r="DQ645" t="n">
        <v>37.47</v>
      </c>
      <c r="DR645" t="n">
        <v>74.94</v>
      </c>
      <c r="DS645" t="n">
        <v>14.02</v>
      </c>
      <c r="DT645" t="n">
        <v>2673</v>
      </c>
      <c r="DU645" t="n">
        <v>70.34999999999999</v>
      </c>
      <c r="DV645" t="inlineStr">
        <is>
          <t>ramp-up (injury / late WC return)</t>
        </is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  <c r="DP646" t="n">
        <v>0</v>
      </c>
      <c r="DQ646" t="n">
        <v>0</v>
      </c>
      <c r="DR646" t="n">
        <v>0</v>
      </c>
      <c r="DS646" t="n">
        <v>0</v>
      </c>
      <c r="DT646" t="n">
        <v>0</v>
      </c>
      <c r="DU646" t="n">
        <v>0</v>
      </c>
      <c r="DV646" t="inlineStr">
        <is>
          <t>flat</t>
        </is>
      </c>
      <c r="DW646" t="n">
        <v>103.05</v>
      </c>
      <c r="DY646" t="n">
        <v>2.05</v>
      </c>
      <c r="DZ646" t="n">
        <v>101.6</v>
      </c>
      <c r="EA646" t="n">
        <v>104.5</v>
      </c>
      <c r="EB646" t="n">
        <v>2</v>
      </c>
      <c r="EC646" t="n">
        <v>1</v>
      </c>
      <c r="ED646" t="n">
        <v>0</v>
      </c>
      <c r="EE646" t="n">
        <v>339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EF647" t="n">
        <v>102.2</v>
      </c>
      <c r="EG647" t="n">
        <v>58.8</v>
      </c>
      <c r="EH647" t="n">
        <v>235</v>
      </c>
      <c r="EI647" t="n">
        <v>896.1</v>
      </c>
      <c r="EJ647" t="n">
        <v>5229.7</v>
      </c>
      <c r="EK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EF648" t="n">
        <v>184.4</v>
      </c>
      <c r="EG648" t="n">
        <v>461</v>
      </c>
      <c r="EH648" t="n">
        <v>153.7</v>
      </c>
      <c r="EI648" t="n">
        <v>5364</v>
      </c>
      <c r="EJ648" t="n">
        <v>2216.6</v>
      </c>
      <c r="EK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EF649" t="n">
        <v>285.4</v>
      </c>
      <c r="EG649" t="n">
        <v>158.6</v>
      </c>
      <c r="EH649" t="n">
        <v>237.8</v>
      </c>
      <c r="EI649" t="n">
        <v>1501.9</v>
      </c>
      <c r="EJ649" t="n">
        <v>8998.299999999999</v>
      </c>
      <c r="EK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EG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  <c r="DP651" t="n">
        <v>11.67</v>
      </c>
      <c r="DQ651" t="n">
        <v>8.68</v>
      </c>
      <c r="DR651" t="n">
        <v>17.36</v>
      </c>
      <c r="DS651" t="n">
        <v>-5.69</v>
      </c>
      <c r="DT651" t="n">
        <v>80</v>
      </c>
      <c r="DU651" t="n">
        <v>2.1</v>
      </c>
      <c r="DV651" t="inlineStr">
        <is>
          <t>flat</t>
        </is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EF652" t="n">
        <v>44.7</v>
      </c>
      <c r="EG652" t="n">
        <v>25.5</v>
      </c>
      <c r="EH652" t="n">
        <v>44.7</v>
      </c>
      <c r="EI652" t="n">
        <v>403.4</v>
      </c>
      <c r="EJ652" t="n">
        <v>588.3</v>
      </c>
      <c r="EK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  <c r="DP653" t="n">
        <v>141.78</v>
      </c>
      <c r="DQ653" t="n">
        <v>70.90000000000001</v>
      </c>
      <c r="DR653" t="n">
        <v>141.8</v>
      </c>
      <c r="DS653" t="n">
        <v>-0.02</v>
      </c>
      <c r="DT653" t="n">
        <v>3050</v>
      </c>
      <c r="DU653" t="n">
        <v>80.25</v>
      </c>
      <c r="DV653" t="inlineStr">
        <is>
          <t>flat</t>
        </is>
      </c>
      <c r="DW653" t="n">
        <v>85.7</v>
      </c>
      <c r="DX653" t="n">
        <v>70.59999999999999</v>
      </c>
      <c r="DY653" t="n">
        <v>19.14</v>
      </c>
      <c r="DZ653" t="n">
        <v>31</v>
      </c>
      <c r="EA653" t="n">
        <v>116</v>
      </c>
      <c r="EB653" t="n">
        <v>36</v>
      </c>
      <c r="EC653" t="n">
        <v>17.3</v>
      </c>
      <c r="ED653" t="n">
        <v>2.7</v>
      </c>
      <c r="EE653" t="n">
        <v>214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  <c r="DP654" t="n">
        <v>0</v>
      </c>
      <c r="DQ654" t="n">
        <v>0</v>
      </c>
      <c r="DR654" t="n">
        <v>0</v>
      </c>
      <c r="DS654" t="n">
        <v>0</v>
      </c>
      <c r="DT654" t="n">
        <v>0</v>
      </c>
      <c r="DU654" t="n">
        <v>0</v>
      </c>
      <c r="DV654" t="inlineStr">
        <is>
          <t>flat</t>
        </is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EF655" t="n">
        <v>110.1</v>
      </c>
      <c r="EG655" t="n">
        <v>91.8</v>
      </c>
      <c r="EH655" t="n">
        <v>275.2</v>
      </c>
      <c r="EI655" t="n">
        <v>2464.4</v>
      </c>
      <c r="EJ655" t="n">
        <v>6409.9</v>
      </c>
      <c r="EK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EH656" t="n">
        <v>270</v>
      </c>
      <c r="EJ656" t="n">
        <v>1678.4</v>
      </c>
      <c r="EK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EF657" t="n">
        <v>55</v>
      </c>
      <c r="EG657" t="n">
        <v>41.2</v>
      </c>
      <c r="EH657" t="n">
        <v>165</v>
      </c>
      <c r="EI657" t="n">
        <v>439.6</v>
      </c>
      <c r="EJ657" t="n">
        <v>6129.7</v>
      </c>
      <c r="EK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  <c r="DP658" t="n">
        <v>142.8</v>
      </c>
      <c r="DQ658" t="n">
        <v>71.40000000000001</v>
      </c>
      <c r="DR658" t="n">
        <v>142.8</v>
      </c>
      <c r="DS658" t="n">
        <v>0</v>
      </c>
      <c r="DT658" t="n">
        <v>3209</v>
      </c>
      <c r="DU658" t="n">
        <v>84.45</v>
      </c>
      <c r="DV658" t="inlineStr">
        <is>
          <t>flat</t>
        </is>
      </c>
      <c r="DW658" t="n">
        <v>94.62</v>
      </c>
      <c r="DX658" t="n">
        <v>99.3</v>
      </c>
      <c r="DY658" t="n">
        <v>20.87</v>
      </c>
      <c r="DZ658" t="n">
        <v>14</v>
      </c>
      <c r="EA658" t="n">
        <v>120</v>
      </c>
      <c r="EB658" t="n">
        <v>54</v>
      </c>
      <c r="EC658" t="n">
        <v>26</v>
      </c>
      <c r="ED658" t="n">
        <v>11.5</v>
      </c>
      <c r="EE658" t="n">
        <v>365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EF659" t="n">
        <v>918.5</v>
      </c>
      <c r="EG659" t="n">
        <v>73.5</v>
      </c>
      <c r="EH659" t="n">
        <v>87.5</v>
      </c>
      <c r="EI659" t="n">
        <v>17411.5</v>
      </c>
      <c r="EJ659" t="n">
        <v>819</v>
      </c>
      <c r="EK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EF661" t="n">
        <v>68.8</v>
      </c>
      <c r="EG661" t="n">
        <v>31.8</v>
      </c>
      <c r="EH661" t="n">
        <v>59</v>
      </c>
      <c r="EI661" t="n">
        <v>580.3</v>
      </c>
      <c r="EJ661" t="n">
        <v>638.9</v>
      </c>
      <c r="EK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  <c r="DP662" t="n">
        <v>92.2</v>
      </c>
      <c r="DQ662" t="n">
        <v>46.1</v>
      </c>
      <c r="DR662" t="n">
        <v>92.2</v>
      </c>
      <c r="DS662" t="n">
        <v>0</v>
      </c>
      <c r="DT662" t="n">
        <v>2189</v>
      </c>
      <c r="DU662" t="n">
        <v>57.6</v>
      </c>
      <c r="DV662" t="inlineStr">
        <is>
          <t>flat</t>
        </is>
      </c>
      <c r="DW662" t="n">
        <v>73.11</v>
      </c>
      <c r="DX662" t="n">
        <v>92</v>
      </c>
      <c r="DY662" t="n">
        <v>31.74</v>
      </c>
      <c r="DZ662" t="n">
        <v>23.2</v>
      </c>
      <c r="EA662" t="n">
        <v>96</v>
      </c>
      <c r="EB662" t="n">
        <v>5</v>
      </c>
      <c r="EC662" t="n">
        <v>2.4</v>
      </c>
      <c r="ED662" t="n">
        <v>0</v>
      </c>
      <c r="EE662" t="n">
        <v>211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EF664" t="n">
        <v>219.7</v>
      </c>
      <c r="EG664" t="n">
        <v>94.09999999999999</v>
      </c>
      <c r="EH664" t="n">
        <v>131.8</v>
      </c>
      <c r="EI664" t="n">
        <v>2760.2</v>
      </c>
      <c r="EJ664" t="n">
        <v>675.1</v>
      </c>
      <c r="EK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  <c r="DP665" t="n">
        <v>0</v>
      </c>
      <c r="DQ665" t="n">
        <v>0</v>
      </c>
      <c r="DR665" t="n">
        <v>0</v>
      </c>
      <c r="DS665" t="n">
        <v>0</v>
      </c>
      <c r="DT665" t="n">
        <v>0</v>
      </c>
      <c r="DU665" t="n">
        <v>0</v>
      </c>
      <c r="DV665" t="inlineStr">
        <is>
          <t>flat</t>
        </is>
      </c>
      <c r="DW665" t="n">
        <v>69.61</v>
      </c>
      <c r="DX665" t="n">
        <v>21</v>
      </c>
      <c r="DY665" t="n">
        <v>68.75</v>
      </c>
      <c r="DZ665" t="n">
        <v>21</v>
      </c>
      <c r="EA665" t="n">
        <v>118.22</v>
      </c>
      <c r="EB665" t="n">
        <v>2</v>
      </c>
      <c r="EC665" t="n">
        <v>1</v>
      </c>
      <c r="ED665" t="n">
        <v>0</v>
      </c>
      <c r="EE665" t="n">
        <v>582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  <c r="DP666" t="n">
        <v>94.45999999999999</v>
      </c>
      <c r="DQ666" t="n">
        <v>47.23</v>
      </c>
      <c r="DR666" t="n">
        <v>94.45999999999999</v>
      </c>
      <c r="DS666" t="n">
        <v>0</v>
      </c>
      <c r="DT666" t="n">
        <v>2725</v>
      </c>
      <c r="DU666" t="n">
        <v>71.7</v>
      </c>
      <c r="DV666" t="inlineStr">
        <is>
          <t>flat</t>
        </is>
      </c>
      <c r="DW666" t="n">
        <v>76.90000000000001</v>
      </c>
      <c r="DX666" t="n">
        <v>53</v>
      </c>
      <c r="DY666" t="n">
        <v>33.8</v>
      </c>
      <c r="DZ666" t="n">
        <v>53</v>
      </c>
      <c r="EA666" t="n">
        <v>100.8</v>
      </c>
      <c r="EB666" t="n">
        <v>2</v>
      </c>
      <c r="EC666" t="n">
        <v>1</v>
      </c>
      <c r="ED666" t="n">
        <v>0</v>
      </c>
      <c r="EE666" t="n">
        <v>547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  <c r="DP667" t="n">
        <v>100.24</v>
      </c>
      <c r="DQ667" t="n">
        <v>50.17</v>
      </c>
      <c r="DR667" t="n">
        <v>100.34</v>
      </c>
      <c r="DS667" t="n">
        <v>-0.1</v>
      </c>
      <c r="DT667" t="n">
        <v>2257</v>
      </c>
      <c r="DU667" t="n">
        <v>59.4</v>
      </c>
      <c r="DV667" t="inlineStr">
        <is>
          <t>flat</t>
        </is>
      </c>
      <c r="DW667" t="n">
        <v>101.5</v>
      </c>
      <c r="DY667" t="n">
        <v>3.54</v>
      </c>
      <c r="DZ667" t="n">
        <v>99</v>
      </c>
      <c r="EA667" t="n">
        <v>104</v>
      </c>
      <c r="EB667" t="n">
        <v>2</v>
      </c>
      <c r="EC667" t="n">
        <v>1</v>
      </c>
      <c r="ED667" t="n">
        <v>0</v>
      </c>
      <c r="EE667" t="n">
        <v>351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  <c r="DP668" t="n">
        <v>29.57</v>
      </c>
      <c r="DQ668" t="n">
        <v>14.96</v>
      </c>
      <c r="DR668" t="n">
        <v>29.92</v>
      </c>
      <c r="DS668" t="n">
        <v>-0.35</v>
      </c>
      <c r="DT668" t="n">
        <v>315</v>
      </c>
      <c r="DU668" t="n">
        <v>8.300000000000001</v>
      </c>
      <c r="DV668" t="inlineStr">
        <is>
          <t>flat</t>
        </is>
      </c>
      <c r="DW668" t="n">
        <v>93.33</v>
      </c>
      <c r="DZ668" t="n">
        <v>93.33</v>
      </c>
      <c r="EA668" t="n">
        <v>93.33</v>
      </c>
      <c r="EB668" t="n">
        <v>1</v>
      </c>
      <c r="EC668" t="n">
        <v>0.5</v>
      </c>
      <c r="ED668" t="n">
        <v>0</v>
      </c>
      <c r="EE668" t="n">
        <v>217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  <c r="DP669" t="n">
        <v>110.14</v>
      </c>
      <c r="DQ669" t="n">
        <v>55.07</v>
      </c>
      <c r="DR669" t="n">
        <v>110.14</v>
      </c>
      <c r="DS669" t="n">
        <v>0</v>
      </c>
      <c r="DT669" t="n">
        <v>2366</v>
      </c>
      <c r="DU669" t="n">
        <v>62.25</v>
      </c>
      <c r="DV669" t="inlineStr">
        <is>
          <t>flat</t>
        </is>
      </c>
      <c r="DW669" t="n">
        <v>91.09</v>
      </c>
      <c r="DX669" t="n">
        <v>84</v>
      </c>
      <c r="DY669" t="n">
        <v>21.07</v>
      </c>
      <c r="DZ669" t="n">
        <v>41.33</v>
      </c>
      <c r="EA669" t="n">
        <v>116.8</v>
      </c>
      <c r="EB669" t="n">
        <v>39</v>
      </c>
      <c r="EC669" t="n">
        <v>18.8</v>
      </c>
      <c r="ED669" t="n">
        <v>4.9</v>
      </c>
      <c r="EE669" t="n">
        <v>212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  <c r="DP670" t="n">
        <v>1.38</v>
      </c>
      <c r="DQ670" t="n">
        <v>0.6899999999999999</v>
      </c>
      <c r="DR670" t="n">
        <v>1.38</v>
      </c>
      <c r="DS670" t="n">
        <v>0</v>
      </c>
      <c r="DT670" t="n">
        <v>35</v>
      </c>
      <c r="DU670" t="n">
        <v>0.91</v>
      </c>
      <c r="DV670" t="inlineStr">
        <is>
          <t>flat</t>
        </is>
      </c>
      <c r="DW670" t="n">
        <v>116.8</v>
      </c>
      <c r="DZ670" t="n">
        <v>116.8</v>
      </c>
      <c r="EA670" t="n">
        <v>116.8</v>
      </c>
      <c r="EB670" t="n">
        <v>1</v>
      </c>
      <c r="EC670" t="n">
        <v>0.5</v>
      </c>
      <c r="ED670" t="n">
        <v>0</v>
      </c>
      <c r="EE670" t="n">
        <v>509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EF671" t="n">
        <v>87.90000000000001</v>
      </c>
      <c r="EG671" t="n">
        <v>63.9</v>
      </c>
      <c r="EH671" t="n">
        <v>70.3</v>
      </c>
      <c r="EI671" t="n">
        <v>1557.6</v>
      </c>
      <c r="EJ671" t="n">
        <v>925</v>
      </c>
      <c r="EK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  <c r="DP674" t="n">
        <v>0</v>
      </c>
      <c r="DQ674" t="n">
        <v>0</v>
      </c>
      <c r="DR674" t="n">
        <v>0</v>
      </c>
      <c r="DS674" t="n">
        <v>0</v>
      </c>
      <c r="DT674" t="n">
        <v>0</v>
      </c>
      <c r="DU674" t="n">
        <v>0</v>
      </c>
      <c r="DV674" t="inlineStr">
        <is>
          <t>flat</t>
        </is>
      </c>
      <c r="DW674" t="n">
        <v>90</v>
      </c>
      <c r="DX674" t="n">
        <v>90</v>
      </c>
      <c r="DZ674" t="n">
        <v>90</v>
      </c>
      <c r="EA674" t="n">
        <v>90</v>
      </c>
      <c r="EB674" t="n">
        <v>1</v>
      </c>
      <c r="EC674" t="n">
        <v>0.5</v>
      </c>
      <c r="ED674" t="n">
        <v>0</v>
      </c>
      <c r="EE674" t="n">
        <v>346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  <c r="DP675" t="n">
        <v>146.34</v>
      </c>
      <c r="DQ675" t="n">
        <v>73.17</v>
      </c>
      <c r="DR675" t="n">
        <v>146.34</v>
      </c>
      <c r="DS675" t="n">
        <v>0</v>
      </c>
      <c r="DT675" t="n">
        <v>2696</v>
      </c>
      <c r="DU675" t="n">
        <v>70.95</v>
      </c>
      <c r="DV675" t="inlineStr">
        <is>
          <t>flat</t>
        </is>
      </c>
      <c r="DW675" t="n">
        <v>55.81</v>
      </c>
      <c r="DX675" t="n">
        <v>74.23</v>
      </c>
      <c r="DY675" t="n">
        <v>29.06</v>
      </c>
      <c r="DZ675" t="n">
        <v>14</v>
      </c>
      <c r="EA675" t="n">
        <v>116</v>
      </c>
      <c r="EB675" t="n">
        <v>97</v>
      </c>
      <c r="EC675" t="n">
        <v>46.6</v>
      </c>
      <c r="ED675" t="n">
        <v>5.8</v>
      </c>
      <c r="EE675" t="n">
        <v>110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EF676" t="n">
        <v>110.6</v>
      </c>
      <c r="EG676" t="n">
        <v>56.7</v>
      </c>
      <c r="EH676" t="n">
        <v>165.9</v>
      </c>
      <c r="EI676" t="n">
        <v>1919.2</v>
      </c>
      <c r="EJ676" t="n">
        <v>1364.2</v>
      </c>
      <c r="EK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  <c r="DP677" t="n">
        <v>50.85</v>
      </c>
      <c r="DQ677" t="n">
        <v>25.69</v>
      </c>
      <c r="DR677" t="n">
        <v>51.38</v>
      </c>
      <c r="DS677" t="n">
        <v>-0.53</v>
      </c>
      <c r="DT677" t="n">
        <v>796</v>
      </c>
      <c r="DU677" t="n">
        <v>20.94</v>
      </c>
      <c r="DV677" t="inlineStr">
        <is>
          <t>flat</t>
        </is>
      </c>
      <c r="DW677" t="n">
        <v>66.02</v>
      </c>
      <c r="DX677" t="n">
        <v>69.75</v>
      </c>
      <c r="DY677" t="n">
        <v>24.26</v>
      </c>
      <c r="DZ677" t="n">
        <v>15.5</v>
      </c>
      <c r="EA677" t="n">
        <v>113.45</v>
      </c>
      <c r="EB677" t="n">
        <v>73</v>
      </c>
      <c r="EC677" t="n">
        <v>35.1</v>
      </c>
      <c r="ED677" t="n">
        <v>14.1</v>
      </c>
      <c r="EE677" t="n">
        <v>53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  <c r="DP678" t="n">
        <v>65.20999999999999</v>
      </c>
      <c r="DQ678" t="n">
        <v>33.12</v>
      </c>
      <c r="DR678" t="n">
        <v>66.23999999999999</v>
      </c>
      <c r="DS678" t="n">
        <v>-1.03</v>
      </c>
      <c r="DT678" t="n">
        <v>1750</v>
      </c>
      <c r="DU678" t="n">
        <v>46.05</v>
      </c>
      <c r="DV678" t="inlineStr">
        <is>
          <t>flat</t>
        </is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  <c r="DP679" t="n">
        <v>12.33</v>
      </c>
      <c r="DQ679" t="n">
        <v>6.21</v>
      </c>
      <c r="DR679" t="n">
        <v>12.42</v>
      </c>
      <c r="DS679" t="n">
        <v>-0.09</v>
      </c>
      <c r="DT679" t="n">
        <v>88</v>
      </c>
      <c r="DU679" t="n">
        <v>2.31</v>
      </c>
      <c r="DV679" t="inlineStr">
        <is>
          <t>flat</t>
        </is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  <c r="DP680" t="n">
        <v>1.12</v>
      </c>
      <c r="DQ680" t="n">
        <v>0.5600000000000001</v>
      </c>
      <c r="DR680" t="n">
        <v>1.12</v>
      </c>
      <c r="DS680" t="n">
        <v>0</v>
      </c>
      <c r="DT680" t="n">
        <v>34</v>
      </c>
      <c r="DU680" t="n">
        <v>0.9</v>
      </c>
      <c r="DV680" t="inlineStr">
        <is>
          <t>flat</t>
        </is>
      </c>
      <c r="DW680" t="n">
        <v>117.43</v>
      </c>
      <c r="DY680" t="n">
        <v>1.21</v>
      </c>
      <c r="DZ680" t="n">
        <v>116.57</v>
      </c>
      <c r="EA680" t="n">
        <v>118.29</v>
      </c>
      <c r="EB680" t="n">
        <v>2</v>
      </c>
      <c r="EC680" t="n">
        <v>1</v>
      </c>
      <c r="ED680" t="n">
        <v>0</v>
      </c>
      <c r="EE680" t="n">
        <v>513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  <c r="DP681" t="n">
        <v>27.27</v>
      </c>
      <c r="DQ681" t="n">
        <v>13.64</v>
      </c>
      <c r="DR681" t="n">
        <v>27.28</v>
      </c>
      <c r="DS681" t="n">
        <v>-0.01</v>
      </c>
      <c r="DT681" t="n">
        <v>616</v>
      </c>
      <c r="DU681" t="n">
        <v>16.21</v>
      </c>
      <c r="DV681" t="inlineStr">
        <is>
          <t>flat</t>
        </is>
      </c>
      <c r="DW681" t="n">
        <v>108.37</v>
      </c>
      <c r="DX681" t="n">
        <v>108</v>
      </c>
      <c r="DY681" t="n">
        <v>6.35</v>
      </c>
      <c r="DZ681" t="n">
        <v>98.86</v>
      </c>
      <c r="EA681" t="n">
        <v>117</v>
      </c>
      <c r="EB681" t="n">
        <v>7</v>
      </c>
      <c r="EC681" t="n">
        <v>3.4</v>
      </c>
      <c r="ED681" t="n">
        <v>0</v>
      </c>
      <c r="EE681" t="n">
        <v>500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  <c r="DP683" t="n">
        <v>45.36</v>
      </c>
      <c r="DQ683" t="n">
        <v>23.57</v>
      </c>
      <c r="DR683" t="n">
        <v>47.14</v>
      </c>
      <c r="DS683" t="n">
        <v>-1.78</v>
      </c>
      <c r="DT683" t="n">
        <v>719</v>
      </c>
      <c r="DU683" t="n">
        <v>18.91</v>
      </c>
      <c r="DV683" t="inlineStr">
        <is>
          <t>flat</t>
        </is>
      </c>
      <c r="DW683" t="n">
        <v>85.92</v>
      </c>
      <c r="DX683" t="n">
        <v>97.8</v>
      </c>
      <c r="DY683" t="n">
        <v>23.09</v>
      </c>
      <c r="DZ683" t="n">
        <v>20.5</v>
      </c>
      <c r="EA683" t="n">
        <v>118.67</v>
      </c>
      <c r="EB683" t="n">
        <v>53</v>
      </c>
      <c r="EC683" t="n">
        <v>25.5</v>
      </c>
      <c r="ED683" t="n">
        <v>8.6</v>
      </c>
      <c r="EE683" t="n">
        <v>107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EF684" t="n">
        <v>58.2</v>
      </c>
      <c r="EG684" t="n">
        <v>24.4</v>
      </c>
      <c r="EH684" t="n">
        <v>189</v>
      </c>
      <c r="EI684" t="n">
        <v>376</v>
      </c>
      <c r="EJ684" t="n">
        <v>1018.1</v>
      </c>
      <c r="EK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EF685" t="n">
        <v>139.9</v>
      </c>
      <c r="EG685" t="n">
        <v>139.9</v>
      </c>
      <c r="EH685" t="n">
        <v>195.8</v>
      </c>
      <c r="EI685" t="n">
        <v>1580.8</v>
      </c>
      <c r="EJ685" t="n">
        <v>1311.7</v>
      </c>
      <c r="EK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EF686" t="n">
        <v>58</v>
      </c>
      <c r="EG686" t="n">
        <v>58</v>
      </c>
      <c r="EI686" t="n">
        <v>253.3</v>
      </c>
      <c r="EK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  <c r="DP688" t="n">
        <v>116.54</v>
      </c>
      <c r="DQ688" t="n">
        <v>58.27</v>
      </c>
      <c r="DR688" t="n">
        <v>116.54</v>
      </c>
      <c r="DS688" t="n">
        <v>0</v>
      </c>
      <c r="DT688" t="n">
        <v>2861</v>
      </c>
      <c r="DU688" t="n">
        <v>75.3</v>
      </c>
      <c r="DV688" t="inlineStr">
        <is>
          <t>flat</t>
        </is>
      </c>
      <c r="DW688" t="n">
        <v>83.70999999999999</v>
      </c>
      <c r="DY688" t="n">
        <v>12.55</v>
      </c>
      <c r="DZ688" t="n">
        <v>62.29</v>
      </c>
      <c r="EA688" t="n">
        <v>105.6</v>
      </c>
      <c r="EB688" t="n">
        <v>13</v>
      </c>
      <c r="EC688" t="n">
        <v>6.2</v>
      </c>
      <c r="ED688" t="n">
        <v>27.8</v>
      </c>
      <c r="EE688" t="n">
        <v>218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  <c r="DP689" t="n">
        <v>48.58</v>
      </c>
      <c r="DQ689" t="n">
        <v>24.31</v>
      </c>
      <c r="DR689" t="n">
        <v>48.62</v>
      </c>
      <c r="DS689" t="n">
        <v>-0.04</v>
      </c>
      <c r="DT689" t="n">
        <v>1072</v>
      </c>
      <c r="DU689" t="n">
        <v>28.2</v>
      </c>
      <c r="DV689" t="inlineStr">
        <is>
          <t>flat</t>
        </is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EF690" t="n">
        <v>121</v>
      </c>
      <c r="EG690" t="n">
        <v>60.5</v>
      </c>
      <c r="EH690" t="n">
        <v>121</v>
      </c>
      <c r="EI690" t="n">
        <v>3075</v>
      </c>
      <c r="EJ690" t="n">
        <v>2336</v>
      </c>
      <c r="EK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  <c r="DP691" t="n">
        <v>0</v>
      </c>
      <c r="DQ691" t="n">
        <v>0</v>
      </c>
      <c r="DR691" t="n">
        <v>0</v>
      </c>
      <c r="DS691" t="n">
        <v>0</v>
      </c>
      <c r="DT691" t="n">
        <v>0</v>
      </c>
      <c r="DU691" t="n">
        <v>0</v>
      </c>
      <c r="DV691" t="inlineStr">
        <is>
          <t>flat</t>
        </is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  <c r="DP692" t="n">
        <v>0</v>
      </c>
      <c r="DQ692" t="n">
        <v>0</v>
      </c>
      <c r="DR692" t="n">
        <v>0</v>
      </c>
      <c r="DS692" t="n">
        <v>0</v>
      </c>
      <c r="DT692" t="n">
        <v>0</v>
      </c>
      <c r="DU692" t="n">
        <v>0</v>
      </c>
      <c r="DV692" t="inlineStr">
        <is>
          <t>flat</t>
        </is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  <c r="DP693" t="n">
        <v>43.33</v>
      </c>
      <c r="DQ693" t="n">
        <v>21.72</v>
      </c>
      <c r="DR693" t="n">
        <v>43.44</v>
      </c>
      <c r="DS693" t="n">
        <v>-0.11</v>
      </c>
      <c r="DT693" t="n">
        <v>866</v>
      </c>
      <c r="DU693" t="n">
        <v>22.79</v>
      </c>
      <c r="DV693" t="inlineStr">
        <is>
          <t>flat</t>
        </is>
      </c>
      <c r="DW693" t="n">
        <v>64.67</v>
      </c>
      <c r="DZ693" t="n">
        <v>64.67</v>
      </c>
      <c r="EA693" t="n">
        <v>64.67</v>
      </c>
      <c r="EB693" t="n">
        <v>1</v>
      </c>
      <c r="EC693" t="n">
        <v>0.5</v>
      </c>
      <c r="ED693" t="n">
        <v>66.7</v>
      </c>
      <c r="EE693" t="n">
        <v>203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EF694" t="n">
        <v>6</v>
      </c>
      <c r="EG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  <c r="DP695" t="n">
        <v>0</v>
      </c>
      <c r="DQ695" t="n">
        <v>0</v>
      </c>
      <c r="DR695" t="n">
        <v>0</v>
      </c>
      <c r="DS695" t="n">
        <v>0</v>
      </c>
      <c r="DT695" t="n">
        <v>0</v>
      </c>
      <c r="DU695" t="n">
        <v>0</v>
      </c>
      <c r="DV695" t="inlineStr">
        <is>
          <t>flat</t>
        </is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EF696" t="n">
        <v>113</v>
      </c>
      <c r="EG696" t="n">
        <v>37.7</v>
      </c>
      <c r="EH696" t="n">
        <v>56.5</v>
      </c>
      <c r="EI696" t="n">
        <v>1028.3</v>
      </c>
      <c r="EJ696" t="n">
        <v>971.3</v>
      </c>
      <c r="EK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EF697" t="n">
        <v>12.7</v>
      </c>
      <c r="EG697" t="n">
        <v>7.6</v>
      </c>
      <c r="EH697" t="n">
        <v>38</v>
      </c>
      <c r="EI697" t="n">
        <v>362.9</v>
      </c>
      <c r="EJ697" t="n">
        <v>1186.2</v>
      </c>
      <c r="EK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  <c r="DP698" t="n">
        <v>63.89</v>
      </c>
      <c r="DQ698" t="n">
        <v>31.56</v>
      </c>
      <c r="DR698" t="n">
        <v>63.12</v>
      </c>
      <c r="DS698" t="n">
        <v>0.77</v>
      </c>
      <c r="DT698" t="n">
        <v>1442</v>
      </c>
      <c r="DU698" t="n">
        <v>37.95</v>
      </c>
      <c r="DV698" t="inlineStr">
        <is>
          <t>flat</t>
        </is>
      </c>
      <c r="DW698" t="n">
        <v>89.26000000000001</v>
      </c>
      <c r="DX698" t="n">
        <v>96.06</v>
      </c>
      <c r="DY698" t="n">
        <v>18.15</v>
      </c>
      <c r="DZ698" t="n">
        <v>47.2</v>
      </c>
      <c r="EA698" t="n">
        <v>118</v>
      </c>
      <c r="EB698" t="n">
        <v>78</v>
      </c>
      <c r="EC698" t="n">
        <v>37.5</v>
      </c>
      <c r="ED698" t="n">
        <v>4.9</v>
      </c>
      <c r="EE698" t="n">
        <v>367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  <c r="DP700" t="n">
        <v>0</v>
      </c>
      <c r="DQ700" t="n">
        <v>0</v>
      </c>
      <c r="DR700" t="n">
        <v>0</v>
      </c>
      <c r="DS700" t="n">
        <v>0</v>
      </c>
      <c r="DT700" t="n">
        <v>0</v>
      </c>
      <c r="DU700" t="n">
        <v>0</v>
      </c>
      <c r="DV700" t="inlineStr">
        <is>
          <t>flat</t>
        </is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  <c r="DP701" t="n">
        <v>96.95</v>
      </c>
      <c r="DQ701" t="n">
        <v>48.5</v>
      </c>
      <c r="DR701" t="n">
        <v>97</v>
      </c>
      <c r="DS701" t="n">
        <v>-0.05</v>
      </c>
      <c r="DT701" t="n">
        <v>2554</v>
      </c>
      <c r="DU701" t="n">
        <v>67.2</v>
      </c>
      <c r="DV701" t="inlineStr">
        <is>
          <t>flat</t>
        </is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  <c r="DP702" t="n">
        <v>59.4</v>
      </c>
      <c r="DQ702" t="n">
        <v>29.7</v>
      </c>
      <c r="DR702" t="n">
        <v>59.4</v>
      </c>
      <c r="DS702" t="n">
        <v>0</v>
      </c>
      <c r="DT702" t="n">
        <v>1197</v>
      </c>
      <c r="DU702" t="n">
        <v>31.5</v>
      </c>
      <c r="DV702" t="inlineStr">
        <is>
          <t>flat</t>
        </is>
      </c>
      <c r="DW702" t="n">
        <v>86.88</v>
      </c>
      <c r="DX702" t="n">
        <v>80</v>
      </c>
      <c r="DY702" t="n">
        <v>17.26</v>
      </c>
      <c r="DZ702" t="n">
        <v>53.33</v>
      </c>
      <c r="EA702" t="n">
        <v>113.6</v>
      </c>
      <c r="EB702" t="n">
        <v>21</v>
      </c>
      <c r="EC702" t="n">
        <v>10.1</v>
      </c>
      <c r="ED702" t="n">
        <v>4.5</v>
      </c>
      <c r="EE702" t="n">
        <v>109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EF703" t="n">
        <v>150.6</v>
      </c>
      <c r="EG703" t="n">
        <v>90.40000000000001</v>
      </c>
      <c r="EH703" t="n">
        <v>93.5</v>
      </c>
      <c r="EI703" t="n">
        <v>4847.6</v>
      </c>
      <c r="EJ703" t="n">
        <v>833.2</v>
      </c>
      <c r="EK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  <c r="DP704" t="n">
        <v>102.87</v>
      </c>
      <c r="DQ704" t="n">
        <v>50.91</v>
      </c>
      <c r="DR704" t="n">
        <v>101.82</v>
      </c>
      <c r="DS704" t="n">
        <v>1.05</v>
      </c>
      <c r="DT704" t="n">
        <v>2069</v>
      </c>
      <c r="DU704" t="n">
        <v>54.45</v>
      </c>
      <c r="DV704" t="inlineStr">
        <is>
          <t>flat</t>
        </is>
      </c>
      <c r="DW704" t="n">
        <v>72.56999999999999</v>
      </c>
      <c r="DX704" t="n">
        <v>81.84</v>
      </c>
      <c r="DY704" t="n">
        <v>22.79</v>
      </c>
      <c r="DZ704" t="n">
        <v>2.67</v>
      </c>
      <c r="EA704" t="n">
        <v>120</v>
      </c>
      <c r="EB704" t="n">
        <v>105</v>
      </c>
      <c r="EC704" t="n">
        <v>50.5</v>
      </c>
      <c r="ED704" t="n">
        <v>5.4</v>
      </c>
      <c r="EE704" t="n">
        <v>106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EF705" t="n">
        <v>22</v>
      </c>
      <c r="EG705" t="n">
        <v>11</v>
      </c>
      <c r="EI705" t="n">
        <v>439.4</v>
      </c>
      <c r="EK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  <c r="DP706" t="n">
        <v>127.29</v>
      </c>
      <c r="DQ706" t="n">
        <v>63.79</v>
      </c>
      <c r="DR706" t="n">
        <v>127.58</v>
      </c>
      <c r="DS706" t="n">
        <v>-0.29</v>
      </c>
      <c r="DT706" t="n">
        <v>2588</v>
      </c>
      <c r="DU706" t="n">
        <v>68.09999999999999</v>
      </c>
      <c r="DV706" t="inlineStr">
        <is>
          <t>flat</t>
        </is>
      </c>
      <c r="DW706" t="n">
        <v>79.40000000000001</v>
      </c>
      <c r="DX706" t="n">
        <v>84.84</v>
      </c>
      <c r="DY706" t="n">
        <v>21.61</v>
      </c>
      <c r="DZ706" t="n">
        <v>19</v>
      </c>
      <c r="EA706" t="n">
        <v>120</v>
      </c>
      <c r="EB706" t="n">
        <v>121</v>
      </c>
      <c r="EC706" t="n">
        <v>58.2</v>
      </c>
      <c r="ED706" t="n">
        <v>20.9</v>
      </c>
      <c r="EE706" t="n">
        <v>202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  <c r="DP707" t="n">
        <v>0</v>
      </c>
      <c r="DQ707" t="n">
        <v>0</v>
      </c>
      <c r="DR707" t="n">
        <v>0</v>
      </c>
      <c r="DS707" t="n">
        <v>0</v>
      </c>
      <c r="DT707" t="n">
        <v>0</v>
      </c>
      <c r="DU707" t="n">
        <v>0</v>
      </c>
      <c r="DV707" t="inlineStr">
        <is>
          <t>flat</t>
        </is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EF708" t="n">
        <v>33.5</v>
      </c>
      <c r="EG708" t="n">
        <v>16.8</v>
      </c>
      <c r="EH708" t="n">
        <v>67</v>
      </c>
      <c r="EI708" t="n">
        <v>650</v>
      </c>
      <c r="EJ708" t="n">
        <v>609.7</v>
      </c>
      <c r="EK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  <c r="DP709" t="n">
        <v>78.37</v>
      </c>
      <c r="DQ709" t="n">
        <v>39.23</v>
      </c>
      <c r="DR709" t="n">
        <v>78.45999999999999</v>
      </c>
      <c r="DS709" t="n">
        <v>-0.09</v>
      </c>
      <c r="DT709" t="n">
        <v>2018</v>
      </c>
      <c r="DU709" t="n">
        <v>53.1</v>
      </c>
      <c r="DV709" t="inlineStr">
        <is>
          <t>flat</t>
        </is>
      </c>
      <c r="DW709" t="n">
        <v>100.67</v>
      </c>
      <c r="DZ709" t="n">
        <v>100.67</v>
      </c>
      <c r="EA709" t="n">
        <v>100.67</v>
      </c>
      <c r="EB709" t="n">
        <v>1</v>
      </c>
      <c r="EC709" t="n">
        <v>0.5</v>
      </c>
      <c r="ED709" t="n">
        <v>0</v>
      </c>
      <c r="EE709" t="n">
        <v>377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  <c r="DP710" t="n">
        <v>53.46</v>
      </c>
      <c r="DQ710" t="n">
        <v>26.77</v>
      </c>
      <c r="DR710" t="n">
        <v>53.54</v>
      </c>
      <c r="DS710" t="n">
        <v>-0.08</v>
      </c>
      <c r="DT710" t="n">
        <v>1379</v>
      </c>
      <c r="DU710" t="n">
        <v>36.3</v>
      </c>
      <c r="DV710" t="inlineStr">
        <is>
          <t>flat</t>
        </is>
      </c>
      <c r="DW710" t="n">
        <v>19.5</v>
      </c>
      <c r="DZ710" t="n">
        <v>19.5</v>
      </c>
      <c r="EA710" t="n">
        <v>19.5</v>
      </c>
      <c r="EB710" t="n">
        <v>1</v>
      </c>
      <c r="EC710" t="n">
        <v>0.5</v>
      </c>
      <c r="ED710" t="n">
        <v>0</v>
      </c>
      <c r="EE710" t="n">
        <v>378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EF711" t="n">
        <v>64.8</v>
      </c>
      <c r="EG711" t="n">
        <v>28.8</v>
      </c>
      <c r="EH711" t="n">
        <v>86.3</v>
      </c>
      <c r="EI711" t="n">
        <v>518.3</v>
      </c>
      <c r="EJ711" t="n">
        <v>1195.6</v>
      </c>
      <c r="EK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EF712" t="n">
        <v>45.8</v>
      </c>
      <c r="EG712" t="n">
        <v>32.7</v>
      </c>
      <c r="EH712" t="n">
        <v>76.3</v>
      </c>
      <c r="EI712" t="n">
        <v>1049.7</v>
      </c>
      <c r="EJ712" t="n">
        <v>447.3</v>
      </c>
      <c r="EK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EF713" t="n">
        <v>42.6</v>
      </c>
      <c r="EG713" t="n">
        <v>41.6</v>
      </c>
      <c r="EH713" t="n">
        <v>59.7</v>
      </c>
      <c r="EI713" t="n">
        <v>907.5</v>
      </c>
      <c r="EJ713" t="n">
        <v>545.4</v>
      </c>
      <c r="EK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  <c r="DP714" t="n">
        <v>0</v>
      </c>
      <c r="DQ714" t="n">
        <v>0</v>
      </c>
      <c r="DR714" t="n">
        <v>0</v>
      </c>
      <c r="DS714" t="n">
        <v>0</v>
      </c>
      <c r="DT714" t="n">
        <v>0</v>
      </c>
      <c r="DU714" t="n">
        <v>0</v>
      </c>
      <c r="DV714" t="inlineStr">
        <is>
          <t>flat</t>
        </is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  <c r="DP715" t="n">
        <v>1.81</v>
      </c>
      <c r="DQ715" t="n">
        <v>1.48</v>
      </c>
      <c r="DR715" t="n">
        <v>2.96</v>
      </c>
      <c r="DS715" t="n">
        <v>-1.15</v>
      </c>
      <c r="DT715" t="n">
        <v>10</v>
      </c>
      <c r="DU715" t="n">
        <v>0.25</v>
      </c>
      <c r="DV715" t="inlineStr">
        <is>
          <t>flat</t>
        </is>
      </c>
      <c r="DW715" t="n">
        <v>44</v>
      </c>
      <c r="DX715" t="n">
        <v>44</v>
      </c>
      <c r="DZ715" t="n">
        <v>44</v>
      </c>
      <c r="EA715" t="n">
        <v>44</v>
      </c>
      <c r="EB715" t="n">
        <v>1</v>
      </c>
      <c r="EC715" t="n">
        <v>0.5</v>
      </c>
      <c r="ED715" t="n">
        <v>0</v>
      </c>
      <c r="EE715" t="n">
        <v>561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  <c r="DP716" t="n">
        <v>98.64</v>
      </c>
      <c r="DQ716" t="n">
        <v>49.33</v>
      </c>
      <c r="DR716" t="n">
        <v>98.66</v>
      </c>
      <c r="DS716" t="n">
        <v>-0.02</v>
      </c>
      <c r="DT716" t="n">
        <v>2696</v>
      </c>
      <c r="DU716" t="n">
        <v>70.95</v>
      </c>
      <c r="DV716" t="inlineStr">
        <is>
          <t>flat</t>
        </is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  <c r="DP717" t="n">
        <v>0</v>
      </c>
      <c r="DQ717" t="n">
        <v>0</v>
      </c>
      <c r="DR717" t="n">
        <v>0</v>
      </c>
      <c r="DS717" t="n">
        <v>0</v>
      </c>
      <c r="DT717" t="n">
        <v>0</v>
      </c>
      <c r="DU717" t="n">
        <v>0</v>
      </c>
      <c r="DV717" t="inlineStr">
        <is>
          <t>flat</t>
        </is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  <c r="DP719" t="n">
        <v>30.78</v>
      </c>
      <c r="DQ719" t="n">
        <v>15.47</v>
      </c>
      <c r="DR719" t="n">
        <v>30.94</v>
      </c>
      <c r="DS719" t="n">
        <v>-0.16</v>
      </c>
      <c r="DT719" t="n">
        <v>247</v>
      </c>
      <c r="DU719" t="n">
        <v>6.51</v>
      </c>
      <c r="DV719" t="inlineStr">
        <is>
          <t>flat</t>
        </is>
      </c>
      <c r="DW719" t="n">
        <v>80.04000000000001</v>
      </c>
      <c r="DY719" t="n">
        <v>29.01</v>
      </c>
      <c r="DZ719" t="n">
        <v>41</v>
      </c>
      <c r="EA719" t="n">
        <v>109.6</v>
      </c>
      <c r="EB719" t="n">
        <v>7</v>
      </c>
      <c r="EC719" t="n">
        <v>3.4</v>
      </c>
      <c r="ED719" t="n">
        <v>0</v>
      </c>
      <c r="EE719" t="n">
        <v>222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  <c r="DP720" t="n">
        <v>11.61</v>
      </c>
      <c r="DQ720" t="n">
        <v>7.53</v>
      </c>
      <c r="DR720" t="n">
        <v>15.06</v>
      </c>
      <c r="DS720" t="n">
        <v>-3.45</v>
      </c>
      <c r="DT720" t="n">
        <v>162</v>
      </c>
      <c r="DU720" t="n">
        <v>4.26</v>
      </c>
      <c r="DV720" t="inlineStr">
        <is>
          <t>flat</t>
        </is>
      </c>
      <c r="DW720" t="n">
        <v>116.67</v>
      </c>
      <c r="DZ720" t="n">
        <v>116.67</v>
      </c>
      <c r="EA720" t="n">
        <v>116.67</v>
      </c>
      <c r="EB720" t="n">
        <v>1</v>
      </c>
      <c r="EC720" t="n">
        <v>0.5</v>
      </c>
      <c r="ED720" t="n">
        <v>0</v>
      </c>
      <c r="EE720" t="n">
        <v>337</v>
      </c>
    </row>
  </sheetData>
  <autoFilter ref="A1:EL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1" customWidth="1" min="17" max="17"/>
    <col width="1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hidden="1" width="11" customWidth="1" min="35" max="35"/>
    <col hidden="1" width="11" customWidth="1" min="36" max="36"/>
    <col hidden="1" width="11" customWidth="1" min="37" max="37"/>
    <col hidden="1" width="11" customWidth="1" min="38" max="38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Draftable</t>
        </is>
      </c>
      <c r="F1" s="1" t="inlineStr">
        <is>
          <t>Price</t>
        </is>
      </c>
      <c r="G1" s="1" t="inlineStr">
        <is>
          <t>Status</t>
        </is>
      </c>
      <c r="H1" s="1" t="inlineStr">
        <is>
          <t>News</t>
        </is>
      </c>
      <c r="I1" s="1" t="inlineStr">
        <is>
          <t>Mins 25/26</t>
        </is>
      </c>
      <c r="J1" s="1" t="inlineStr">
        <is>
          <t>Pts 25/26</t>
        </is>
      </c>
      <c r="K1" s="1" t="inlineStr">
        <is>
          <t>xMins (Solio)</t>
        </is>
      </c>
      <c r="L1" s="1" t="inlineStr">
        <is>
          <t>xMins pattern</t>
        </is>
      </c>
      <c r="M1" s="1" t="inlineStr">
        <is>
          <t>xMins 26/27</t>
        </is>
      </c>
      <c r="N1" s="1" t="inlineStr">
        <is>
          <t>P(CS)</t>
        </is>
      </c>
      <c r="O1" s="1" t="inlineStr">
        <is>
          <t>xG/90</t>
        </is>
      </c>
      <c r="P1" s="1" t="inlineStr">
        <is>
          <t>xG basis</t>
        </is>
      </c>
      <c r="Q1" s="1" t="inlineStr">
        <is>
          <t>Placement ratio</t>
        </is>
      </c>
      <c r="R1" s="1" t="inlineStr">
        <is>
          <t>Placement sample xG</t>
        </is>
      </c>
      <c r="S1" s="1" t="inlineStr">
        <is>
          <t>xA/90</t>
        </is>
      </c>
      <c r="T1" s="1" t="inlineStr">
        <is>
          <t>DefCon actions/90</t>
        </is>
      </c>
      <c r="U1" s="1" t="inlineStr">
        <is>
          <t>Mins per start</t>
        </is>
      </c>
      <c r="V1" s="1" t="inlineStr">
        <is>
          <t>DefCon hit %</t>
        </is>
      </c>
      <c r="W1" s="1" t="inlineStr">
        <is>
          <t>Bonus/90</t>
        </is>
      </c>
      <c r="X1" s="1" t="inlineStr">
        <is>
          <t>Appearance/90</t>
        </is>
      </c>
      <c r="Y1" s="1" t="inlineStr">
        <is>
          <t>App pts/90</t>
        </is>
      </c>
      <c r="Z1" s="1" t="inlineStr">
        <is>
          <t>xG pts/90</t>
        </is>
      </c>
      <c r="AA1" s="1" t="inlineStr">
        <is>
          <t>xA pts/90</t>
        </is>
      </c>
      <c r="AB1" s="1" t="inlineStr">
        <is>
          <t>CS pts/90</t>
        </is>
      </c>
      <c r="AC1" s="1" t="inlineStr">
        <is>
          <t>DC pts/90</t>
        </is>
      </c>
      <c r="AD1" s="1" t="inlineStr">
        <is>
          <t>Bonus pts/90</t>
        </is>
      </c>
      <c r="AE1" s="1" t="inlineStr">
        <is>
          <t>xPts/90</t>
        </is>
      </c>
      <c r="AF1" s="1" t="inlineStr">
        <is>
          <t>xPts season</t>
        </is>
      </c>
      <c r="AG1" s="1" t="inlineStr">
        <is>
          <t>VORP</t>
        </is>
      </c>
      <c r="AH1" s="1" t="inlineStr">
        <is>
          <t>VORP per £m</t>
        </is>
      </c>
      <c r="AI1" s="1" t="inlineStr">
        <is>
          <t>_pool GKP</t>
        </is>
      </c>
      <c r="AJ1" s="1" t="inlineStr">
        <is>
          <t>_pool DEF</t>
        </is>
      </c>
      <c r="AK1" s="1" t="inlineStr">
        <is>
          <t>_pool MID</t>
        </is>
      </c>
      <c r="AL1" s="1" t="inlineStr">
        <is>
          <t>_pool FWD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b">
        <v>1</v>
      </c>
      <c r="F2" s="2" t="n">
        <v>15.5</v>
      </c>
      <c r="G2" t="inlineStr">
        <is>
          <t>a</t>
        </is>
      </c>
      <c r="I2" s="2" t="n">
        <v>2953</v>
      </c>
      <c r="J2" t="n">
        <v>239</v>
      </c>
      <c r="K2" s="3" t="n">
        <v>3204</v>
      </c>
      <c r="L2" t="inlineStr">
        <is>
          <t>flat</t>
        </is>
      </c>
      <c r="M2" s="4" t="n">
        <v>2953</v>
      </c>
      <c r="N2" s="4" t="n">
        <v>0.421</v>
      </c>
      <c r="O2" s="3" t="n">
        <v>0.7442</v>
      </c>
      <c r="P2" t="inlineStr">
        <is>
          <t>adjusted xGOT</t>
        </is>
      </c>
      <c r="Q2" s="3" t="n">
        <v>0.958</v>
      </c>
      <c r="R2" s="3" t="n">
        <v>105.5</v>
      </c>
      <c r="S2" s="3" t="n">
        <v>0.1246</v>
      </c>
      <c r="T2" s="3" t="n">
        <v>3.488</v>
      </c>
      <c r="U2" s="4" t="n">
        <v>86.90000000000001</v>
      </c>
      <c r="V2" s="3">
        <f>IF(OR(N(T2)=0,N(U2)=0),0,1-POISSON(IFERROR(VLOOKUP($C2,Assumptions!$A$4:$G$7,7,FALSE),99)-1,N(T2)*N(U2)/90,TRUE))</f>
        <v/>
      </c>
      <c r="W2" s="3" t="n">
        <v>1.3105</v>
      </c>
      <c r="X2" s="3" t="n">
        <v>2.072</v>
      </c>
      <c r="Y2" s="3">
        <f>IF(X2="",IFERROR(VLOOKUP($C2,Assumptions!$A$4:$G$7,6,FALSE),0),X2)</f>
        <v/>
      </c>
      <c r="Z2" s="3">
        <f>N(O2)*IFERROR(VLOOKUP($C2,Assumptions!$A$4:$G$7,2,FALSE),0)</f>
        <v/>
      </c>
      <c r="AA2" s="3">
        <f>N(S2)*IFERROR(VLOOKUP($C2,Assumptions!$A$4:$G$7,3,FALSE),0)*Assumptions!$B$11</f>
        <v/>
      </c>
      <c r="AB2" s="3">
        <f>N(N2)*IFERROR(VLOOKUP($C2,Assumptions!$A$4:$G$7,4,FALSE),0)</f>
        <v/>
      </c>
      <c r="AC2" s="3">
        <f>IF(N(U2)=0,0,V2*IFERROR(VLOOKUP($C2,Assumptions!$A$4:$G$7,5,FALSE),0)*90/N(U2))</f>
        <v/>
      </c>
      <c r="AD2" s="3">
        <f>N(W2)</f>
        <v/>
      </c>
      <c r="AE2" s="3">
        <f>SUM(Y2:AD2)</f>
        <v/>
      </c>
      <c r="AF2" s="3">
        <f>N(AE2)*N(M2)/90</f>
        <v/>
      </c>
      <c r="AG2" s="3">
        <f>IFERROR(AF2-VLOOKUP($C2,Assumptions!$A$29:$C$32,3,FALSE),"")</f>
        <v/>
      </c>
      <c r="AH2" s="3">
        <f>IFERROR(AG2/F2,"")</f>
        <v/>
      </c>
      <c r="AI2">
        <f>IF(AND($E2=TRUE,$C2="GKP"),AF2,"")</f>
        <v/>
      </c>
      <c r="AJ2">
        <f>IF(AND($E2=TRUE,$C2="DEF"),AF2,"")</f>
        <v/>
      </c>
      <c r="AK2">
        <f>IF(AND($E2=TRUE,$C2="MID"),AF2,"")</f>
        <v/>
      </c>
      <c r="AL2">
        <f>IF(AND($E2=TRUE,$C2="FWD"),AF2,"")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b">
        <v>1</v>
      </c>
      <c r="F3" s="2" t="n">
        <v>12</v>
      </c>
      <c r="G3" t="inlineStr">
        <is>
          <t>a</t>
        </is>
      </c>
      <c r="I3" s="2" t="n">
        <v>3065</v>
      </c>
      <c r="J3" t="n">
        <v>235</v>
      </c>
      <c r="K3" s="3" t="n">
        <v>3342</v>
      </c>
      <c r="L3" t="inlineStr">
        <is>
          <t>flat</t>
        </is>
      </c>
      <c r="M3" s="4" t="n">
        <v>3065</v>
      </c>
      <c r="N3" s="4" t="n">
        <v>0.21</v>
      </c>
      <c r="O3" s="3" t="n">
        <v>0.3024</v>
      </c>
      <c r="P3" t="inlineStr">
        <is>
          <t>adjusted xGOT</t>
        </is>
      </c>
      <c r="Q3" s="3" t="n">
        <v>0.954</v>
      </c>
      <c r="R3" s="3" t="n">
        <v>39.8</v>
      </c>
      <c r="S3" s="3" t="n">
        <v>0.441</v>
      </c>
      <c r="T3" s="3" t="n">
        <v>8.456</v>
      </c>
      <c r="U3" s="4" t="n">
        <v>87.59999999999999</v>
      </c>
      <c r="V3" s="3">
        <f>IF(OR(N(T3)=0,N(U3)=0),0,1-POISSON(IFERROR(VLOOKUP($C3,Assumptions!$A$4:$G$7,7,FALSE),99)-1,N(T3)*N(U3)/90,TRUE))</f>
        <v/>
      </c>
      <c r="W3" s="3" t="n">
        <v>1.2626</v>
      </c>
      <c r="X3" s="3" t="n">
        <v>2.026</v>
      </c>
      <c r="Y3" s="3">
        <f>IF(X3="",IFERROR(VLOOKUP($C3,Assumptions!$A$4:$G$7,6,FALSE),0),X3)</f>
        <v/>
      </c>
      <c r="Z3" s="3">
        <f>N(O3)*IFERROR(VLOOKUP($C3,Assumptions!$A$4:$G$7,2,FALSE),0)</f>
        <v/>
      </c>
      <c r="AA3" s="3">
        <f>N(S3)*IFERROR(VLOOKUP($C3,Assumptions!$A$4:$G$7,3,FALSE),0)*Assumptions!$B$11</f>
        <v/>
      </c>
      <c r="AB3" s="3">
        <f>N(N3)*IFERROR(VLOOKUP($C3,Assumptions!$A$4:$G$7,4,FALSE),0)</f>
        <v/>
      </c>
      <c r="AC3" s="3">
        <f>IF(N(U3)=0,0,V3*IFERROR(VLOOKUP($C3,Assumptions!$A$4:$G$7,5,FALSE),0)*90/N(U3))</f>
        <v/>
      </c>
      <c r="AD3" s="3">
        <f>N(W3)</f>
        <v/>
      </c>
      <c r="AE3" s="3">
        <f>SUM(Y3:AD3)</f>
        <v/>
      </c>
      <c r="AF3" s="3">
        <f>N(AE3)*N(M3)/90</f>
        <v/>
      </c>
      <c r="AG3" s="3">
        <f>IFERROR(AF3-VLOOKUP($C3,Assumptions!$A$29:$C$32,3,FALSE),"")</f>
        <v/>
      </c>
      <c r="AH3" s="3">
        <f>IFERROR(AG3/F3,"")</f>
        <v/>
      </c>
      <c r="AI3">
        <f>IF(AND($E3=TRUE,$C3="GKP"),AF3,"")</f>
        <v/>
      </c>
      <c r="AJ3">
        <f>IF(AND($E3=TRUE,$C3="DEF"),AF3,"")</f>
        <v/>
      </c>
      <c r="AK3">
        <f>IF(AND($E3=TRUE,$C3="MID"),AF3,"")</f>
        <v/>
      </c>
      <c r="AL3">
        <f>IF(AND($E3=TRUE,$C3="FWD"),AF3,"")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b">
        <v>1</v>
      </c>
      <c r="F4" s="2" t="n">
        <v>8</v>
      </c>
      <c r="G4" t="inlineStr">
        <is>
          <t>a</t>
        </is>
      </c>
      <c r="I4" s="2" t="n">
        <v>2750</v>
      </c>
      <c r="J4" t="n">
        <v>209</v>
      </c>
      <c r="K4" s="3" t="n">
        <v>3283</v>
      </c>
      <c r="L4" t="inlineStr">
        <is>
          <t>flat</t>
        </is>
      </c>
      <c r="M4" s="4" t="n">
        <v>2750</v>
      </c>
      <c r="N4" s="4" t="n">
        <v>0.5</v>
      </c>
      <c r="O4" s="3" t="n">
        <v>0.0785</v>
      </c>
      <c r="P4" t="inlineStr">
        <is>
          <t>adjusted xGOT</t>
        </is>
      </c>
      <c r="Q4" s="3" t="n">
        <v>0.8159999999999999</v>
      </c>
      <c r="R4" s="3" t="n">
        <v>15.2</v>
      </c>
      <c r="S4" s="3" t="n">
        <v>0.0732</v>
      </c>
      <c r="T4" s="3" t="n">
        <v>8.779</v>
      </c>
      <c r="U4" s="4" t="n">
        <v>91.7</v>
      </c>
      <c r="V4" s="3">
        <f>IF(OR(N(T4)=0,N(U4)=0),0,1-POISSON(IFERROR(VLOOKUP($C4,Assumptions!$A$4:$G$7,7,FALSE),99)-1,N(T4)*N(U4)/90,TRUE))</f>
        <v/>
      </c>
      <c r="W4" s="3" t="n">
        <v>0.7855</v>
      </c>
      <c r="X4" s="3" t="n">
        <v>2.029</v>
      </c>
      <c r="Y4" s="3">
        <f>IF(X4="",IFERROR(VLOOKUP($C4,Assumptions!$A$4:$G$7,6,FALSE),0),X4)</f>
        <v/>
      </c>
      <c r="Z4" s="3">
        <f>N(O4)*IFERROR(VLOOKUP($C4,Assumptions!$A$4:$G$7,2,FALSE),0)</f>
        <v/>
      </c>
      <c r="AA4" s="3">
        <f>N(S4)*IFERROR(VLOOKUP($C4,Assumptions!$A$4:$G$7,3,FALSE),0)*Assumptions!$B$11</f>
        <v/>
      </c>
      <c r="AB4" s="3">
        <f>N(N4)*IFERROR(VLOOKUP($C4,Assumptions!$A$4:$G$7,4,FALSE),0)</f>
        <v/>
      </c>
      <c r="AC4" s="3">
        <f>IF(N(U4)=0,0,V4*IFERROR(VLOOKUP($C4,Assumptions!$A$4:$G$7,5,FALSE),0)*90/N(U4))</f>
        <v/>
      </c>
      <c r="AD4" s="3">
        <f>N(W4)</f>
        <v/>
      </c>
      <c r="AE4" s="3">
        <f>SUM(Y4:AD4)</f>
        <v/>
      </c>
      <c r="AF4" s="3">
        <f>N(AE4)*N(M4)/90</f>
        <v/>
      </c>
      <c r="AG4" s="3">
        <f>IFERROR(AF4-VLOOKUP($C4,Assumptions!$A$29:$C$32,3,FALSE),"")</f>
        <v/>
      </c>
      <c r="AH4" s="3">
        <f>IFERROR(AG4/F4,"")</f>
        <v/>
      </c>
      <c r="AI4">
        <f>IF(AND($E4=TRUE,$C4="GKP"),AF4,"")</f>
        <v/>
      </c>
      <c r="AJ4">
        <f>IF(AND($E4=TRUE,$C4="DEF"),AF4,"")</f>
        <v/>
      </c>
      <c r="AK4">
        <f>IF(AND($E4=TRUE,$C4="MID"),AF4,"")</f>
        <v/>
      </c>
      <c r="AL4">
        <f>IF(AND($E4=TRUE,$C4="FWD"),AF4,"")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b">
        <v>1</v>
      </c>
      <c r="F5" s="2" t="n">
        <v>8.5</v>
      </c>
      <c r="G5" t="inlineStr">
        <is>
          <t>a</t>
        </is>
      </c>
      <c r="I5" s="2" t="n">
        <v>3200</v>
      </c>
      <c r="J5" t="n">
        <v>202</v>
      </c>
      <c r="K5" s="3" t="n">
        <v>3106</v>
      </c>
      <c r="L5" t="inlineStr">
        <is>
          <t>flat</t>
        </is>
      </c>
      <c r="M5" s="4" t="n">
        <v>3200</v>
      </c>
      <c r="N5" s="4" t="n">
        <v>0.421</v>
      </c>
      <c r="O5" s="3" t="n">
        <v>0.3561</v>
      </c>
      <c r="P5" t="inlineStr">
        <is>
          <t>adjusted xGOT</t>
        </is>
      </c>
      <c r="Q5" s="3" t="n">
        <v>1.141</v>
      </c>
      <c r="R5" s="3" t="n">
        <v>25.7</v>
      </c>
      <c r="S5" s="3" t="n">
        <v>0.102</v>
      </c>
      <c r="T5" s="3" t="n">
        <v>6.994</v>
      </c>
      <c r="U5" s="4" t="n">
        <v>86.5</v>
      </c>
      <c r="V5" s="3">
        <f>IF(OR(N(T5)=0,N(U5)=0),0,1-POISSON(IFERROR(VLOOKUP($C5,Assumptions!$A$4:$G$7,7,FALSE),99)-1,N(T5)*N(U5)/90,TRUE))</f>
        <v/>
      </c>
      <c r="W5" s="3" t="n">
        <v>0.5344</v>
      </c>
      <c r="X5" s="3" t="n">
        <v>2.025</v>
      </c>
      <c r="Y5" s="3">
        <f>IF(X5="",IFERROR(VLOOKUP($C5,Assumptions!$A$4:$G$7,6,FALSE),0),X5)</f>
        <v/>
      </c>
      <c r="Z5" s="3">
        <f>N(O5)*IFERROR(VLOOKUP($C5,Assumptions!$A$4:$G$7,2,FALSE),0)</f>
        <v/>
      </c>
      <c r="AA5" s="3">
        <f>N(S5)*IFERROR(VLOOKUP($C5,Assumptions!$A$4:$G$7,3,FALSE),0)*Assumptions!$B$11</f>
        <v/>
      </c>
      <c r="AB5" s="3">
        <f>N(N5)*IFERROR(VLOOKUP($C5,Assumptions!$A$4:$G$7,4,FALSE),0)</f>
        <v/>
      </c>
      <c r="AC5" s="3">
        <f>IF(N(U5)=0,0,V5*IFERROR(VLOOKUP($C5,Assumptions!$A$4:$G$7,5,FALSE),0)*90/N(U5))</f>
        <v/>
      </c>
      <c r="AD5" s="3">
        <f>N(W5)</f>
        <v/>
      </c>
      <c r="AE5" s="3">
        <f>SUM(Y5:AD5)</f>
        <v/>
      </c>
      <c r="AF5" s="3">
        <f>N(AE5)*N(M5)/90</f>
        <v/>
      </c>
      <c r="AG5" s="3">
        <f>IFERROR(AF5-VLOOKUP($C5,Assumptions!$A$29:$C$32,3,FALSE),"")</f>
        <v/>
      </c>
      <c r="AH5" s="3">
        <f>IFERROR(AG5/F5,"")</f>
        <v/>
      </c>
      <c r="AI5">
        <f>IF(AND($E5=TRUE,$C5="GKP"),AF5,"")</f>
        <v/>
      </c>
      <c r="AJ5">
        <f>IF(AND($E5=TRUE,$C5="DEF"),AF5,"")</f>
        <v/>
      </c>
      <c r="AK5">
        <f>IF(AND($E5=TRUE,$C5="MID"),AF5,"")</f>
        <v/>
      </c>
      <c r="AL5">
        <f>IF(AND($E5=TRUE,$C5="FWD"),AF5,"")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b">
        <v>1</v>
      </c>
      <c r="F6" s="2" t="n">
        <v>8</v>
      </c>
      <c r="G6" t="inlineStr">
        <is>
          <t>a</t>
        </is>
      </c>
      <c r="I6" s="2" t="n">
        <v>3101</v>
      </c>
      <c r="J6" t="n">
        <v>188</v>
      </c>
      <c r="K6" s="3" t="n">
        <v>3301</v>
      </c>
      <c r="L6" t="inlineStr">
        <is>
          <t>flat</t>
        </is>
      </c>
      <c r="M6" s="4" t="n">
        <v>3101</v>
      </c>
      <c r="N6" s="4" t="n">
        <v>0.237</v>
      </c>
      <c r="O6" s="3" t="n">
        <v>0.3102</v>
      </c>
      <c r="P6" t="inlineStr">
        <is>
          <t>adjusted xGOT</t>
        </is>
      </c>
      <c r="Q6" s="3" t="n">
        <v>0.989</v>
      </c>
      <c r="R6" s="3" t="n">
        <v>30.5</v>
      </c>
      <c r="S6" s="3" t="n">
        <v>0.1076</v>
      </c>
      <c r="T6" s="3" t="n">
        <v>5.809</v>
      </c>
      <c r="U6" s="4" t="n">
        <v>88.59999999999999</v>
      </c>
      <c r="V6" s="3">
        <f>IF(OR(N(T6)=0,N(U6)=0),0,1-POISSON(IFERROR(VLOOKUP($C6,Assumptions!$A$4:$G$7,7,FALSE),99)-1,N(T6)*N(U6)/90,TRUE))</f>
        <v/>
      </c>
      <c r="W6" s="3" t="n">
        <v>0.5224</v>
      </c>
      <c r="X6" s="3" t="n">
        <v>2.09</v>
      </c>
      <c r="Y6" s="3">
        <f>IF(X6="",IFERROR(VLOOKUP($C6,Assumptions!$A$4:$G$7,6,FALSE),0),X6)</f>
        <v/>
      </c>
      <c r="Z6" s="3">
        <f>N(O6)*IFERROR(VLOOKUP($C6,Assumptions!$A$4:$G$7,2,FALSE),0)</f>
        <v/>
      </c>
      <c r="AA6" s="3">
        <f>N(S6)*IFERROR(VLOOKUP($C6,Assumptions!$A$4:$G$7,3,FALSE),0)*Assumptions!$B$11</f>
        <v/>
      </c>
      <c r="AB6" s="3">
        <f>N(N6)*IFERROR(VLOOKUP($C6,Assumptions!$A$4:$G$7,4,FALSE),0)</f>
        <v/>
      </c>
      <c r="AC6" s="3">
        <f>IF(N(U6)=0,0,V6*IFERROR(VLOOKUP($C6,Assumptions!$A$4:$G$7,5,FALSE),0)*90/N(U6))</f>
        <v/>
      </c>
      <c r="AD6" s="3">
        <f>N(W6)</f>
        <v/>
      </c>
      <c r="AE6" s="3">
        <f>SUM(Y6:AD6)</f>
        <v/>
      </c>
      <c r="AF6" s="3">
        <f>N(AE6)*N(M6)/90</f>
        <v/>
      </c>
      <c r="AG6" s="3">
        <f>IFERROR(AF6-VLOOKUP($C6,Assumptions!$A$29:$C$32,3,FALSE),"")</f>
        <v/>
      </c>
      <c r="AH6" s="3">
        <f>IFERROR(AG6/F6,"")</f>
        <v/>
      </c>
      <c r="AI6">
        <f>IF(AND($E6=TRUE,$C6="GKP"),AF6,"")</f>
        <v/>
      </c>
      <c r="AJ6">
        <f>IF(AND($E6=TRUE,$C6="DEF"),AF6,"")</f>
        <v/>
      </c>
      <c r="AK6">
        <f>IF(AND($E6=TRUE,$C6="MID"),AF6,"")</f>
        <v/>
      </c>
      <c r="AL6">
        <f>IF(AND($E6=TRUE,$C6="FWD"),AF6,"")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b">
        <v>1</v>
      </c>
      <c r="F7" s="2" t="n">
        <v>7.5</v>
      </c>
      <c r="G7" t="inlineStr">
        <is>
          <t>a</t>
        </is>
      </c>
      <c r="I7" s="2" t="n">
        <v>3093</v>
      </c>
      <c r="J7" t="n">
        <v>184</v>
      </c>
      <c r="K7" s="3" t="n">
        <v>3106</v>
      </c>
      <c r="L7" t="inlineStr">
        <is>
          <t>flat</t>
        </is>
      </c>
      <c r="M7" s="4" t="n">
        <v>3093</v>
      </c>
      <c r="N7" s="4" t="n">
        <v>0.5</v>
      </c>
      <c r="O7" s="3" t="n">
        <v>0.1037</v>
      </c>
      <c r="P7" t="inlineStr">
        <is>
          <t>adjusted xGOT</t>
        </is>
      </c>
      <c r="Q7" s="3" t="n">
        <v>1.132</v>
      </c>
      <c r="R7" s="3" t="n">
        <v>12.6</v>
      </c>
      <c r="S7" s="3" t="n">
        <v>0.2252</v>
      </c>
      <c r="T7" s="3" t="n">
        <v>10.494</v>
      </c>
      <c r="U7" s="4" t="n">
        <v>88.40000000000001</v>
      </c>
      <c r="V7" s="3">
        <f>IF(OR(N(T7)=0,N(U7)=0),0,1-POISSON(IFERROR(VLOOKUP($C7,Assumptions!$A$4:$G$7,7,FALSE),99)-1,N(T7)*N(U7)/90,TRUE))</f>
        <v/>
      </c>
      <c r="W7" s="3" t="n">
        <v>0.6984</v>
      </c>
      <c r="X7" s="3" t="n">
        <v>2.066</v>
      </c>
      <c r="Y7" s="3">
        <f>IF(X7="",IFERROR(VLOOKUP($C7,Assumptions!$A$4:$G$7,6,FALSE),0),X7)</f>
        <v/>
      </c>
      <c r="Z7" s="3">
        <f>N(O7)*IFERROR(VLOOKUP($C7,Assumptions!$A$4:$G$7,2,FALSE),0)</f>
        <v/>
      </c>
      <c r="AA7" s="3">
        <f>N(S7)*IFERROR(VLOOKUP($C7,Assumptions!$A$4:$G$7,3,FALSE),0)*Assumptions!$B$11</f>
        <v/>
      </c>
      <c r="AB7" s="3">
        <f>N(N7)*IFERROR(VLOOKUP($C7,Assumptions!$A$4:$G$7,4,FALSE),0)</f>
        <v/>
      </c>
      <c r="AC7" s="3">
        <f>IF(N(U7)=0,0,V7*IFERROR(VLOOKUP($C7,Assumptions!$A$4:$G$7,5,FALSE),0)*90/N(U7))</f>
        <v/>
      </c>
      <c r="AD7" s="3">
        <f>N(W7)</f>
        <v/>
      </c>
      <c r="AE7" s="3">
        <f>SUM(Y7:AD7)</f>
        <v/>
      </c>
      <c r="AF7" s="3">
        <f>N(AE7)*N(M7)/90</f>
        <v/>
      </c>
      <c r="AG7" s="3">
        <f>IFERROR(AF7-VLOOKUP($C7,Assumptions!$A$29:$C$32,3,FALSE),"")</f>
        <v/>
      </c>
      <c r="AH7" s="3">
        <f>IFERROR(AG7/F7,"")</f>
        <v/>
      </c>
      <c r="AI7">
        <f>IF(AND($E7=TRUE,$C7="GKP"),AF7,"")</f>
        <v/>
      </c>
      <c r="AJ7">
        <f>IF(AND($E7=TRUE,$C7="DEF"),AF7,"")</f>
        <v/>
      </c>
      <c r="AK7">
        <f>IF(AND($E7=TRUE,$C7="MID"),AF7,"")</f>
        <v/>
      </c>
      <c r="AL7">
        <f>IF(AND($E7=TRUE,$C7="FWD"),AF7,"")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b">
        <v>1</v>
      </c>
      <c r="F8" s="2" t="n">
        <v>8</v>
      </c>
      <c r="G8" t="inlineStr">
        <is>
          <t>a</t>
        </is>
      </c>
      <c r="I8" s="2" t="n">
        <v>3282</v>
      </c>
      <c r="J8" t="n">
        <v>181</v>
      </c>
      <c r="K8" s="3" t="n">
        <v>3209</v>
      </c>
      <c r="L8" t="inlineStr">
        <is>
          <t>flat</t>
        </is>
      </c>
      <c r="M8" s="4" t="n">
        <v>3282</v>
      </c>
      <c r="N8" s="4" t="n">
        <v>0.263</v>
      </c>
      <c r="O8" s="3" t="n">
        <v>0.5525</v>
      </c>
      <c r="P8" t="inlineStr">
        <is>
          <t>adjusted xGOT</t>
        </is>
      </c>
      <c r="Q8" s="3" t="n">
        <v>0.978</v>
      </c>
      <c r="R8" s="3" t="n">
        <v>20.7</v>
      </c>
      <c r="S8" s="3" t="n">
        <v>0.07240000000000001</v>
      </c>
      <c r="T8" s="3" t="n">
        <v>5.675</v>
      </c>
      <c r="U8" s="4" t="n">
        <v>88.7</v>
      </c>
      <c r="V8" s="3">
        <f>IF(OR(N(T8)=0,N(U8)=0),0,1-POISSON(IFERROR(VLOOKUP($C8,Assumptions!$A$4:$G$7,7,FALSE),99)-1,N(T8)*N(U8)/90,TRUE))</f>
        <v/>
      </c>
      <c r="W8" s="3" t="n">
        <v>0.6032999999999999</v>
      </c>
      <c r="X8" s="3" t="n">
        <v>2.057</v>
      </c>
      <c r="Y8" s="3">
        <f>IF(X8="",IFERROR(VLOOKUP($C8,Assumptions!$A$4:$G$7,6,FALSE),0),X8)</f>
        <v/>
      </c>
      <c r="Z8" s="3">
        <f>N(O8)*IFERROR(VLOOKUP($C8,Assumptions!$A$4:$G$7,2,FALSE),0)</f>
        <v/>
      </c>
      <c r="AA8" s="3">
        <f>N(S8)*IFERROR(VLOOKUP($C8,Assumptions!$A$4:$G$7,3,FALSE),0)*Assumptions!$B$11</f>
        <v/>
      </c>
      <c r="AB8" s="3">
        <f>N(N8)*IFERROR(VLOOKUP($C8,Assumptions!$A$4:$G$7,4,FALSE),0)</f>
        <v/>
      </c>
      <c r="AC8" s="3">
        <f>IF(N(U8)=0,0,V8*IFERROR(VLOOKUP($C8,Assumptions!$A$4:$G$7,5,FALSE),0)*90/N(U8))</f>
        <v/>
      </c>
      <c r="AD8" s="3">
        <f>N(W8)</f>
        <v/>
      </c>
      <c r="AE8" s="3">
        <f>SUM(Y8:AD8)</f>
        <v/>
      </c>
      <c r="AF8" s="3">
        <f>N(AE8)*N(M8)/90</f>
        <v/>
      </c>
      <c r="AG8" s="3">
        <f>IFERROR(AF8-VLOOKUP($C8,Assumptions!$A$29:$C$32,3,FALSE),"")</f>
        <v/>
      </c>
      <c r="AH8" s="3">
        <f>IFERROR(AG8/F8,"")</f>
        <v/>
      </c>
      <c r="AI8">
        <f>IF(AND($E8=TRUE,$C8="GKP"),AF8,"")</f>
        <v/>
      </c>
      <c r="AJ8">
        <f>IF(AND($E8=TRUE,$C8="DEF"),AF8,"")</f>
        <v/>
      </c>
      <c r="AK8">
        <f>IF(AND($E8=TRUE,$C8="MID"),AF8,"")</f>
        <v/>
      </c>
      <c r="AL8">
        <f>IF(AND($E8=TRUE,$C8="FWD"),AF8,"")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b">
        <v>1</v>
      </c>
      <c r="F9" s="2" t="n">
        <v>6.5</v>
      </c>
      <c r="G9" t="inlineStr">
        <is>
          <t>a</t>
        </is>
      </c>
      <c r="I9" s="2" t="n">
        <v>3332</v>
      </c>
      <c r="J9" t="n">
        <v>180</v>
      </c>
      <c r="K9" s="3" t="n">
        <v>2096</v>
      </c>
      <c r="L9" t="inlineStr">
        <is>
          <t>flat</t>
        </is>
      </c>
      <c r="M9" s="4" t="n">
        <v>3332</v>
      </c>
      <c r="N9" s="4" t="n">
        <v>0.421</v>
      </c>
      <c r="O9" s="3" t="n">
        <v>0.0716</v>
      </c>
      <c r="P9" t="inlineStr">
        <is>
          <t>adjusted xGOT</t>
        </is>
      </c>
      <c r="Q9" s="3" t="n">
        <v>0.902</v>
      </c>
      <c r="R9" s="3" t="n">
        <v>7.8</v>
      </c>
      <c r="S9" s="3" t="n">
        <v>0.1301</v>
      </c>
      <c r="T9" s="3" t="n">
        <v>12.963</v>
      </c>
      <c r="U9" s="4" t="n">
        <v>90.09999999999999</v>
      </c>
      <c r="V9" s="3">
        <f>IF(OR(N(T9)=0,N(U9)=0),0,1-POISSON(IFERROR(VLOOKUP($C9,Assumptions!$A$4:$G$7,7,FALSE),99)-1,N(T9)*N(U9)/90,TRUE))</f>
        <v/>
      </c>
      <c r="W9" s="3" t="n">
        <v>0.4862</v>
      </c>
      <c r="X9" s="3" t="n">
        <v>2.026</v>
      </c>
      <c r="Y9" s="3">
        <f>IF(X9="",IFERROR(VLOOKUP($C9,Assumptions!$A$4:$G$7,6,FALSE),0),X9)</f>
        <v/>
      </c>
      <c r="Z9" s="3">
        <f>N(O9)*IFERROR(VLOOKUP($C9,Assumptions!$A$4:$G$7,2,FALSE),0)</f>
        <v/>
      </c>
      <c r="AA9" s="3">
        <f>N(S9)*IFERROR(VLOOKUP($C9,Assumptions!$A$4:$G$7,3,FALSE),0)*Assumptions!$B$11</f>
        <v/>
      </c>
      <c r="AB9" s="3">
        <f>N(N9)*IFERROR(VLOOKUP($C9,Assumptions!$A$4:$G$7,4,FALSE),0)</f>
        <v/>
      </c>
      <c r="AC9" s="3">
        <f>IF(N(U9)=0,0,V9*IFERROR(VLOOKUP($C9,Assumptions!$A$4:$G$7,5,FALSE),0)*90/N(U9))</f>
        <v/>
      </c>
      <c r="AD9" s="3">
        <f>N(W9)</f>
        <v/>
      </c>
      <c r="AE9" s="3">
        <f>SUM(Y9:AD9)</f>
        <v/>
      </c>
      <c r="AF9" s="3">
        <f>N(AE9)*N(M9)/90</f>
        <v/>
      </c>
      <c r="AG9" s="3">
        <f>IFERROR(AF9-VLOOKUP($C9,Assumptions!$A$29:$C$32,3,FALSE),"")</f>
        <v/>
      </c>
      <c r="AH9" s="3">
        <f>IFERROR(AG9/F9,"")</f>
        <v/>
      </c>
      <c r="AI9">
        <f>IF(AND($E9=TRUE,$C9="GKP"),AF9,"")</f>
        <v/>
      </c>
      <c r="AJ9">
        <f>IF(AND($E9=TRUE,$C9="DEF"),AF9,"")</f>
        <v/>
      </c>
      <c r="AK9">
        <f>IF(AND($E9=TRUE,$C9="MID"),AF9,"")</f>
        <v/>
      </c>
      <c r="AL9">
        <f>IF(AND($E9=TRUE,$C9="FWD"),AF9,"")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b">
        <v>1</v>
      </c>
      <c r="F10" s="2" t="n">
        <v>6</v>
      </c>
      <c r="G10" t="inlineStr">
        <is>
          <t>a</t>
        </is>
      </c>
      <c r="I10" s="2" t="n">
        <v>3150</v>
      </c>
      <c r="J10" t="n">
        <v>179</v>
      </c>
      <c r="K10" s="3" t="n">
        <v>2611</v>
      </c>
      <c r="L10" t="inlineStr">
        <is>
          <t>flat</t>
        </is>
      </c>
      <c r="M10" s="4" t="n">
        <v>3150</v>
      </c>
      <c r="N10" s="4" t="n">
        <v>0.421</v>
      </c>
      <c r="O10" s="3" t="n">
        <v>0.1254</v>
      </c>
      <c r="P10" t="inlineStr">
        <is>
          <t>adjusted xGOT</t>
        </is>
      </c>
      <c r="Q10" s="3" t="n">
        <v>1.084</v>
      </c>
      <c r="R10" s="3" t="n">
        <v>8</v>
      </c>
      <c r="S10" s="3" t="n">
        <v>0.0728</v>
      </c>
      <c r="T10" s="3" t="n">
        <v>7.895</v>
      </c>
      <c r="U10" s="4" t="n">
        <v>90</v>
      </c>
      <c r="V10" s="3">
        <f>IF(OR(N(T10)=0,N(U10)=0),0,1-POISSON(IFERROR(VLOOKUP($C10,Assumptions!$A$4:$G$7,7,FALSE),99)-1,N(T10)*N(U10)/90,TRUE))</f>
        <v/>
      </c>
      <c r="W10" s="3" t="n">
        <v>0.3429</v>
      </c>
      <c r="X10" s="3" t="n">
        <v>2</v>
      </c>
      <c r="Y10" s="3">
        <f>IF(X10="",IFERROR(VLOOKUP($C10,Assumptions!$A$4:$G$7,6,FALSE),0),X10)</f>
        <v/>
      </c>
      <c r="Z10" s="3">
        <f>N(O10)*IFERROR(VLOOKUP($C10,Assumptions!$A$4:$G$7,2,FALSE),0)</f>
        <v/>
      </c>
      <c r="AA10" s="3">
        <f>N(S10)*IFERROR(VLOOKUP($C10,Assumptions!$A$4:$G$7,3,FALSE),0)*Assumptions!$B$11</f>
        <v/>
      </c>
      <c r="AB10" s="3">
        <f>N(N10)*IFERROR(VLOOKUP($C10,Assumptions!$A$4:$G$7,4,FALSE),0)</f>
        <v/>
      </c>
      <c r="AC10" s="3">
        <f>IF(N(U10)=0,0,V10*IFERROR(VLOOKUP($C10,Assumptions!$A$4:$G$7,5,FALSE),0)*90/N(U10))</f>
        <v/>
      </c>
      <c r="AD10" s="3">
        <f>N(W10)</f>
        <v/>
      </c>
      <c r="AE10" s="3">
        <f>SUM(Y10:AD10)</f>
        <v/>
      </c>
      <c r="AF10" s="3">
        <f>N(AE10)*N(M10)/90</f>
        <v/>
      </c>
      <c r="AG10" s="3">
        <f>IFERROR(AF10-VLOOKUP($C10,Assumptions!$A$29:$C$32,3,FALSE),"")</f>
        <v/>
      </c>
      <c r="AH10" s="3">
        <f>IFERROR(AG10/F10,"")</f>
        <v/>
      </c>
      <c r="AI10">
        <f>IF(AND($E10=TRUE,$C10="GKP"),AF10,"")</f>
        <v/>
      </c>
      <c r="AJ10">
        <f>IF(AND($E10=TRUE,$C10="DEF"),AF10,"")</f>
        <v/>
      </c>
      <c r="AK10">
        <f>IF(AND($E10=TRUE,$C10="MID"),AF10,"")</f>
        <v/>
      </c>
      <c r="AL10">
        <f>IF(AND($E10=TRUE,$C10="FWD"),AF10,"")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b">
        <v>1</v>
      </c>
      <c r="F11" s="2" t="n">
        <v>7.5</v>
      </c>
      <c r="G11" t="inlineStr">
        <is>
          <t>a</t>
        </is>
      </c>
      <c r="I11" s="2" t="n">
        <v>2658</v>
      </c>
      <c r="J11" t="n">
        <v>177</v>
      </c>
      <c r="K11" s="3" t="n">
        <v>2890</v>
      </c>
      <c r="L11" t="inlineStr">
        <is>
          <t>flat</t>
        </is>
      </c>
      <c r="M11" s="4" t="n">
        <v>2658</v>
      </c>
      <c r="N11" s="4" t="n">
        <v>0.237</v>
      </c>
      <c r="O11" s="3" t="n">
        <v>0.5062</v>
      </c>
      <c r="P11" t="inlineStr">
        <is>
          <t>adjusted xGOT</t>
        </is>
      </c>
      <c r="Q11" s="3" t="n">
        <v>1.003</v>
      </c>
      <c r="R11" s="3" t="n">
        <v>35.9</v>
      </c>
      <c r="S11" s="3" t="n">
        <v>0.1006</v>
      </c>
      <c r="T11" s="3" t="n">
        <v>4.698</v>
      </c>
      <c r="U11" s="4" t="n">
        <v>85.7</v>
      </c>
      <c r="V11" s="3">
        <f>IF(OR(N(T11)=0,N(U11)=0),0,1-POISSON(IFERROR(VLOOKUP($C11,Assumptions!$A$4:$G$7,7,FALSE),99)-1,N(T11)*N(U11)/90,TRUE))</f>
        <v/>
      </c>
      <c r="W11" s="3" t="n">
        <v>1.0158</v>
      </c>
      <c r="X11" s="3" t="n">
        <v>2.201</v>
      </c>
      <c r="Y11" s="3">
        <f>IF(X11="",IFERROR(VLOOKUP($C11,Assumptions!$A$4:$G$7,6,FALSE),0),X11)</f>
        <v/>
      </c>
      <c r="Z11" s="3">
        <f>N(O11)*IFERROR(VLOOKUP($C11,Assumptions!$A$4:$G$7,2,FALSE),0)</f>
        <v/>
      </c>
      <c r="AA11" s="3">
        <f>N(S11)*IFERROR(VLOOKUP($C11,Assumptions!$A$4:$G$7,3,FALSE),0)*Assumptions!$B$11</f>
        <v/>
      </c>
      <c r="AB11" s="3">
        <f>N(N11)*IFERROR(VLOOKUP($C11,Assumptions!$A$4:$G$7,4,FALSE),0)</f>
        <v/>
      </c>
      <c r="AC11" s="3">
        <f>IF(N(U11)=0,0,V11*IFERROR(VLOOKUP($C11,Assumptions!$A$4:$G$7,5,FALSE),0)*90/N(U11))</f>
        <v/>
      </c>
      <c r="AD11" s="3">
        <f>N(W11)</f>
        <v/>
      </c>
      <c r="AE11" s="3">
        <f>SUM(Y11:AD11)</f>
        <v/>
      </c>
      <c r="AF11" s="3">
        <f>N(AE11)*N(M11)/90</f>
        <v/>
      </c>
      <c r="AG11" s="3">
        <f>IFERROR(AF11-VLOOKUP($C11,Assumptions!$A$29:$C$32,3,FALSE),"")</f>
        <v/>
      </c>
      <c r="AH11" s="3">
        <f>IFERROR(AG11/F11,"")</f>
        <v/>
      </c>
      <c r="AI11">
        <f>IF(AND($E11=TRUE,$C11="GKP"),AF11,"")</f>
        <v/>
      </c>
      <c r="AJ11">
        <f>IF(AND($E11=TRUE,$C11="DEF"),AF11,"")</f>
        <v/>
      </c>
      <c r="AK11">
        <f>IF(AND($E11=TRUE,$C11="MID"),AF11,"")</f>
        <v/>
      </c>
      <c r="AL11">
        <f>IF(AND($E11=TRUE,$C11="FWD"),AF11,"")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b">
        <v>1</v>
      </c>
      <c r="F12" s="2" t="n">
        <v>6.5</v>
      </c>
      <c r="G12" t="inlineStr">
        <is>
          <t>a</t>
        </is>
      </c>
      <c r="I12" s="2" t="n">
        <v>3420</v>
      </c>
      <c r="J12" t="n">
        <v>175</v>
      </c>
      <c r="K12" s="3" t="n">
        <v>3340</v>
      </c>
      <c r="L12" t="inlineStr">
        <is>
          <t>flat</t>
        </is>
      </c>
      <c r="M12" s="4" t="n">
        <v>3420</v>
      </c>
      <c r="N12" s="4" t="n">
        <v>0.263</v>
      </c>
      <c r="O12" s="3" t="n">
        <v>0.0983</v>
      </c>
      <c r="P12" t="inlineStr">
        <is>
          <t>adjusted xGOT</t>
        </is>
      </c>
      <c r="Q12" s="3" t="n">
        <v>0.991</v>
      </c>
      <c r="R12" s="3" t="n">
        <v>11.4</v>
      </c>
      <c r="S12" s="3" t="n">
        <v>0.0233</v>
      </c>
      <c r="T12" s="3" t="n">
        <v>8.989000000000001</v>
      </c>
      <c r="U12" s="4" t="n">
        <v>90</v>
      </c>
      <c r="V12" s="3">
        <f>IF(OR(N(T12)=0,N(U12)=0),0,1-POISSON(IFERROR(VLOOKUP($C12,Assumptions!$A$4:$G$7,7,FALSE),99)-1,N(T12)*N(U12)/90,TRUE))</f>
        <v/>
      </c>
      <c r="W12" s="3" t="n">
        <v>0.2368</v>
      </c>
      <c r="X12" s="3" t="n">
        <v>2</v>
      </c>
      <c r="Y12" s="3">
        <f>IF(X12="",IFERROR(VLOOKUP($C12,Assumptions!$A$4:$G$7,6,FALSE),0),X12)</f>
        <v/>
      </c>
      <c r="Z12" s="3">
        <f>N(O12)*IFERROR(VLOOKUP($C12,Assumptions!$A$4:$G$7,2,FALSE),0)</f>
        <v/>
      </c>
      <c r="AA12" s="3">
        <f>N(S12)*IFERROR(VLOOKUP($C12,Assumptions!$A$4:$G$7,3,FALSE),0)*Assumptions!$B$11</f>
        <v/>
      </c>
      <c r="AB12" s="3">
        <f>N(N12)*IFERROR(VLOOKUP($C12,Assumptions!$A$4:$G$7,4,FALSE),0)</f>
        <v/>
      </c>
      <c r="AC12" s="3">
        <f>IF(N(U12)=0,0,V12*IFERROR(VLOOKUP($C12,Assumptions!$A$4:$G$7,5,FALSE),0)*90/N(U12))</f>
        <v/>
      </c>
      <c r="AD12" s="3">
        <f>N(W12)</f>
        <v/>
      </c>
      <c r="AE12" s="3">
        <f>SUM(Y12:AD12)</f>
        <v/>
      </c>
      <c r="AF12" s="3">
        <f>N(AE12)*N(M12)/90</f>
        <v/>
      </c>
      <c r="AG12" s="3">
        <f>IFERROR(AF12-VLOOKUP($C12,Assumptions!$A$29:$C$32,3,FALSE),"")</f>
        <v/>
      </c>
      <c r="AH12" s="3">
        <f>IFERROR(AG12/F12,"")</f>
        <v/>
      </c>
      <c r="AI12">
        <f>IF(AND($E12=TRUE,$C12="GKP"),AF12,"")</f>
        <v/>
      </c>
      <c r="AJ12">
        <f>IF(AND($E12=TRUE,$C12="DEF"),AF12,"")</f>
        <v/>
      </c>
      <c r="AK12">
        <f>IF(AND($E12=TRUE,$C12="MID"),AF12,"")</f>
        <v/>
      </c>
      <c r="AL12">
        <f>IF(AND($E12=TRUE,$C12="FWD"),AF12,"")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b">
        <v>1</v>
      </c>
      <c r="F13" s="2" t="n">
        <v>6</v>
      </c>
      <c r="G13" t="inlineStr">
        <is>
          <t>a</t>
        </is>
      </c>
      <c r="I13" s="2" t="n">
        <v>3288</v>
      </c>
      <c r="J13" t="n">
        <v>175</v>
      </c>
      <c r="K13" s="3" t="n">
        <v>1573</v>
      </c>
      <c r="L13" t="inlineStr">
        <is>
          <t>flat</t>
        </is>
      </c>
      <c r="M13" s="4" t="n">
        <v>3288</v>
      </c>
      <c r="N13" s="4" t="n">
        <v>0.237</v>
      </c>
      <c r="O13" s="3" t="n">
        <v>0.0335</v>
      </c>
      <c r="P13" t="inlineStr">
        <is>
          <t>adjusted xGOT</t>
        </is>
      </c>
      <c r="Q13" s="3" t="n">
        <v>0.799</v>
      </c>
      <c r="R13" s="3" t="n">
        <v>6</v>
      </c>
      <c r="S13" s="3" t="n">
        <v>0.1197</v>
      </c>
      <c r="T13" s="3" t="n">
        <v>10.789</v>
      </c>
      <c r="U13" s="4" t="n">
        <v>88.90000000000001</v>
      </c>
      <c r="V13" s="3">
        <f>IF(OR(N(T13)=0,N(U13)=0),0,1-POISSON(IFERROR(VLOOKUP($C13,Assumptions!$A$4:$G$7,7,FALSE),99)-1,N(T13)*N(U13)/90,TRUE))</f>
        <v/>
      </c>
      <c r="W13" s="3" t="n">
        <v>0.3285</v>
      </c>
      <c r="X13" s="3" t="n">
        <v>2.026</v>
      </c>
      <c r="Y13" s="3">
        <f>IF(X13="",IFERROR(VLOOKUP($C13,Assumptions!$A$4:$G$7,6,FALSE),0),X13)</f>
        <v/>
      </c>
      <c r="Z13" s="3">
        <f>N(O13)*IFERROR(VLOOKUP($C13,Assumptions!$A$4:$G$7,2,FALSE),0)</f>
        <v/>
      </c>
      <c r="AA13" s="3">
        <f>N(S13)*IFERROR(VLOOKUP($C13,Assumptions!$A$4:$G$7,3,FALSE),0)*Assumptions!$B$11</f>
        <v/>
      </c>
      <c r="AB13" s="3">
        <f>N(N13)*IFERROR(VLOOKUP($C13,Assumptions!$A$4:$G$7,4,FALSE),0)</f>
        <v/>
      </c>
      <c r="AC13" s="3">
        <f>IF(N(U13)=0,0,V13*IFERROR(VLOOKUP($C13,Assumptions!$A$4:$G$7,5,FALSE),0)*90/N(U13))</f>
        <v/>
      </c>
      <c r="AD13" s="3">
        <f>N(W13)</f>
        <v/>
      </c>
      <c r="AE13" s="3">
        <f>SUM(Y13:AD13)</f>
        <v/>
      </c>
      <c r="AF13" s="3">
        <f>N(AE13)*N(M13)/90</f>
        <v/>
      </c>
      <c r="AG13" s="3">
        <f>IFERROR(AF13-VLOOKUP($C13,Assumptions!$A$29:$C$32,3,FALSE),"")</f>
        <v/>
      </c>
      <c r="AH13" s="3">
        <f>IFERROR(AG13/F13,"")</f>
        <v/>
      </c>
      <c r="AI13">
        <f>IF(AND($E13=TRUE,$C13="GKP"),AF13,"")</f>
        <v/>
      </c>
      <c r="AJ13">
        <f>IF(AND($E13=TRUE,$C13="DEF"),AF13,"")</f>
        <v/>
      </c>
      <c r="AK13">
        <f>IF(AND($E13=TRUE,$C13="MID"),AF13,"")</f>
        <v/>
      </c>
      <c r="AL13">
        <f>IF(AND($E13=TRUE,$C13="FWD"),AF13,"")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b">
        <v>1</v>
      </c>
      <c r="F14" s="2" t="n">
        <v>6</v>
      </c>
      <c r="G14" t="inlineStr">
        <is>
          <t>a</t>
        </is>
      </c>
      <c r="I14" s="2" t="n">
        <v>3330</v>
      </c>
      <c r="J14" t="n">
        <v>170</v>
      </c>
      <c r="K14" s="3" t="n">
        <v>3266</v>
      </c>
      <c r="L14" t="inlineStr">
        <is>
          <t>flat</t>
        </is>
      </c>
      <c r="M14" s="4" t="n">
        <v>3330</v>
      </c>
      <c r="N14" s="4" t="n">
        <v>0.29</v>
      </c>
      <c r="O14" s="3" t="n">
        <v>0.0555</v>
      </c>
      <c r="P14" t="inlineStr">
        <is>
          <t>adjusted xGOT</t>
        </is>
      </c>
      <c r="Q14" s="3" t="n">
        <v>0.8120000000000001</v>
      </c>
      <c r="R14" s="3" t="n">
        <v>9.4</v>
      </c>
      <c r="S14" s="3" t="n">
        <v>0.0562</v>
      </c>
      <c r="T14" s="3" t="n">
        <v>9.722</v>
      </c>
      <c r="U14" s="4" t="n">
        <v>90</v>
      </c>
      <c r="V14" s="3">
        <f>IF(OR(N(T14)=0,N(U14)=0),0,1-POISSON(IFERROR(VLOOKUP($C14,Assumptions!$A$4:$G$7,7,FALSE),99)-1,N(T14)*N(U14)/90,TRUE))</f>
        <v/>
      </c>
      <c r="W14" s="3" t="n">
        <v>0.3243</v>
      </c>
      <c r="X14" s="3" t="n">
        <v>2</v>
      </c>
      <c r="Y14" s="3">
        <f>IF(X14="",IFERROR(VLOOKUP($C14,Assumptions!$A$4:$G$7,6,FALSE),0),X14)</f>
        <v/>
      </c>
      <c r="Z14" s="3">
        <f>N(O14)*IFERROR(VLOOKUP($C14,Assumptions!$A$4:$G$7,2,FALSE),0)</f>
        <v/>
      </c>
      <c r="AA14" s="3">
        <f>N(S14)*IFERROR(VLOOKUP($C14,Assumptions!$A$4:$G$7,3,FALSE),0)*Assumptions!$B$11</f>
        <v/>
      </c>
      <c r="AB14" s="3">
        <f>N(N14)*IFERROR(VLOOKUP($C14,Assumptions!$A$4:$G$7,4,FALSE),0)</f>
        <v/>
      </c>
      <c r="AC14" s="3">
        <f>IF(N(U14)=0,0,V14*IFERROR(VLOOKUP($C14,Assumptions!$A$4:$G$7,5,FALSE),0)*90/N(U14))</f>
        <v/>
      </c>
      <c r="AD14" s="3">
        <f>N(W14)</f>
        <v/>
      </c>
      <c r="AE14" s="3">
        <f>SUM(Y14:AD14)</f>
        <v/>
      </c>
      <c r="AF14" s="3">
        <f>N(AE14)*N(M14)/90</f>
        <v/>
      </c>
      <c r="AG14" s="3">
        <f>IFERROR(AF14-VLOOKUP($C14,Assumptions!$A$29:$C$32,3,FALSE),"")</f>
        <v/>
      </c>
      <c r="AH14" s="3">
        <f>IFERROR(AG14/F14,"")</f>
        <v/>
      </c>
      <c r="AI14">
        <f>IF(AND($E14=TRUE,$C14="GKP"),AF14,"")</f>
        <v/>
      </c>
      <c r="AJ14">
        <f>IF(AND($E14=TRUE,$C14="DEF"),AF14,"")</f>
        <v/>
      </c>
      <c r="AK14">
        <f>IF(AND($E14=TRUE,$C14="MID"),AF14,"")</f>
        <v/>
      </c>
      <c r="AL14">
        <f>IF(AND($E14=TRUE,$C14="FWD"),AF14,"")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b">
        <v>1</v>
      </c>
      <c r="F15" s="2" t="n">
        <v>7.5</v>
      </c>
      <c r="G15" t="inlineStr">
        <is>
          <t>a</t>
        </is>
      </c>
      <c r="I15" s="2" t="n">
        <v>3280</v>
      </c>
      <c r="J15" t="n">
        <v>169</v>
      </c>
      <c r="K15" s="3" t="n">
        <v>2890</v>
      </c>
      <c r="L15" t="inlineStr">
        <is>
          <t>flat</t>
        </is>
      </c>
      <c r="M15" s="4" t="n">
        <v>3280</v>
      </c>
      <c r="N15" s="4" t="n">
        <v>0.237</v>
      </c>
      <c r="O15" s="3" t="n">
        <v>0.2094</v>
      </c>
      <c r="P15" t="inlineStr">
        <is>
          <t>adjusted xGOT</t>
        </is>
      </c>
      <c r="Q15" s="3" t="n">
        <v>1.116</v>
      </c>
      <c r="R15" s="3" t="n">
        <v>14.7</v>
      </c>
      <c r="S15" s="3" t="n">
        <v>0.1618</v>
      </c>
      <c r="T15" s="3" t="n">
        <v>6.719</v>
      </c>
      <c r="U15" s="4" t="n">
        <v>88.59999999999999</v>
      </c>
      <c r="V15" s="3">
        <f>IF(OR(N(T15)=0,N(U15)=0),0,1-POISSON(IFERROR(VLOOKUP($C15,Assumptions!$A$4:$G$7,7,FALSE),99)-1,N(T15)*N(U15)/90,TRUE))</f>
        <v/>
      </c>
      <c r="W15" s="3" t="n">
        <v>0.4665</v>
      </c>
      <c r="X15" s="3" t="n">
        <v>2.03</v>
      </c>
      <c r="Y15" s="3">
        <f>IF(X15="",IFERROR(VLOOKUP($C15,Assumptions!$A$4:$G$7,6,FALSE),0),X15)</f>
        <v/>
      </c>
      <c r="Z15" s="3">
        <f>N(O15)*IFERROR(VLOOKUP($C15,Assumptions!$A$4:$G$7,2,FALSE),0)</f>
        <v/>
      </c>
      <c r="AA15" s="3">
        <f>N(S15)*IFERROR(VLOOKUP($C15,Assumptions!$A$4:$G$7,3,FALSE),0)*Assumptions!$B$11</f>
        <v/>
      </c>
      <c r="AB15" s="3">
        <f>N(N15)*IFERROR(VLOOKUP($C15,Assumptions!$A$4:$G$7,4,FALSE),0)</f>
        <v/>
      </c>
      <c r="AC15" s="3">
        <f>IF(N(U15)=0,0,V15*IFERROR(VLOOKUP($C15,Assumptions!$A$4:$G$7,5,FALSE),0)*90/N(U15))</f>
        <v/>
      </c>
      <c r="AD15" s="3">
        <f>N(W15)</f>
        <v/>
      </c>
      <c r="AE15" s="3">
        <f>SUM(Y15:AD15)</f>
        <v/>
      </c>
      <c r="AF15" s="3">
        <f>N(AE15)*N(M15)/90</f>
        <v/>
      </c>
      <c r="AG15" s="3">
        <f>IFERROR(AF15-VLOOKUP($C15,Assumptions!$A$29:$C$32,3,FALSE),"")</f>
        <v/>
      </c>
      <c r="AH15" s="3">
        <f>IFERROR(AG15/F15,"")</f>
        <v/>
      </c>
      <c r="AI15">
        <f>IF(AND($E15=TRUE,$C15="GKP"),AF15,"")</f>
        <v/>
      </c>
      <c r="AJ15">
        <f>IF(AND($E15=TRUE,$C15="DEF"),AF15,"")</f>
        <v/>
      </c>
      <c r="AK15">
        <f>IF(AND($E15=TRUE,$C15="MID"),AF15,"")</f>
        <v/>
      </c>
      <c r="AL15">
        <f>IF(AND($E15=TRUE,$C15="FWD"),AF15,"")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b">
        <v>1</v>
      </c>
      <c r="F16" s="2" t="n">
        <v>6.5</v>
      </c>
      <c r="G16" t="inlineStr">
        <is>
          <t>a</t>
        </is>
      </c>
      <c r="I16" s="2" t="n">
        <v>2674</v>
      </c>
      <c r="J16" t="n">
        <v>168</v>
      </c>
      <c r="K16" s="3" t="n">
        <v>2810</v>
      </c>
      <c r="L16" t="inlineStr">
        <is>
          <t>flat</t>
        </is>
      </c>
      <c r="M16" s="4" t="n">
        <v>2674</v>
      </c>
      <c r="N16" s="4" t="n">
        <v>0.21</v>
      </c>
      <c r="O16" s="3" t="n">
        <v>0.2446</v>
      </c>
      <c r="P16" t="inlineStr">
        <is>
          <t>adjusted xGOT</t>
        </is>
      </c>
      <c r="Q16" s="3" t="n">
        <v>1.236</v>
      </c>
      <c r="R16" s="3" t="n">
        <v>15.6</v>
      </c>
      <c r="S16" s="3" t="n">
        <v>0.1729</v>
      </c>
      <c r="T16" s="3" t="n">
        <v>6.513</v>
      </c>
      <c r="U16" s="4" t="n">
        <v>83.59999999999999</v>
      </c>
      <c r="V16" s="3">
        <f>IF(OR(N(T16)=0,N(U16)=0),0,1-POISSON(IFERROR(VLOOKUP($C16,Assumptions!$A$4:$G$7,7,FALSE),99)-1,N(T16)*N(U16)/90,TRUE))</f>
        <v/>
      </c>
      <c r="W16" s="3" t="n">
        <v>0.7068</v>
      </c>
      <c r="X16" s="3" t="n">
        <v>2.221</v>
      </c>
      <c r="Y16" s="3">
        <f>IF(X16="",IFERROR(VLOOKUP($C16,Assumptions!$A$4:$G$7,6,FALSE),0),X16)</f>
        <v/>
      </c>
      <c r="Z16" s="3">
        <f>N(O16)*IFERROR(VLOOKUP($C16,Assumptions!$A$4:$G$7,2,FALSE),0)</f>
        <v/>
      </c>
      <c r="AA16" s="3">
        <f>N(S16)*IFERROR(VLOOKUP($C16,Assumptions!$A$4:$G$7,3,FALSE),0)*Assumptions!$B$11</f>
        <v/>
      </c>
      <c r="AB16" s="3">
        <f>N(N16)*IFERROR(VLOOKUP($C16,Assumptions!$A$4:$G$7,4,FALSE),0)</f>
        <v/>
      </c>
      <c r="AC16" s="3">
        <f>IF(N(U16)=0,0,V16*IFERROR(VLOOKUP($C16,Assumptions!$A$4:$G$7,5,FALSE),0)*90/N(U16))</f>
        <v/>
      </c>
      <c r="AD16" s="3">
        <f>N(W16)</f>
        <v/>
      </c>
      <c r="AE16" s="3">
        <f>SUM(Y16:AD16)</f>
        <v/>
      </c>
      <c r="AF16" s="3">
        <f>N(AE16)*N(M16)/90</f>
        <v/>
      </c>
      <c r="AG16" s="3">
        <f>IFERROR(AF16-VLOOKUP($C16,Assumptions!$A$29:$C$32,3,FALSE),"")</f>
        <v/>
      </c>
      <c r="AH16" s="3">
        <f>IFERROR(AG16/F16,"")</f>
        <v/>
      </c>
      <c r="AI16">
        <f>IF(AND($E16=TRUE,$C16="GKP"),AF16,"")</f>
        <v/>
      </c>
      <c r="AJ16">
        <f>IF(AND($E16=TRUE,$C16="DEF"),AF16,"")</f>
        <v/>
      </c>
      <c r="AK16">
        <f>IF(AND($E16=TRUE,$C16="MID"),AF16,"")</f>
        <v/>
      </c>
      <c r="AL16">
        <f>IF(AND($E16=TRUE,$C16="FWD"),AF16,"")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b">
        <v>1</v>
      </c>
      <c r="F17" s="2" t="n">
        <v>8</v>
      </c>
      <c r="G17" t="inlineStr">
        <is>
          <t>a</t>
        </is>
      </c>
      <c r="I17" s="2" t="n">
        <v>2833</v>
      </c>
      <c r="J17" t="n">
        <v>167</v>
      </c>
      <c r="K17" s="3" t="n">
        <v>2679</v>
      </c>
      <c r="L17" t="inlineStr">
        <is>
          <t>flat</t>
        </is>
      </c>
      <c r="M17" s="4" t="n">
        <v>2833</v>
      </c>
      <c r="N17" s="4" t="n">
        <v>0.237</v>
      </c>
      <c r="O17" s="3" t="n">
        <v>0.5014999999999999</v>
      </c>
      <c r="P17" t="inlineStr">
        <is>
          <t>adjusted xGOT</t>
        </is>
      </c>
      <c r="Q17" s="3" t="n">
        <v>1.025</v>
      </c>
      <c r="R17" s="3" t="n">
        <v>63.4</v>
      </c>
      <c r="S17" s="3" t="n">
        <v>0.0635</v>
      </c>
      <c r="T17" s="3" t="n">
        <v>3.352</v>
      </c>
      <c r="U17" s="4" t="n">
        <v>85.8</v>
      </c>
      <c r="V17" s="3">
        <f>IF(OR(N(T17)=0,N(U17)=0),0,1-POISSON(IFERROR(VLOOKUP($C17,Assumptions!$A$4:$G$7,7,FALSE),99)-1,N(T17)*N(U17)/90,TRUE))</f>
        <v/>
      </c>
      <c r="W17" s="3" t="n">
        <v>0.826</v>
      </c>
      <c r="X17" s="3" t="n">
        <v>2.192</v>
      </c>
      <c r="Y17" s="3">
        <f>IF(X17="",IFERROR(VLOOKUP($C17,Assumptions!$A$4:$G$7,6,FALSE),0),X17)</f>
        <v/>
      </c>
      <c r="Z17" s="3">
        <f>N(O17)*IFERROR(VLOOKUP($C17,Assumptions!$A$4:$G$7,2,FALSE),0)</f>
        <v/>
      </c>
      <c r="AA17" s="3">
        <f>N(S17)*IFERROR(VLOOKUP($C17,Assumptions!$A$4:$G$7,3,FALSE),0)*Assumptions!$B$11</f>
        <v/>
      </c>
      <c r="AB17" s="3">
        <f>N(N17)*IFERROR(VLOOKUP($C17,Assumptions!$A$4:$G$7,4,FALSE),0)</f>
        <v/>
      </c>
      <c r="AC17" s="3">
        <f>IF(N(U17)=0,0,V17*IFERROR(VLOOKUP($C17,Assumptions!$A$4:$G$7,5,FALSE),0)*90/N(U17))</f>
        <v/>
      </c>
      <c r="AD17" s="3">
        <f>N(W17)</f>
        <v/>
      </c>
      <c r="AE17" s="3">
        <f>SUM(Y17:AD17)</f>
        <v/>
      </c>
      <c r="AF17" s="3">
        <f>N(AE17)*N(M17)/90</f>
        <v/>
      </c>
      <c r="AG17" s="3">
        <f>IFERROR(AF17-VLOOKUP($C17,Assumptions!$A$29:$C$32,3,FALSE),"")</f>
        <v/>
      </c>
      <c r="AH17" s="3">
        <f>IFERROR(AG17/F17,"")</f>
        <v/>
      </c>
      <c r="AI17">
        <f>IF(AND($E17=TRUE,$C17="GKP"),AF17,"")</f>
        <v/>
      </c>
      <c r="AJ17">
        <f>IF(AND($E17=TRUE,$C17="DEF"),AF17,"")</f>
        <v/>
      </c>
      <c r="AK17">
        <f>IF(AND($E17=TRUE,$C17="MID"),AF17,"")</f>
        <v/>
      </c>
      <c r="AL17">
        <f>IF(AND($E17=TRUE,$C17="FWD"),AF17,"")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b">
        <v>1</v>
      </c>
      <c r="F18" s="2" t="n">
        <v>5.5</v>
      </c>
      <c r="G18" t="inlineStr">
        <is>
          <t>a</t>
        </is>
      </c>
      <c r="I18" s="2" t="n">
        <v>3378</v>
      </c>
      <c r="J18" t="n">
        <v>165</v>
      </c>
      <c r="K18" s="3" t="n">
        <v>3266</v>
      </c>
      <c r="L18" t="inlineStr">
        <is>
          <t>flat</t>
        </is>
      </c>
      <c r="M18" s="4" t="n">
        <v>3378</v>
      </c>
      <c r="N18" s="4" t="n">
        <v>0.29</v>
      </c>
      <c r="O18" s="3" t="n">
        <v>0.0369</v>
      </c>
      <c r="P18" t="inlineStr">
        <is>
          <t>adjusted xGOT</t>
        </is>
      </c>
      <c r="Q18" s="3" t="n">
        <v>1.027</v>
      </c>
      <c r="R18" s="3" t="n">
        <v>1.4</v>
      </c>
      <c r="S18" s="3" t="n">
        <v>0.09959999999999999</v>
      </c>
      <c r="T18" s="3" t="n">
        <v>7.961</v>
      </c>
      <c r="U18" s="4" t="n">
        <v>88.90000000000001</v>
      </c>
      <c r="V18" s="3">
        <f>IF(OR(N(T18)=0,N(U18)=0),0,1-POISSON(IFERROR(VLOOKUP($C18,Assumptions!$A$4:$G$7,7,FALSE),99)-1,N(T18)*N(U18)/90,TRUE))</f>
        <v/>
      </c>
      <c r="W18" s="3" t="n">
        <v>0.5062</v>
      </c>
      <c r="X18" s="3" t="n">
        <v>2.025</v>
      </c>
      <c r="Y18" s="3">
        <f>IF(X18="",IFERROR(VLOOKUP($C18,Assumptions!$A$4:$G$7,6,FALSE),0),X18)</f>
        <v/>
      </c>
      <c r="Z18" s="3">
        <f>N(O18)*IFERROR(VLOOKUP($C18,Assumptions!$A$4:$G$7,2,FALSE),0)</f>
        <v/>
      </c>
      <c r="AA18" s="3">
        <f>N(S18)*IFERROR(VLOOKUP($C18,Assumptions!$A$4:$G$7,3,FALSE),0)*Assumptions!$B$11</f>
        <v/>
      </c>
      <c r="AB18" s="3">
        <f>N(N18)*IFERROR(VLOOKUP($C18,Assumptions!$A$4:$G$7,4,FALSE),0)</f>
        <v/>
      </c>
      <c r="AC18" s="3">
        <f>IF(N(U18)=0,0,V18*IFERROR(VLOOKUP($C18,Assumptions!$A$4:$G$7,5,FALSE),0)*90/N(U18))</f>
        <v/>
      </c>
      <c r="AD18" s="3">
        <f>N(W18)</f>
        <v/>
      </c>
      <c r="AE18" s="3">
        <f>SUM(Y18:AD18)</f>
        <v/>
      </c>
      <c r="AF18" s="3">
        <f>N(AE18)*N(M18)/90</f>
        <v/>
      </c>
      <c r="AG18" s="3">
        <f>IFERROR(AF18-VLOOKUP($C18,Assumptions!$A$29:$C$32,3,FALSE),"")</f>
        <v/>
      </c>
      <c r="AH18" s="3">
        <f>IFERROR(AG18/F18,"")</f>
        <v/>
      </c>
      <c r="AI18">
        <f>IF(AND($E18=TRUE,$C18="GKP"),AF18,"")</f>
        <v/>
      </c>
      <c r="AJ18">
        <f>IF(AND($E18=TRUE,$C18="DEF"),AF18,"")</f>
        <v/>
      </c>
      <c r="AK18">
        <f>IF(AND($E18=TRUE,$C18="MID"),AF18,"")</f>
        <v/>
      </c>
      <c r="AL18">
        <f>IF(AND($E18=TRUE,$C18="FWD"),AF18,"")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b">
        <v>1</v>
      </c>
      <c r="F19" s="2" t="n">
        <v>6</v>
      </c>
      <c r="G19" t="inlineStr">
        <is>
          <t>a</t>
        </is>
      </c>
      <c r="I19" s="2" t="n">
        <v>3330</v>
      </c>
      <c r="J19" t="n">
        <v>162</v>
      </c>
      <c r="K19" s="3" t="n">
        <v>3385</v>
      </c>
      <c r="L19" t="inlineStr">
        <is>
          <t>flat</t>
        </is>
      </c>
      <c r="M19" s="4" t="n">
        <v>3330</v>
      </c>
      <c r="N19" s="4" t="n">
        <v>0.5</v>
      </c>
      <c r="O19" s="3" t="n">
        <v>0</v>
      </c>
      <c r="P19" t="inlineStr">
        <is>
          <t>adjusted xGOT</t>
        </is>
      </c>
      <c r="Q19" s="3" t="n">
        <v>0.986</v>
      </c>
      <c r="R19" s="3" t="n">
        <v>0.1</v>
      </c>
      <c r="S19" s="3" t="n">
        <v>0.003</v>
      </c>
      <c r="T19" s="3" t="n">
        <v>0</v>
      </c>
      <c r="U19" s="4" t="n">
        <v>90</v>
      </c>
      <c r="V19" s="3">
        <f>IF(OR(N(T19)=0,N(U19)=0),0,1-POISSON(IFERROR(VLOOKUP($C19,Assumptions!$A$4:$G$7,7,FALSE),99)-1,N(T19)*N(U19)/90,TRUE))</f>
        <v/>
      </c>
      <c r="W19" s="3" t="n">
        <v>0.2973</v>
      </c>
      <c r="X19" s="3" t="n">
        <v>2</v>
      </c>
      <c r="Y19" s="3">
        <f>IF(X19="",IFERROR(VLOOKUP($C19,Assumptions!$A$4:$G$7,6,FALSE),0),X19)</f>
        <v/>
      </c>
      <c r="Z19" s="3">
        <f>N(O19)*IFERROR(VLOOKUP($C19,Assumptions!$A$4:$G$7,2,FALSE),0)</f>
        <v/>
      </c>
      <c r="AA19" s="3">
        <f>N(S19)*IFERROR(VLOOKUP($C19,Assumptions!$A$4:$G$7,3,FALSE),0)*Assumptions!$B$11</f>
        <v/>
      </c>
      <c r="AB19" s="3">
        <f>N(N19)*IFERROR(VLOOKUP($C19,Assumptions!$A$4:$G$7,4,FALSE),0)</f>
        <v/>
      </c>
      <c r="AC19" s="3">
        <f>IF(N(U19)=0,0,V19*IFERROR(VLOOKUP($C19,Assumptions!$A$4:$G$7,5,FALSE),0)*90/N(U19))</f>
        <v/>
      </c>
      <c r="AD19" s="3">
        <f>N(W19)</f>
        <v/>
      </c>
      <c r="AE19" s="3">
        <f>SUM(Y19:AD19)</f>
        <v/>
      </c>
      <c r="AF19" s="3">
        <f>N(AE19)*N(M19)/90</f>
        <v/>
      </c>
      <c r="AG19" s="3">
        <f>IFERROR(AF19-VLOOKUP($C19,Assumptions!$A$29:$C$32,3,FALSE),"")</f>
        <v/>
      </c>
      <c r="AH19" s="3">
        <f>IFERROR(AG19/F19,"")</f>
        <v/>
      </c>
      <c r="AI19">
        <f>IF(AND($E19=TRUE,$C19="GKP"),AF19,"")</f>
        <v/>
      </c>
      <c r="AJ19">
        <f>IF(AND($E19=TRUE,$C19="DEF"),AF19,"")</f>
        <v/>
      </c>
      <c r="AK19">
        <f>IF(AND($E19=TRUE,$C19="MID"),AF19,"")</f>
        <v/>
      </c>
      <c r="AL19">
        <f>IF(AND($E19=TRUE,$C19="FWD"),AF19,"")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b">
        <v>1</v>
      </c>
      <c r="F20" s="2" t="n">
        <v>7</v>
      </c>
      <c r="G20" t="inlineStr">
        <is>
          <t>a</t>
        </is>
      </c>
      <c r="I20" s="2" t="n">
        <v>3232</v>
      </c>
      <c r="J20" t="n">
        <v>160</v>
      </c>
      <c r="K20" s="3" t="n">
        <v>3344</v>
      </c>
      <c r="L20" t="inlineStr">
        <is>
          <t>flat</t>
        </is>
      </c>
      <c r="M20" s="4" t="n">
        <v>3232</v>
      </c>
      <c r="N20" s="4" t="n">
        <v>0.263</v>
      </c>
      <c r="O20" s="3" t="n">
        <v>0.1056</v>
      </c>
      <c r="P20" t="inlineStr">
        <is>
          <t>adjusted xGOT</t>
        </is>
      </c>
      <c r="Q20" s="3" t="n">
        <v>0.797</v>
      </c>
      <c r="R20" s="3" t="n">
        <v>15.3</v>
      </c>
      <c r="S20" s="3" t="n">
        <v>0.2181</v>
      </c>
      <c r="T20" s="3" t="n">
        <v>9.26</v>
      </c>
      <c r="U20" s="4" t="n">
        <v>89.8</v>
      </c>
      <c r="V20" s="3">
        <f>IF(OR(N(T20)=0,N(U20)=0),0,1-POISSON(IFERROR(VLOOKUP($C20,Assumptions!$A$4:$G$7,7,FALSE),99)-1,N(T20)*N(U20)/90,TRUE))</f>
        <v/>
      </c>
      <c r="W20" s="3" t="n">
        <v>0.5848</v>
      </c>
      <c r="X20" s="3" t="n">
        <v>2.005</v>
      </c>
      <c r="Y20" s="3">
        <f>IF(X20="",IFERROR(VLOOKUP($C20,Assumptions!$A$4:$G$7,6,FALSE),0),X20)</f>
        <v/>
      </c>
      <c r="Z20" s="3">
        <f>N(O20)*IFERROR(VLOOKUP($C20,Assumptions!$A$4:$G$7,2,FALSE),0)</f>
        <v/>
      </c>
      <c r="AA20" s="3">
        <f>N(S20)*IFERROR(VLOOKUP($C20,Assumptions!$A$4:$G$7,3,FALSE),0)*Assumptions!$B$11</f>
        <v/>
      </c>
      <c r="AB20" s="3">
        <f>N(N20)*IFERROR(VLOOKUP($C20,Assumptions!$A$4:$G$7,4,FALSE),0)</f>
        <v/>
      </c>
      <c r="AC20" s="3">
        <f>IF(N(U20)=0,0,V20*IFERROR(VLOOKUP($C20,Assumptions!$A$4:$G$7,5,FALSE),0)*90/N(U20))</f>
        <v/>
      </c>
      <c r="AD20" s="3">
        <f>N(W20)</f>
        <v/>
      </c>
      <c r="AE20" s="3">
        <f>SUM(Y20:AD20)</f>
        <v/>
      </c>
      <c r="AF20" s="3">
        <f>N(AE20)*N(M20)/90</f>
        <v/>
      </c>
      <c r="AG20" s="3">
        <f>IFERROR(AF20-VLOOKUP($C20,Assumptions!$A$29:$C$32,3,FALSE),"")</f>
        <v/>
      </c>
      <c r="AH20" s="3">
        <f>IFERROR(AG20/F20,"")</f>
        <v/>
      </c>
      <c r="AI20">
        <f>IF(AND($E20=TRUE,$C20="GKP"),AF20,"")</f>
        <v/>
      </c>
      <c r="AJ20">
        <f>IF(AND($E20=TRUE,$C20="DEF"),AF20,"")</f>
        <v/>
      </c>
      <c r="AK20">
        <f>IF(AND($E20=TRUE,$C20="MID"),AF20,"")</f>
        <v/>
      </c>
      <c r="AL20">
        <f>IF(AND($E20=TRUE,$C20="FWD"),AF20,"")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b">
        <v>1</v>
      </c>
      <c r="F21" s="2" t="n">
        <v>6.5</v>
      </c>
      <c r="G21" t="inlineStr">
        <is>
          <t>a</t>
        </is>
      </c>
      <c r="I21" s="2" t="n">
        <v>2643</v>
      </c>
      <c r="J21" t="n">
        <v>160</v>
      </c>
      <c r="K21" s="3" t="n">
        <v>2753</v>
      </c>
      <c r="L21" t="inlineStr">
        <is>
          <t>flat</t>
        </is>
      </c>
      <c r="M21" s="4" t="n">
        <v>2643</v>
      </c>
      <c r="N21" s="4" t="n">
        <v>0.421</v>
      </c>
      <c r="O21" s="3" t="n">
        <v>0.2165</v>
      </c>
      <c r="P21" t="inlineStr">
        <is>
          <t>adjusted xGOT</t>
        </is>
      </c>
      <c r="Q21" s="3" t="n">
        <v>1.039</v>
      </c>
      <c r="R21" s="3" t="n">
        <v>7.4</v>
      </c>
      <c r="S21" s="3" t="n">
        <v>0.111</v>
      </c>
      <c r="T21" s="3" t="n">
        <v>6.248</v>
      </c>
      <c r="U21" s="4" t="n">
        <v>91.09999999999999</v>
      </c>
      <c r="V21" s="3">
        <f>IF(OR(N(T21)=0,N(U21)=0),0,1-POISSON(IFERROR(VLOOKUP($C21,Assumptions!$A$4:$G$7,7,FALSE),99)-1,N(T21)*N(U21)/90,TRUE))</f>
        <v/>
      </c>
      <c r="W21" s="3" t="n">
        <v>0.3746</v>
      </c>
      <c r="X21" s="3" t="n">
        <v>2.111</v>
      </c>
      <c r="Y21" s="3">
        <f>IF(X21="",IFERROR(VLOOKUP($C21,Assumptions!$A$4:$G$7,6,FALSE),0),X21)</f>
        <v/>
      </c>
      <c r="Z21" s="3">
        <f>N(O21)*IFERROR(VLOOKUP($C21,Assumptions!$A$4:$G$7,2,FALSE),0)</f>
        <v/>
      </c>
      <c r="AA21" s="3">
        <f>N(S21)*IFERROR(VLOOKUP($C21,Assumptions!$A$4:$G$7,3,FALSE),0)*Assumptions!$B$11</f>
        <v/>
      </c>
      <c r="AB21" s="3">
        <f>N(N21)*IFERROR(VLOOKUP($C21,Assumptions!$A$4:$G$7,4,FALSE),0)</f>
        <v/>
      </c>
      <c r="AC21" s="3">
        <f>IF(N(U21)=0,0,V21*IFERROR(VLOOKUP($C21,Assumptions!$A$4:$G$7,5,FALSE),0)*90/N(U21))</f>
        <v/>
      </c>
      <c r="AD21" s="3">
        <f>N(W21)</f>
        <v/>
      </c>
      <c r="AE21" s="3">
        <f>SUM(Y21:AD21)</f>
        <v/>
      </c>
      <c r="AF21" s="3">
        <f>N(AE21)*N(M21)/90</f>
        <v/>
      </c>
      <c r="AG21" s="3">
        <f>IFERROR(AF21-VLOOKUP($C21,Assumptions!$A$29:$C$32,3,FALSE),"")</f>
        <v/>
      </c>
      <c r="AH21" s="3">
        <f>IFERROR(AG21/F21,"")</f>
        <v/>
      </c>
      <c r="AI21">
        <f>IF(AND($E21=TRUE,$C21="GKP"),AF21,"")</f>
        <v/>
      </c>
      <c r="AJ21">
        <f>IF(AND($E21=TRUE,$C21="DEF"),AF21,"")</f>
        <v/>
      </c>
      <c r="AK21">
        <f>IF(AND($E21=TRUE,$C21="MID"),AF21,"")</f>
        <v/>
      </c>
      <c r="AL21">
        <f>IF(AND($E21=TRUE,$C21="FWD"),AF21,"")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b">
        <v>1</v>
      </c>
      <c r="F22" s="2" t="n">
        <v>6</v>
      </c>
      <c r="G22" t="inlineStr">
        <is>
          <t>i</t>
        </is>
      </c>
      <c r="H22" t="inlineStr">
        <is>
          <t>Groin injury - Expected back 22 Aug</t>
        </is>
      </c>
      <c r="I22" s="2" t="n">
        <v>3413</v>
      </c>
      <c r="J22" t="n">
        <v>159</v>
      </c>
      <c r="K22" s="3" t="n">
        <v>3310</v>
      </c>
      <c r="L22" t="inlineStr">
        <is>
          <t>flat</t>
        </is>
      </c>
      <c r="M22" s="4" t="n">
        <v>3413</v>
      </c>
      <c r="N22" s="4" t="n">
        <v>0.29</v>
      </c>
      <c r="O22" s="3" t="n">
        <v>0.0507</v>
      </c>
      <c r="P22" t="inlineStr">
        <is>
          <t>adjusted xGOT</t>
        </is>
      </c>
      <c r="Q22" s="3" t="n">
        <v>0.916</v>
      </c>
      <c r="R22" s="3" t="n">
        <v>6.1</v>
      </c>
      <c r="S22" s="3" t="n">
        <v>0.1615</v>
      </c>
      <c r="T22" s="3" t="n">
        <v>11.468</v>
      </c>
      <c r="U22" s="4" t="n">
        <v>89.8</v>
      </c>
      <c r="V22" s="3">
        <f>IF(OR(N(T22)=0,N(U22)=0),0,1-POISSON(IFERROR(VLOOKUP($C22,Assumptions!$A$4:$G$7,7,FALSE),99)-1,N(T22)*N(U22)/90,TRUE))</f>
        <v/>
      </c>
      <c r="W22" s="3" t="n">
        <v>0.3164</v>
      </c>
      <c r="X22" s="3" t="n">
        <v>2.004</v>
      </c>
      <c r="Y22" s="3">
        <f>IF(X22="",IFERROR(VLOOKUP($C22,Assumptions!$A$4:$G$7,6,FALSE),0),X22)</f>
        <v/>
      </c>
      <c r="Z22" s="3">
        <f>N(O22)*IFERROR(VLOOKUP($C22,Assumptions!$A$4:$G$7,2,FALSE),0)</f>
        <v/>
      </c>
      <c r="AA22" s="3">
        <f>N(S22)*IFERROR(VLOOKUP($C22,Assumptions!$A$4:$G$7,3,FALSE),0)*Assumptions!$B$11</f>
        <v/>
      </c>
      <c r="AB22" s="3">
        <f>N(N22)*IFERROR(VLOOKUP($C22,Assumptions!$A$4:$G$7,4,FALSE),0)</f>
        <v/>
      </c>
      <c r="AC22" s="3">
        <f>IF(N(U22)=0,0,V22*IFERROR(VLOOKUP($C22,Assumptions!$A$4:$G$7,5,FALSE),0)*90/N(U22))</f>
        <v/>
      </c>
      <c r="AD22" s="3">
        <f>N(W22)</f>
        <v/>
      </c>
      <c r="AE22" s="3">
        <f>SUM(Y22:AD22)</f>
        <v/>
      </c>
      <c r="AF22" s="3">
        <f>N(AE22)*N(M22)/90</f>
        <v/>
      </c>
      <c r="AG22" s="3">
        <f>IFERROR(AF22-VLOOKUP($C22,Assumptions!$A$29:$C$32,3,FALSE),"")</f>
        <v/>
      </c>
      <c r="AH22" s="3">
        <f>IFERROR(AG22/F22,"")</f>
        <v/>
      </c>
      <c r="AI22">
        <f>IF(AND($E22=TRUE,$C22="GKP"),AF22,"")</f>
        <v/>
      </c>
      <c r="AJ22">
        <f>IF(AND($E22=TRUE,$C22="DEF"),AF22,"")</f>
        <v/>
      </c>
      <c r="AK22">
        <f>IF(AND($E22=TRUE,$C22="MID"),AF22,"")</f>
        <v/>
      </c>
      <c r="AL22">
        <f>IF(AND($E22=TRUE,$C22="FWD"),AF22,"")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b">
        <v>1</v>
      </c>
      <c r="F23" s="2" t="n">
        <v>7</v>
      </c>
      <c r="G23" t="inlineStr">
        <is>
          <t>a</t>
        </is>
      </c>
      <c r="I23" s="2" t="n">
        <v>3114</v>
      </c>
      <c r="J23" t="n">
        <v>157</v>
      </c>
      <c r="K23" s="3" t="n">
        <v>3146</v>
      </c>
      <c r="L23" t="inlineStr">
        <is>
          <t>flat</t>
        </is>
      </c>
      <c r="M23" s="4" t="n">
        <v>3114</v>
      </c>
      <c r="N23" s="4" t="n">
        <v>0.237</v>
      </c>
      <c r="O23" s="3" t="n">
        <v>0.3449</v>
      </c>
      <c r="P23" t="inlineStr">
        <is>
          <t>adjusted xGOT</t>
        </is>
      </c>
      <c r="Q23" s="3" t="n">
        <v>1.06</v>
      </c>
      <c r="R23" s="3" t="n">
        <v>24</v>
      </c>
      <c r="S23" s="3" t="n">
        <v>0.233</v>
      </c>
      <c r="T23" s="3" t="n">
        <v>7.338</v>
      </c>
      <c r="U23" s="4" t="n">
        <v>89</v>
      </c>
      <c r="V23" s="3">
        <f>IF(OR(N(T23)=0,N(U23)=0),0,1-POISSON(IFERROR(VLOOKUP($C23,Assumptions!$A$4:$G$7,7,FALSE),99)-1,N(T23)*N(U23)/90,TRUE))</f>
        <v/>
      </c>
      <c r="W23" s="3" t="n">
        <v>0.5491</v>
      </c>
      <c r="X23" s="3" t="n">
        <v>2.052</v>
      </c>
      <c r="Y23" s="3">
        <f>IF(X23="",IFERROR(VLOOKUP($C23,Assumptions!$A$4:$G$7,6,FALSE),0),X23)</f>
        <v/>
      </c>
      <c r="Z23" s="3">
        <f>N(O23)*IFERROR(VLOOKUP($C23,Assumptions!$A$4:$G$7,2,FALSE),0)</f>
        <v/>
      </c>
      <c r="AA23" s="3">
        <f>N(S23)*IFERROR(VLOOKUP($C23,Assumptions!$A$4:$G$7,3,FALSE),0)*Assumptions!$B$11</f>
        <v/>
      </c>
      <c r="AB23" s="3">
        <f>N(N23)*IFERROR(VLOOKUP($C23,Assumptions!$A$4:$G$7,4,FALSE),0)</f>
        <v/>
      </c>
      <c r="AC23" s="3">
        <f>IF(N(U23)=0,0,V23*IFERROR(VLOOKUP($C23,Assumptions!$A$4:$G$7,5,FALSE),0)*90/N(U23))</f>
        <v/>
      </c>
      <c r="AD23" s="3">
        <f>N(W23)</f>
        <v/>
      </c>
      <c r="AE23" s="3">
        <f>SUM(Y23:AD23)</f>
        <v/>
      </c>
      <c r="AF23" s="3">
        <f>N(AE23)*N(M23)/90</f>
        <v/>
      </c>
      <c r="AG23" s="3">
        <f>IFERROR(AF23-VLOOKUP($C23,Assumptions!$A$29:$C$32,3,FALSE),"")</f>
        <v/>
      </c>
      <c r="AH23" s="3">
        <f>IFERROR(AG23/F23,"")</f>
        <v/>
      </c>
      <c r="AI23">
        <f>IF(AND($E23=TRUE,$C23="GKP"),AF23,"")</f>
        <v/>
      </c>
      <c r="AJ23">
        <f>IF(AND($E23=TRUE,$C23="DEF"),AF23,"")</f>
        <v/>
      </c>
      <c r="AK23">
        <f>IF(AND($E23=TRUE,$C23="MID"),AF23,"")</f>
        <v/>
      </c>
      <c r="AL23">
        <f>IF(AND($E23=TRUE,$C23="FWD"),AF23,"")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b">
        <v>1</v>
      </c>
      <c r="F24" s="2" t="n">
        <v>9.5</v>
      </c>
      <c r="G24" t="inlineStr">
        <is>
          <t>a</t>
        </is>
      </c>
      <c r="I24" s="2" t="n">
        <v>2218</v>
      </c>
      <c r="J24" t="n">
        <v>157</v>
      </c>
      <c r="K24" s="3" t="n">
        <v>2827</v>
      </c>
      <c r="L24" t="inlineStr">
        <is>
          <t>flat</t>
        </is>
      </c>
      <c r="M24" s="4" t="n">
        <v>2218</v>
      </c>
      <c r="N24" s="4" t="n">
        <v>0.5</v>
      </c>
      <c r="O24" s="3" t="n">
        <v>0.2958</v>
      </c>
      <c r="P24" t="inlineStr">
        <is>
          <t>adjusted xGOT</t>
        </is>
      </c>
      <c r="Q24" s="3" t="n">
        <v>0.963</v>
      </c>
      <c r="R24" s="3" t="n">
        <v>41.3</v>
      </c>
      <c r="S24" s="3" t="n">
        <v>0.3188</v>
      </c>
      <c r="T24" s="3" t="n">
        <v>7.738</v>
      </c>
      <c r="U24" s="4" t="n">
        <v>88.7</v>
      </c>
      <c r="V24" s="3">
        <f>IF(OR(N(T24)=0,N(U24)=0),0,1-POISSON(IFERROR(VLOOKUP($C24,Assumptions!$A$4:$G$7,7,FALSE),99)-1,N(T24)*N(U24)/90,TRUE))</f>
        <v/>
      </c>
      <c r="W24" s="3" t="n">
        <v>0.6492</v>
      </c>
      <c r="X24" s="3" t="n">
        <v>2.191</v>
      </c>
      <c r="Y24" s="3">
        <f>IF(X24="",IFERROR(VLOOKUP($C24,Assumptions!$A$4:$G$7,6,FALSE),0),X24)</f>
        <v/>
      </c>
      <c r="Z24" s="3">
        <f>N(O24)*IFERROR(VLOOKUP($C24,Assumptions!$A$4:$G$7,2,FALSE),0)</f>
        <v/>
      </c>
      <c r="AA24" s="3">
        <f>N(S24)*IFERROR(VLOOKUP($C24,Assumptions!$A$4:$G$7,3,FALSE),0)*Assumptions!$B$11</f>
        <v/>
      </c>
      <c r="AB24" s="3">
        <f>N(N24)*IFERROR(VLOOKUP($C24,Assumptions!$A$4:$G$7,4,FALSE),0)</f>
        <v/>
      </c>
      <c r="AC24" s="3">
        <f>IF(N(U24)=0,0,V24*IFERROR(VLOOKUP($C24,Assumptions!$A$4:$G$7,5,FALSE),0)*90/N(U24))</f>
        <v/>
      </c>
      <c r="AD24" s="3">
        <f>N(W24)</f>
        <v/>
      </c>
      <c r="AE24" s="3">
        <f>SUM(Y24:AD24)</f>
        <v/>
      </c>
      <c r="AF24" s="3">
        <f>N(AE24)*N(M24)/90</f>
        <v/>
      </c>
      <c r="AG24" s="3">
        <f>IFERROR(AF24-VLOOKUP($C24,Assumptions!$A$29:$C$32,3,FALSE),"")</f>
        <v/>
      </c>
      <c r="AH24" s="3">
        <f>IFERROR(AG24/F24,"")</f>
        <v/>
      </c>
      <c r="AI24">
        <f>IF(AND($E24=TRUE,$C24="GKP"),AF24,"")</f>
        <v/>
      </c>
      <c r="AJ24">
        <f>IF(AND($E24=TRUE,$C24="DEF"),AF24,"")</f>
        <v/>
      </c>
      <c r="AK24">
        <f>IF(AND($E24=TRUE,$C24="MID"),AF24,"")</f>
        <v/>
      </c>
      <c r="AL24">
        <f>IF(AND($E24=TRUE,$C24="FWD"),AF24,"")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b">
        <v>1</v>
      </c>
      <c r="F25" s="2" t="n">
        <v>6</v>
      </c>
      <c r="G25" t="inlineStr">
        <is>
          <t>a</t>
        </is>
      </c>
      <c r="I25" s="2" t="n">
        <v>3085</v>
      </c>
      <c r="J25" t="n">
        <v>154</v>
      </c>
      <c r="K25" s="3" t="n">
        <v>2189</v>
      </c>
      <c r="L25" t="inlineStr">
        <is>
          <t>flat</t>
        </is>
      </c>
      <c r="M25" s="4" t="n">
        <v>3085</v>
      </c>
      <c r="N25" s="4" t="n">
        <v>0.237</v>
      </c>
      <c r="O25" s="3" t="n">
        <v>0.0574</v>
      </c>
      <c r="P25" t="inlineStr">
        <is>
          <t>adjusted xGOT</t>
        </is>
      </c>
      <c r="Q25" s="3" t="n">
        <v>0.803</v>
      </c>
      <c r="R25" s="3" t="n">
        <v>6</v>
      </c>
      <c r="S25" s="3" t="n">
        <v>0.0309</v>
      </c>
      <c r="T25" s="3" t="n">
        <v>10.206</v>
      </c>
      <c r="U25" s="4" t="n">
        <v>88.09999999999999</v>
      </c>
      <c r="V25" s="3">
        <f>IF(OR(N(T25)=0,N(U25)=0),0,1-POISSON(IFERROR(VLOOKUP($C25,Assumptions!$A$4:$G$7,7,FALSE),99)-1,N(T25)*N(U25)/90,TRUE))</f>
        <v/>
      </c>
      <c r="W25" s="3" t="n">
        <v>0.3501</v>
      </c>
      <c r="X25" s="3" t="n">
        <v>2.013</v>
      </c>
      <c r="Y25" s="3">
        <f>IF(X25="",IFERROR(VLOOKUP($C25,Assumptions!$A$4:$G$7,6,FALSE),0),X25)</f>
        <v/>
      </c>
      <c r="Z25" s="3">
        <f>N(O25)*IFERROR(VLOOKUP($C25,Assumptions!$A$4:$G$7,2,FALSE),0)</f>
        <v/>
      </c>
      <c r="AA25" s="3">
        <f>N(S25)*IFERROR(VLOOKUP($C25,Assumptions!$A$4:$G$7,3,FALSE),0)*Assumptions!$B$11</f>
        <v/>
      </c>
      <c r="AB25" s="3">
        <f>N(N25)*IFERROR(VLOOKUP($C25,Assumptions!$A$4:$G$7,4,FALSE),0)</f>
        <v/>
      </c>
      <c r="AC25" s="3">
        <f>IF(N(U25)=0,0,V25*IFERROR(VLOOKUP($C25,Assumptions!$A$4:$G$7,5,FALSE),0)*90/N(U25))</f>
        <v/>
      </c>
      <c r="AD25" s="3">
        <f>N(W25)</f>
        <v/>
      </c>
      <c r="AE25" s="3">
        <f>SUM(Y25:AD25)</f>
        <v/>
      </c>
      <c r="AF25" s="3">
        <f>N(AE25)*N(M25)/90</f>
        <v/>
      </c>
      <c r="AG25" s="3">
        <f>IFERROR(AF25-VLOOKUP($C25,Assumptions!$A$29:$C$32,3,FALSE),"")</f>
        <v/>
      </c>
      <c r="AH25" s="3">
        <f>IFERROR(AG25/F25,"")</f>
        <v/>
      </c>
      <c r="AI25">
        <f>IF(AND($E25=TRUE,$C25="GKP"),AF25,"")</f>
        <v/>
      </c>
      <c r="AJ25">
        <f>IF(AND($E25=TRUE,$C25="DEF"),AF25,"")</f>
        <v/>
      </c>
      <c r="AK25">
        <f>IF(AND($E25=TRUE,$C25="MID"),AF25,"")</f>
        <v/>
      </c>
      <c r="AL25">
        <f>IF(AND($E25=TRUE,$C25="FWD"),AF25,"")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b">
        <v>1</v>
      </c>
      <c r="F26" s="2" t="n">
        <v>7</v>
      </c>
      <c r="G26" t="inlineStr">
        <is>
          <t>a</t>
        </is>
      </c>
      <c r="I26" s="2" t="n">
        <v>2456</v>
      </c>
      <c r="J26" t="n">
        <v>154</v>
      </c>
      <c r="K26" s="3" t="n">
        <v>2816</v>
      </c>
      <c r="L26" t="inlineStr">
        <is>
          <t>flat</t>
        </is>
      </c>
      <c r="M26" s="4" t="n">
        <v>2456</v>
      </c>
      <c r="N26" s="4" t="n">
        <v>0.5</v>
      </c>
      <c r="O26" s="3" t="n">
        <v>0.2267</v>
      </c>
      <c r="P26" t="inlineStr">
        <is>
          <t>adjusted xGOT</t>
        </is>
      </c>
      <c r="Q26" s="3" t="n">
        <v>1.107</v>
      </c>
      <c r="R26" s="3" t="n">
        <v>17.7</v>
      </c>
      <c r="S26" s="3" t="n">
        <v>0.1618</v>
      </c>
      <c r="T26" s="3" t="n">
        <v>9.057</v>
      </c>
      <c r="U26" s="4" t="n">
        <v>91</v>
      </c>
      <c r="V26" s="3">
        <f>IF(OR(N(T26)=0,N(U26)=0),0,1-POISSON(IFERROR(VLOOKUP($C26,Assumptions!$A$4:$G$7,7,FALSE),99)-1,N(T26)*N(U26)/90,TRUE))</f>
        <v/>
      </c>
      <c r="W26" s="3" t="n">
        <v>0.8062</v>
      </c>
      <c r="X26" s="3" t="n">
        <v>2.052</v>
      </c>
      <c r="Y26" s="3">
        <f>IF(X26="",IFERROR(VLOOKUP($C26,Assumptions!$A$4:$G$7,6,FALSE),0),X26)</f>
        <v/>
      </c>
      <c r="Z26" s="3">
        <f>N(O26)*IFERROR(VLOOKUP($C26,Assumptions!$A$4:$G$7,2,FALSE),0)</f>
        <v/>
      </c>
      <c r="AA26" s="3">
        <f>N(S26)*IFERROR(VLOOKUP($C26,Assumptions!$A$4:$G$7,3,FALSE),0)*Assumptions!$B$11</f>
        <v/>
      </c>
      <c r="AB26" s="3">
        <f>N(N26)*IFERROR(VLOOKUP($C26,Assumptions!$A$4:$G$7,4,FALSE),0)</f>
        <v/>
      </c>
      <c r="AC26" s="3">
        <f>IF(N(U26)=0,0,V26*IFERROR(VLOOKUP($C26,Assumptions!$A$4:$G$7,5,FALSE),0)*90/N(U26))</f>
        <v/>
      </c>
      <c r="AD26" s="3">
        <f>N(W26)</f>
        <v/>
      </c>
      <c r="AE26" s="3">
        <f>SUM(Y26:AD26)</f>
        <v/>
      </c>
      <c r="AF26" s="3">
        <f>N(AE26)*N(M26)/90</f>
        <v/>
      </c>
      <c r="AG26" s="3">
        <f>IFERROR(AF26-VLOOKUP($C26,Assumptions!$A$29:$C$32,3,FALSE),"")</f>
        <v/>
      </c>
      <c r="AH26" s="3">
        <f>IFERROR(AG26/F26,"")</f>
        <v/>
      </c>
      <c r="AI26">
        <f>IF(AND($E26=TRUE,$C26="GKP"),AF26,"")</f>
        <v/>
      </c>
      <c r="AJ26">
        <f>IF(AND($E26=TRUE,$C26="DEF"),AF26,"")</f>
        <v/>
      </c>
      <c r="AK26">
        <f>IF(AND($E26=TRUE,$C26="MID"),AF26,"")</f>
        <v/>
      </c>
      <c r="AL26">
        <f>IF(AND($E26=TRUE,$C26="FWD"),AF26,"")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b">
        <v>1</v>
      </c>
      <c r="F27" s="2" t="n">
        <v>6</v>
      </c>
      <c r="G27" t="inlineStr">
        <is>
          <t>a</t>
        </is>
      </c>
      <c r="I27" s="2" t="n">
        <v>2861</v>
      </c>
      <c r="J27" t="n">
        <v>154</v>
      </c>
      <c r="K27" s="3" t="n">
        <v>2896</v>
      </c>
      <c r="L27" t="inlineStr">
        <is>
          <t>flat</t>
        </is>
      </c>
      <c r="M27" s="4" t="n">
        <v>2861</v>
      </c>
      <c r="N27" s="4" t="n">
        <v>0.421</v>
      </c>
      <c r="O27" s="3" t="n">
        <v>0.0105</v>
      </c>
      <c r="P27" t="inlineStr">
        <is>
          <t>adjusted xGOT</t>
        </is>
      </c>
      <c r="Q27" s="3" t="n">
        <v>0.98</v>
      </c>
      <c r="R27" s="3" t="n">
        <v>4.8</v>
      </c>
      <c r="S27" s="3" t="n">
        <v>0.0838</v>
      </c>
      <c r="T27" s="3" t="n">
        <v>6.446</v>
      </c>
      <c r="U27" s="4" t="n">
        <v>89.40000000000001</v>
      </c>
      <c r="V27" s="3">
        <f>IF(OR(N(T27)=0,N(U27)=0),0,1-POISSON(IFERROR(VLOOKUP($C27,Assumptions!$A$4:$G$7,7,FALSE),99)-1,N(T27)*N(U27)/90,TRUE))</f>
        <v/>
      </c>
      <c r="W27" s="3" t="n">
        <v>0.5033</v>
      </c>
      <c r="X27" s="3" t="n">
        <v>2.013</v>
      </c>
      <c r="Y27" s="3">
        <f>IF(X27="",IFERROR(VLOOKUP($C27,Assumptions!$A$4:$G$7,6,FALSE),0),X27)</f>
        <v/>
      </c>
      <c r="Z27" s="3">
        <f>N(O27)*IFERROR(VLOOKUP($C27,Assumptions!$A$4:$G$7,2,FALSE),0)</f>
        <v/>
      </c>
      <c r="AA27" s="3">
        <f>N(S27)*IFERROR(VLOOKUP($C27,Assumptions!$A$4:$G$7,3,FALSE),0)*Assumptions!$B$11</f>
        <v/>
      </c>
      <c r="AB27" s="3">
        <f>N(N27)*IFERROR(VLOOKUP($C27,Assumptions!$A$4:$G$7,4,FALSE),0)</f>
        <v/>
      </c>
      <c r="AC27" s="3">
        <f>IF(N(U27)=0,0,V27*IFERROR(VLOOKUP($C27,Assumptions!$A$4:$G$7,5,FALSE),0)*90/N(U27))</f>
        <v/>
      </c>
      <c r="AD27" s="3">
        <f>N(W27)</f>
        <v/>
      </c>
      <c r="AE27" s="3">
        <f>SUM(Y27:AD27)</f>
        <v/>
      </c>
      <c r="AF27" s="3">
        <f>N(AE27)*N(M27)/90</f>
        <v/>
      </c>
      <c r="AG27" s="3">
        <f>IFERROR(AF27-VLOOKUP($C27,Assumptions!$A$29:$C$32,3,FALSE),"")</f>
        <v/>
      </c>
      <c r="AH27" s="3">
        <f>IFERROR(AG27/F27,"")</f>
        <v/>
      </c>
      <c r="AI27">
        <f>IF(AND($E27=TRUE,$C27="GKP"),AF27,"")</f>
        <v/>
      </c>
      <c r="AJ27">
        <f>IF(AND($E27=TRUE,$C27="DEF"),AF27,"")</f>
        <v/>
      </c>
      <c r="AK27">
        <f>IF(AND($E27=TRUE,$C27="MID"),AF27,"")</f>
        <v/>
      </c>
      <c r="AL27">
        <f>IF(AND($E27=TRUE,$C27="FWD"),AF27,"")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b">
        <v>1</v>
      </c>
      <c r="F28" s="2" t="n">
        <v>5.5</v>
      </c>
      <c r="G28" t="inlineStr">
        <is>
          <t>d</t>
        </is>
      </c>
      <c r="H28" t="inlineStr">
        <is>
          <t>Knock - 75% chance of playing</t>
        </is>
      </c>
      <c r="I28" s="2" t="n">
        <v>2784</v>
      </c>
      <c r="J28" t="n">
        <v>151</v>
      </c>
      <c r="K28" s="3" t="n">
        <v>3312</v>
      </c>
      <c r="L28" t="inlineStr">
        <is>
          <t>flat</t>
        </is>
      </c>
      <c r="M28" s="4" t="n">
        <v>2784</v>
      </c>
      <c r="N28" s="4" t="n">
        <v>0.29</v>
      </c>
      <c r="O28" s="3" t="n">
        <v>0.0506</v>
      </c>
      <c r="P28" t="inlineStr">
        <is>
          <t>adjusted xGOT</t>
        </is>
      </c>
      <c r="Q28" s="3" t="n">
        <v>0.967</v>
      </c>
      <c r="R28" s="3" t="n">
        <v>1.6</v>
      </c>
      <c r="S28" s="3" t="n">
        <v>0.0873</v>
      </c>
      <c r="T28" s="3" t="n">
        <v>8.590999999999999</v>
      </c>
      <c r="U28" s="4" t="n">
        <v>87</v>
      </c>
      <c r="V28" s="3">
        <f>IF(OR(N(T28)=0,N(U28)=0),0,1-POISSON(IFERROR(VLOOKUP($C28,Assumptions!$A$4:$G$7,7,FALSE),99)-1,N(T28)*N(U28)/90,TRUE))</f>
        <v/>
      </c>
      <c r="W28" s="3" t="n">
        <v>0.3556</v>
      </c>
      <c r="X28" s="3" t="n">
        <v>2.037</v>
      </c>
      <c r="Y28" s="3">
        <f>IF(X28="",IFERROR(VLOOKUP($C28,Assumptions!$A$4:$G$7,6,FALSE),0),X28)</f>
        <v/>
      </c>
      <c r="Z28" s="3">
        <f>N(O28)*IFERROR(VLOOKUP($C28,Assumptions!$A$4:$G$7,2,FALSE),0)</f>
        <v/>
      </c>
      <c r="AA28" s="3">
        <f>N(S28)*IFERROR(VLOOKUP($C28,Assumptions!$A$4:$G$7,3,FALSE),0)*Assumptions!$B$11</f>
        <v/>
      </c>
      <c r="AB28" s="3">
        <f>N(N28)*IFERROR(VLOOKUP($C28,Assumptions!$A$4:$G$7,4,FALSE),0)</f>
        <v/>
      </c>
      <c r="AC28" s="3">
        <f>IF(N(U28)=0,0,V28*IFERROR(VLOOKUP($C28,Assumptions!$A$4:$G$7,5,FALSE),0)*90/N(U28))</f>
        <v/>
      </c>
      <c r="AD28" s="3">
        <f>N(W28)</f>
        <v/>
      </c>
      <c r="AE28" s="3">
        <f>SUM(Y28:AD28)</f>
        <v/>
      </c>
      <c r="AF28" s="3">
        <f>N(AE28)*N(M28)/90</f>
        <v/>
      </c>
      <c r="AG28" s="3">
        <f>IFERROR(AF28-VLOOKUP($C28,Assumptions!$A$29:$C$32,3,FALSE),"")</f>
        <v/>
      </c>
      <c r="AH28" s="3">
        <f>IFERROR(AG28/F28,"")</f>
        <v/>
      </c>
      <c r="AI28">
        <f>IF(AND($E28=TRUE,$C28="GKP"),AF28,"")</f>
        <v/>
      </c>
      <c r="AJ28">
        <f>IF(AND($E28=TRUE,$C28="DEF"),AF28,"")</f>
        <v/>
      </c>
      <c r="AK28">
        <f>IF(AND($E28=TRUE,$C28="MID"),AF28,"")</f>
        <v/>
      </c>
      <c r="AL28">
        <f>IF(AND($E28=TRUE,$C28="FWD"),AF28,"")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b">
        <v>1</v>
      </c>
      <c r="F29" s="2" t="n">
        <v>6.5</v>
      </c>
      <c r="G29" t="inlineStr">
        <is>
          <t>a</t>
        </is>
      </c>
      <c r="I29" s="2" t="n">
        <v>2629</v>
      </c>
      <c r="J29" t="n">
        <v>151</v>
      </c>
      <c r="K29" s="3" t="n">
        <v>3152</v>
      </c>
      <c r="L29" t="inlineStr">
        <is>
          <t>flat</t>
        </is>
      </c>
      <c r="M29" s="4" t="n">
        <v>2629</v>
      </c>
      <c r="N29" s="4" t="n">
        <v>0.29</v>
      </c>
      <c r="O29" s="3" t="n">
        <v>0.1525</v>
      </c>
      <c r="P29" t="inlineStr">
        <is>
          <t>adjusted xGOT</t>
        </is>
      </c>
      <c r="Q29" s="3" t="n">
        <v>1.024</v>
      </c>
      <c r="R29" s="3" t="n">
        <v>6.7</v>
      </c>
      <c r="S29" s="3" t="n">
        <v>0.2039</v>
      </c>
      <c r="T29" s="3" t="n">
        <v>8.025</v>
      </c>
      <c r="U29" s="4" t="n">
        <v>87.59999999999999</v>
      </c>
      <c r="V29" s="3">
        <f>IF(OR(N(T29)=0,N(U29)=0),0,1-POISSON(IFERROR(VLOOKUP($C29,Assumptions!$A$4:$G$7,7,FALSE),99)-1,N(T29)*N(U29)/90,TRUE))</f>
        <v/>
      </c>
      <c r="W29" s="3" t="n">
        <v>0.6162</v>
      </c>
      <c r="X29" s="3" t="n">
        <v>2.054</v>
      </c>
      <c r="Y29" s="3">
        <f>IF(X29="",IFERROR(VLOOKUP($C29,Assumptions!$A$4:$G$7,6,FALSE),0),X29)</f>
        <v/>
      </c>
      <c r="Z29" s="3">
        <f>N(O29)*IFERROR(VLOOKUP($C29,Assumptions!$A$4:$G$7,2,FALSE),0)</f>
        <v/>
      </c>
      <c r="AA29" s="3">
        <f>N(S29)*IFERROR(VLOOKUP($C29,Assumptions!$A$4:$G$7,3,FALSE),0)*Assumptions!$B$11</f>
        <v/>
      </c>
      <c r="AB29" s="3">
        <f>N(N29)*IFERROR(VLOOKUP($C29,Assumptions!$A$4:$G$7,4,FALSE),0)</f>
        <v/>
      </c>
      <c r="AC29" s="3">
        <f>IF(N(U29)=0,0,V29*IFERROR(VLOOKUP($C29,Assumptions!$A$4:$G$7,5,FALSE),0)*90/N(U29))</f>
        <v/>
      </c>
      <c r="AD29" s="3">
        <f>N(W29)</f>
        <v/>
      </c>
      <c r="AE29" s="3">
        <f>SUM(Y29:AD29)</f>
        <v/>
      </c>
      <c r="AF29" s="3">
        <f>N(AE29)*N(M29)/90</f>
        <v/>
      </c>
      <c r="AG29" s="3">
        <f>IFERROR(AF29-VLOOKUP($C29,Assumptions!$A$29:$C$32,3,FALSE),"")</f>
        <v/>
      </c>
      <c r="AH29" s="3">
        <f>IFERROR(AG29/F29,"")</f>
        <v/>
      </c>
      <c r="AI29">
        <f>IF(AND($E29=TRUE,$C29="GKP"),AF29,"")</f>
        <v/>
      </c>
      <c r="AJ29">
        <f>IF(AND($E29=TRUE,$C29="DEF"),AF29,"")</f>
        <v/>
      </c>
      <c r="AK29">
        <f>IF(AND($E29=TRUE,$C29="MID"),AF29,"")</f>
        <v/>
      </c>
      <c r="AL29">
        <f>IF(AND($E29=TRUE,$C29="FWD"),AF29,"")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b">
        <v>1</v>
      </c>
      <c r="F30" s="2" t="n">
        <v>6.5</v>
      </c>
      <c r="G30" t="inlineStr">
        <is>
          <t>i</t>
        </is>
      </c>
      <c r="H30" t="inlineStr">
        <is>
          <t>Groin injury - Unknown return date</t>
        </is>
      </c>
      <c r="I30" s="2" t="n">
        <v>2452</v>
      </c>
      <c r="J30" t="n">
        <v>149</v>
      </c>
      <c r="K30" s="3" t="n">
        <v>2878</v>
      </c>
      <c r="L30" t="inlineStr">
        <is>
          <t>flat</t>
        </is>
      </c>
      <c r="M30" s="4" t="n">
        <v>2452</v>
      </c>
      <c r="N30" s="4" t="n">
        <v>0.5</v>
      </c>
      <c r="O30" s="3" t="n">
        <v>0.1612</v>
      </c>
      <c r="P30" t="inlineStr">
        <is>
          <t>adjusted xGOT</t>
        </is>
      </c>
      <c r="Q30" s="3" t="n">
        <v>0.9330000000000001</v>
      </c>
      <c r="R30" s="3" t="n">
        <v>5.9</v>
      </c>
      <c r="S30" s="3" t="n">
        <v>0.0756</v>
      </c>
      <c r="T30" s="3" t="n">
        <v>5.944</v>
      </c>
      <c r="U30" s="4" t="n">
        <v>87.59999999999999</v>
      </c>
      <c r="V30" s="3">
        <f>IF(OR(N(T30)=0,N(U30)=0),0,1-POISSON(IFERROR(VLOOKUP($C30,Assumptions!$A$4:$G$7,7,FALSE),99)-1,N(T30)*N(U30)/90,TRUE))</f>
        <v/>
      </c>
      <c r="W30" s="3" t="n">
        <v>0.367</v>
      </c>
      <c r="X30" s="3" t="n">
        <v>2.055</v>
      </c>
      <c r="Y30" s="3">
        <f>IF(X30="",IFERROR(VLOOKUP($C30,Assumptions!$A$4:$G$7,6,FALSE),0),X30)</f>
        <v/>
      </c>
      <c r="Z30" s="3">
        <f>N(O30)*IFERROR(VLOOKUP($C30,Assumptions!$A$4:$G$7,2,FALSE),0)</f>
        <v/>
      </c>
      <c r="AA30" s="3">
        <f>N(S30)*IFERROR(VLOOKUP($C30,Assumptions!$A$4:$G$7,3,FALSE),0)*Assumptions!$B$11</f>
        <v/>
      </c>
      <c r="AB30" s="3">
        <f>N(N30)*IFERROR(VLOOKUP($C30,Assumptions!$A$4:$G$7,4,FALSE),0)</f>
        <v/>
      </c>
      <c r="AC30" s="3">
        <f>IF(N(U30)=0,0,V30*IFERROR(VLOOKUP($C30,Assumptions!$A$4:$G$7,5,FALSE),0)*90/N(U30))</f>
        <v/>
      </c>
      <c r="AD30" s="3">
        <f>N(W30)</f>
        <v/>
      </c>
      <c r="AE30" s="3">
        <f>SUM(Y30:AD30)</f>
        <v/>
      </c>
      <c r="AF30" s="3">
        <f>N(AE30)*N(M30)/90</f>
        <v/>
      </c>
      <c r="AG30" s="3">
        <f>IFERROR(AF30-VLOOKUP($C30,Assumptions!$A$29:$C$32,3,FALSE),"")</f>
        <v/>
      </c>
      <c r="AH30" s="3">
        <f>IFERROR(AG30/F30,"")</f>
        <v/>
      </c>
      <c r="AI30">
        <f>IF(AND($E30=TRUE,$C30="GKP"),AF30,"")</f>
        <v/>
      </c>
      <c r="AJ30">
        <f>IF(AND($E30=TRUE,$C30="DEF"),AF30,"")</f>
        <v/>
      </c>
      <c r="AK30">
        <f>IF(AND($E30=TRUE,$C30="MID"),AF30,"")</f>
        <v/>
      </c>
      <c r="AL30">
        <f>IF(AND($E30=TRUE,$C30="FWD"),AF30,"")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b">
        <v>1</v>
      </c>
      <c r="F31" s="2" t="n">
        <v>8</v>
      </c>
      <c r="G31" t="inlineStr">
        <is>
          <t>a</t>
        </is>
      </c>
      <c r="I31" s="2" t="n">
        <v>2611</v>
      </c>
      <c r="J31" t="n">
        <v>148</v>
      </c>
      <c r="K31" s="3" t="n">
        <v>2822</v>
      </c>
      <c r="L31" t="inlineStr">
        <is>
          <t>flat</t>
        </is>
      </c>
      <c r="M31" s="4" t="n">
        <v>2611</v>
      </c>
      <c r="N31" s="4" t="n">
        <v>0.21</v>
      </c>
      <c r="O31" s="3" t="n">
        <v>0.4251</v>
      </c>
      <c r="P31" t="inlineStr">
        <is>
          <t>adjusted xGOT</t>
        </is>
      </c>
      <c r="Q31" s="3" t="n">
        <v>1.029</v>
      </c>
      <c r="R31" s="3" t="n">
        <v>43.7</v>
      </c>
      <c r="S31" s="3" t="n">
        <v>0.1737</v>
      </c>
      <c r="T31" s="3" t="n">
        <v>5.61</v>
      </c>
      <c r="U31" s="4" t="n">
        <v>84.2</v>
      </c>
      <c r="V31" s="3">
        <f>IF(OR(N(T31)=0,N(U31)=0),0,1-POISSON(IFERROR(VLOOKUP($C31,Assumptions!$A$4:$G$7,7,FALSE),99)-1,N(T31)*N(U31)/90,TRUE))</f>
        <v/>
      </c>
      <c r="W31" s="3" t="n">
        <v>0.586</v>
      </c>
      <c r="X31" s="3" t="n">
        <v>2.206</v>
      </c>
      <c r="Y31" s="3">
        <f>IF(X31="",IFERROR(VLOOKUP($C31,Assumptions!$A$4:$G$7,6,FALSE),0),X31)</f>
        <v/>
      </c>
      <c r="Z31" s="3">
        <f>N(O31)*IFERROR(VLOOKUP($C31,Assumptions!$A$4:$G$7,2,FALSE),0)</f>
        <v/>
      </c>
      <c r="AA31" s="3">
        <f>N(S31)*IFERROR(VLOOKUP($C31,Assumptions!$A$4:$G$7,3,FALSE),0)*Assumptions!$B$11</f>
        <v/>
      </c>
      <c r="AB31" s="3">
        <f>N(N31)*IFERROR(VLOOKUP($C31,Assumptions!$A$4:$G$7,4,FALSE),0)</f>
        <v/>
      </c>
      <c r="AC31" s="3">
        <f>IF(N(U31)=0,0,V31*IFERROR(VLOOKUP($C31,Assumptions!$A$4:$G$7,5,FALSE),0)*90/N(U31))</f>
        <v/>
      </c>
      <c r="AD31" s="3">
        <f>N(W31)</f>
        <v/>
      </c>
      <c r="AE31" s="3">
        <f>SUM(Y31:AD31)</f>
        <v/>
      </c>
      <c r="AF31" s="3">
        <f>N(AE31)*N(M31)/90</f>
        <v/>
      </c>
      <c r="AG31" s="3">
        <f>IFERROR(AF31-VLOOKUP($C31,Assumptions!$A$29:$C$32,3,FALSE),"")</f>
        <v/>
      </c>
      <c r="AH31" s="3">
        <f>IFERROR(AG31/F31,"")</f>
        <v/>
      </c>
      <c r="AI31">
        <f>IF(AND($E31=TRUE,$C31="GKP"),AF31,"")</f>
        <v/>
      </c>
      <c r="AJ31">
        <f>IF(AND($E31=TRUE,$C31="DEF"),AF31,"")</f>
        <v/>
      </c>
      <c r="AK31">
        <f>IF(AND($E31=TRUE,$C31="MID"),AF31,"")</f>
        <v/>
      </c>
      <c r="AL31">
        <f>IF(AND($E31=TRUE,$C31="FWD"),AF31,"")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b">
        <v>1</v>
      </c>
      <c r="F32" s="2" t="n">
        <v>5</v>
      </c>
      <c r="G32" t="inlineStr">
        <is>
          <t>a</t>
        </is>
      </c>
      <c r="I32" s="2" t="n">
        <v>3210</v>
      </c>
      <c r="J32" t="n">
        <v>148</v>
      </c>
      <c r="K32" s="3" t="n">
        <v>3181</v>
      </c>
      <c r="L32" t="inlineStr">
        <is>
          <t>flat</t>
        </is>
      </c>
      <c r="M32" s="4" t="n">
        <v>3210</v>
      </c>
      <c r="N32" s="4" t="n">
        <v>0.237</v>
      </c>
      <c r="O32" s="3" t="n">
        <v>0.09030000000000001</v>
      </c>
      <c r="P32" t="inlineStr">
        <is>
          <t>adjusted xGOT</t>
        </is>
      </c>
      <c r="Q32" s="3" t="n">
        <v>0.973</v>
      </c>
      <c r="R32" s="3" t="n">
        <v>6.6</v>
      </c>
      <c r="S32" s="3" t="n">
        <v>0.0364</v>
      </c>
      <c r="T32" s="3" t="n">
        <v>8.667</v>
      </c>
      <c r="U32" s="4" t="n">
        <v>89.2</v>
      </c>
      <c r="V32" s="3">
        <f>IF(OR(N(T32)=0,N(U32)=0),0,1-POISSON(IFERROR(VLOOKUP($C32,Assumptions!$A$4:$G$7,7,FALSE),99)-1,N(T32)*N(U32)/90,TRUE))</f>
        <v/>
      </c>
      <c r="W32" s="3" t="n">
        <v>0.1963</v>
      </c>
      <c r="X32" s="3" t="n">
        <v>2.019</v>
      </c>
      <c r="Y32" s="3">
        <f>IF(X32="",IFERROR(VLOOKUP($C32,Assumptions!$A$4:$G$7,6,FALSE),0),X32)</f>
        <v/>
      </c>
      <c r="Z32" s="3">
        <f>N(O32)*IFERROR(VLOOKUP($C32,Assumptions!$A$4:$G$7,2,FALSE),0)</f>
        <v/>
      </c>
      <c r="AA32" s="3">
        <f>N(S32)*IFERROR(VLOOKUP($C32,Assumptions!$A$4:$G$7,3,FALSE),0)*Assumptions!$B$11</f>
        <v/>
      </c>
      <c r="AB32" s="3">
        <f>N(N32)*IFERROR(VLOOKUP($C32,Assumptions!$A$4:$G$7,4,FALSE),0)</f>
        <v/>
      </c>
      <c r="AC32" s="3">
        <f>IF(N(U32)=0,0,V32*IFERROR(VLOOKUP($C32,Assumptions!$A$4:$G$7,5,FALSE),0)*90/N(U32))</f>
        <v/>
      </c>
      <c r="AD32" s="3">
        <f>N(W32)</f>
        <v/>
      </c>
      <c r="AE32" s="3">
        <f>SUM(Y32:AD32)</f>
        <v/>
      </c>
      <c r="AF32" s="3">
        <f>N(AE32)*N(M32)/90</f>
        <v/>
      </c>
      <c r="AG32" s="3">
        <f>IFERROR(AF32-VLOOKUP($C32,Assumptions!$A$29:$C$32,3,FALSE),"")</f>
        <v/>
      </c>
      <c r="AH32" s="3">
        <f>IFERROR(AG32/F32,"")</f>
        <v/>
      </c>
      <c r="AI32">
        <f>IF(AND($E32=TRUE,$C32="GKP"),AF32,"")</f>
        <v/>
      </c>
      <c r="AJ32">
        <f>IF(AND($E32=TRUE,$C32="DEF"),AF32,"")</f>
        <v/>
      </c>
      <c r="AK32">
        <f>IF(AND($E32=TRUE,$C32="MID"),AF32,"")</f>
        <v/>
      </c>
      <c r="AL32">
        <f>IF(AND($E32=TRUE,$C32="FWD"),AF32,"")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b">
        <v>1</v>
      </c>
      <c r="F33" s="2" t="n">
        <v>6</v>
      </c>
      <c r="G33" t="inlineStr">
        <is>
          <t>a</t>
        </is>
      </c>
      <c r="I33" s="2" t="n">
        <v>2930</v>
      </c>
      <c r="J33" t="n">
        <v>147</v>
      </c>
      <c r="K33" s="3" t="n">
        <v>3324</v>
      </c>
      <c r="L33" t="inlineStr">
        <is>
          <t>flat</t>
        </is>
      </c>
      <c r="M33" s="4" t="n">
        <v>2930</v>
      </c>
      <c r="N33" s="4" t="n">
        <v>0.29</v>
      </c>
      <c r="O33" s="3" t="n">
        <v>0.1565</v>
      </c>
      <c r="P33" t="inlineStr">
        <is>
          <t>adjusted xGOT</t>
        </is>
      </c>
      <c r="Q33" s="3" t="n">
        <v>0.976</v>
      </c>
      <c r="R33" s="3" t="n">
        <v>5.2</v>
      </c>
      <c r="S33" s="3" t="n">
        <v>0.2073</v>
      </c>
      <c r="T33" s="3" t="n">
        <v>9.558</v>
      </c>
      <c r="U33" s="4" t="n">
        <v>88.8</v>
      </c>
      <c r="V33" s="3">
        <f>IF(OR(N(T33)=0,N(U33)=0),0,1-POISSON(IFERROR(VLOOKUP($C33,Assumptions!$A$4:$G$7,7,FALSE),99)-1,N(T33)*N(U33)/90,TRUE))</f>
        <v/>
      </c>
      <c r="W33" s="3" t="n">
        <v>0.4608</v>
      </c>
      <c r="X33" s="3" t="n">
        <v>2.119</v>
      </c>
      <c r="Y33" s="3">
        <f>IF(X33="",IFERROR(VLOOKUP($C33,Assumptions!$A$4:$G$7,6,FALSE),0),X33)</f>
        <v/>
      </c>
      <c r="Z33" s="3">
        <f>N(O33)*IFERROR(VLOOKUP($C33,Assumptions!$A$4:$G$7,2,FALSE),0)</f>
        <v/>
      </c>
      <c r="AA33" s="3">
        <f>N(S33)*IFERROR(VLOOKUP($C33,Assumptions!$A$4:$G$7,3,FALSE),0)*Assumptions!$B$11</f>
        <v/>
      </c>
      <c r="AB33" s="3">
        <f>N(N33)*IFERROR(VLOOKUP($C33,Assumptions!$A$4:$G$7,4,FALSE),0)</f>
        <v/>
      </c>
      <c r="AC33" s="3">
        <f>IF(N(U33)=0,0,V33*IFERROR(VLOOKUP($C33,Assumptions!$A$4:$G$7,5,FALSE),0)*90/N(U33))</f>
        <v/>
      </c>
      <c r="AD33" s="3">
        <f>N(W33)</f>
        <v/>
      </c>
      <c r="AE33" s="3">
        <f>SUM(Y33:AD33)</f>
        <v/>
      </c>
      <c r="AF33" s="3">
        <f>N(AE33)*N(M33)/90</f>
        <v/>
      </c>
      <c r="AG33" s="3">
        <f>IFERROR(AF33-VLOOKUP($C33,Assumptions!$A$29:$C$32,3,FALSE),"")</f>
        <v/>
      </c>
      <c r="AH33" s="3">
        <f>IFERROR(AG33/F33,"")</f>
        <v/>
      </c>
      <c r="AI33">
        <f>IF(AND($E33=TRUE,$C33="GKP"),AF33,"")</f>
        <v/>
      </c>
      <c r="AJ33">
        <f>IF(AND($E33=TRUE,$C33="DEF"),AF33,"")</f>
        <v/>
      </c>
      <c r="AK33">
        <f>IF(AND($E33=TRUE,$C33="MID"),AF33,"")</f>
        <v/>
      </c>
      <c r="AL33">
        <f>IF(AND($E33=TRUE,$C33="FWD"),AF33,"")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b">
        <v>1</v>
      </c>
      <c r="F34" s="2" t="n">
        <v>6</v>
      </c>
      <c r="G34" t="inlineStr">
        <is>
          <t>a</t>
        </is>
      </c>
      <c r="I34" s="2" t="n">
        <v>2991</v>
      </c>
      <c r="J34" t="n">
        <v>144</v>
      </c>
      <c r="K34" s="3" t="n">
        <v>2964</v>
      </c>
      <c r="L34" t="inlineStr">
        <is>
          <t>flat</t>
        </is>
      </c>
      <c r="M34" s="4" t="n">
        <v>2991</v>
      </c>
      <c r="N34" s="4" t="n">
        <v>0.263</v>
      </c>
      <c r="O34" s="3" t="n">
        <v>0.056</v>
      </c>
      <c r="P34" t="inlineStr">
        <is>
          <t>adjusted xGOT</t>
        </is>
      </c>
      <c r="Q34" s="3" t="n">
        <v>0.985</v>
      </c>
      <c r="R34" s="3" t="n">
        <v>5.1</v>
      </c>
      <c r="S34" s="3" t="n">
        <v>0.0696</v>
      </c>
      <c r="T34" s="3" t="n">
        <v>8.891</v>
      </c>
      <c r="U34" s="4" t="n">
        <v>88</v>
      </c>
      <c r="V34" s="3">
        <f>IF(OR(N(T34)=0,N(U34)=0),0,1-POISSON(IFERROR(VLOOKUP($C34,Assumptions!$A$4:$G$7,7,FALSE),99)-1,N(T34)*N(U34)/90,TRUE))</f>
        <v/>
      </c>
      <c r="W34" s="3" t="n">
        <v>0.5115</v>
      </c>
      <c r="X34" s="3" t="n">
        <v>2.076</v>
      </c>
      <c r="Y34" s="3">
        <f>IF(X34="",IFERROR(VLOOKUP($C34,Assumptions!$A$4:$G$7,6,FALSE),0),X34)</f>
        <v/>
      </c>
      <c r="Z34" s="3">
        <f>N(O34)*IFERROR(VLOOKUP($C34,Assumptions!$A$4:$G$7,2,FALSE),0)</f>
        <v/>
      </c>
      <c r="AA34" s="3">
        <f>N(S34)*IFERROR(VLOOKUP($C34,Assumptions!$A$4:$G$7,3,FALSE),0)*Assumptions!$B$11</f>
        <v/>
      </c>
      <c r="AB34" s="3">
        <f>N(N34)*IFERROR(VLOOKUP($C34,Assumptions!$A$4:$G$7,4,FALSE),0)</f>
        <v/>
      </c>
      <c r="AC34" s="3">
        <f>IF(N(U34)=0,0,V34*IFERROR(VLOOKUP($C34,Assumptions!$A$4:$G$7,5,FALSE),0)*90/N(U34))</f>
        <v/>
      </c>
      <c r="AD34" s="3">
        <f>N(W34)</f>
        <v/>
      </c>
      <c r="AE34" s="3">
        <f>SUM(Y34:AD34)</f>
        <v/>
      </c>
      <c r="AF34" s="3">
        <f>N(AE34)*N(M34)/90</f>
        <v/>
      </c>
      <c r="AG34" s="3">
        <f>IFERROR(AF34-VLOOKUP($C34,Assumptions!$A$29:$C$32,3,FALSE),"")</f>
        <v/>
      </c>
      <c r="AH34" s="3">
        <f>IFERROR(AG34/F34,"")</f>
        <v/>
      </c>
      <c r="AI34">
        <f>IF(AND($E34=TRUE,$C34="GKP"),AF34,"")</f>
        <v/>
      </c>
      <c r="AJ34">
        <f>IF(AND($E34=TRUE,$C34="DEF"),AF34,"")</f>
        <v/>
      </c>
      <c r="AK34">
        <f>IF(AND($E34=TRUE,$C34="MID"),AF34,"")</f>
        <v/>
      </c>
      <c r="AL34">
        <f>IF(AND($E34=TRUE,$C34="FWD"),AF34,"")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b">
        <v>1</v>
      </c>
      <c r="F35" s="2" t="n">
        <v>8</v>
      </c>
      <c r="G35" t="inlineStr">
        <is>
          <t>a</t>
        </is>
      </c>
      <c r="I35" s="2" t="n">
        <v>2493</v>
      </c>
      <c r="J35" t="n">
        <v>143</v>
      </c>
      <c r="K35" s="3" t="n">
        <v>2616</v>
      </c>
      <c r="L35" t="inlineStr">
        <is>
          <t>flat</t>
        </is>
      </c>
      <c r="M35" s="4" t="n">
        <v>2493</v>
      </c>
      <c r="N35" s="4" t="n">
        <v>0.21</v>
      </c>
      <c r="O35" s="3" t="n">
        <v>0.2624</v>
      </c>
      <c r="P35" t="inlineStr">
        <is>
          <t>adjusted xGOT</t>
        </is>
      </c>
      <c r="Q35" s="3" t="n">
        <v>1.053</v>
      </c>
      <c r="R35" s="3" t="n">
        <v>26.8</v>
      </c>
      <c r="S35" s="3" t="n">
        <v>0.1274</v>
      </c>
      <c r="T35" s="3" t="n">
        <v>7.832</v>
      </c>
      <c r="U35" s="4" t="n">
        <v>86</v>
      </c>
      <c r="V35" s="3">
        <f>IF(OR(N(T35)=0,N(U35)=0),0,1-POISSON(IFERROR(VLOOKUP($C35,Assumptions!$A$4:$G$7,7,FALSE),99)-1,N(T35)*N(U35)/90,TRUE))</f>
        <v/>
      </c>
      <c r="W35" s="3" t="n">
        <v>0.5415</v>
      </c>
      <c r="X35" s="3" t="n">
        <v>2.202</v>
      </c>
      <c r="Y35" s="3">
        <f>IF(X35="",IFERROR(VLOOKUP($C35,Assumptions!$A$4:$G$7,6,FALSE),0),X35)</f>
        <v/>
      </c>
      <c r="Z35" s="3">
        <f>N(O35)*IFERROR(VLOOKUP($C35,Assumptions!$A$4:$G$7,2,FALSE),0)</f>
        <v/>
      </c>
      <c r="AA35" s="3">
        <f>N(S35)*IFERROR(VLOOKUP($C35,Assumptions!$A$4:$G$7,3,FALSE),0)*Assumptions!$B$11</f>
        <v/>
      </c>
      <c r="AB35" s="3">
        <f>N(N35)*IFERROR(VLOOKUP($C35,Assumptions!$A$4:$G$7,4,FALSE),0)</f>
        <v/>
      </c>
      <c r="AC35" s="3">
        <f>IF(N(U35)=0,0,V35*IFERROR(VLOOKUP($C35,Assumptions!$A$4:$G$7,5,FALSE),0)*90/N(U35))</f>
        <v/>
      </c>
      <c r="AD35" s="3">
        <f>N(W35)</f>
        <v/>
      </c>
      <c r="AE35" s="3">
        <f>SUM(Y35:AD35)</f>
        <v/>
      </c>
      <c r="AF35" s="3">
        <f>N(AE35)*N(M35)/90</f>
        <v/>
      </c>
      <c r="AG35" s="3">
        <f>IFERROR(AF35-VLOOKUP($C35,Assumptions!$A$29:$C$32,3,FALSE),"")</f>
        <v/>
      </c>
      <c r="AH35" s="3">
        <f>IFERROR(AG35/F35,"")</f>
        <v/>
      </c>
      <c r="AI35">
        <f>IF(AND($E35=TRUE,$C35="GKP"),AF35,"")</f>
        <v/>
      </c>
      <c r="AJ35">
        <f>IF(AND($E35=TRUE,$C35="DEF"),AF35,"")</f>
        <v/>
      </c>
      <c r="AK35">
        <f>IF(AND($E35=TRUE,$C35="MID"),AF35,"")</f>
        <v/>
      </c>
      <c r="AL35">
        <f>IF(AND($E35=TRUE,$C35="FWD"),AF35,"")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b">
        <v>1</v>
      </c>
      <c r="F36" s="2" t="n">
        <v>5</v>
      </c>
      <c r="G36" t="inlineStr">
        <is>
          <t>a</t>
        </is>
      </c>
      <c r="I36" s="2" t="n">
        <v>3330</v>
      </c>
      <c r="J36" t="n">
        <v>143</v>
      </c>
      <c r="K36" s="3" t="n">
        <v>3385</v>
      </c>
      <c r="L36" t="inlineStr">
        <is>
          <t>flat</t>
        </is>
      </c>
      <c r="M36" s="4" t="n">
        <v>3330</v>
      </c>
      <c r="N36" s="4" t="n">
        <v>0.263</v>
      </c>
      <c r="O36" s="3" t="n">
        <v>0</v>
      </c>
      <c r="P36" t="inlineStr">
        <is>
          <t>blended xG</t>
        </is>
      </c>
      <c r="Q36" s="3" t="n">
        <v>1</v>
      </c>
      <c r="R36" s="3" t="n">
        <v>0</v>
      </c>
      <c r="S36" s="3" t="n">
        <v>0.0044</v>
      </c>
      <c r="T36" s="3" t="n">
        <v>0</v>
      </c>
      <c r="U36" s="4" t="n">
        <v>90</v>
      </c>
      <c r="V36" s="3">
        <f>IF(OR(N(T36)=0,N(U36)=0),0,1-POISSON(IFERROR(VLOOKUP($C36,Assumptions!$A$4:$G$7,7,FALSE),99)-1,N(T36)*N(U36)/90,TRUE))</f>
        <v/>
      </c>
      <c r="W36" s="3" t="n">
        <v>0.3784</v>
      </c>
      <c r="X36" s="3" t="n">
        <v>2</v>
      </c>
      <c r="Y36" s="3">
        <f>IF(X36="",IFERROR(VLOOKUP($C36,Assumptions!$A$4:$G$7,6,FALSE),0),X36)</f>
        <v/>
      </c>
      <c r="Z36" s="3">
        <f>N(O36)*IFERROR(VLOOKUP($C36,Assumptions!$A$4:$G$7,2,FALSE),0)</f>
        <v/>
      </c>
      <c r="AA36" s="3">
        <f>N(S36)*IFERROR(VLOOKUP($C36,Assumptions!$A$4:$G$7,3,FALSE),0)*Assumptions!$B$11</f>
        <v/>
      </c>
      <c r="AB36" s="3">
        <f>N(N36)*IFERROR(VLOOKUP($C36,Assumptions!$A$4:$G$7,4,FALSE),0)</f>
        <v/>
      </c>
      <c r="AC36" s="3">
        <f>IF(N(U36)=0,0,V36*IFERROR(VLOOKUP($C36,Assumptions!$A$4:$G$7,5,FALSE),0)*90/N(U36))</f>
        <v/>
      </c>
      <c r="AD36" s="3">
        <f>N(W36)</f>
        <v/>
      </c>
      <c r="AE36" s="3">
        <f>SUM(Y36:AD36)</f>
        <v/>
      </c>
      <c r="AF36" s="3">
        <f>N(AE36)*N(M36)/90</f>
        <v/>
      </c>
      <c r="AG36" s="3">
        <f>IFERROR(AF36-VLOOKUP($C36,Assumptions!$A$29:$C$32,3,FALSE),"")</f>
        <v/>
      </c>
      <c r="AH36" s="3">
        <f>IFERROR(AG36/F36,"")</f>
        <v/>
      </c>
      <c r="AI36">
        <f>IF(AND($E36=TRUE,$C36="GKP"),AF36,"")</f>
        <v/>
      </c>
      <c r="AJ36">
        <f>IF(AND($E36=TRUE,$C36="DEF"),AF36,"")</f>
        <v/>
      </c>
      <c r="AK36">
        <f>IF(AND($E36=TRUE,$C36="MID"),AF36,"")</f>
        <v/>
      </c>
      <c r="AL36">
        <f>IF(AND($E36=TRUE,$C36="FWD"),AF36,"")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b">
        <v>1</v>
      </c>
      <c r="F37" s="2" t="n">
        <v>6</v>
      </c>
      <c r="G37" t="inlineStr">
        <is>
          <t>a</t>
        </is>
      </c>
      <c r="I37" s="2" t="n">
        <v>2721</v>
      </c>
      <c r="J37" t="n">
        <v>142</v>
      </c>
      <c r="K37" s="3" t="n">
        <v>3084</v>
      </c>
      <c r="L37" t="inlineStr">
        <is>
          <t>flat</t>
        </is>
      </c>
      <c r="M37" s="4" t="n">
        <v>2721</v>
      </c>
      <c r="N37" s="4" t="n">
        <v>0.21</v>
      </c>
      <c r="O37" s="3" t="n">
        <v>0.4469</v>
      </c>
      <c r="P37" t="inlineStr">
        <is>
          <t>adjusted xGOT</t>
        </is>
      </c>
      <c r="Q37" s="3" t="n">
        <v>0.868</v>
      </c>
      <c r="R37" s="3" t="n">
        <v>40.9</v>
      </c>
      <c r="S37" s="3" t="n">
        <v>0.0431</v>
      </c>
      <c r="T37" s="3" t="n">
        <v>3.749</v>
      </c>
      <c r="U37" s="4" t="n">
        <v>90.7</v>
      </c>
      <c r="V37" s="3">
        <f>IF(OR(N(T37)=0,N(U37)=0),0,1-POISSON(IFERROR(VLOOKUP($C37,Assumptions!$A$4:$G$7,7,FALSE),99)-1,N(T37)*N(U37)/90,TRUE))</f>
        <v/>
      </c>
      <c r="W37" s="3" t="n">
        <v>0.6615</v>
      </c>
      <c r="X37" s="3" t="n">
        <v>2.15</v>
      </c>
      <c r="Y37" s="3">
        <f>IF(X37="",IFERROR(VLOOKUP($C37,Assumptions!$A$4:$G$7,6,FALSE),0),X37)</f>
        <v/>
      </c>
      <c r="Z37" s="3">
        <f>N(O37)*IFERROR(VLOOKUP($C37,Assumptions!$A$4:$G$7,2,FALSE),0)</f>
        <v/>
      </c>
      <c r="AA37" s="3">
        <f>N(S37)*IFERROR(VLOOKUP($C37,Assumptions!$A$4:$G$7,3,FALSE),0)*Assumptions!$B$11</f>
        <v/>
      </c>
      <c r="AB37" s="3">
        <f>N(N37)*IFERROR(VLOOKUP($C37,Assumptions!$A$4:$G$7,4,FALSE),0)</f>
        <v/>
      </c>
      <c r="AC37" s="3">
        <f>IF(N(U37)=0,0,V37*IFERROR(VLOOKUP($C37,Assumptions!$A$4:$G$7,5,FALSE),0)*90/N(U37))</f>
        <v/>
      </c>
      <c r="AD37" s="3">
        <f>N(W37)</f>
        <v/>
      </c>
      <c r="AE37" s="3">
        <f>SUM(Y37:AD37)</f>
        <v/>
      </c>
      <c r="AF37" s="3">
        <f>N(AE37)*N(M37)/90</f>
        <v/>
      </c>
      <c r="AG37" s="3">
        <f>IFERROR(AF37-VLOOKUP($C37,Assumptions!$A$29:$C$32,3,FALSE),"")</f>
        <v/>
      </c>
      <c r="AH37" s="3">
        <f>IFERROR(AG37/F37,"")</f>
        <v/>
      </c>
      <c r="AI37">
        <f>IF(AND($E37=TRUE,$C37="GKP"),AF37,"")</f>
        <v/>
      </c>
      <c r="AJ37">
        <f>IF(AND($E37=TRUE,$C37="DEF"),AF37,"")</f>
        <v/>
      </c>
      <c r="AK37">
        <f>IF(AND($E37=TRUE,$C37="MID"),AF37,"")</f>
        <v/>
      </c>
      <c r="AL37">
        <f>IF(AND($E37=TRUE,$C37="FWD"),AF37,"")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b">
        <v>1</v>
      </c>
      <c r="F38" s="2" t="n">
        <v>6</v>
      </c>
      <c r="G38" t="inlineStr">
        <is>
          <t>a</t>
        </is>
      </c>
      <c r="I38" s="2" t="n">
        <v>2732</v>
      </c>
      <c r="J38" t="n">
        <v>137</v>
      </c>
      <c r="K38" s="3" t="n">
        <v>3061</v>
      </c>
      <c r="L38" t="inlineStr">
        <is>
          <t>flat</t>
        </is>
      </c>
      <c r="M38" s="4" t="n">
        <v>2732</v>
      </c>
      <c r="N38" s="4" t="n">
        <v>0.29</v>
      </c>
      <c r="O38" s="3" t="n">
        <v>0.2664</v>
      </c>
      <c r="P38" t="inlineStr">
        <is>
          <t>adjusted xGOT</t>
        </is>
      </c>
      <c r="Q38" s="3" t="n">
        <v>0.892</v>
      </c>
      <c r="R38" s="3" t="n">
        <v>21.6</v>
      </c>
      <c r="S38" s="3" t="n">
        <v>0.1772</v>
      </c>
      <c r="T38" s="3" t="n">
        <v>8.333</v>
      </c>
      <c r="U38" s="4" t="n">
        <v>88.09999999999999</v>
      </c>
      <c r="V38" s="3">
        <f>IF(OR(N(T38)=0,N(U38)=0),0,1-POISSON(IFERROR(VLOOKUP($C38,Assumptions!$A$4:$G$7,7,FALSE),99)-1,N(T38)*N(U38)/90,TRUE))</f>
        <v/>
      </c>
      <c r="W38" s="3" t="n">
        <v>0.4612</v>
      </c>
      <c r="X38" s="3" t="n">
        <v>2.141</v>
      </c>
      <c r="Y38" s="3">
        <f>IF(X38="",IFERROR(VLOOKUP($C38,Assumptions!$A$4:$G$7,6,FALSE),0),X38)</f>
        <v/>
      </c>
      <c r="Z38" s="3">
        <f>N(O38)*IFERROR(VLOOKUP($C38,Assumptions!$A$4:$G$7,2,FALSE),0)</f>
        <v/>
      </c>
      <c r="AA38" s="3">
        <f>N(S38)*IFERROR(VLOOKUP($C38,Assumptions!$A$4:$G$7,3,FALSE),0)*Assumptions!$B$11</f>
        <v/>
      </c>
      <c r="AB38" s="3">
        <f>N(N38)*IFERROR(VLOOKUP($C38,Assumptions!$A$4:$G$7,4,FALSE),0)</f>
        <v/>
      </c>
      <c r="AC38" s="3">
        <f>IF(N(U38)=0,0,V38*IFERROR(VLOOKUP($C38,Assumptions!$A$4:$G$7,5,FALSE),0)*90/N(U38))</f>
        <v/>
      </c>
      <c r="AD38" s="3">
        <f>N(W38)</f>
        <v/>
      </c>
      <c r="AE38" s="3">
        <f>SUM(Y38:AD38)</f>
        <v/>
      </c>
      <c r="AF38" s="3">
        <f>N(AE38)*N(M38)/90</f>
        <v/>
      </c>
      <c r="AG38" s="3">
        <f>IFERROR(AF38-VLOOKUP($C38,Assumptions!$A$29:$C$32,3,FALSE),"")</f>
        <v/>
      </c>
      <c r="AH38" s="3">
        <f>IFERROR(AG38/F38,"")</f>
        <v/>
      </c>
      <c r="AI38">
        <f>IF(AND($E38=TRUE,$C38="GKP"),AF38,"")</f>
        <v/>
      </c>
      <c r="AJ38">
        <f>IF(AND($E38=TRUE,$C38="DEF"),AF38,"")</f>
        <v/>
      </c>
      <c r="AK38">
        <f>IF(AND($E38=TRUE,$C38="MID"),AF38,"")</f>
        <v/>
      </c>
      <c r="AL38">
        <f>IF(AND($E38=TRUE,$C38="FWD"),AF38,"")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b">
        <v>1</v>
      </c>
      <c r="F39" s="2" t="n">
        <v>6</v>
      </c>
      <c r="G39" t="inlineStr">
        <is>
          <t>i</t>
        </is>
      </c>
      <c r="H39" t="inlineStr">
        <is>
          <t>Back injury - Unknown return date</t>
        </is>
      </c>
      <c r="I39" s="2" t="n">
        <v>2614</v>
      </c>
      <c r="J39" t="n">
        <v>137</v>
      </c>
      <c r="K39" s="3" t="n">
        <v>3278</v>
      </c>
      <c r="L39" t="inlineStr">
        <is>
          <t>ramp-up (injury / late WC return)</t>
        </is>
      </c>
      <c r="M39" s="4" t="n">
        <v>2614</v>
      </c>
      <c r="N39" s="4" t="n">
        <v>0.5</v>
      </c>
      <c r="O39" s="3" t="n">
        <v>0.0287</v>
      </c>
      <c r="P39" t="inlineStr">
        <is>
          <t>adjusted xGOT</t>
        </is>
      </c>
      <c r="Q39" s="3" t="n">
        <v>0.949</v>
      </c>
      <c r="R39" s="3" t="n">
        <v>5.9</v>
      </c>
      <c r="S39" s="3" t="n">
        <v>0.0433</v>
      </c>
      <c r="T39" s="3" t="n">
        <v>6.87</v>
      </c>
      <c r="U39" s="4" t="n">
        <v>87.09999999999999</v>
      </c>
      <c r="V39" s="3">
        <f>IF(OR(N(T39)=0,N(U39)=0),0,1-POISSON(IFERROR(VLOOKUP($C39,Assumptions!$A$4:$G$7,7,FALSE),99)-1,N(T39)*N(U39)/90,TRUE))</f>
        <v/>
      </c>
      <c r="W39" s="3" t="n">
        <v>0.3787</v>
      </c>
      <c r="X39" s="3" t="n">
        <v>2.031</v>
      </c>
      <c r="Y39" s="3">
        <f>IF(X39="",IFERROR(VLOOKUP($C39,Assumptions!$A$4:$G$7,6,FALSE),0),X39)</f>
        <v/>
      </c>
      <c r="Z39" s="3">
        <f>N(O39)*IFERROR(VLOOKUP($C39,Assumptions!$A$4:$G$7,2,FALSE),0)</f>
        <v/>
      </c>
      <c r="AA39" s="3">
        <f>N(S39)*IFERROR(VLOOKUP($C39,Assumptions!$A$4:$G$7,3,FALSE),0)*Assumptions!$B$11</f>
        <v/>
      </c>
      <c r="AB39" s="3">
        <f>N(N39)*IFERROR(VLOOKUP($C39,Assumptions!$A$4:$G$7,4,FALSE),0)</f>
        <v/>
      </c>
      <c r="AC39" s="3">
        <f>IF(N(U39)=0,0,V39*IFERROR(VLOOKUP($C39,Assumptions!$A$4:$G$7,5,FALSE),0)*90/N(U39))</f>
        <v/>
      </c>
      <c r="AD39" s="3">
        <f>N(W39)</f>
        <v/>
      </c>
      <c r="AE39" s="3">
        <f>SUM(Y39:AD39)</f>
        <v/>
      </c>
      <c r="AF39" s="3">
        <f>N(AE39)*N(M39)/90</f>
        <v/>
      </c>
      <c r="AG39" s="3">
        <f>IFERROR(AF39-VLOOKUP($C39,Assumptions!$A$29:$C$32,3,FALSE),"")</f>
        <v/>
      </c>
      <c r="AH39" s="3">
        <f>IFERROR(AG39/F39,"")</f>
        <v/>
      </c>
      <c r="AI39">
        <f>IF(AND($E39=TRUE,$C39="GKP"),AF39,"")</f>
        <v/>
      </c>
      <c r="AJ39">
        <f>IF(AND($E39=TRUE,$C39="DEF"),AF39,"")</f>
        <v/>
      </c>
      <c r="AK39">
        <f>IF(AND($E39=TRUE,$C39="MID"),AF39,"")</f>
        <v/>
      </c>
      <c r="AL39">
        <f>IF(AND($E39=TRUE,$C39="FWD"),AF39,"")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b">
        <v>1</v>
      </c>
      <c r="F40" s="2" t="n">
        <v>6</v>
      </c>
      <c r="G40" t="inlineStr">
        <is>
          <t>a</t>
        </is>
      </c>
      <c r="I40" s="2" t="n">
        <v>2369</v>
      </c>
      <c r="J40" t="n">
        <v>137</v>
      </c>
      <c r="K40" s="3" t="n">
        <v>2964</v>
      </c>
      <c r="L40" t="inlineStr">
        <is>
          <t>flat</t>
        </is>
      </c>
      <c r="M40" s="4" t="n">
        <v>2369</v>
      </c>
      <c r="N40" s="4" t="n">
        <v>0.21</v>
      </c>
      <c r="O40" s="3" t="n">
        <v>0.1096</v>
      </c>
      <c r="P40" t="inlineStr">
        <is>
          <t>adjusted xGOT</t>
        </is>
      </c>
      <c r="Q40" s="3" t="n">
        <v>1.002</v>
      </c>
      <c r="R40" s="3" t="n">
        <v>2.9</v>
      </c>
      <c r="S40" s="3" t="n">
        <v>0.1981</v>
      </c>
      <c r="T40" s="3" t="n">
        <v>9.749000000000001</v>
      </c>
      <c r="U40" s="4" t="n">
        <v>84.59999999999999</v>
      </c>
      <c r="V40" s="3">
        <f>IF(OR(N(T40)=0,N(U40)=0),0,1-POISSON(IFERROR(VLOOKUP($C40,Assumptions!$A$4:$G$7,7,FALSE),99)-1,N(T40)*N(U40)/90,TRUE))</f>
        <v/>
      </c>
      <c r="W40" s="3" t="n">
        <v>0.5319</v>
      </c>
      <c r="X40" s="3" t="n">
        <v>2.127</v>
      </c>
      <c r="Y40" s="3">
        <f>IF(X40="",IFERROR(VLOOKUP($C40,Assumptions!$A$4:$G$7,6,FALSE),0),X40)</f>
        <v/>
      </c>
      <c r="Z40" s="3">
        <f>N(O40)*IFERROR(VLOOKUP($C40,Assumptions!$A$4:$G$7,2,FALSE),0)</f>
        <v/>
      </c>
      <c r="AA40" s="3">
        <f>N(S40)*IFERROR(VLOOKUP($C40,Assumptions!$A$4:$G$7,3,FALSE),0)*Assumptions!$B$11</f>
        <v/>
      </c>
      <c r="AB40" s="3">
        <f>N(N40)*IFERROR(VLOOKUP($C40,Assumptions!$A$4:$G$7,4,FALSE),0)</f>
        <v/>
      </c>
      <c r="AC40" s="3">
        <f>IF(N(U40)=0,0,V40*IFERROR(VLOOKUP($C40,Assumptions!$A$4:$G$7,5,FALSE),0)*90/N(U40))</f>
        <v/>
      </c>
      <c r="AD40" s="3">
        <f>N(W40)</f>
        <v/>
      </c>
      <c r="AE40" s="3">
        <f>SUM(Y40:AD40)</f>
        <v/>
      </c>
      <c r="AF40" s="3">
        <f>N(AE40)*N(M40)/90</f>
        <v/>
      </c>
      <c r="AG40" s="3">
        <f>IFERROR(AF40-VLOOKUP($C40,Assumptions!$A$29:$C$32,3,FALSE),"")</f>
        <v/>
      </c>
      <c r="AH40" s="3">
        <f>IFERROR(AG40/F40,"")</f>
        <v/>
      </c>
      <c r="AI40">
        <f>IF(AND($E40=TRUE,$C40="GKP"),AF40,"")</f>
        <v/>
      </c>
      <c r="AJ40">
        <f>IF(AND($E40=TRUE,$C40="DEF"),AF40,"")</f>
        <v/>
      </c>
      <c r="AK40">
        <f>IF(AND($E40=TRUE,$C40="MID"),AF40,"")</f>
        <v/>
      </c>
      <c r="AL40">
        <f>IF(AND($E40=TRUE,$C40="FWD"),AF40,"")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b">
        <v>1</v>
      </c>
      <c r="F41" s="2" t="n">
        <v>5.5</v>
      </c>
      <c r="G41" t="inlineStr">
        <is>
          <t>a</t>
        </is>
      </c>
      <c r="I41" s="2" t="n">
        <v>2400</v>
      </c>
      <c r="J41" t="n">
        <v>136</v>
      </c>
      <c r="K41" s="3" t="n">
        <v>3055</v>
      </c>
      <c r="L41" t="inlineStr">
        <is>
          <t>flat</t>
        </is>
      </c>
      <c r="M41" s="4" t="n">
        <v>2400</v>
      </c>
      <c r="N41" s="4" t="n">
        <v>0.316</v>
      </c>
      <c r="O41" s="3" t="n">
        <v>0.08119999999999999</v>
      </c>
      <c r="P41" t="inlineStr">
        <is>
          <t>adjusted xGOT</t>
        </is>
      </c>
      <c r="Q41" s="3" t="n">
        <v>0.884</v>
      </c>
      <c r="R41" s="3" t="n">
        <v>8.6</v>
      </c>
      <c r="S41" s="3" t="n">
        <v>0.1689</v>
      </c>
      <c r="T41" s="3" t="n">
        <v>7.427</v>
      </c>
      <c r="U41" s="4" t="n">
        <v>82.8</v>
      </c>
      <c r="V41" s="3">
        <f>IF(OR(N(T41)=0,N(U41)=0),0,1-POISSON(IFERROR(VLOOKUP($C41,Assumptions!$A$4:$G$7,7,FALSE),99)-1,N(T41)*N(U41)/90,TRUE))</f>
        <v/>
      </c>
      <c r="W41" s="3" t="n">
        <v>0.3375</v>
      </c>
      <c r="X41" s="3" t="n">
        <v>2.062</v>
      </c>
      <c r="Y41" s="3">
        <f>IF(X41="",IFERROR(VLOOKUP($C41,Assumptions!$A$4:$G$7,6,FALSE),0),X41)</f>
        <v/>
      </c>
      <c r="Z41" s="3">
        <f>N(O41)*IFERROR(VLOOKUP($C41,Assumptions!$A$4:$G$7,2,FALSE),0)</f>
        <v/>
      </c>
      <c r="AA41" s="3">
        <f>N(S41)*IFERROR(VLOOKUP($C41,Assumptions!$A$4:$G$7,3,FALSE),0)*Assumptions!$B$11</f>
        <v/>
      </c>
      <c r="AB41" s="3">
        <f>N(N41)*IFERROR(VLOOKUP($C41,Assumptions!$A$4:$G$7,4,FALSE),0)</f>
        <v/>
      </c>
      <c r="AC41" s="3">
        <f>IF(N(U41)=0,0,V41*IFERROR(VLOOKUP($C41,Assumptions!$A$4:$G$7,5,FALSE),0)*90/N(U41))</f>
        <v/>
      </c>
      <c r="AD41" s="3">
        <f>N(W41)</f>
        <v/>
      </c>
      <c r="AE41" s="3">
        <f>SUM(Y41:AD41)</f>
        <v/>
      </c>
      <c r="AF41" s="3">
        <f>N(AE41)*N(M41)/90</f>
        <v/>
      </c>
      <c r="AG41" s="3">
        <f>IFERROR(AF41-VLOOKUP($C41,Assumptions!$A$29:$C$32,3,FALSE),"")</f>
        <v/>
      </c>
      <c r="AH41" s="3">
        <f>IFERROR(AG41/F41,"")</f>
        <v/>
      </c>
      <c r="AI41">
        <f>IF(AND($E41=TRUE,$C41="GKP"),AF41,"")</f>
        <v/>
      </c>
      <c r="AJ41">
        <f>IF(AND($E41=TRUE,$C41="DEF"),AF41,"")</f>
        <v/>
      </c>
      <c r="AK41">
        <f>IF(AND($E41=TRUE,$C41="MID"),AF41,"")</f>
        <v/>
      </c>
      <c r="AL41">
        <f>IF(AND($E41=TRUE,$C41="FWD"),AF41,"")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b">
        <v>1</v>
      </c>
      <c r="F42" s="2" t="n">
        <v>5.5</v>
      </c>
      <c r="G42" t="inlineStr">
        <is>
          <t>u</t>
        </is>
      </c>
      <c r="H42" t="inlineStr">
        <is>
          <t>Has joined Como permanently</t>
        </is>
      </c>
      <c r="I42" s="2" t="n">
        <v>2780</v>
      </c>
      <c r="J42" t="n">
        <v>136</v>
      </c>
      <c r="K42" s="3" t="n"/>
      <c r="M42" s="4" t="n">
        <v>2780</v>
      </c>
      <c r="N42" s="4" t="n">
        <v>0.237</v>
      </c>
      <c r="O42" s="3" t="n">
        <v>0.0555</v>
      </c>
      <c r="P42" t="inlineStr">
        <is>
          <t>adjusted xGOT</t>
        </is>
      </c>
      <c r="Q42" s="3" t="n">
        <v>1.19</v>
      </c>
      <c r="R42" s="3" t="n">
        <v>4.4</v>
      </c>
      <c r="S42" s="3" t="n">
        <v>0.0269</v>
      </c>
      <c r="T42" s="3" t="n">
        <v>8.395</v>
      </c>
      <c r="U42" s="4" t="n">
        <v>89.7</v>
      </c>
      <c r="V42" s="3">
        <f>IF(OR(N(T42)=0,N(U42)=0),0,1-POISSON(IFERROR(VLOOKUP($C42,Assumptions!$A$4:$G$7,7,FALSE),99)-1,N(T42)*N(U42)/90,TRUE))</f>
        <v/>
      </c>
      <c r="W42" s="3" t="n">
        <v>0.1942</v>
      </c>
      <c r="X42" s="3" t="n">
        <v>2.072</v>
      </c>
      <c r="Y42" s="3">
        <f>IF(X42="",IFERROR(VLOOKUP($C42,Assumptions!$A$4:$G$7,6,FALSE),0),X42)</f>
        <v/>
      </c>
      <c r="Z42" s="3">
        <f>N(O42)*IFERROR(VLOOKUP($C42,Assumptions!$A$4:$G$7,2,FALSE),0)</f>
        <v/>
      </c>
      <c r="AA42" s="3">
        <f>N(S42)*IFERROR(VLOOKUP($C42,Assumptions!$A$4:$G$7,3,FALSE),0)*Assumptions!$B$11</f>
        <v/>
      </c>
      <c r="AB42" s="3">
        <f>N(N42)*IFERROR(VLOOKUP($C42,Assumptions!$A$4:$G$7,4,FALSE),0)</f>
        <v/>
      </c>
      <c r="AC42" s="3">
        <f>IF(N(U42)=0,0,V42*IFERROR(VLOOKUP($C42,Assumptions!$A$4:$G$7,5,FALSE),0)*90/N(U42))</f>
        <v/>
      </c>
      <c r="AD42" s="3">
        <f>N(W42)</f>
        <v/>
      </c>
      <c r="AE42" s="3">
        <f>SUM(Y42:AD42)</f>
        <v/>
      </c>
      <c r="AF42" s="3">
        <f>N(AE42)*N(M42)/90</f>
        <v/>
      </c>
      <c r="AG42" s="3">
        <f>IFERROR(AF42-VLOOKUP($C42,Assumptions!$A$29:$C$32,3,FALSE),"")</f>
        <v/>
      </c>
      <c r="AH42" s="3">
        <f>IFERROR(AG42/F42,"")</f>
        <v/>
      </c>
      <c r="AI42">
        <f>IF(AND($E42=TRUE,$C42="GKP"),AF42,"")</f>
        <v/>
      </c>
      <c r="AJ42">
        <f>IF(AND($E42=TRUE,$C42="DEF"),AF42,"")</f>
        <v/>
      </c>
      <c r="AK42">
        <f>IF(AND($E42=TRUE,$C42="MID"),AF42,"")</f>
        <v/>
      </c>
      <c r="AL42">
        <f>IF(AND($E42=TRUE,$C42="FWD"),AF42,"")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b">
        <v>1</v>
      </c>
      <c r="F43" s="2" t="n">
        <v>5</v>
      </c>
      <c r="G43" t="inlineStr">
        <is>
          <t>a</t>
        </is>
      </c>
      <c r="I43" s="2" t="n">
        <v>3150</v>
      </c>
      <c r="J43" t="n">
        <v>136</v>
      </c>
      <c r="K43" s="3" t="n">
        <v>3420</v>
      </c>
      <c r="L43" t="inlineStr">
        <is>
          <t>flat</t>
        </is>
      </c>
      <c r="M43" s="4" t="n">
        <v>3150</v>
      </c>
      <c r="N43" s="4" t="n">
        <v>0.29</v>
      </c>
      <c r="O43" s="3" t="n">
        <v>0</v>
      </c>
      <c r="P43" t="inlineStr">
        <is>
          <t>blended xG</t>
        </is>
      </c>
      <c r="Q43" s="3" t="n">
        <v>1</v>
      </c>
      <c r="R43" s="3" t="n">
        <v>0</v>
      </c>
      <c r="S43" s="3" t="n">
        <v>0.0115</v>
      </c>
      <c r="T43" s="3" t="n">
        <v>0</v>
      </c>
      <c r="U43" s="4" t="n">
        <v>90</v>
      </c>
      <c r="V43" s="3">
        <f>IF(OR(N(T43)=0,N(U43)=0),0,1-POISSON(IFERROR(VLOOKUP($C43,Assumptions!$A$4:$G$7,7,FALSE),99)-1,N(T43)*N(U43)/90,TRUE))</f>
        <v/>
      </c>
      <c r="W43" s="3" t="n">
        <v>0.3429</v>
      </c>
      <c r="X43" s="3" t="n">
        <v>2</v>
      </c>
      <c r="Y43" s="3">
        <f>IF(X43="",IFERROR(VLOOKUP($C43,Assumptions!$A$4:$G$7,6,FALSE),0),X43)</f>
        <v/>
      </c>
      <c r="Z43" s="3">
        <f>N(O43)*IFERROR(VLOOKUP($C43,Assumptions!$A$4:$G$7,2,FALSE),0)</f>
        <v/>
      </c>
      <c r="AA43" s="3">
        <f>N(S43)*IFERROR(VLOOKUP($C43,Assumptions!$A$4:$G$7,3,FALSE),0)*Assumptions!$B$11</f>
        <v/>
      </c>
      <c r="AB43" s="3">
        <f>N(N43)*IFERROR(VLOOKUP($C43,Assumptions!$A$4:$G$7,4,FALSE),0)</f>
        <v/>
      </c>
      <c r="AC43" s="3">
        <f>IF(N(U43)=0,0,V43*IFERROR(VLOOKUP($C43,Assumptions!$A$4:$G$7,5,FALSE),0)*90/N(U43))</f>
        <v/>
      </c>
      <c r="AD43" s="3">
        <f>N(W43)</f>
        <v/>
      </c>
      <c r="AE43" s="3">
        <f>SUM(Y43:AD43)</f>
        <v/>
      </c>
      <c r="AF43" s="3">
        <f>N(AE43)*N(M43)/90</f>
        <v/>
      </c>
      <c r="AG43" s="3">
        <f>IFERROR(AF43-VLOOKUP($C43,Assumptions!$A$29:$C$32,3,FALSE),"")</f>
        <v/>
      </c>
      <c r="AH43" s="3">
        <f>IFERROR(AG43/F43,"")</f>
        <v/>
      </c>
      <c r="AI43">
        <f>IF(AND($E43=TRUE,$C43="GKP"),AF43,"")</f>
        <v/>
      </c>
      <c r="AJ43">
        <f>IF(AND($E43=TRUE,$C43="DEF"),AF43,"")</f>
        <v/>
      </c>
      <c r="AK43">
        <f>IF(AND($E43=TRUE,$C43="MID"),AF43,"")</f>
        <v/>
      </c>
      <c r="AL43">
        <f>IF(AND($E43=TRUE,$C43="FWD"),AF43,"")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b">
        <v>1</v>
      </c>
      <c r="F44" s="2" t="n">
        <v>6.5</v>
      </c>
      <c r="G44" t="inlineStr">
        <is>
          <t>a</t>
        </is>
      </c>
      <c r="I44" s="2" t="n">
        <v>2271</v>
      </c>
      <c r="J44" t="n">
        <v>136</v>
      </c>
      <c r="K44" s="3" t="n">
        <v>2878</v>
      </c>
      <c r="L44" t="inlineStr">
        <is>
          <t>flat</t>
        </is>
      </c>
      <c r="M44" s="4" t="n">
        <v>2271</v>
      </c>
      <c r="N44" s="4" t="n">
        <v>0.263</v>
      </c>
      <c r="O44" s="3" t="n">
        <v>0.2639</v>
      </c>
      <c r="P44" t="inlineStr">
        <is>
          <t>adjusted xGOT</t>
        </is>
      </c>
      <c r="Q44" s="3" t="n">
        <v>0.838</v>
      </c>
      <c r="R44" s="3" t="n">
        <v>22.5</v>
      </c>
      <c r="S44" s="3" t="n">
        <v>0.1978</v>
      </c>
      <c r="T44" s="3" t="n">
        <v>7.631</v>
      </c>
      <c r="U44" s="4" t="n">
        <v>90.8</v>
      </c>
      <c r="V44" s="3">
        <f>IF(OR(N(T44)=0,N(U44)=0),0,1-POISSON(IFERROR(VLOOKUP($C44,Assumptions!$A$4:$G$7,7,FALSE),99)-1,N(T44)*N(U44)/90,TRUE))</f>
        <v/>
      </c>
      <c r="W44" s="3" t="n">
        <v>0.6341</v>
      </c>
      <c r="X44" s="3" t="n">
        <v>2.219</v>
      </c>
      <c r="Y44" s="3">
        <f>IF(X44="",IFERROR(VLOOKUP($C44,Assumptions!$A$4:$G$7,6,FALSE),0),X44)</f>
        <v/>
      </c>
      <c r="Z44" s="3">
        <f>N(O44)*IFERROR(VLOOKUP($C44,Assumptions!$A$4:$G$7,2,FALSE),0)</f>
        <v/>
      </c>
      <c r="AA44" s="3">
        <f>N(S44)*IFERROR(VLOOKUP($C44,Assumptions!$A$4:$G$7,3,FALSE),0)*Assumptions!$B$11</f>
        <v/>
      </c>
      <c r="AB44" s="3">
        <f>N(N44)*IFERROR(VLOOKUP($C44,Assumptions!$A$4:$G$7,4,FALSE),0)</f>
        <v/>
      </c>
      <c r="AC44" s="3">
        <f>IF(N(U44)=0,0,V44*IFERROR(VLOOKUP($C44,Assumptions!$A$4:$G$7,5,FALSE),0)*90/N(U44))</f>
        <v/>
      </c>
      <c r="AD44" s="3">
        <f>N(W44)</f>
        <v/>
      </c>
      <c r="AE44" s="3">
        <f>SUM(Y44:AD44)</f>
        <v/>
      </c>
      <c r="AF44" s="3">
        <f>N(AE44)*N(M44)/90</f>
        <v/>
      </c>
      <c r="AG44" s="3">
        <f>IFERROR(AF44-VLOOKUP($C44,Assumptions!$A$29:$C$32,3,FALSE),"")</f>
        <v/>
      </c>
      <c r="AH44" s="3">
        <f>IFERROR(AG44/F44,"")</f>
        <v/>
      </c>
      <c r="AI44">
        <f>IF(AND($E44=TRUE,$C44="GKP"),AF44,"")</f>
        <v/>
      </c>
      <c r="AJ44">
        <f>IF(AND($E44=TRUE,$C44="DEF"),AF44,"")</f>
        <v/>
      </c>
      <c r="AK44">
        <f>IF(AND($E44=TRUE,$C44="MID"),AF44,"")</f>
        <v/>
      </c>
      <c r="AL44">
        <f>IF(AND($E44=TRUE,$C44="FWD"),AF44,"")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b">
        <v>1</v>
      </c>
      <c r="F45" s="2" t="n">
        <v>6</v>
      </c>
      <c r="G45" t="inlineStr">
        <is>
          <t>a</t>
        </is>
      </c>
      <c r="I45" s="2" t="n">
        <v>2848</v>
      </c>
      <c r="J45" t="n">
        <v>136</v>
      </c>
      <c r="K45" s="3" t="n">
        <v>3175</v>
      </c>
      <c r="L45" t="inlineStr">
        <is>
          <t>flat</t>
        </is>
      </c>
      <c r="M45" s="4" t="n">
        <v>2848</v>
      </c>
      <c r="N45" s="4" t="n">
        <v>0.29</v>
      </c>
      <c r="O45" s="3" t="n">
        <v>0.116</v>
      </c>
      <c r="P45" t="inlineStr">
        <is>
          <t>adjusted xGOT</t>
        </is>
      </c>
      <c r="Q45" s="3" t="n">
        <v>0.966</v>
      </c>
      <c r="R45" s="3" t="n">
        <v>5.4</v>
      </c>
      <c r="S45" s="3" t="n">
        <v>0.0921</v>
      </c>
      <c r="T45" s="3" t="n">
        <v>11.467</v>
      </c>
      <c r="U45" s="4" t="n">
        <v>83.8</v>
      </c>
      <c r="V45" s="3">
        <f>IF(OR(N(T45)=0,N(U45)=0),0,1-POISSON(IFERROR(VLOOKUP($C45,Assumptions!$A$4:$G$7,7,FALSE),99)-1,N(T45)*N(U45)/90,TRUE))</f>
        <v/>
      </c>
      <c r="W45" s="3" t="n">
        <v>0.2844</v>
      </c>
      <c r="X45" s="3" t="n">
        <v>2.212</v>
      </c>
      <c r="Y45" s="3">
        <f>IF(X45="",IFERROR(VLOOKUP($C45,Assumptions!$A$4:$G$7,6,FALSE),0),X45)</f>
        <v/>
      </c>
      <c r="Z45" s="3">
        <f>N(O45)*IFERROR(VLOOKUP($C45,Assumptions!$A$4:$G$7,2,FALSE),0)</f>
        <v/>
      </c>
      <c r="AA45" s="3">
        <f>N(S45)*IFERROR(VLOOKUP($C45,Assumptions!$A$4:$G$7,3,FALSE),0)*Assumptions!$B$11</f>
        <v/>
      </c>
      <c r="AB45" s="3">
        <f>N(N45)*IFERROR(VLOOKUP($C45,Assumptions!$A$4:$G$7,4,FALSE),0)</f>
        <v/>
      </c>
      <c r="AC45" s="3">
        <f>IF(N(U45)=0,0,V45*IFERROR(VLOOKUP($C45,Assumptions!$A$4:$G$7,5,FALSE),0)*90/N(U45))</f>
        <v/>
      </c>
      <c r="AD45" s="3">
        <f>N(W45)</f>
        <v/>
      </c>
      <c r="AE45" s="3">
        <f>SUM(Y45:AD45)</f>
        <v/>
      </c>
      <c r="AF45" s="3">
        <f>N(AE45)*N(M45)/90</f>
        <v/>
      </c>
      <c r="AG45" s="3">
        <f>IFERROR(AF45-VLOOKUP($C45,Assumptions!$A$29:$C$32,3,FALSE),"")</f>
        <v/>
      </c>
      <c r="AH45" s="3">
        <f>IFERROR(AG45/F45,"")</f>
        <v/>
      </c>
      <c r="AI45">
        <f>IF(AND($E45=TRUE,$C45="GKP"),AF45,"")</f>
        <v/>
      </c>
      <c r="AJ45">
        <f>IF(AND($E45=TRUE,$C45="DEF"),AF45,"")</f>
        <v/>
      </c>
      <c r="AK45">
        <f>IF(AND($E45=TRUE,$C45="MID"),AF45,"")</f>
        <v/>
      </c>
      <c r="AL45">
        <f>IF(AND($E45=TRUE,$C45="FWD"),AF45,"")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b">
        <v>1</v>
      </c>
      <c r="F46" s="2" t="n">
        <v>6</v>
      </c>
      <c r="G46" t="inlineStr">
        <is>
          <t>a</t>
        </is>
      </c>
      <c r="I46" s="2" t="n">
        <v>3017</v>
      </c>
      <c r="J46" t="n">
        <v>135</v>
      </c>
      <c r="K46" s="3" t="n">
        <v>3089</v>
      </c>
      <c r="L46" t="inlineStr">
        <is>
          <t>flat</t>
        </is>
      </c>
      <c r="M46" s="4" t="n">
        <v>3017</v>
      </c>
      <c r="N46" s="4" t="n">
        <v>0.237</v>
      </c>
      <c r="O46" s="3" t="n">
        <v>0.0501</v>
      </c>
      <c r="P46" t="inlineStr">
        <is>
          <t>adjusted xGOT</t>
        </is>
      </c>
      <c r="Q46" s="3" t="n">
        <v>0.843</v>
      </c>
      <c r="R46" s="3" t="n">
        <v>6.1</v>
      </c>
      <c r="S46" s="3" t="n">
        <v>0.0939</v>
      </c>
      <c r="T46" s="3" t="n">
        <v>10.539</v>
      </c>
      <c r="U46" s="4" t="n">
        <v>86.2</v>
      </c>
      <c r="V46" s="3">
        <f>IF(OR(N(T46)=0,N(U46)=0),0,1-POISSON(IFERROR(VLOOKUP($C46,Assumptions!$A$4:$G$7,7,FALSE),99)-1,N(T46)*N(U46)/90,TRUE))</f>
        <v/>
      </c>
      <c r="W46" s="3" t="n">
        <v>0.179</v>
      </c>
      <c r="X46" s="3" t="n">
        <v>2.088</v>
      </c>
      <c r="Y46" s="3">
        <f>IF(X46="",IFERROR(VLOOKUP($C46,Assumptions!$A$4:$G$7,6,FALSE),0),X46)</f>
        <v/>
      </c>
      <c r="Z46" s="3">
        <f>N(O46)*IFERROR(VLOOKUP($C46,Assumptions!$A$4:$G$7,2,FALSE),0)</f>
        <v/>
      </c>
      <c r="AA46" s="3">
        <f>N(S46)*IFERROR(VLOOKUP($C46,Assumptions!$A$4:$G$7,3,FALSE),0)*Assumptions!$B$11</f>
        <v/>
      </c>
      <c r="AB46" s="3">
        <f>N(N46)*IFERROR(VLOOKUP($C46,Assumptions!$A$4:$G$7,4,FALSE),0)</f>
        <v/>
      </c>
      <c r="AC46" s="3">
        <f>IF(N(U46)=0,0,V46*IFERROR(VLOOKUP($C46,Assumptions!$A$4:$G$7,5,FALSE),0)*90/N(U46))</f>
        <v/>
      </c>
      <c r="AD46" s="3">
        <f>N(W46)</f>
        <v/>
      </c>
      <c r="AE46" s="3">
        <f>SUM(Y46:AD46)</f>
        <v/>
      </c>
      <c r="AF46" s="3">
        <f>N(AE46)*N(M46)/90</f>
        <v/>
      </c>
      <c r="AG46" s="3">
        <f>IFERROR(AF46-VLOOKUP($C46,Assumptions!$A$29:$C$32,3,FALSE),"")</f>
        <v/>
      </c>
      <c r="AH46" s="3">
        <f>IFERROR(AG46/F46,"")</f>
        <v/>
      </c>
      <c r="AI46">
        <f>IF(AND($E46=TRUE,$C46="GKP"),AF46,"")</f>
        <v/>
      </c>
      <c r="AJ46">
        <f>IF(AND($E46=TRUE,$C46="DEF"),AF46,"")</f>
        <v/>
      </c>
      <c r="AK46">
        <f>IF(AND($E46=TRUE,$C46="MID"),AF46,"")</f>
        <v/>
      </c>
      <c r="AL46">
        <f>IF(AND($E46=TRUE,$C46="FWD"),AF46,"")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b">
        <v>1</v>
      </c>
      <c r="F47" s="2" t="n">
        <v>7.5</v>
      </c>
      <c r="G47" t="inlineStr">
        <is>
          <t>a</t>
        </is>
      </c>
      <c r="I47" s="2" t="n">
        <v>1772</v>
      </c>
      <c r="J47" t="n">
        <v>135</v>
      </c>
      <c r="K47" s="3" t="n">
        <v>1796</v>
      </c>
      <c r="L47" t="inlineStr">
        <is>
          <t>flat</t>
        </is>
      </c>
      <c r="M47" s="4" t="n">
        <v>1772</v>
      </c>
      <c r="N47" s="4" t="n">
        <v>0.421</v>
      </c>
      <c r="O47" s="3" t="n">
        <v>0.2231</v>
      </c>
      <c r="P47" t="inlineStr">
        <is>
          <t>adjusted xGOT</t>
        </is>
      </c>
      <c r="Q47" s="3" t="n">
        <v>1.026</v>
      </c>
      <c r="R47" s="3" t="n">
        <v>4.3</v>
      </c>
      <c r="S47" s="3" t="n">
        <v>0.4991</v>
      </c>
      <c r="T47" s="3" t="n">
        <v>7.354</v>
      </c>
      <c r="U47" s="4" t="n">
        <v>93.3</v>
      </c>
      <c r="V47" s="3">
        <f>IF(OR(N(T47)=0,N(U47)=0),0,1-POISSON(IFERROR(VLOOKUP($C47,Assumptions!$A$4:$G$7,7,FALSE),99)-1,N(T47)*N(U47)/90,TRUE))</f>
        <v/>
      </c>
      <c r="W47" s="3" t="n">
        <v>0.8126</v>
      </c>
      <c r="X47" s="3" t="n">
        <v>2.489</v>
      </c>
      <c r="Y47" s="3">
        <f>IF(X47="",IFERROR(VLOOKUP($C47,Assumptions!$A$4:$G$7,6,FALSE),0),X47)</f>
        <v/>
      </c>
      <c r="Z47" s="3">
        <f>N(O47)*IFERROR(VLOOKUP($C47,Assumptions!$A$4:$G$7,2,FALSE),0)</f>
        <v/>
      </c>
      <c r="AA47" s="3">
        <f>N(S47)*IFERROR(VLOOKUP($C47,Assumptions!$A$4:$G$7,3,FALSE),0)*Assumptions!$B$11</f>
        <v/>
      </c>
      <c r="AB47" s="3">
        <f>N(N47)*IFERROR(VLOOKUP($C47,Assumptions!$A$4:$G$7,4,FALSE),0)</f>
        <v/>
      </c>
      <c r="AC47" s="3">
        <f>IF(N(U47)=0,0,V47*IFERROR(VLOOKUP($C47,Assumptions!$A$4:$G$7,5,FALSE),0)*90/N(U47))</f>
        <v/>
      </c>
      <c r="AD47" s="3">
        <f>N(W47)</f>
        <v/>
      </c>
      <c r="AE47" s="3">
        <f>SUM(Y47:AD47)</f>
        <v/>
      </c>
      <c r="AF47" s="3">
        <f>N(AE47)*N(M47)/90</f>
        <v/>
      </c>
      <c r="AG47" s="3">
        <f>IFERROR(AF47-VLOOKUP($C47,Assumptions!$A$29:$C$32,3,FALSE),"")</f>
        <v/>
      </c>
      <c r="AH47" s="3">
        <f>IFERROR(AG47/F47,"")</f>
        <v/>
      </c>
      <c r="AI47">
        <f>IF(AND($E47=TRUE,$C47="GKP"),AF47,"")</f>
        <v/>
      </c>
      <c r="AJ47">
        <f>IF(AND($E47=TRUE,$C47="DEF"),AF47,"")</f>
        <v/>
      </c>
      <c r="AK47">
        <f>IF(AND($E47=TRUE,$C47="MID"),AF47,"")</f>
        <v/>
      </c>
      <c r="AL47">
        <f>IF(AND($E47=TRUE,$C47="FWD"),AF47,"")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b">
        <v>1</v>
      </c>
      <c r="F48" s="2" t="n">
        <v>5.5</v>
      </c>
      <c r="G48" t="inlineStr">
        <is>
          <t>a</t>
        </is>
      </c>
      <c r="I48" s="2" t="n">
        <v>3420</v>
      </c>
      <c r="J48" t="n">
        <v>135</v>
      </c>
      <c r="K48" s="3" t="n">
        <v>3385</v>
      </c>
      <c r="L48" t="inlineStr">
        <is>
          <t>flat</t>
        </is>
      </c>
      <c r="M48" s="4" t="n">
        <v>3420</v>
      </c>
      <c r="N48" s="4" t="n">
        <v>0.29</v>
      </c>
      <c r="O48" s="3" t="n">
        <v>0</v>
      </c>
      <c r="P48" t="inlineStr">
        <is>
          <t>blended xG</t>
        </is>
      </c>
      <c r="Q48" s="3" t="n">
        <v>1</v>
      </c>
      <c r="R48" s="3" t="n">
        <v>0</v>
      </c>
      <c r="S48" s="3" t="n">
        <v>0.0057</v>
      </c>
      <c r="T48" s="3" t="n">
        <v>0</v>
      </c>
      <c r="U48" s="4" t="n">
        <v>90</v>
      </c>
      <c r="V48" s="3">
        <f>IF(OR(N(T48)=0,N(U48)=0),0,1-POISSON(IFERROR(VLOOKUP($C48,Assumptions!$A$4:$G$7,7,FALSE),99)-1,N(T48)*N(U48)/90,TRUE))</f>
        <v/>
      </c>
      <c r="W48" s="3" t="n">
        <v>0.3947</v>
      </c>
      <c r="X48" s="3" t="n">
        <v>2</v>
      </c>
      <c r="Y48" s="3">
        <f>IF(X48="",IFERROR(VLOOKUP($C48,Assumptions!$A$4:$G$7,6,FALSE),0),X48)</f>
        <v/>
      </c>
      <c r="Z48" s="3">
        <f>N(O48)*IFERROR(VLOOKUP($C48,Assumptions!$A$4:$G$7,2,FALSE),0)</f>
        <v/>
      </c>
      <c r="AA48" s="3">
        <f>N(S48)*IFERROR(VLOOKUP($C48,Assumptions!$A$4:$G$7,3,FALSE),0)*Assumptions!$B$11</f>
        <v/>
      </c>
      <c r="AB48" s="3">
        <f>N(N48)*IFERROR(VLOOKUP($C48,Assumptions!$A$4:$G$7,4,FALSE),0)</f>
        <v/>
      </c>
      <c r="AC48" s="3">
        <f>IF(N(U48)=0,0,V48*IFERROR(VLOOKUP($C48,Assumptions!$A$4:$G$7,5,FALSE),0)*90/N(U48))</f>
        <v/>
      </c>
      <c r="AD48" s="3">
        <f>N(W48)</f>
        <v/>
      </c>
      <c r="AE48" s="3">
        <f>SUM(Y48:AD48)</f>
        <v/>
      </c>
      <c r="AF48" s="3">
        <f>N(AE48)*N(M48)/90</f>
        <v/>
      </c>
      <c r="AG48" s="3">
        <f>IFERROR(AF48-VLOOKUP($C48,Assumptions!$A$29:$C$32,3,FALSE),"")</f>
        <v/>
      </c>
      <c r="AH48" s="3">
        <f>IFERROR(AG48/F48,"")</f>
        <v/>
      </c>
      <c r="AI48">
        <f>IF(AND($E48=TRUE,$C48="GKP"),AF48,"")</f>
        <v/>
      </c>
      <c r="AJ48">
        <f>IF(AND($E48=TRUE,$C48="DEF"),AF48,"")</f>
        <v/>
      </c>
      <c r="AK48">
        <f>IF(AND($E48=TRUE,$C48="MID"),AF48,"")</f>
        <v/>
      </c>
      <c r="AL48">
        <f>IF(AND($E48=TRUE,$C48="FWD"),AF48,"")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b">
        <v>1</v>
      </c>
      <c r="F49" s="2" t="n">
        <v>5.5</v>
      </c>
      <c r="G49" t="inlineStr">
        <is>
          <t>a</t>
        </is>
      </c>
      <c r="I49" s="2" t="n">
        <v>3060</v>
      </c>
      <c r="J49" t="n">
        <v>135</v>
      </c>
      <c r="K49" s="3" t="n">
        <v>3420</v>
      </c>
      <c r="L49" t="inlineStr">
        <is>
          <t>flat</t>
        </is>
      </c>
      <c r="M49" s="4" t="n">
        <v>3060</v>
      </c>
      <c r="N49" s="4" t="n">
        <v>0.421</v>
      </c>
      <c r="O49" s="3" t="n">
        <v>0</v>
      </c>
      <c r="P49" t="inlineStr">
        <is>
          <t>blended xG</t>
        </is>
      </c>
      <c r="Q49" s="3" t="n">
        <v>1</v>
      </c>
      <c r="R49" s="3" t="n">
        <v>0</v>
      </c>
      <c r="S49" s="3" t="n">
        <v>0.0019</v>
      </c>
      <c r="T49" s="3" t="n">
        <v>0</v>
      </c>
      <c r="U49" s="4" t="n">
        <v>90</v>
      </c>
      <c r="V49" s="3">
        <f>IF(OR(N(T49)=0,N(U49)=0),0,1-POISSON(IFERROR(VLOOKUP($C49,Assumptions!$A$4:$G$7,7,FALSE),99)-1,N(T49)*N(U49)/90,TRUE))</f>
        <v/>
      </c>
      <c r="W49" s="3" t="n">
        <v>0.1765</v>
      </c>
      <c r="X49" s="3" t="n">
        <v>2</v>
      </c>
      <c r="Y49" s="3">
        <f>IF(X49="",IFERROR(VLOOKUP($C49,Assumptions!$A$4:$G$7,6,FALSE),0),X49)</f>
        <v/>
      </c>
      <c r="Z49" s="3">
        <f>N(O49)*IFERROR(VLOOKUP($C49,Assumptions!$A$4:$G$7,2,FALSE),0)</f>
        <v/>
      </c>
      <c r="AA49" s="3">
        <f>N(S49)*IFERROR(VLOOKUP($C49,Assumptions!$A$4:$G$7,3,FALSE),0)*Assumptions!$B$11</f>
        <v/>
      </c>
      <c r="AB49" s="3">
        <f>N(N49)*IFERROR(VLOOKUP($C49,Assumptions!$A$4:$G$7,4,FALSE),0)</f>
        <v/>
      </c>
      <c r="AC49" s="3">
        <f>IF(N(U49)=0,0,V49*IFERROR(VLOOKUP($C49,Assumptions!$A$4:$G$7,5,FALSE),0)*90/N(U49))</f>
        <v/>
      </c>
      <c r="AD49" s="3">
        <f>N(W49)</f>
        <v/>
      </c>
      <c r="AE49" s="3">
        <f>SUM(Y49:AD49)</f>
        <v/>
      </c>
      <c r="AF49" s="3">
        <f>N(AE49)*N(M49)/90</f>
        <v/>
      </c>
      <c r="AG49" s="3">
        <f>IFERROR(AF49-VLOOKUP($C49,Assumptions!$A$29:$C$32,3,FALSE),"")</f>
        <v/>
      </c>
      <c r="AH49" s="3">
        <f>IFERROR(AG49/F49,"")</f>
        <v/>
      </c>
      <c r="AI49">
        <f>IF(AND($E49=TRUE,$C49="GKP"),AF49,"")</f>
        <v/>
      </c>
      <c r="AJ49">
        <f>IF(AND($E49=TRUE,$C49="DEF"),AF49,"")</f>
        <v/>
      </c>
      <c r="AK49">
        <f>IF(AND($E49=TRUE,$C49="MID"),AF49,"")</f>
        <v/>
      </c>
      <c r="AL49">
        <f>IF(AND($E49=TRUE,$C49="FWD"),AF49,"")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b">
        <v>1</v>
      </c>
      <c r="F50" s="2" t="n">
        <v>4.5</v>
      </c>
      <c r="G50" t="inlineStr">
        <is>
          <t>a</t>
        </is>
      </c>
      <c r="I50" s="2" t="n">
        <v>3253</v>
      </c>
      <c r="J50" t="n">
        <v>135</v>
      </c>
      <c r="K50" s="3" t="n">
        <v>2554</v>
      </c>
      <c r="L50" t="inlineStr">
        <is>
          <t>flat</t>
        </is>
      </c>
      <c r="M50" s="4" t="n">
        <v>3253</v>
      </c>
      <c r="N50" s="4" t="n">
        <v>0.316</v>
      </c>
      <c r="O50" s="3" t="n">
        <v>0.0427</v>
      </c>
      <c r="P50" t="inlineStr">
        <is>
          <t>adjusted xGOT</t>
        </is>
      </c>
      <c r="Q50" s="3" t="n">
        <v>0.97</v>
      </c>
      <c r="R50" s="3" t="n">
        <v>4.8</v>
      </c>
      <c r="S50" s="3" t="n">
        <v>0.077</v>
      </c>
      <c r="T50" s="3" t="n">
        <v>6.943</v>
      </c>
      <c r="U50" s="4" t="n">
        <v>90.40000000000001</v>
      </c>
      <c r="V50" s="3">
        <f>IF(OR(N(T50)=0,N(U50)=0),0,1-POISSON(IFERROR(VLOOKUP($C50,Assumptions!$A$4:$G$7,7,FALSE),99)-1,N(T50)*N(U50)/90,TRUE))</f>
        <v/>
      </c>
      <c r="W50" s="3" t="n">
        <v>0.2213</v>
      </c>
      <c r="X50" s="3" t="n">
        <v>2.02</v>
      </c>
      <c r="Y50" s="3">
        <f>IF(X50="",IFERROR(VLOOKUP($C50,Assumptions!$A$4:$G$7,6,FALSE),0),X50)</f>
        <v/>
      </c>
      <c r="Z50" s="3">
        <f>N(O50)*IFERROR(VLOOKUP($C50,Assumptions!$A$4:$G$7,2,FALSE),0)</f>
        <v/>
      </c>
      <c r="AA50" s="3">
        <f>N(S50)*IFERROR(VLOOKUP($C50,Assumptions!$A$4:$G$7,3,FALSE),0)*Assumptions!$B$11</f>
        <v/>
      </c>
      <c r="AB50" s="3">
        <f>N(N50)*IFERROR(VLOOKUP($C50,Assumptions!$A$4:$G$7,4,FALSE),0)</f>
        <v/>
      </c>
      <c r="AC50" s="3">
        <f>IF(N(U50)=0,0,V50*IFERROR(VLOOKUP($C50,Assumptions!$A$4:$G$7,5,FALSE),0)*90/N(U50))</f>
        <v/>
      </c>
      <c r="AD50" s="3">
        <f>N(W50)</f>
        <v/>
      </c>
      <c r="AE50" s="3">
        <f>SUM(Y50:AD50)</f>
        <v/>
      </c>
      <c r="AF50" s="3">
        <f>N(AE50)*N(M50)/90</f>
        <v/>
      </c>
      <c r="AG50" s="3">
        <f>IFERROR(AF50-VLOOKUP($C50,Assumptions!$A$29:$C$32,3,FALSE),"")</f>
        <v/>
      </c>
      <c r="AH50" s="3">
        <f>IFERROR(AG50/F50,"")</f>
        <v/>
      </c>
      <c r="AI50">
        <f>IF(AND($E50=TRUE,$C50="GKP"),AF50,"")</f>
        <v/>
      </c>
      <c r="AJ50">
        <f>IF(AND($E50=TRUE,$C50="DEF"),AF50,"")</f>
        <v/>
      </c>
      <c r="AK50">
        <f>IF(AND($E50=TRUE,$C50="MID"),AF50,"")</f>
        <v/>
      </c>
      <c r="AL50">
        <f>IF(AND($E50=TRUE,$C50="FWD"),AF50,"")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b">
        <v>1</v>
      </c>
      <c r="F51" s="2" t="n">
        <v>5.5</v>
      </c>
      <c r="G51" t="inlineStr">
        <is>
          <t>a</t>
        </is>
      </c>
      <c r="I51" s="2" t="n">
        <v>3119</v>
      </c>
      <c r="J51" t="n">
        <v>134</v>
      </c>
      <c r="K51" s="3" t="n">
        <v>3207</v>
      </c>
      <c r="L51" t="inlineStr">
        <is>
          <t>flat</t>
        </is>
      </c>
      <c r="M51" s="4" t="n">
        <v>3119</v>
      </c>
      <c r="N51" s="4" t="n">
        <v>0.21</v>
      </c>
      <c r="O51" s="3" t="n">
        <v>0.0688</v>
      </c>
      <c r="P51" t="inlineStr">
        <is>
          <t>adjusted xGOT</t>
        </is>
      </c>
      <c r="Q51" s="3" t="n">
        <v>0.965</v>
      </c>
      <c r="R51" s="3" t="n">
        <v>2.5</v>
      </c>
      <c r="S51" s="3" t="n">
        <v>0.0487</v>
      </c>
      <c r="T51" s="3" t="n">
        <v>11.361</v>
      </c>
      <c r="U51" s="4" t="n">
        <v>89.09999999999999</v>
      </c>
      <c r="V51" s="3">
        <f>IF(OR(N(T51)=0,N(U51)=0),0,1-POISSON(IFERROR(VLOOKUP($C51,Assumptions!$A$4:$G$7,7,FALSE),99)-1,N(T51)*N(U51)/90,TRUE))</f>
        <v/>
      </c>
      <c r="W51" s="3" t="n">
        <v>0.3174</v>
      </c>
      <c r="X51" s="3" t="n">
        <v>2.02</v>
      </c>
      <c r="Y51" s="3">
        <f>IF(X51="",IFERROR(VLOOKUP($C51,Assumptions!$A$4:$G$7,6,FALSE),0),X51)</f>
        <v/>
      </c>
      <c r="Z51" s="3">
        <f>N(O51)*IFERROR(VLOOKUP($C51,Assumptions!$A$4:$G$7,2,FALSE),0)</f>
        <v/>
      </c>
      <c r="AA51" s="3">
        <f>N(S51)*IFERROR(VLOOKUP($C51,Assumptions!$A$4:$G$7,3,FALSE),0)*Assumptions!$B$11</f>
        <v/>
      </c>
      <c r="AB51" s="3">
        <f>N(N51)*IFERROR(VLOOKUP($C51,Assumptions!$A$4:$G$7,4,FALSE),0)</f>
        <v/>
      </c>
      <c r="AC51" s="3">
        <f>IF(N(U51)=0,0,V51*IFERROR(VLOOKUP($C51,Assumptions!$A$4:$G$7,5,FALSE),0)*90/N(U51))</f>
        <v/>
      </c>
      <c r="AD51" s="3">
        <f>N(W51)</f>
        <v/>
      </c>
      <c r="AE51" s="3">
        <f>SUM(Y51:AD51)</f>
        <v/>
      </c>
      <c r="AF51" s="3">
        <f>N(AE51)*N(M51)/90</f>
        <v/>
      </c>
      <c r="AG51" s="3">
        <f>IFERROR(AF51-VLOOKUP($C51,Assumptions!$A$29:$C$32,3,FALSE),"")</f>
        <v/>
      </c>
      <c r="AH51" s="3">
        <f>IFERROR(AG51/F51,"")</f>
        <v/>
      </c>
      <c r="AI51">
        <f>IF(AND($E51=TRUE,$C51="GKP"),AF51,"")</f>
        <v/>
      </c>
      <c r="AJ51">
        <f>IF(AND($E51=TRUE,$C51="DEF"),AF51,"")</f>
        <v/>
      </c>
      <c r="AK51">
        <f>IF(AND($E51=TRUE,$C51="MID"),AF51,"")</f>
        <v/>
      </c>
      <c r="AL51">
        <f>IF(AND($E51=TRUE,$C51="FWD"),AF51,"")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b">
        <v>1</v>
      </c>
      <c r="F52" s="2" t="n">
        <v>5.5</v>
      </c>
      <c r="G52" t="inlineStr">
        <is>
          <t>a</t>
        </is>
      </c>
      <c r="I52" s="2" t="n">
        <v>2991</v>
      </c>
      <c r="J52" t="n">
        <v>133</v>
      </c>
      <c r="K52" s="3" t="n">
        <v>891</v>
      </c>
      <c r="L52" t="inlineStr">
        <is>
          <t>fade (losing his place)</t>
        </is>
      </c>
      <c r="M52" s="4" t="n">
        <v>2991</v>
      </c>
      <c r="N52" s="4" t="n">
        <v>0.5</v>
      </c>
      <c r="O52" s="3" t="n">
        <v>0.0914</v>
      </c>
      <c r="P52" t="inlineStr">
        <is>
          <t>adjusted xGOT</t>
        </is>
      </c>
      <c r="Q52" s="3" t="n">
        <v>1.07</v>
      </c>
      <c r="R52" s="3" t="n">
        <v>2.8</v>
      </c>
      <c r="S52" s="3" t="n">
        <v>0.0505</v>
      </c>
      <c r="T52" s="3" t="n">
        <v>9.109999999999999</v>
      </c>
      <c r="U52" s="4" t="n">
        <v>88</v>
      </c>
      <c r="V52" s="3">
        <f>IF(OR(N(T52)=0,N(U52)=0),0,1-POISSON(IFERROR(VLOOKUP($C52,Assumptions!$A$4:$G$7,7,FALSE),99)-1,N(T52)*N(U52)/90,TRUE))</f>
        <v/>
      </c>
      <c r="W52" s="3" t="n">
        <v>0.2708</v>
      </c>
      <c r="X52" s="3" t="n">
        <v>2.106</v>
      </c>
      <c r="Y52" s="3">
        <f>IF(X52="",IFERROR(VLOOKUP($C52,Assumptions!$A$4:$G$7,6,FALSE),0),X52)</f>
        <v/>
      </c>
      <c r="Z52" s="3">
        <f>N(O52)*IFERROR(VLOOKUP($C52,Assumptions!$A$4:$G$7,2,FALSE),0)</f>
        <v/>
      </c>
      <c r="AA52" s="3">
        <f>N(S52)*IFERROR(VLOOKUP($C52,Assumptions!$A$4:$G$7,3,FALSE),0)*Assumptions!$B$11</f>
        <v/>
      </c>
      <c r="AB52" s="3">
        <f>N(N52)*IFERROR(VLOOKUP($C52,Assumptions!$A$4:$G$7,4,FALSE),0)</f>
        <v/>
      </c>
      <c r="AC52" s="3">
        <f>IF(N(U52)=0,0,V52*IFERROR(VLOOKUP($C52,Assumptions!$A$4:$G$7,5,FALSE),0)*90/N(U52))</f>
        <v/>
      </c>
      <c r="AD52" s="3">
        <f>N(W52)</f>
        <v/>
      </c>
      <c r="AE52" s="3">
        <f>SUM(Y52:AD52)</f>
        <v/>
      </c>
      <c r="AF52" s="3">
        <f>N(AE52)*N(M52)/90</f>
        <v/>
      </c>
      <c r="AG52" s="3">
        <f>IFERROR(AF52-VLOOKUP($C52,Assumptions!$A$29:$C$32,3,FALSE),"")</f>
        <v/>
      </c>
      <c r="AH52" s="3">
        <f>IFERROR(AG52/F52,"")</f>
        <v/>
      </c>
      <c r="AI52">
        <f>IF(AND($E52=TRUE,$C52="GKP"),AF52,"")</f>
        <v/>
      </c>
      <c r="AJ52">
        <f>IF(AND($E52=TRUE,$C52="DEF"),AF52,"")</f>
        <v/>
      </c>
      <c r="AK52">
        <f>IF(AND($E52=TRUE,$C52="MID"),AF52,"")</f>
        <v/>
      </c>
      <c r="AL52">
        <f>IF(AND($E52=TRUE,$C52="FWD"),AF52,"")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b">
        <v>1</v>
      </c>
      <c r="F53" s="2" t="n">
        <v>7</v>
      </c>
      <c r="G53" t="inlineStr">
        <is>
          <t>a</t>
        </is>
      </c>
      <c r="I53" s="2" t="n">
        <v>2736</v>
      </c>
      <c r="J53" t="n">
        <v>131</v>
      </c>
      <c r="K53" s="3" t="n">
        <v>2457</v>
      </c>
      <c r="L53" t="inlineStr">
        <is>
          <t>flat</t>
        </is>
      </c>
      <c r="M53" s="4" t="n">
        <v>2736</v>
      </c>
      <c r="N53" s="4" t="n">
        <v>0.263</v>
      </c>
      <c r="O53" s="3" t="n">
        <v>0.2404</v>
      </c>
      <c r="P53" t="inlineStr">
        <is>
          <t>adjusted xGOT</t>
        </is>
      </c>
      <c r="Q53" s="3" t="n">
        <v>0.875</v>
      </c>
      <c r="R53" s="3" t="n">
        <v>31</v>
      </c>
      <c r="S53" s="3" t="n">
        <v>0.1852</v>
      </c>
      <c r="T53" s="3" t="n">
        <v>5.745</v>
      </c>
      <c r="U53" s="4" t="n">
        <v>85.5</v>
      </c>
      <c r="V53" s="3">
        <f>IF(OR(N(T53)=0,N(U53)=0),0,1-POISSON(IFERROR(VLOOKUP($C53,Assumptions!$A$4:$G$7,7,FALSE),99)-1,N(T53)*N(U53)/90,TRUE))</f>
        <v/>
      </c>
      <c r="W53" s="3" t="n">
        <v>0.1645</v>
      </c>
      <c r="X53" s="3" t="n">
        <v>2.204</v>
      </c>
      <c r="Y53" s="3">
        <f>IF(X53="",IFERROR(VLOOKUP($C53,Assumptions!$A$4:$G$7,6,FALSE),0),X53)</f>
        <v/>
      </c>
      <c r="Z53" s="3">
        <f>N(O53)*IFERROR(VLOOKUP($C53,Assumptions!$A$4:$G$7,2,FALSE),0)</f>
        <v/>
      </c>
      <c r="AA53" s="3">
        <f>N(S53)*IFERROR(VLOOKUP($C53,Assumptions!$A$4:$G$7,3,FALSE),0)*Assumptions!$B$11</f>
        <v/>
      </c>
      <c r="AB53" s="3">
        <f>N(N53)*IFERROR(VLOOKUP($C53,Assumptions!$A$4:$G$7,4,FALSE),0)</f>
        <v/>
      </c>
      <c r="AC53" s="3">
        <f>IF(N(U53)=0,0,V53*IFERROR(VLOOKUP($C53,Assumptions!$A$4:$G$7,5,FALSE),0)*90/N(U53))</f>
        <v/>
      </c>
      <c r="AD53" s="3">
        <f>N(W53)</f>
        <v/>
      </c>
      <c r="AE53" s="3">
        <f>SUM(Y53:AD53)</f>
        <v/>
      </c>
      <c r="AF53" s="3">
        <f>N(AE53)*N(M53)/90</f>
        <v/>
      </c>
      <c r="AG53" s="3">
        <f>IFERROR(AF53-VLOOKUP($C53,Assumptions!$A$29:$C$32,3,FALSE),"")</f>
        <v/>
      </c>
      <c r="AH53" s="3">
        <f>IFERROR(AG53/F53,"")</f>
        <v/>
      </c>
      <c r="AI53">
        <f>IF(AND($E53=TRUE,$C53="GKP"),AF53,"")</f>
        <v/>
      </c>
      <c r="AJ53">
        <f>IF(AND($E53=TRUE,$C53="DEF"),AF53,"")</f>
        <v/>
      </c>
      <c r="AK53">
        <f>IF(AND($E53=TRUE,$C53="MID"),AF53,"")</f>
        <v/>
      </c>
      <c r="AL53">
        <f>IF(AND($E53=TRUE,$C53="FWD"),AF53,"")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b">
        <v>1</v>
      </c>
      <c r="F54" s="2" t="n">
        <v>5</v>
      </c>
      <c r="G54" t="inlineStr">
        <is>
          <t>a</t>
        </is>
      </c>
      <c r="I54" s="2" t="n">
        <v>3330</v>
      </c>
      <c r="J54" t="n">
        <v>131</v>
      </c>
      <c r="K54" s="3" t="n">
        <v>3385</v>
      </c>
      <c r="L54" t="inlineStr">
        <is>
          <t>flat</t>
        </is>
      </c>
      <c r="M54" s="4" t="n">
        <v>3330</v>
      </c>
      <c r="N54" s="4" t="n">
        <v>0.316</v>
      </c>
      <c r="O54" s="3" t="n">
        <v>0</v>
      </c>
      <c r="P54" t="inlineStr">
        <is>
          <t>adjusted xGOT</t>
        </is>
      </c>
      <c r="Q54" s="3" t="n">
        <v>0.999</v>
      </c>
      <c r="R54" s="3" t="n">
        <v>0</v>
      </c>
      <c r="S54" s="3" t="n">
        <v>0.0017</v>
      </c>
      <c r="T54" s="3" t="n">
        <v>0</v>
      </c>
      <c r="U54" s="4" t="n">
        <v>90</v>
      </c>
      <c r="V54" s="3">
        <f>IF(OR(N(T54)=0,N(U54)=0),0,1-POISSON(IFERROR(VLOOKUP($C54,Assumptions!$A$4:$G$7,7,FALSE),99)-1,N(T54)*N(U54)/90,TRUE))</f>
        <v/>
      </c>
      <c r="W54" s="3" t="n">
        <v>0.1892</v>
      </c>
      <c r="X54" s="3" t="n">
        <v>2</v>
      </c>
      <c r="Y54" s="3">
        <f>IF(X54="",IFERROR(VLOOKUP($C54,Assumptions!$A$4:$G$7,6,FALSE),0),X54)</f>
        <v/>
      </c>
      <c r="Z54" s="3">
        <f>N(O54)*IFERROR(VLOOKUP($C54,Assumptions!$A$4:$G$7,2,FALSE),0)</f>
        <v/>
      </c>
      <c r="AA54" s="3">
        <f>N(S54)*IFERROR(VLOOKUP($C54,Assumptions!$A$4:$G$7,3,FALSE),0)*Assumptions!$B$11</f>
        <v/>
      </c>
      <c r="AB54" s="3">
        <f>N(N54)*IFERROR(VLOOKUP($C54,Assumptions!$A$4:$G$7,4,FALSE),0)</f>
        <v/>
      </c>
      <c r="AC54" s="3">
        <f>IF(N(U54)=0,0,V54*IFERROR(VLOOKUP($C54,Assumptions!$A$4:$G$7,5,FALSE),0)*90/N(U54))</f>
        <v/>
      </c>
      <c r="AD54" s="3">
        <f>N(W54)</f>
        <v/>
      </c>
      <c r="AE54" s="3">
        <f>SUM(Y54:AD54)</f>
        <v/>
      </c>
      <c r="AF54" s="3">
        <f>N(AE54)*N(M54)/90</f>
        <v/>
      </c>
      <c r="AG54" s="3">
        <f>IFERROR(AF54-VLOOKUP($C54,Assumptions!$A$29:$C$32,3,FALSE),"")</f>
        <v/>
      </c>
      <c r="AH54" s="3">
        <f>IFERROR(AG54/F54,"")</f>
        <v/>
      </c>
      <c r="AI54">
        <f>IF(AND($E54=TRUE,$C54="GKP"),AF54,"")</f>
        <v/>
      </c>
      <c r="AJ54">
        <f>IF(AND($E54=TRUE,$C54="DEF"),AF54,"")</f>
        <v/>
      </c>
      <c r="AK54">
        <f>IF(AND($E54=TRUE,$C54="MID"),AF54,"")</f>
        <v/>
      </c>
      <c r="AL54">
        <f>IF(AND($E54=TRUE,$C54="FWD"),AF54,"")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b">
        <v>1</v>
      </c>
      <c r="F55" s="2" t="n">
        <v>5</v>
      </c>
      <c r="G55" t="inlineStr">
        <is>
          <t>a</t>
        </is>
      </c>
      <c r="I55" s="2" t="n">
        <v>2588</v>
      </c>
      <c r="J55" t="n">
        <v>131</v>
      </c>
      <c r="K55" s="3" t="n">
        <v>623</v>
      </c>
      <c r="L55" t="inlineStr">
        <is>
          <t>flat</t>
        </is>
      </c>
      <c r="M55" s="4" t="n">
        <v>2588</v>
      </c>
      <c r="N55" s="4" t="n">
        <v>0.29</v>
      </c>
      <c r="O55" s="3" t="n">
        <v>0.08400000000000001</v>
      </c>
      <c r="P55" t="inlineStr">
        <is>
          <t>adjusted xGOT</t>
        </is>
      </c>
      <c r="Q55" s="3" t="n">
        <v>1.05</v>
      </c>
      <c r="R55" s="3" t="n">
        <v>4.8</v>
      </c>
      <c r="S55" s="3" t="n">
        <v>0.0108</v>
      </c>
      <c r="T55" s="3" t="n">
        <v>9.888999999999999</v>
      </c>
      <c r="U55" s="4" t="n">
        <v>89.2</v>
      </c>
      <c r="V55" s="3">
        <f>IF(OR(N(T55)=0,N(U55)=0),0,1-POISSON(IFERROR(VLOOKUP($C55,Assumptions!$A$4:$G$7,7,FALSE),99)-1,N(T55)*N(U55)/90,TRUE))</f>
        <v/>
      </c>
      <c r="W55" s="3" t="n">
        <v>0.313</v>
      </c>
      <c r="X55" s="3" t="n">
        <v>2.156</v>
      </c>
      <c r="Y55" s="3">
        <f>IF(X55="",IFERROR(VLOOKUP($C55,Assumptions!$A$4:$G$7,6,FALSE),0),X55)</f>
        <v/>
      </c>
      <c r="Z55" s="3">
        <f>N(O55)*IFERROR(VLOOKUP($C55,Assumptions!$A$4:$G$7,2,FALSE),0)</f>
        <v/>
      </c>
      <c r="AA55" s="3">
        <f>N(S55)*IFERROR(VLOOKUP($C55,Assumptions!$A$4:$G$7,3,FALSE),0)*Assumptions!$B$11</f>
        <v/>
      </c>
      <c r="AB55" s="3">
        <f>N(N55)*IFERROR(VLOOKUP($C55,Assumptions!$A$4:$G$7,4,FALSE),0)</f>
        <v/>
      </c>
      <c r="AC55" s="3">
        <f>IF(N(U55)=0,0,V55*IFERROR(VLOOKUP($C55,Assumptions!$A$4:$G$7,5,FALSE),0)*90/N(U55))</f>
        <v/>
      </c>
      <c r="AD55" s="3">
        <f>N(W55)</f>
        <v/>
      </c>
      <c r="AE55" s="3">
        <f>SUM(Y55:AD55)</f>
        <v/>
      </c>
      <c r="AF55" s="3">
        <f>N(AE55)*N(M55)/90</f>
        <v/>
      </c>
      <c r="AG55" s="3">
        <f>IFERROR(AF55-VLOOKUP($C55,Assumptions!$A$29:$C$32,3,FALSE),"")</f>
        <v/>
      </c>
      <c r="AH55" s="3">
        <f>IFERROR(AG55/F55,"")</f>
        <v/>
      </c>
      <c r="AI55">
        <f>IF(AND($E55=TRUE,$C55="GKP"),AF55,"")</f>
        <v/>
      </c>
      <c r="AJ55">
        <f>IF(AND($E55=TRUE,$C55="DEF"),AF55,"")</f>
        <v/>
      </c>
      <c r="AK55">
        <f>IF(AND($E55=TRUE,$C55="MID"),AF55,"")</f>
        <v/>
      </c>
      <c r="AL55">
        <f>IF(AND($E55=TRUE,$C55="FWD"),AF55,"")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b">
        <v>1</v>
      </c>
      <c r="F56" s="2" t="n">
        <v>7</v>
      </c>
      <c r="G56" t="inlineStr">
        <is>
          <t>a</t>
        </is>
      </c>
      <c r="I56" s="2" t="n">
        <v>2078</v>
      </c>
      <c r="J56" t="n">
        <v>131</v>
      </c>
      <c r="K56" s="3" t="n">
        <v>2063</v>
      </c>
      <c r="L56" t="inlineStr">
        <is>
          <t>flat</t>
        </is>
      </c>
      <c r="M56" s="4" t="n">
        <v>2078</v>
      </c>
      <c r="N56" s="4" t="n">
        <v>0.421</v>
      </c>
      <c r="O56" s="3" t="n">
        <v>0.3272</v>
      </c>
      <c r="P56" t="inlineStr">
        <is>
          <t>adjusted xGOT</t>
        </is>
      </c>
      <c r="Q56" s="3" t="n">
        <v>1.253</v>
      </c>
      <c r="R56" s="3" t="n">
        <v>27.1</v>
      </c>
      <c r="S56" s="3" t="n">
        <v>0.2353</v>
      </c>
      <c r="T56" s="3" t="n">
        <v>7.354</v>
      </c>
      <c r="U56" s="4" t="n">
        <v>90.3</v>
      </c>
      <c r="V56" s="3">
        <f>IF(OR(N(T56)=0,N(U56)=0),0,1-POISSON(IFERROR(VLOOKUP($C56,Assumptions!$A$4:$G$7,7,FALSE),99)-1,N(T56)*N(U56)/90,TRUE))</f>
        <v/>
      </c>
      <c r="W56" s="3" t="n">
        <v>0.5629999999999999</v>
      </c>
      <c r="X56" s="3" t="n">
        <v>2.382</v>
      </c>
      <c r="Y56" s="3">
        <f>IF(X56="",IFERROR(VLOOKUP($C56,Assumptions!$A$4:$G$7,6,FALSE),0),X56)</f>
        <v/>
      </c>
      <c r="Z56" s="3">
        <f>N(O56)*IFERROR(VLOOKUP($C56,Assumptions!$A$4:$G$7,2,FALSE),0)</f>
        <v/>
      </c>
      <c r="AA56" s="3">
        <f>N(S56)*IFERROR(VLOOKUP($C56,Assumptions!$A$4:$G$7,3,FALSE),0)*Assumptions!$B$11</f>
        <v/>
      </c>
      <c r="AB56" s="3">
        <f>N(N56)*IFERROR(VLOOKUP($C56,Assumptions!$A$4:$G$7,4,FALSE),0)</f>
        <v/>
      </c>
      <c r="AC56" s="3">
        <f>IF(N(U56)=0,0,V56*IFERROR(VLOOKUP($C56,Assumptions!$A$4:$G$7,5,FALSE),0)*90/N(U56))</f>
        <v/>
      </c>
      <c r="AD56" s="3">
        <f>N(W56)</f>
        <v/>
      </c>
      <c r="AE56" s="3">
        <f>SUM(Y56:AD56)</f>
        <v/>
      </c>
      <c r="AF56" s="3">
        <f>N(AE56)*N(M56)/90</f>
        <v/>
      </c>
      <c r="AG56" s="3">
        <f>IFERROR(AF56-VLOOKUP($C56,Assumptions!$A$29:$C$32,3,FALSE),"")</f>
        <v/>
      </c>
      <c r="AH56" s="3">
        <f>IFERROR(AG56/F56,"")</f>
        <v/>
      </c>
      <c r="AI56">
        <f>IF(AND($E56=TRUE,$C56="GKP"),AF56,"")</f>
        <v/>
      </c>
      <c r="AJ56">
        <f>IF(AND($E56=TRUE,$C56="DEF"),AF56,"")</f>
        <v/>
      </c>
      <c r="AK56">
        <f>IF(AND($E56=TRUE,$C56="MID"),AF56,"")</f>
        <v/>
      </c>
      <c r="AL56">
        <f>IF(AND($E56=TRUE,$C56="FWD"),AF56,"")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b">
        <v>1</v>
      </c>
      <c r="F57" s="2" t="n">
        <v>4.5</v>
      </c>
      <c r="G57" t="inlineStr">
        <is>
          <t>a</t>
        </is>
      </c>
      <c r="I57" s="2" t="n">
        <v>3420</v>
      </c>
      <c r="J57" t="n">
        <v>130</v>
      </c>
      <c r="K57" s="3" t="n">
        <v>3385</v>
      </c>
      <c r="L57" t="inlineStr">
        <is>
          <t>flat</t>
        </is>
      </c>
      <c r="M57" s="4" t="n">
        <v>3420</v>
      </c>
      <c r="N57" s="4" t="n">
        <v>0.263</v>
      </c>
      <c r="O57" s="3" t="n">
        <v>0</v>
      </c>
      <c r="P57" t="inlineStr">
        <is>
          <t>blended xG</t>
        </is>
      </c>
      <c r="Q57" s="3" t="n">
        <v>1</v>
      </c>
      <c r="R57" s="3" t="n">
        <v>0</v>
      </c>
      <c r="S57" s="3" t="n">
        <v>0.0018</v>
      </c>
      <c r="T57" s="3" t="n">
        <v>0</v>
      </c>
      <c r="U57" s="4" t="n">
        <v>90</v>
      </c>
      <c r="V57" s="3">
        <f>IF(OR(N(T57)=0,N(U57)=0),0,1-POISSON(IFERROR(VLOOKUP($C57,Assumptions!$A$4:$G$7,7,FALSE),99)-1,N(T57)*N(U57)/90,TRUE))</f>
        <v/>
      </c>
      <c r="W57" s="3" t="n">
        <v>0.2895</v>
      </c>
      <c r="X57" s="3" t="n">
        <v>2</v>
      </c>
      <c r="Y57" s="3">
        <f>IF(X57="",IFERROR(VLOOKUP($C57,Assumptions!$A$4:$G$7,6,FALSE),0),X57)</f>
        <v/>
      </c>
      <c r="Z57" s="3">
        <f>N(O57)*IFERROR(VLOOKUP($C57,Assumptions!$A$4:$G$7,2,FALSE),0)</f>
        <v/>
      </c>
      <c r="AA57" s="3">
        <f>N(S57)*IFERROR(VLOOKUP($C57,Assumptions!$A$4:$G$7,3,FALSE),0)*Assumptions!$B$11</f>
        <v/>
      </c>
      <c r="AB57" s="3">
        <f>N(N57)*IFERROR(VLOOKUP($C57,Assumptions!$A$4:$G$7,4,FALSE),0)</f>
        <v/>
      </c>
      <c r="AC57" s="3">
        <f>IF(N(U57)=0,0,V57*IFERROR(VLOOKUP($C57,Assumptions!$A$4:$G$7,5,FALSE),0)*90/N(U57))</f>
        <v/>
      </c>
      <c r="AD57" s="3">
        <f>N(W57)</f>
        <v/>
      </c>
      <c r="AE57" s="3">
        <f>SUM(Y57:AD57)</f>
        <v/>
      </c>
      <c r="AF57" s="3">
        <f>N(AE57)*N(M57)/90</f>
        <v/>
      </c>
      <c r="AG57" s="3">
        <f>IFERROR(AF57-VLOOKUP($C57,Assumptions!$A$29:$C$32,3,FALSE),"")</f>
        <v/>
      </c>
      <c r="AH57" s="3">
        <f>IFERROR(AG57/F57,"")</f>
        <v/>
      </c>
      <c r="AI57">
        <f>IF(AND($E57=TRUE,$C57="GKP"),AF57,"")</f>
        <v/>
      </c>
      <c r="AJ57">
        <f>IF(AND($E57=TRUE,$C57="DEF"),AF57,"")</f>
        <v/>
      </c>
      <c r="AK57">
        <f>IF(AND($E57=TRUE,$C57="MID"),AF57,"")</f>
        <v/>
      </c>
      <c r="AL57">
        <f>IF(AND($E57=TRUE,$C57="FWD"),AF57,"")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b">
        <v>1</v>
      </c>
      <c r="F58" s="2" t="n">
        <v>5.5</v>
      </c>
      <c r="G58" t="inlineStr">
        <is>
          <t>a</t>
        </is>
      </c>
      <c r="I58" s="2" t="n">
        <v>2971</v>
      </c>
      <c r="J58" t="n">
        <v>129</v>
      </c>
      <c r="K58" s="3" t="n">
        <v>3044</v>
      </c>
      <c r="L58" t="inlineStr">
        <is>
          <t>flat</t>
        </is>
      </c>
      <c r="M58" s="4" t="n">
        <v>2971</v>
      </c>
      <c r="N58" s="4" t="n">
        <v>0.263</v>
      </c>
      <c r="O58" s="3" t="n">
        <v>0.06320000000000001</v>
      </c>
      <c r="P58" t="inlineStr">
        <is>
          <t>adjusted xGOT</t>
        </is>
      </c>
      <c r="Q58" s="3" t="n">
        <v>0.931</v>
      </c>
      <c r="R58" s="3" t="n">
        <v>6.5</v>
      </c>
      <c r="S58" s="3" t="n">
        <v>0.06270000000000001</v>
      </c>
      <c r="T58" s="3" t="n">
        <v>9.276999999999999</v>
      </c>
      <c r="U58" s="4" t="n">
        <v>92.8</v>
      </c>
      <c r="V58" s="3">
        <f>IF(OR(N(T58)=0,N(U58)=0),0,1-POISSON(IFERROR(VLOOKUP($C58,Assumptions!$A$4:$G$7,7,FALSE),99)-1,N(T58)*N(U58)/90,TRUE))</f>
        <v/>
      </c>
      <c r="W58" s="3" t="n">
        <v>0.1818</v>
      </c>
      <c r="X58" s="3" t="n">
        <v>2.03</v>
      </c>
      <c r="Y58" s="3">
        <f>IF(X58="",IFERROR(VLOOKUP($C58,Assumptions!$A$4:$G$7,6,FALSE),0),X58)</f>
        <v/>
      </c>
      <c r="Z58" s="3">
        <f>N(O58)*IFERROR(VLOOKUP($C58,Assumptions!$A$4:$G$7,2,FALSE),0)</f>
        <v/>
      </c>
      <c r="AA58" s="3">
        <f>N(S58)*IFERROR(VLOOKUP($C58,Assumptions!$A$4:$G$7,3,FALSE),0)*Assumptions!$B$11</f>
        <v/>
      </c>
      <c r="AB58" s="3">
        <f>N(N58)*IFERROR(VLOOKUP($C58,Assumptions!$A$4:$G$7,4,FALSE),0)</f>
        <v/>
      </c>
      <c r="AC58" s="3">
        <f>IF(N(U58)=0,0,V58*IFERROR(VLOOKUP($C58,Assumptions!$A$4:$G$7,5,FALSE),0)*90/N(U58))</f>
        <v/>
      </c>
      <c r="AD58" s="3">
        <f>N(W58)</f>
        <v/>
      </c>
      <c r="AE58" s="3">
        <f>SUM(Y58:AD58)</f>
        <v/>
      </c>
      <c r="AF58" s="3">
        <f>N(AE58)*N(M58)/90</f>
        <v/>
      </c>
      <c r="AG58" s="3">
        <f>IFERROR(AF58-VLOOKUP($C58,Assumptions!$A$29:$C$32,3,FALSE),"")</f>
        <v/>
      </c>
      <c r="AH58" s="3">
        <f>IFERROR(AG58/F58,"")</f>
        <v/>
      </c>
      <c r="AI58">
        <f>IF(AND($E58=TRUE,$C58="GKP"),AF58,"")</f>
        <v/>
      </c>
      <c r="AJ58">
        <f>IF(AND($E58=TRUE,$C58="DEF"),AF58,"")</f>
        <v/>
      </c>
      <c r="AK58">
        <f>IF(AND($E58=TRUE,$C58="MID"),AF58,"")</f>
        <v/>
      </c>
      <c r="AL58">
        <f>IF(AND($E58=TRUE,$C58="FWD"),AF58,"")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b">
        <v>1</v>
      </c>
      <c r="F59" s="2" t="n">
        <v>5</v>
      </c>
      <c r="G59" t="inlineStr">
        <is>
          <t>a</t>
        </is>
      </c>
      <c r="I59" s="2" t="n">
        <v>3203</v>
      </c>
      <c r="J59" t="n">
        <v>128</v>
      </c>
      <c r="K59" s="3" t="n">
        <v>3331</v>
      </c>
      <c r="L59" t="inlineStr">
        <is>
          <t>flat</t>
        </is>
      </c>
      <c r="M59" s="4" t="n">
        <v>3203</v>
      </c>
      <c r="N59" s="4" t="n">
        <v>0.237</v>
      </c>
      <c r="O59" s="3" t="n">
        <v>0.0581</v>
      </c>
      <c r="P59" t="inlineStr">
        <is>
          <t>adjusted xGOT</t>
        </is>
      </c>
      <c r="Q59" s="3" t="n">
        <v>1.029</v>
      </c>
      <c r="R59" s="3" t="n">
        <v>6.3</v>
      </c>
      <c r="S59" s="3" t="n">
        <v>0.1175</v>
      </c>
      <c r="T59" s="3" t="n">
        <v>7.077</v>
      </c>
      <c r="U59" s="4" t="n">
        <v>89</v>
      </c>
      <c r="V59" s="3">
        <f>IF(OR(N(T59)=0,N(U59)=0),0,1-POISSON(IFERROR(VLOOKUP($C59,Assumptions!$A$4:$G$7,7,FALSE),99)-1,N(T59)*N(U59)/90,TRUE))</f>
        <v/>
      </c>
      <c r="W59" s="3" t="n">
        <v>0.4215</v>
      </c>
      <c r="X59" s="3" t="n">
        <v>1.995</v>
      </c>
      <c r="Y59" s="3">
        <f>IF(X59="",IFERROR(VLOOKUP($C59,Assumptions!$A$4:$G$7,6,FALSE),0),X59)</f>
        <v/>
      </c>
      <c r="Z59" s="3">
        <f>N(O59)*IFERROR(VLOOKUP($C59,Assumptions!$A$4:$G$7,2,FALSE),0)</f>
        <v/>
      </c>
      <c r="AA59" s="3">
        <f>N(S59)*IFERROR(VLOOKUP($C59,Assumptions!$A$4:$G$7,3,FALSE),0)*Assumptions!$B$11</f>
        <v/>
      </c>
      <c r="AB59" s="3">
        <f>N(N59)*IFERROR(VLOOKUP($C59,Assumptions!$A$4:$G$7,4,FALSE),0)</f>
        <v/>
      </c>
      <c r="AC59" s="3">
        <f>IF(N(U59)=0,0,V59*IFERROR(VLOOKUP($C59,Assumptions!$A$4:$G$7,5,FALSE),0)*90/N(U59))</f>
        <v/>
      </c>
      <c r="AD59" s="3">
        <f>N(W59)</f>
        <v/>
      </c>
      <c r="AE59" s="3">
        <f>SUM(Y59:AD59)</f>
        <v/>
      </c>
      <c r="AF59" s="3">
        <f>N(AE59)*N(M59)/90</f>
        <v/>
      </c>
      <c r="AG59" s="3">
        <f>IFERROR(AF59-VLOOKUP($C59,Assumptions!$A$29:$C$32,3,FALSE),"")</f>
        <v/>
      </c>
      <c r="AH59" s="3">
        <f>IFERROR(AG59/F59,"")</f>
        <v/>
      </c>
      <c r="AI59">
        <f>IF(AND($E59=TRUE,$C59="GKP"),AF59,"")</f>
        <v/>
      </c>
      <c r="AJ59">
        <f>IF(AND($E59=TRUE,$C59="DEF"),AF59,"")</f>
        <v/>
      </c>
      <c r="AK59">
        <f>IF(AND($E59=TRUE,$C59="MID"),AF59,"")</f>
        <v/>
      </c>
      <c r="AL59">
        <f>IF(AND($E59=TRUE,$C59="FWD"),AF59,"")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b">
        <v>1</v>
      </c>
      <c r="F60" s="2" t="n">
        <v>7.5</v>
      </c>
      <c r="G60" t="inlineStr">
        <is>
          <t>a</t>
        </is>
      </c>
      <c r="I60" s="2" t="n">
        <v>2217</v>
      </c>
      <c r="J60" t="n">
        <v>128</v>
      </c>
      <c r="K60" s="3" t="n">
        <v>1459</v>
      </c>
      <c r="L60" t="inlineStr">
        <is>
          <t>flat</t>
        </is>
      </c>
      <c r="M60" s="4" t="n">
        <v>2217</v>
      </c>
      <c r="N60" s="4" t="n">
        <v>0.5</v>
      </c>
      <c r="O60" s="3" t="n">
        <v>0.4274</v>
      </c>
      <c r="P60" t="inlineStr">
        <is>
          <t>adjusted xGOT</t>
        </is>
      </c>
      <c r="Q60" s="3" t="n">
        <v>0.859</v>
      </c>
      <c r="R60" s="3" t="n">
        <v>12.3</v>
      </c>
      <c r="S60" s="3" t="n">
        <v>0.09320000000000001</v>
      </c>
      <c r="T60" s="3" t="n">
        <v>3.78</v>
      </c>
      <c r="U60" s="4" t="n">
        <v>85.3</v>
      </c>
      <c r="V60" s="3">
        <f>IF(OR(N(T60)=0,N(U60)=0),0,1-POISSON(IFERROR(VLOOKUP($C60,Assumptions!$A$4:$G$7,7,FALSE),99)-1,N(T60)*N(U60)/90,TRUE))</f>
        <v/>
      </c>
      <c r="W60" s="3" t="n">
        <v>0.6495</v>
      </c>
      <c r="X60" s="3" t="n">
        <v>2.355</v>
      </c>
      <c r="Y60" s="3">
        <f>IF(X60="",IFERROR(VLOOKUP($C60,Assumptions!$A$4:$G$7,6,FALSE),0),X60)</f>
        <v/>
      </c>
      <c r="Z60" s="3">
        <f>N(O60)*IFERROR(VLOOKUP($C60,Assumptions!$A$4:$G$7,2,FALSE),0)</f>
        <v/>
      </c>
      <c r="AA60" s="3">
        <f>N(S60)*IFERROR(VLOOKUP($C60,Assumptions!$A$4:$G$7,3,FALSE),0)*Assumptions!$B$11</f>
        <v/>
      </c>
      <c r="AB60" s="3">
        <f>N(N60)*IFERROR(VLOOKUP($C60,Assumptions!$A$4:$G$7,4,FALSE),0)</f>
        <v/>
      </c>
      <c r="AC60" s="3">
        <f>IF(N(U60)=0,0,V60*IFERROR(VLOOKUP($C60,Assumptions!$A$4:$G$7,5,FALSE),0)*90/N(U60))</f>
        <v/>
      </c>
      <c r="AD60" s="3">
        <f>N(W60)</f>
        <v/>
      </c>
      <c r="AE60" s="3">
        <f>SUM(Y60:AD60)</f>
        <v/>
      </c>
      <c r="AF60" s="3">
        <f>N(AE60)*N(M60)/90</f>
        <v/>
      </c>
      <c r="AG60" s="3">
        <f>IFERROR(AF60-VLOOKUP($C60,Assumptions!$A$29:$C$32,3,FALSE),"")</f>
        <v/>
      </c>
      <c r="AH60" s="3">
        <f>IFERROR(AG60/F60,"")</f>
        <v/>
      </c>
      <c r="AI60">
        <f>IF(AND($E60=TRUE,$C60="GKP"),AF60,"")</f>
        <v/>
      </c>
      <c r="AJ60">
        <f>IF(AND($E60=TRUE,$C60="DEF"),AF60,"")</f>
        <v/>
      </c>
      <c r="AK60">
        <f>IF(AND($E60=TRUE,$C60="MID"),AF60,"")</f>
        <v/>
      </c>
      <c r="AL60">
        <f>IF(AND($E60=TRUE,$C60="FWD"),AF60,"")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b">
        <v>1</v>
      </c>
      <c r="F61" s="2" t="n">
        <v>6</v>
      </c>
      <c r="G61" t="inlineStr">
        <is>
          <t>a</t>
        </is>
      </c>
      <c r="I61" s="2" t="n">
        <v>2781</v>
      </c>
      <c r="J61" t="n">
        <v>128</v>
      </c>
      <c r="K61" s="3" t="n">
        <v>3186</v>
      </c>
      <c r="L61" t="inlineStr">
        <is>
          <t>flat</t>
        </is>
      </c>
      <c r="M61" s="4" t="n">
        <v>2781</v>
      </c>
      <c r="N61" s="4" t="n">
        <v>0.29</v>
      </c>
      <c r="O61" s="3" t="n">
        <v>0.2564</v>
      </c>
      <c r="P61" t="inlineStr">
        <is>
          <t>adjusted xGOT</t>
        </is>
      </c>
      <c r="Q61" s="3" t="n">
        <v>1.186</v>
      </c>
      <c r="R61" s="3" t="n">
        <v>12.9</v>
      </c>
      <c r="S61" s="3" t="n">
        <v>0.1435</v>
      </c>
      <c r="T61" s="3" t="n">
        <v>9.039</v>
      </c>
      <c r="U61" s="4" t="n">
        <v>86.90000000000001</v>
      </c>
      <c r="V61" s="3">
        <f>IF(OR(N(T61)=0,N(U61)=0),0,1-POISSON(IFERROR(VLOOKUP($C61,Assumptions!$A$4:$G$7,7,FALSE),99)-1,N(T61)*N(U61)/90,TRUE))</f>
        <v/>
      </c>
      <c r="W61" s="3" t="n">
        <v>0.2589</v>
      </c>
      <c r="X61" s="3" t="n">
        <v>2.071</v>
      </c>
      <c r="Y61" s="3">
        <f>IF(X61="",IFERROR(VLOOKUP($C61,Assumptions!$A$4:$G$7,6,FALSE),0),X61)</f>
        <v/>
      </c>
      <c r="Z61" s="3">
        <f>N(O61)*IFERROR(VLOOKUP($C61,Assumptions!$A$4:$G$7,2,FALSE),0)</f>
        <v/>
      </c>
      <c r="AA61" s="3">
        <f>N(S61)*IFERROR(VLOOKUP($C61,Assumptions!$A$4:$G$7,3,FALSE),0)*Assumptions!$B$11</f>
        <v/>
      </c>
      <c r="AB61" s="3">
        <f>N(N61)*IFERROR(VLOOKUP($C61,Assumptions!$A$4:$G$7,4,FALSE),0)</f>
        <v/>
      </c>
      <c r="AC61" s="3">
        <f>IF(N(U61)=0,0,V61*IFERROR(VLOOKUP($C61,Assumptions!$A$4:$G$7,5,FALSE),0)*90/N(U61))</f>
        <v/>
      </c>
      <c r="AD61" s="3">
        <f>N(W61)</f>
        <v/>
      </c>
      <c r="AE61" s="3">
        <f>SUM(Y61:AD61)</f>
        <v/>
      </c>
      <c r="AF61" s="3">
        <f>N(AE61)*N(M61)/90</f>
        <v/>
      </c>
      <c r="AG61" s="3">
        <f>IFERROR(AF61-VLOOKUP($C61,Assumptions!$A$29:$C$32,3,FALSE),"")</f>
        <v/>
      </c>
      <c r="AH61" s="3">
        <f>IFERROR(AG61/F61,"")</f>
        <v/>
      </c>
      <c r="AI61">
        <f>IF(AND($E61=TRUE,$C61="GKP"),AF61,"")</f>
        <v/>
      </c>
      <c r="AJ61">
        <f>IF(AND($E61=TRUE,$C61="DEF"),AF61,"")</f>
        <v/>
      </c>
      <c r="AK61">
        <f>IF(AND($E61=TRUE,$C61="MID"),AF61,"")</f>
        <v/>
      </c>
      <c r="AL61">
        <f>IF(AND($E61=TRUE,$C61="FWD"),AF61,"")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b">
        <v>1</v>
      </c>
      <c r="F62" s="2" t="n">
        <v>5</v>
      </c>
      <c r="G62" t="inlineStr">
        <is>
          <t>a</t>
        </is>
      </c>
      <c r="I62" s="2" t="n">
        <v>2825</v>
      </c>
      <c r="J62" t="n">
        <v>128</v>
      </c>
      <c r="K62" s="3" t="n">
        <v>3283</v>
      </c>
      <c r="L62" t="inlineStr">
        <is>
          <t>flat</t>
        </is>
      </c>
      <c r="M62" s="4" t="n">
        <v>2825</v>
      </c>
      <c r="N62" s="4" t="n">
        <v>0.316</v>
      </c>
      <c r="O62" s="3" t="n">
        <v>0.07199999999999999</v>
      </c>
      <c r="P62" t="inlineStr">
        <is>
          <t>adjusted xGOT</t>
        </is>
      </c>
      <c r="Q62" s="3" t="n">
        <v>0.9340000000000001</v>
      </c>
      <c r="R62" s="3" t="n">
        <v>5.1</v>
      </c>
      <c r="S62" s="3" t="n">
        <v>0.0326</v>
      </c>
      <c r="T62" s="3" t="n">
        <v>9.456</v>
      </c>
      <c r="U62" s="4" t="n">
        <v>91.09999999999999</v>
      </c>
      <c r="V62" s="3">
        <f>IF(OR(N(T62)=0,N(U62)=0),0,1-POISSON(IFERROR(VLOOKUP($C62,Assumptions!$A$4:$G$7,7,FALSE),99)-1,N(T62)*N(U62)/90,TRUE))</f>
        <v/>
      </c>
      <c r="W62" s="3" t="n">
        <v>0.1593</v>
      </c>
      <c r="X62" s="3" t="n">
        <v>2.039</v>
      </c>
      <c r="Y62" s="3">
        <f>IF(X62="",IFERROR(VLOOKUP($C62,Assumptions!$A$4:$G$7,6,FALSE),0),X62)</f>
        <v/>
      </c>
      <c r="Z62" s="3">
        <f>N(O62)*IFERROR(VLOOKUP($C62,Assumptions!$A$4:$G$7,2,FALSE),0)</f>
        <v/>
      </c>
      <c r="AA62" s="3">
        <f>N(S62)*IFERROR(VLOOKUP($C62,Assumptions!$A$4:$G$7,3,FALSE),0)*Assumptions!$B$11</f>
        <v/>
      </c>
      <c r="AB62" s="3">
        <f>N(N62)*IFERROR(VLOOKUP($C62,Assumptions!$A$4:$G$7,4,FALSE),0)</f>
        <v/>
      </c>
      <c r="AC62" s="3">
        <f>IF(N(U62)=0,0,V62*IFERROR(VLOOKUP($C62,Assumptions!$A$4:$G$7,5,FALSE),0)*90/N(U62))</f>
        <v/>
      </c>
      <c r="AD62" s="3">
        <f>N(W62)</f>
        <v/>
      </c>
      <c r="AE62" s="3">
        <f>SUM(Y62:AD62)</f>
        <v/>
      </c>
      <c r="AF62" s="3">
        <f>N(AE62)*N(M62)/90</f>
        <v/>
      </c>
      <c r="AG62" s="3">
        <f>IFERROR(AF62-VLOOKUP($C62,Assumptions!$A$29:$C$32,3,FALSE),"")</f>
        <v/>
      </c>
      <c r="AH62" s="3">
        <f>IFERROR(AG62/F62,"")</f>
        <v/>
      </c>
      <c r="AI62">
        <f>IF(AND($E62=TRUE,$C62="GKP"),AF62,"")</f>
        <v/>
      </c>
      <c r="AJ62">
        <f>IF(AND($E62=TRUE,$C62="DEF"),AF62,"")</f>
        <v/>
      </c>
      <c r="AK62">
        <f>IF(AND($E62=TRUE,$C62="MID"),AF62,"")</f>
        <v/>
      </c>
      <c r="AL62">
        <f>IF(AND($E62=TRUE,$C62="FWD"),AF62,"")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b">
        <v>1</v>
      </c>
      <c r="F63" s="2" t="n">
        <v>6</v>
      </c>
      <c r="G63" t="inlineStr">
        <is>
          <t>a</t>
        </is>
      </c>
      <c r="I63" s="2" t="n">
        <v>2717</v>
      </c>
      <c r="J63" t="n">
        <v>127</v>
      </c>
      <c r="K63" s="3" t="n">
        <v>716</v>
      </c>
      <c r="L63" t="inlineStr">
        <is>
          <t>flat</t>
        </is>
      </c>
      <c r="M63" s="4" t="n">
        <v>2717</v>
      </c>
      <c r="N63" s="4" t="n">
        <v>0.263</v>
      </c>
      <c r="O63" s="3" t="n">
        <v>0.2106</v>
      </c>
      <c r="P63" t="inlineStr">
        <is>
          <t>adjusted xGOT</t>
        </is>
      </c>
      <c r="Q63" s="3" t="n">
        <v>1.244</v>
      </c>
      <c r="R63" s="3" t="n">
        <v>6.9</v>
      </c>
      <c r="S63" s="3" t="n">
        <v>0.1197</v>
      </c>
      <c r="T63" s="3" t="n">
        <v>7.872</v>
      </c>
      <c r="U63" s="4" t="n">
        <v>84.90000000000001</v>
      </c>
      <c r="V63" s="3">
        <f>IF(OR(N(T63)=0,N(U63)=0),0,1-POISSON(IFERROR(VLOOKUP($C63,Assumptions!$A$4:$G$7,7,FALSE),99)-1,N(T63)*N(U63)/90,TRUE))</f>
        <v/>
      </c>
      <c r="W63" s="3" t="n">
        <v>0.1987</v>
      </c>
      <c r="X63" s="3" t="n">
        <v>2.219</v>
      </c>
      <c r="Y63" s="3">
        <f>IF(X63="",IFERROR(VLOOKUP($C63,Assumptions!$A$4:$G$7,6,FALSE),0),X63)</f>
        <v/>
      </c>
      <c r="Z63" s="3">
        <f>N(O63)*IFERROR(VLOOKUP($C63,Assumptions!$A$4:$G$7,2,FALSE),0)</f>
        <v/>
      </c>
      <c r="AA63" s="3">
        <f>N(S63)*IFERROR(VLOOKUP($C63,Assumptions!$A$4:$G$7,3,FALSE),0)*Assumptions!$B$11</f>
        <v/>
      </c>
      <c r="AB63" s="3">
        <f>N(N63)*IFERROR(VLOOKUP($C63,Assumptions!$A$4:$G$7,4,FALSE),0)</f>
        <v/>
      </c>
      <c r="AC63" s="3">
        <f>IF(N(U63)=0,0,V63*IFERROR(VLOOKUP($C63,Assumptions!$A$4:$G$7,5,FALSE),0)*90/N(U63))</f>
        <v/>
      </c>
      <c r="AD63" s="3">
        <f>N(W63)</f>
        <v/>
      </c>
      <c r="AE63" s="3">
        <f>SUM(Y63:AD63)</f>
        <v/>
      </c>
      <c r="AF63" s="3">
        <f>N(AE63)*N(M63)/90</f>
        <v/>
      </c>
      <c r="AG63" s="3">
        <f>IFERROR(AF63-VLOOKUP($C63,Assumptions!$A$29:$C$32,3,FALSE),"")</f>
        <v/>
      </c>
      <c r="AH63" s="3">
        <f>IFERROR(AG63/F63,"")</f>
        <v/>
      </c>
      <c r="AI63">
        <f>IF(AND($E63=TRUE,$C63="GKP"),AF63,"")</f>
        <v/>
      </c>
      <c r="AJ63">
        <f>IF(AND($E63=TRUE,$C63="DEF"),AF63,"")</f>
        <v/>
      </c>
      <c r="AK63">
        <f>IF(AND($E63=TRUE,$C63="MID"),AF63,"")</f>
        <v/>
      </c>
      <c r="AL63">
        <f>IF(AND($E63=TRUE,$C63="FWD"),AF63,"")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b">
        <v>1</v>
      </c>
      <c r="F64" s="2" t="n">
        <v>5</v>
      </c>
      <c r="G64" t="inlineStr">
        <is>
          <t>a</t>
        </is>
      </c>
      <c r="I64" s="2" t="n">
        <v>2963</v>
      </c>
      <c r="J64" t="n">
        <v>126</v>
      </c>
      <c r="K64" s="3" t="n">
        <v>3243</v>
      </c>
      <c r="L64" t="inlineStr">
        <is>
          <t>flat</t>
        </is>
      </c>
      <c r="M64" s="4" t="n">
        <v>2963</v>
      </c>
      <c r="N64" s="4" t="n">
        <v>0.21</v>
      </c>
      <c r="O64" s="3" t="n">
        <v>0.1515</v>
      </c>
      <c r="P64" t="inlineStr">
        <is>
          <t>adjusted xGOT</t>
        </is>
      </c>
      <c r="Q64" s="3" t="n">
        <v>1.039</v>
      </c>
      <c r="R64" s="3" t="n">
        <v>4.8</v>
      </c>
      <c r="S64" s="3" t="n">
        <v>0.0271</v>
      </c>
      <c r="T64" s="3" t="n">
        <v>8.638</v>
      </c>
      <c r="U64" s="4" t="n">
        <v>89.8</v>
      </c>
      <c r="V64" s="3">
        <f>IF(OR(N(T64)=0,N(U64)=0),0,1-POISSON(IFERROR(VLOOKUP($C64,Assumptions!$A$4:$G$7,7,FALSE),99)-1,N(T64)*N(U64)/90,TRUE))</f>
        <v/>
      </c>
      <c r="W64" s="3" t="n">
        <v>0.2734</v>
      </c>
      <c r="X64" s="3" t="n">
        <v>2.035</v>
      </c>
      <c r="Y64" s="3">
        <f>IF(X64="",IFERROR(VLOOKUP($C64,Assumptions!$A$4:$G$7,6,FALSE),0),X64)</f>
        <v/>
      </c>
      <c r="Z64" s="3">
        <f>N(O64)*IFERROR(VLOOKUP($C64,Assumptions!$A$4:$G$7,2,FALSE),0)</f>
        <v/>
      </c>
      <c r="AA64" s="3">
        <f>N(S64)*IFERROR(VLOOKUP($C64,Assumptions!$A$4:$G$7,3,FALSE),0)*Assumptions!$B$11</f>
        <v/>
      </c>
      <c r="AB64" s="3">
        <f>N(N64)*IFERROR(VLOOKUP($C64,Assumptions!$A$4:$G$7,4,FALSE),0)</f>
        <v/>
      </c>
      <c r="AC64" s="3">
        <f>IF(N(U64)=0,0,V64*IFERROR(VLOOKUP($C64,Assumptions!$A$4:$G$7,5,FALSE),0)*90/N(U64))</f>
        <v/>
      </c>
      <c r="AD64" s="3">
        <f>N(W64)</f>
        <v/>
      </c>
      <c r="AE64" s="3">
        <f>SUM(Y64:AD64)</f>
        <v/>
      </c>
      <c r="AF64" s="3">
        <f>N(AE64)*N(M64)/90</f>
        <v/>
      </c>
      <c r="AG64" s="3">
        <f>IFERROR(AF64-VLOOKUP($C64,Assumptions!$A$29:$C$32,3,FALSE),"")</f>
        <v/>
      </c>
      <c r="AH64" s="3">
        <f>IFERROR(AG64/F64,"")</f>
        <v/>
      </c>
      <c r="AI64">
        <f>IF(AND($E64=TRUE,$C64="GKP"),AF64,"")</f>
        <v/>
      </c>
      <c r="AJ64">
        <f>IF(AND($E64=TRUE,$C64="DEF"),AF64,"")</f>
        <v/>
      </c>
      <c r="AK64">
        <f>IF(AND($E64=TRUE,$C64="MID"),AF64,"")</f>
        <v/>
      </c>
      <c r="AL64">
        <f>IF(AND($E64=TRUE,$C64="FWD"),AF64,"")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b">
        <v>1</v>
      </c>
      <c r="F65" s="2" t="n">
        <v>5.5</v>
      </c>
      <c r="G65" t="inlineStr">
        <is>
          <t>a</t>
        </is>
      </c>
      <c r="I65" s="2" t="n">
        <v>2449</v>
      </c>
      <c r="J65" t="n">
        <v>126</v>
      </c>
      <c r="K65" s="3" t="n">
        <v>1035</v>
      </c>
      <c r="L65" t="inlineStr">
        <is>
          <t>flat</t>
        </is>
      </c>
      <c r="M65" s="4" t="n">
        <v>2449</v>
      </c>
      <c r="N65" s="4" t="n">
        <v>0.21</v>
      </c>
      <c r="O65" s="3" t="n">
        <v>0.1593</v>
      </c>
      <c r="P65" t="inlineStr">
        <is>
          <t>adjusted xGOT</t>
        </is>
      </c>
      <c r="Q65" s="3" t="n">
        <v>0.957</v>
      </c>
      <c r="R65" s="3" t="n">
        <v>8.5</v>
      </c>
      <c r="S65" s="3" t="n">
        <v>0.1702</v>
      </c>
      <c r="T65" s="3" t="n">
        <v>8.083</v>
      </c>
      <c r="U65" s="4" t="n">
        <v>81.59999999999999</v>
      </c>
      <c r="V65" s="3">
        <f>IF(OR(N(T65)=0,N(U65)=0),0,1-POISSON(IFERROR(VLOOKUP($C65,Assumptions!$A$4:$G$7,7,FALSE),99)-1,N(T65)*N(U65)/90,TRUE))</f>
        <v/>
      </c>
      <c r="W65" s="3" t="n">
        <v>0.2205</v>
      </c>
      <c r="X65" s="3" t="n">
        <v>2.389</v>
      </c>
      <c r="Y65" s="3">
        <f>IF(X65="",IFERROR(VLOOKUP($C65,Assumptions!$A$4:$G$7,6,FALSE),0),X65)</f>
        <v/>
      </c>
      <c r="Z65" s="3">
        <f>N(O65)*IFERROR(VLOOKUP($C65,Assumptions!$A$4:$G$7,2,FALSE),0)</f>
        <v/>
      </c>
      <c r="AA65" s="3">
        <f>N(S65)*IFERROR(VLOOKUP($C65,Assumptions!$A$4:$G$7,3,FALSE),0)*Assumptions!$B$11</f>
        <v/>
      </c>
      <c r="AB65" s="3">
        <f>N(N65)*IFERROR(VLOOKUP($C65,Assumptions!$A$4:$G$7,4,FALSE),0)</f>
        <v/>
      </c>
      <c r="AC65" s="3">
        <f>IF(N(U65)=0,0,V65*IFERROR(VLOOKUP($C65,Assumptions!$A$4:$G$7,5,FALSE),0)*90/N(U65))</f>
        <v/>
      </c>
      <c r="AD65" s="3">
        <f>N(W65)</f>
        <v/>
      </c>
      <c r="AE65" s="3">
        <f>SUM(Y65:AD65)</f>
        <v/>
      </c>
      <c r="AF65" s="3">
        <f>N(AE65)*N(M65)/90</f>
        <v/>
      </c>
      <c r="AG65" s="3">
        <f>IFERROR(AF65-VLOOKUP($C65,Assumptions!$A$29:$C$32,3,FALSE),"")</f>
        <v/>
      </c>
      <c r="AH65" s="3">
        <f>IFERROR(AG65/F65,"")</f>
        <v/>
      </c>
      <c r="AI65">
        <f>IF(AND($E65=TRUE,$C65="GKP"),AF65,"")</f>
        <v/>
      </c>
      <c r="AJ65">
        <f>IF(AND($E65=TRUE,$C65="DEF"),AF65,"")</f>
        <v/>
      </c>
      <c r="AK65">
        <f>IF(AND($E65=TRUE,$C65="MID"),AF65,"")</f>
        <v/>
      </c>
      <c r="AL65">
        <f>IF(AND($E65=TRUE,$C65="FWD"),AF65,"")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b">
        <v>1</v>
      </c>
      <c r="F66" s="2" t="n">
        <v>6</v>
      </c>
      <c r="G66" t="inlineStr">
        <is>
          <t>a</t>
        </is>
      </c>
      <c r="I66" s="2" t="n">
        <v>2249</v>
      </c>
      <c r="J66" t="n">
        <v>126</v>
      </c>
      <c r="K66" s="3" t="n">
        <v>586</v>
      </c>
      <c r="L66" t="inlineStr">
        <is>
          <t>flat</t>
        </is>
      </c>
      <c r="M66" s="4" t="n">
        <v>2249</v>
      </c>
      <c r="N66" s="4" t="n">
        <v>0.237</v>
      </c>
      <c r="O66" s="3" t="n">
        <v>0.4876</v>
      </c>
      <c r="P66" t="inlineStr">
        <is>
          <t>adjusted xGOT</t>
        </is>
      </c>
      <c r="Q66" s="3" t="n">
        <v>0.986</v>
      </c>
      <c r="R66" s="3" t="n">
        <v>35.6</v>
      </c>
      <c r="S66" s="3" t="n">
        <v>0.0733</v>
      </c>
      <c r="T66" s="3" t="n">
        <v>4.557</v>
      </c>
      <c r="U66" s="4" t="n">
        <v>86.5</v>
      </c>
      <c r="V66" s="3">
        <f>IF(OR(N(T66)=0,N(U66)=0),0,1-POISSON(IFERROR(VLOOKUP($C66,Assumptions!$A$4:$G$7,7,FALSE),99)-1,N(T66)*N(U66)/90,TRUE))</f>
        <v/>
      </c>
      <c r="W66" s="3" t="n">
        <v>0.7203000000000001</v>
      </c>
      <c r="X66" s="3" t="n">
        <v>2.481</v>
      </c>
      <c r="Y66" s="3">
        <f>IF(X66="",IFERROR(VLOOKUP($C66,Assumptions!$A$4:$G$7,6,FALSE),0),X66)</f>
        <v/>
      </c>
      <c r="Z66" s="3">
        <f>N(O66)*IFERROR(VLOOKUP($C66,Assumptions!$A$4:$G$7,2,FALSE),0)</f>
        <v/>
      </c>
      <c r="AA66" s="3">
        <f>N(S66)*IFERROR(VLOOKUP($C66,Assumptions!$A$4:$G$7,3,FALSE),0)*Assumptions!$B$11</f>
        <v/>
      </c>
      <c r="AB66" s="3">
        <f>N(N66)*IFERROR(VLOOKUP($C66,Assumptions!$A$4:$G$7,4,FALSE),0)</f>
        <v/>
      </c>
      <c r="AC66" s="3">
        <f>IF(N(U66)=0,0,V66*IFERROR(VLOOKUP($C66,Assumptions!$A$4:$G$7,5,FALSE),0)*90/N(U66))</f>
        <v/>
      </c>
      <c r="AD66" s="3">
        <f>N(W66)</f>
        <v/>
      </c>
      <c r="AE66" s="3">
        <f>SUM(Y66:AD66)</f>
        <v/>
      </c>
      <c r="AF66" s="3">
        <f>N(AE66)*N(M66)/90</f>
        <v/>
      </c>
      <c r="AG66" s="3">
        <f>IFERROR(AF66-VLOOKUP($C66,Assumptions!$A$29:$C$32,3,FALSE),"")</f>
        <v/>
      </c>
      <c r="AH66" s="3">
        <f>IFERROR(AG66/F66,"")</f>
        <v/>
      </c>
      <c r="AI66">
        <f>IF(AND($E66=TRUE,$C66="GKP"),AF66,"")</f>
        <v/>
      </c>
      <c r="AJ66">
        <f>IF(AND($E66=TRUE,$C66="DEF"),AF66,"")</f>
        <v/>
      </c>
      <c r="AK66">
        <f>IF(AND($E66=TRUE,$C66="MID"),AF66,"")</f>
        <v/>
      </c>
      <c r="AL66">
        <f>IF(AND($E66=TRUE,$C66="FWD"),AF66,"")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b">
        <v>1</v>
      </c>
      <c r="F67" s="2" t="n">
        <v>7.5</v>
      </c>
      <c r="G67" t="inlineStr">
        <is>
          <t>a</t>
        </is>
      </c>
      <c r="I67" s="2" t="n">
        <v>2374</v>
      </c>
      <c r="J67" t="n">
        <v>125</v>
      </c>
      <c r="K67" s="3" t="n">
        <v>2902</v>
      </c>
      <c r="L67" t="inlineStr">
        <is>
          <t>flat</t>
        </is>
      </c>
      <c r="M67" s="4" t="n">
        <v>2374</v>
      </c>
      <c r="N67" s="4" t="n">
        <v>0.263</v>
      </c>
      <c r="O67" s="3" t="n">
        <v>0.2532</v>
      </c>
      <c r="P67" t="inlineStr">
        <is>
          <t>adjusted xGOT</t>
        </is>
      </c>
      <c r="Q67" s="3" t="n">
        <v>0.978</v>
      </c>
      <c r="R67" s="3" t="n">
        <v>6.8</v>
      </c>
      <c r="S67" s="3" t="n">
        <v>0.1995</v>
      </c>
      <c r="T67" s="3" t="n">
        <v>7.116</v>
      </c>
      <c r="U67" s="4" t="n">
        <v>87.90000000000001</v>
      </c>
      <c r="V67" s="3">
        <f>IF(OR(N(T67)=0,N(U67)=0),0,1-POISSON(IFERROR(VLOOKUP($C67,Assumptions!$A$4:$G$7,7,FALSE),99)-1,N(T67)*N(U67)/90,TRUE))</f>
        <v/>
      </c>
      <c r="W67" s="3" t="n">
        <v>0.6445</v>
      </c>
      <c r="X67" s="3" t="n">
        <v>2.275</v>
      </c>
      <c r="Y67" s="3">
        <f>IF(X67="",IFERROR(VLOOKUP($C67,Assumptions!$A$4:$G$7,6,FALSE),0),X67)</f>
        <v/>
      </c>
      <c r="Z67" s="3">
        <f>N(O67)*IFERROR(VLOOKUP($C67,Assumptions!$A$4:$G$7,2,FALSE),0)</f>
        <v/>
      </c>
      <c r="AA67" s="3">
        <f>N(S67)*IFERROR(VLOOKUP($C67,Assumptions!$A$4:$G$7,3,FALSE),0)*Assumptions!$B$11</f>
        <v/>
      </c>
      <c r="AB67" s="3">
        <f>N(N67)*IFERROR(VLOOKUP($C67,Assumptions!$A$4:$G$7,4,FALSE),0)</f>
        <v/>
      </c>
      <c r="AC67" s="3">
        <f>IF(N(U67)=0,0,V67*IFERROR(VLOOKUP($C67,Assumptions!$A$4:$G$7,5,FALSE),0)*90/N(U67))</f>
        <v/>
      </c>
      <c r="AD67" s="3">
        <f>N(W67)</f>
        <v/>
      </c>
      <c r="AE67" s="3">
        <f>SUM(Y67:AD67)</f>
        <v/>
      </c>
      <c r="AF67" s="3">
        <f>N(AE67)*N(M67)/90</f>
        <v/>
      </c>
      <c r="AG67" s="3">
        <f>IFERROR(AF67-VLOOKUP($C67,Assumptions!$A$29:$C$32,3,FALSE),"")</f>
        <v/>
      </c>
      <c r="AH67" s="3">
        <f>IFERROR(AG67/F67,"")</f>
        <v/>
      </c>
      <c r="AI67">
        <f>IF(AND($E67=TRUE,$C67="GKP"),AF67,"")</f>
        <v/>
      </c>
      <c r="AJ67">
        <f>IF(AND($E67=TRUE,$C67="DEF"),AF67,"")</f>
        <v/>
      </c>
      <c r="AK67">
        <f>IF(AND($E67=TRUE,$C67="MID"),AF67,"")</f>
        <v/>
      </c>
      <c r="AL67">
        <f>IF(AND($E67=TRUE,$C67="FWD"),AF67,"")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b">
        <v>1</v>
      </c>
      <c r="F68" s="2" t="n">
        <v>6.5</v>
      </c>
      <c r="G68" t="inlineStr">
        <is>
          <t>a</t>
        </is>
      </c>
      <c r="I68" s="2" t="n">
        <v>2629</v>
      </c>
      <c r="J68" t="n">
        <v>125</v>
      </c>
      <c r="K68" s="3" t="n">
        <v>1773</v>
      </c>
      <c r="L68" t="inlineStr">
        <is>
          <t>flat</t>
        </is>
      </c>
      <c r="M68" s="4" t="n">
        <v>2629</v>
      </c>
      <c r="N68" s="4" t="n">
        <v>0.237</v>
      </c>
      <c r="O68" s="3" t="n">
        <v>0.1289</v>
      </c>
      <c r="P68" t="inlineStr">
        <is>
          <t>adjusted xGOT</t>
        </is>
      </c>
      <c r="Q68" s="3" t="n">
        <v>0.82</v>
      </c>
      <c r="R68" s="3" t="n">
        <v>12.4</v>
      </c>
      <c r="S68" s="3" t="n">
        <v>0.2529</v>
      </c>
      <c r="T68" s="3" t="n">
        <v>5.123</v>
      </c>
      <c r="U68" s="4" t="n">
        <v>87.59999999999999</v>
      </c>
      <c r="V68" s="3">
        <f>IF(OR(N(T68)=0,N(U68)=0),0,1-POISSON(IFERROR(VLOOKUP($C68,Assumptions!$A$4:$G$7,7,FALSE),99)-1,N(T68)*N(U68)/90,TRUE))</f>
        <v/>
      </c>
      <c r="W68" s="3" t="n">
        <v>0.3423</v>
      </c>
      <c r="X68" s="3" t="n">
        <v>2.191</v>
      </c>
      <c r="Y68" s="3">
        <f>IF(X68="",IFERROR(VLOOKUP($C68,Assumptions!$A$4:$G$7,6,FALSE),0),X68)</f>
        <v/>
      </c>
      <c r="Z68" s="3">
        <f>N(O68)*IFERROR(VLOOKUP($C68,Assumptions!$A$4:$G$7,2,FALSE),0)</f>
        <v/>
      </c>
      <c r="AA68" s="3">
        <f>N(S68)*IFERROR(VLOOKUP($C68,Assumptions!$A$4:$G$7,3,FALSE),0)*Assumptions!$B$11</f>
        <v/>
      </c>
      <c r="AB68" s="3">
        <f>N(N68)*IFERROR(VLOOKUP($C68,Assumptions!$A$4:$G$7,4,FALSE),0)</f>
        <v/>
      </c>
      <c r="AC68" s="3">
        <f>IF(N(U68)=0,0,V68*IFERROR(VLOOKUP($C68,Assumptions!$A$4:$G$7,5,FALSE),0)*90/N(U68))</f>
        <v/>
      </c>
      <c r="AD68" s="3">
        <f>N(W68)</f>
        <v/>
      </c>
      <c r="AE68" s="3">
        <f>SUM(Y68:AD68)</f>
        <v/>
      </c>
      <c r="AF68" s="3">
        <f>N(AE68)*N(M68)/90</f>
        <v/>
      </c>
      <c r="AG68" s="3">
        <f>IFERROR(AF68-VLOOKUP($C68,Assumptions!$A$29:$C$32,3,FALSE),"")</f>
        <v/>
      </c>
      <c r="AH68" s="3">
        <f>IFERROR(AG68/F68,"")</f>
        <v/>
      </c>
      <c r="AI68">
        <f>IF(AND($E68=TRUE,$C68="GKP"),AF68,"")</f>
        <v/>
      </c>
      <c r="AJ68">
        <f>IF(AND($E68=TRUE,$C68="DEF"),AF68,"")</f>
        <v/>
      </c>
      <c r="AK68">
        <f>IF(AND($E68=TRUE,$C68="MID"),AF68,"")</f>
        <v/>
      </c>
      <c r="AL68">
        <f>IF(AND($E68=TRUE,$C68="FWD"),AF68,"")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b">
        <v>1</v>
      </c>
      <c r="F69" s="2" t="n">
        <v>7.5</v>
      </c>
      <c r="G69" t="inlineStr">
        <is>
          <t>i</t>
        </is>
      </c>
      <c r="H69" t="inlineStr">
        <is>
          <t>Achilles injury - Unknown return date</t>
        </is>
      </c>
      <c r="I69" s="2" t="n">
        <v>1797</v>
      </c>
      <c r="J69" t="n">
        <v>125</v>
      </c>
      <c r="K69" s="3" t="n">
        <v>942</v>
      </c>
      <c r="L69" t="inlineStr">
        <is>
          <t>flat</t>
        </is>
      </c>
      <c r="M69" s="4" t="n">
        <v>1797</v>
      </c>
      <c r="N69" s="4" t="n">
        <v>0.263</v>
      </c>
      <c r="O69" s="3" t="n">
        <v>0.4807</v>
      </c>
      <c r="P69" t="inlineStr">
        <is>
          <t>adjusted xGOT</t>
        </is>
      </c>
      <c r="Q69" s="3" t="n">
        <v>0.95</v>
      </c>
      <c r="R69" s="3" t="n">
        <v>10.1</v>
      </c>
      <c r="S69" s="3" t="n">
        <v>0.1237</v>
      </c>
      <c r="T69" s="3" t="n">
        <v>4.41</v>
      </c>
      <c r="U69" s="4" t="n">
        <v>85.59999999999999</v>
      </c>
      <c r="V69" s="3">
        <f>IF(OR(N(T69)=0,N(U69)=0),0,1-POISSON(IFERROR(VLOOKUP($C69,Assumptions!$A$4:$G$7,7,FALSE),99)-1,N(T69)*N(U69)/90,TRUE))</f>
        <v/>
      </c>
      <c r="W69" s="3" t="n">
        <v>1.1018</v>
      </c>
      <c r="X69" s="3" t="n">
        <v>2.354</v>
      </c>
      <c r="Y69" s="3">
        <f>IF(X69="",IFERROR(VLOOKUP($C69,Assumptions!$A$4:$G$7,6,FALSE),0),X69)</f>
        <v/>
      </c>
      <c r="Z69" s="3">
        <f>N(O69)*IFERROR(VLOOKUP($C69,Assumptions!$A$4:$G$7,2,FALSE),0)</f>
        <v/>
      </c>
      <c r="AA69" s="3">
        <f>N(S69)*IFERROR(VLOOKUP($C69,Assumptions!$A$4:$G$7,3,FALSE),0)*Assumptions!$B$11</f>
        <v/>
      </c>
      <c r="AB69" s="3">
        <f>N(N69)*IFERROR(VLOOKUP($C69,Assumptions!$A$4:$G$7,4,FALSE),0)</f>
        <v/>
      </c>
      <c r="AC69" s="3">
        <f>IF(N(U69)=0,0,V69*IFERROR(VLOOKUP($C69,Assumptions!$A$4:$G$7,5,FALSE),0)*90/N(U69))</f>
        <v/>
      </c>
      <c r="AD69" s="3">
        <f>N(W69)</f>
        <v/>
      </c>
      <c r="AE69" s="3">
        <f>SUM(Y69:AD69)</f>
        <v/>
      </c>
      <c r="AF69" s="3">
        <f>N(AE69)*N(M69)/90</f>
        <v/>
      </c>
      <c r="AG69" s="3">
        <f>IFERROR(AF69-VLOOKUP($C69,Assumptions!$A$29:$C$32,3,FALSE),"")</f>
        <v/>
      </c>
      <c r="AH69" s="3">
        <f>IFERROR(AG69/F69,"")</f>
        <v/>
      </c>
      <c r="AI69">
        <f>IF(AND($E69=TRUE,$C69="GKP"),AF69,"")</f>
        <v/>
      </c>
      <c r="AJ69">
        <f>IF(AND($E69=TRUE,$C69="DEF"),AF69,"")</f>
        <v/>
      </c>
      <c r="AK69">
        <f>IF(AND($E69=TRUE,$C69="MID"),AF69,"")</f>
        <v/>
      </c>
      <c r="AL69">
        <f>IF(AND($E69=TRUE,$C69="FWD"),AF69,"")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b">
        <v>1</v>
      </c>
      <c r="F70" s="2" t="n">
        <v>5</v>
      </c>
      <c r="G70" t="inlineStr">
        <is>
          <t>d</t>
        </is>
      </c>
      <c r="H70" t="inlineStr">
        <is>
          <t>Knock - 75% chance of playing</t>
        </is>
      </c>
      <c r="I70" s="2" t="n">
        <v>2797</v>
      </c>
      <c r="J70" t="n">
        <v>125</v>
      </c>
      <c r="K70" s="3" t="n">
        <v>3067</v>
      </c>
      <c r="L70" t="inlineStr">
        <is>
          <t>flat</t>
        </is>
      </c>
      <c r="M70" s="4" t="n">
        <v>2797</v>
      </c>
      <c r="N70" s="4" t="n">
        <v>0.29</v>
      </c>
      <c r="O70" s="3" t="n">
        <v>0.0515</v>
      </c>
      <c r="P70" t="inlineStr">
        <is>
          <t>adjusted xGOT</t>
        </is>
      </c>
      <c r="Q70" s="3" t="n">
        <v>0.988</v>
      </c>
      <c r="R70" s="3" t="n">
        <v>1.6</v>
      </c>
      <c r="S70" s="3" t="n">
        <v>0.0244</v>
      </c>
      <c r="T70" s="3" t="n">
        <v>9.557</v>
      </c>
      <c r="U70" s="4" t="n">
        <v>87.40000000000001</v>
      </c>
      <c r="V70" s="3">
        <f>IF(OR(N(T70)=0,N(U70)=0),0,1-POISSON(IFERROR(VLOOKUP($C70,Assumptions!$A$4:$G$7,7,FALSE),99)-1,N(T70)*N(U70)/90,TRUE))</f>
        <v/>
      </c>
      <c r="W70" s="3" t="n">
        <v>0.1609</v>
      </c>
      <c r="X70" s="3" t="n">
        <v>2.059</v>
      </c>
      <c r="Y70" s="3">
        <f>IF(X70="",IFERROR(VLOOKUP($C70,Assumptions!$A$4:$G$7,6,FALSE),0),X70)</f>
        <v/>
      </c>
      <c r="Z70" s="3">
        <f>N(O70)*IFERROR(VLOOKUP($C70,Assumptions!$A$4:$G$7,2,FALSE),0)</f>
        <v/>
      </c>
      <c r="AA70" s="3">
        <f>N(S70)*IFERROR(VLOOKUP($C70,Assumptions!$A$4:$G$7,3,FALSE),0)*Assumptions!$B$11</f>
        <v/>
      </c>
      <c r="AB70" s="3">
        <f>N(N70)*IFERROR(VLOOKUP($C70,Assumptions!$A$4:$G$7,4,FALSE),0)</f>
        <v/>
      </c>
      <c r="AC70" s="3">
        <f>IF(N(U70)=0,0,V70*IFERROR(VLOOKUP($C70,Assumptions!$A$4:$G$7,5,FALSE),0)*90/N(U70))</f>
        <v/>
      </c>
      <c r="AD70" s="3">
        <f>N(W70)</f>
        <v/>
      </c>
      <c r="AE70" s="3">
        <f>SUM(Y70:AD70)</f>
        <v/>
      </c>
      <c r="AF70" s="3">
        <f>N(AE70)*N(M70)/90</f>
        <v/>
      </c>
      <c r="AG70" s="3">
        <f>IFERROR(AF70-VLOOKUP($C70,Assumptions!$A$29:$C$32,3,FALSE),"")</f>
        <v/>
      </c>
      <c r="AH70" s="3">
        <f>IFERROR(AG70/F70,"")</f>
        <v/>
      </c>
      <c r="AI70">
        <f>IF(AND($E70=TRUE,$C70="GKP"),AF70,"")</f>
        <v/>
      </c>
      <c r="AJ70">
        <f>IF(AND($E70=TRUE,$C70="DEF"),AF70,"")</f>
        <v/>
      </c>
      <c r="AK70">
        <f>IF(AND($E70=TRUE,$C70="MID"),AF70,"")</f>
        <v/>
      </c>
      <c r="AL70">
        <f>IF(AND($E70=TRUE,$C70="FWD"),AF70,"")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b">
        <v>1</v>
      </c>
      <c r="F71" s="2" t="n">
        <v>6</v>
      </c>
      <c r="G71" t="inlineStr">
        <is>
          <t>a</t>
        </is>
      </c>
      <c r="I71" s="2" t="n">
        <v>2744</v>
      </c>
      <c r="J71" t="n">
        <v>125</v>
      </c>
      <c r="K71" s="3" t="n">
        <v>2804</v>
      </c>
      <c r="L71" t="inlineStr">
        <is>
          <t>flat</t>
        </is>
      </c>
      <c r="M71" s="4" t="n">
        <v>2744</v>
      </c>
      <c r="N71" s="4" t="n">
        <v>0.263</v>
      </c>
      <c r="O71" s="3" t="n">
        <v>0.3777</v>
      </c>
      <c r="P71" t="inlineStr">
        <is>
          <t>adjusted xGOT</t>
        </is>
      </c>
      <c r="Q71" s="3" t="n">
        <v>0.953</v>
      </c>
      <c r="R71" s="3" t="n">
        <v>23.9</v>
      </c>
      <c r="S71" s="3" t="n">
        <v>0.1085</v>
      </c>
      <c r="T71" s="3" t="n">
        <v>6.719</v>
      </c>
      <c r="U71" s="4" t="n">
        <v>85.8</v>
      </c>
      <c r="V71" s="3">
        <f>IF(OR(N(T71)=0,N(U71)=0),0,1-POISSON(IFERROR(VLOOKUP($C71,Assumptions!$A$4:$G$7,7,FALSE),99)-1,N(T71)*N(U71)/90,TRUE))</f>
        <v/>
      </c>
      <c r="W71" s="3" t="n">
        <v>0.164</v>
      </c>
      <c r="X71" s="3" t="n">
        <v>2.132</v>
      </c>
      <c r="Y71" s="3">
        <f>IF(X71="",IFERROR(VLOOKUP($C71,Assumptions!$A$4:$G$7,6,FALSE),0),X71)</f>
        <v/>
      </c>
      <c r="Z71" s="3">
        <f>N(O71)*IFERROR(VLOOKUP($C71,Assumptions!$A$4:$G$7,2,FALSE),0)</f>
        <v/>
      </c>
      <c r="AA71" s="3">
        <f>N(S71)*IFERROR(VLOOKUP($C71,Assumptions!$A$4:$G$7,3,FALSE),0)*Assumptions!$B$11</f>
        <v/>
      </c>
      <c r="AB71" s="3">
        <f>N(N71)*IFERROR(VLOOKUP($C71,Assumptions!$A$4:$G$7,4,FALSE),0)</f>
        <v/>
      </c>
      <c r="AC71" s="3">
        <f>IF(N(U71)=0,0,V71*IFERROR(VLOOKUP($C71,Assumptions!$A$4:$G$7,5,FALSE),0)*90/N(U71))</f>
        <v/>
      </c>
      <c r="AD71" s="3">
        <f>N(W71)</f>
        <v/>
      </c>
      <c r="AE71" s="3">
        <f>SUM(Y71:AD71)</f>
        <v/>
      </c>
      <c r="AF71" s="3">
        <f>N(AE71)*N(M71)/90</f>
        <v/>
      </c>
      <c r="AG71" s="3">
        <f>IFERROR(AF71-VLOOKUP($C71,Assumptions!$A$29:$C$32,3,FALSE),"")</f>
        <v/>
      </c>
      <c r="AH71" s="3">
        <f>IFERROR(AG71/F71,"")</f>
        <v/>
      </c>
      <c r="AI71">
        <f>IF(AND($E71=TRUE,$C71="GKP"),AF71,"")</f>
        <v/>
      </c>
      <c r="AJ71">
        <f>IF(AND($E71=TRUE,$C71="DEF"),AF71,"")</f>
        <v/>
      </c>
      <c r="AK71">
        <f>IF(AND($E71=TRUE,$C71="MID"),AF71,"")</f>
        <v/>
      </c>
      <c r="AL71">
        <f>IF(AND($E71=TRUE,$C71="FWD"),AF71,"")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b">
        <v>1</v>
      </c>
      <c r="F72" s="2" t="n">
        <v>4.5</v>
      </c>
      <c r="G72" t="inlineStr">
        <is>
          <t>a</t>
        </is>
      </c>
      <c r="I72" s="2" t="n">
        <v>3420</v>
      </c>
      <c r="J72" t="n">
        <v>124</v>
      </c>
      <c r="K72" s="3" t="n">
        <v>3385</v>
      </c>
      <c r="L72" t="inlineStr">
        <is>
          <t>flat</t>
        </is>
      </c>
      <c r="M72" s="4" t="n">
        <v>3420</v>
      </c>
      <c r="N72" s="4" t="n">
        <v>0.29</v>
      </c>
      <c r="O72" s="3" t="n">
        <v>0</v>
      </c>
      <c r="P72" t="inlineStr">
        <is>
          <t>blended xG</t>
        </is>
      </c>
      <c r="Q72" s="3" t="n">
        <v>1</v>
      </c>
      <c r="R72" s="3" t="n">
        <v>0</v>
      </c>
      <c r="S72" s="3" t="n">
        <v>0</v>
      </c>
      <c r="T72" s="3" t="n">
        <v>0</v>
      </c>
      <c r="U72" s="4" t="n">
        <v>90</v>
      </c>
      <c r="V72" s="3">
        <f>IF(OR(N(T72)=0,N(U72)=0),0,1-POISSON(IFERROR(VLOOKUP($C72,Assumptions!$A$4:$G$7,7,FALSE),99)-1,N(T72)*N(U72)/90,TRUE))</f>
        <v/>
      </c>
      <c r="W72" s="3" t="n">
        <v>0.1842</v>
      </c>
      <c r="X72" s="3" t="n">
        <v>2</v>
      </c>
      <c r="Y72" s="3">
        <f>IF(X72="",IFERROR(VLOOKUP($C72,Assumptions!$A$4:$G$7,6,FALSE),0),X72)</f>
        <v/>
      </c>
      <c r="Z72" s="3">
        <f>N(O72)*IFERROR(VLOOKUP($C72,Assumptions!$A$4:$G$7,2,FALSE),0)</f>
        <v/>
      </c>
      <c r="AA72" s="3">
        <f>N(S72)*IFERROR(VLOOKUP($C72,Assumptions!$A$4:$G$7,3,FALSE),0)*Assumptions!$B$11</f>
        <v/>
      </c>
      <c r="AB72" s="3">
        <f>N(N72)*IFERROR(VLOOKUP($C72,Assumptions!$A$4:$G$7,4,FALSE),0)</f>
        <v/>
      </c>
      <c r="AC72" s="3">
        <f>IF(N(U72)=0,0,V72*IFERROR(VLOOKUP($C72,Assumptions!$A$4:$G$7,5,FALSE),0)*90/N(U72))</f>
        <v/>
      </c>
      <c r="AD72" s="3">
        <f>N(W72)</f>
        <v/>
      </c>
      <c r="AE72" s="3">
        <f>SUM(Y72:AD72)</f>
        <v/>
      </c>
      <c r="AF72" s="3">
        <f>N(AE72)*N(M72)/90</f>
        <v/>
      </c>
      <c r="AG72" s="3">
        <f>IFERROR(AF72-VLOOKUP($C72,Assumptions!$A$29:$C$32,3,FALSE),"")</f>
        <v/>
      </c>
      <c r="AH72" s="3">
        <f>IFERROR(AG72/F72,"")</f>
        <v/>
      </c>
      <c r="AI72">
        <f>IF(AND($E72=TRUE,$C72="GKP"),AF72,"")</f>
        <v/>
      </c>
      <c r="AJ72">
        <f>IF(AND($E72=TRUE,$C72="DEF"),AF72,"")</f>
        <v/>
      </c>
      <c r="AK72">
        <f>IF(AND($E72=TRUE,$C72="MID"),AF72,"")</f>
        <v/>
      </c>
      <c r="AL72">
        <f>IF(AND($E72=TRUE,$C72="FWD"),AF72,"")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b">
        <v>1</v>
      </c>
      <c r="F73" s="2" t="n">
        <v>5.5</v>
      </c>
      <c r="G73" t="inlineStr">
        <is>
          <t>a</t>
        </is>
      </c>
      <c r="I73" s="2" t="n">
        <v>2901</v>
      </c>
      <c r="J73" t="n">
        <v>124</v>
      </c>
      <c r="K73" s="3" t="n">
        <v>3295</v>
      </c>
      <c r="L73" t="inlineStr">
        <is>
          <t>flat</t>
        </is>
      </c>
      <c r="M73" s="4" t="n">
        <v>2901</v>
      </c>
      <c r="N73" s="4" t="n">
        <v>0.29</v>
      </c>
      <c r="O73" s="3" t="n">
        <v>0.0342</v>
      </c>
      <c r="P73" t="inlineStr">
        <is>
          <t>adjusted xGOT</t>
        </is>
      </c>
      <c r="Q73" s="3" t="n">
        <v>1.091</v>
      </c>
      <c r="R73" s="3" t="n">
        <v>5.7</v>
      </c>
      <c r="S73" s="3" t="n">
        <v>0.1153</v>
      </c>
      <c r="T73" s="3" t="n">
        <v>10.703</v>
      </c>
      <c r="U73" s="4" t="n">
        <v>90.7</v>
      </c>
      <c r="V73" s="3">
        <f>IF(OR(N(T73)=0,N(U73)=0),0,1-POISSON(IFERROR(VLOOKUP($C73,Assumptions!$A$4:$G$7,7,FALSE),99)-1,N(T73)*N(U73)/90,TRUE))</f>
        <v/>
      </c>
      <c r="W73" s="3" t="n">
        <v>0.2482</v>
      </c>
      <c r="X73" s="3" t="n">
        <v>2.048</v>
      </c>
      <c r="Y73" s="3">
        <f>IF(X73="",IFERROR(VLOOKUP($C73,Assumptions!$A$4:$G$7,6,FALSE),0),X73)</f>
        <v/>
      </c>
      <c r="Z73" s="3">
        <f>N(O73)*IFERROR(VLOOKUP($C73,Assumptions!$A$4:$G$7,2,FALSE),0)</f>
        <v/>
      </c>
      <c r="AA73" s="3">
        <f>N(S73)*IFERROR(VLOOKUP($C73,Assumptions!$A$4:$G$7,3,FALSE),0)*Assumptions!$B$11</f>
        <v/>
      </c>
      <c r="AB73" s="3">
        <f>N(N73)*IFERROR(VLOOKUP($C73,Assumptions!$A$4:$G$7,4,FALSE),0)</f>
        <v/>
      </c>
      <c r="AC73" s="3">
        <f>IF(N(U73)=0,0,V73*IFERROR(VLOOKUP($C73,Assumptions!$A$4:$G$7,5,FALSE),0)*90/N(U73))</f>
        <v/>
      </c>
      <c r="AD73" s="3">
        <f>N(W73)</f>
        <v/>
      </c>
      <c r="AE73" s="3">
        <f>SUM(Y73:AD73)</f>
        <v/>
      </c>
      <c r="AF73" s="3">
        <f>N(AE73)*N(M73)/90</f>
        <v/>
      </c>
      <c r="AG73" s="3">
        <f>IFERROR(AF73-VLOOKUP($C73,Assumptions!$A$29:$C$32,3,FALSE),"")</f>
        <v/>
      </c>
      <c r="AH73" s="3">
        <f>IFERROR(AG73/F73,"")</f>
        <v/>
      </c>
      <c r="AI73">
        <f>IF(AND($E73=TRUE,$C73="GKP"),AF73,"")</f>
        <v/>
      </c>
      <c r="AJ73">
        <f>IF(AND($E73=TRUE,$C73="DEF"),AF73,"")</f>
        <v/>
      </c>
      <c r="AK73">
        <f>IF(AND($E73=TRUE,$C73="MID"),AF73,"")</f>
        <v/>
      </c>
      <c r="AL73">
        <f>IF(AND($E73=TRUE,$C73="FWD"),AF73,"")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b">
        <v>1</v>
      </c>
      <c r="F74" s="2" t="n">
        <v>5</v>
      </c>
      <c r="G74" t="inlineStr">
        <is>
          <t>s</t>
        </is>
      </c>
      <c r="H74" t="inlineStr">
        <is>
          <t>Suspended until 30 Aug</t>
        </is>
      </c>
      <c r="I74" s="2" t="n">
        <v>2882</v>
      </c>
      <c r="J74" t="n">
        <v>123</v>
      </c>
      <c r="K74" s="3" t="n">
        <v>3032</v>
      </c>
      <c r="L74" t="inlineStr">
        <is>
          <t>flat</t>
        </is>
      </c>
      <c r="M74" s="4" t="n">
        <v>2882</v>
      </c>
      <c r="N74" s="4" t="n">
        <v>0.237</v>
      </c>
      <c r="O74" s="3" t="n">
        <v>0.0428</v>
      </c>
      <c r="P74" t="inlineStr">
        <is>
          <t>adjusted xGOT</t>
        </is>
      </c>
      <c r="Q74" s="3" t="n">
        <v>0.958</v>
      </c>
      <c r="R74" s="3" t="n">
        <v>6.1</v>
      </c>
      <c r="S74" s="3" t="n">
        <v>0.0376</v>
      </c>
      <c r="T74" s="3" t="n">
        <v>9.757</v>
      </c>
      <c r="U74" s="4" t="n">
        <v>87.3</v>
      </c>
      <c r="V74" s="3">
        <f>IF(OR(N(T74)=0,N(U74)=0),0,1-POISSON(IFERROR(VLOOKUP($C74,Assumptions!$A$4:$G$7,7,FALSE),99)-1,N(T74)*N(U74)/90,TRUE))</f>
        <v/>
      </c>
      <c r="W74" s="3" t="n">
        <v>0.1874</v>
      </c>
      <c r="X74" s="3" t="n">
        <v>1.999</v>
      </c>
      <c r="Y74" s="3">
        <f>IF(X74="",IFERROR(VLOOKUP($C74,Assumptions!$A$4:$G$7,6,FALSE),0),X74)</f>
        <v/>
      </c>
      <c r="Z74" s="3">
        <f>N(O74)*IFERROR(VLOOKUP($C74,Assumptions!$A$4:$G$7,2,FALSE),0)</f>
        <v/>
      </c>
      <c r="AA74" s="3">
        <f>N(S74)*IFERROR(VLOOKUP($C74,Assumptions!$A$4:$G$7,3,FALSE),0)*Assumptions!$B$11</f>
        <v/>
      </c>
      <c r="AB74" s="3">
        <f>N(N74)*IFERROR(VLOOKUP($C74,Assumptions!$A$4:$G$7,4,FALSE),0)</f>
        <v/>
      </c>
      <c r="AC74" s="3">
        <f>IF(N(U74)=0,0,V74*IFERROR(VLOOKUP($C74,Assumptions!$A$4:$G$7,5,FALSE),0)*90/N(U74))</f>
        <v/>
      </c>
      <c r="AD74" s="3">
        <f>N(W74)</f>
        <v/>
      </c>
      <c r="AE74" s="3">
        <f>SUM(Y74:AD74)</f>
        <v/>
      </c>
      <c r="AF74" s="3">
        <f>N(AE74)*N(M74)/90</f>
        <v/>
      </c>
      <c r="AG74" s="3">
        <f>IFERROR(AF74-VLOOKUP($C74,Assumptions!$A$29:$C$32,3,FALSE),"")</f>
        <v/>
      </c>
      <c r="AH74" s="3">
        <f>IFERROR(AG74/F74,"")</f>
        <v/>
      </c>
      <c r="AI74">
        <f>IF(AND($E74=TRUE,$C74="GKP"),AF74,"")</f>
        <v/>
      </c>
      <c r="AJ74">
        <f>IF(AND($E74=TRUE,$C74="DEF"),AF74,"")</f>
        <v/>
      </c>
      <c r="AK74">
        <f>IF(AND($E74=TRUE,$C74="MID"),AF74,"")</f>
        <v/>
      </c>
      <c r="AL74">
        <f>IF(AND($E74=TRUE,$C74="FWD"),AF74,"")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b">
        <v>1</v>
      </c>
      <c r="F75" s="2" t="n">
        <v>4.5</v>
      </c>
      <c r="G75" t="inlineStr">
        <is>
          <t>a</t>
        </is>
      </c>
      <c r="I75" s="2" t="n">
        <v>3420</v>
      </c>
      <c r="J75" t="n">
        <v>122</v>
      </c>
      <c r="K75" s="3" t="n">
        <v>3420</v>
      </c>
      <c r="L75" t="inlineStr">
        <is>
          <t>flat</t>
        </is>
      </c>
      <c r="M75" s="4" t="n">
        <v>3420</v>
      </c>
      <c r="N75" s="4" t="n">
        <v>0.237</v>
      </c>
      <c r="O75" s="3" t="n">
        <v>0</v>
      </c>
      <c r="P75" t="inlineStr">
        <is>
          <t>blended xG</t>
        </is>
      </c>
      <c r="Q75" s="3" t="n">
        <v>1</v>
      </c>
      <c r="R75" s="3" t="n">
        <v>0</v>
      </c>
      <c r="S75" s="3" t="n">
        <v>0.0003</v>
      </c>
      <c r="T75" s="3" t="n">
        <v>0</v>
      </c>
      <c r="U75" s="4" t="n">
        <v>90</v>
      </c>
      <c r="V75" s="3">
        <f>IF(OR(N(T75)=0,N(U75)=0),0,1-POISSON(IFERROR(VLOOKUP($C75,Assumptions!$A$4:$G$7,7,FALSE),99)-1,N(T75)*N(U75)/90,TRUE))</f>
        <v/>
      </c>
      <c r="W75" s="3" t="n">
        <v>0.2632</v>
      </c>
      <c r="X75" s="3" t="n">
        <v>2</v>
      </c>
      <c r="Y75" s="3">
        <f>IF(X75="",IFERROR(VLOOKUP($C75,Assumptions!$A$4:$G$7,6,FALSE),0),X75)</f>
        <v/>
      </c>
      <c r="Z75" s="3">
        <f>N(O75)*IFERROR(VLOOKUP($C75,Assumptions!$A$4:$G$7,2,FALSE),0)</f>
        <v/>
      </c>
      <c r="AA75" s="3">
        <f>N(S75)*IFERROR(VLOOKUP($C75,Assumptions!$A$4:$G$7,3,FALSE),0)*Assumptions!$B$11</f>
        <v/>
      </c>
      <c r="AB75" s="3">
        <f>N(N75)*IFERROR(VLOOKUP($C75,Assumptions!$A$4:$G$7,4,FALSE),0)</f>
        <v/>
      </c>
      <c r="AC75" s="3">
        <f>IF(N(U75)=0,0,V75*IFERROR(VLOOKUP($C75,Assumptions!$A$4:$G$7,5,FALSE),0)*90/N(U75))</f>
        <v/>
      </c>
      <c r="AD75" s="3">
        <f>N(W75)</f>
        <v/>
      </c>
      <c r="AE75" s="3">
        <f>SUM(Y75:AD75)</f>
        <v/>
      </c>
      <c r="AF75" s="3">
        <f>N(AE75)*N(M75)/90</f>
        <v/>
      </c>
      <c r="AG75" s="3">
        <f>IFERROR(AF75-VLOOKUP($C75,Assumptions!$A$29:$C$32,3,FALSE),"")</f>
        <v/>
      </c>
      <c r="AH75" s="3">
        <f>IFERROR(AG75/F75,"")</f>
        <v/>
      </c>
      <c r="AI75">
        <f>IF(AND($E75=TRUE,$C75="GKP"),AF75,"")</f>
        <v/>
      </c>
      <c r="AJ75">
        <f>IF(AND($E75=TRUE,$C75="DEF"),AF75,"")</f>
        <v/>
      </c>
      <c r="AK75">
        <f>IF(AND($E75=TRUE,$C75="MID"),AF75,"")</f>
        <v/>
      </c>
      <c r="AL75">
        <f>IF(AND($E75=TRUE,$C75="FWD"),AF75,"")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b">
        <v>1</v>
      </c>
      <c r="F76" s="2" t="n">
        <v>5</v>
      </c>
      <c r="G76" t="inlineStr">
        <is>
          <t>a</t>
        </is>
      </c>
      <c r="I76" s="2" t="n">
        <v>2835</v>
      </c>
      <c r="J76" t="n">
        <v>120</v>
      </c>
      <c r="K76" s="3" t="n">
        <v>3385</v>
      </c>
      <c r="L76" t="inlineStr">
        <is>
          <t>flat</t>
        </is>
      </c>
      <c r="M76" s="4" t="n">
        <v>2835</v>
      </c>
      <c r="N76" s="4" t="n">
        <v>0.237</v>
      </c>
      <c r="O76" s="3" t="n">
        <v>0</v>
      </c>
      <c r="P76" t="inlineStr">
        <is>
          <t>blended xG</t>
        </is>
      </c>
      <c r="Q76" s="3" t="n">
        <v>1</v>
      </c>
      <c r="R76" s="3" t="n">
        <v>0</v>
      </c>
      <c r="S76" s="3" t="n">
        <v>0.0069</v>
      </c>
      <c r="T76" s="3" t="n">
        <v>0</v>
      </c>
      <c r="U76" s="4" t="n">
        <v>88.59999999999999</v>
      </c>
      <c r="V76" s="3">
        <f>IF(OR(N(T76)=0,N(U76)=0),0,1-POISSON(IFERROR(VLOOKUP($C76,Assumptions!$A$4:$G$7,7,FALSE),99)-1,N(T76)*N(U76)/90,TRUE))</f>
        <v/>
      </c>
      <c r="W76" s="3" t="n">
        <v>0.3175</v>
      </c>
      <c r="X76" s="3" t="n">
        <v>2</v>
      </c>
      <c r="Y76" s="3">
        <f>IF(X76="",IFERROR(VLOOKUP($C76,Assumptions!$A$4:$G$7,6,FALSE),0),X76)</f>
        <v/>
      </c>
      <c r="Z76" s="3">
        <f>N(O76)*IFERROR(VLOOKUP($C76,Assumptions!$A$4:$G$7,2,FALSE),0)</f>
        <v/>
      </c>
      <c r="AA76" s="3">
        <f>N(S76)*IFERROR(VLOOKUP($C76,Assumptions!$A$4:$G$7,3,FALSE),0)*Assumptions!$B$11</f>
        <v/>
      </c>
      <c r="AB76" s="3">
        <f>N(N76)*IFERROR(VLOOKUP($C76,Assumptions!$A$4:$G$7,4,FALSE),0)</f>
        <v/>
      </c>
      <c r="AC76" s="3">
        <f>IF(N(U76)=0,0,V76*IFERROR(VLOOKUP($C76,Assumptions!$A$4:$G$7,5,FALSE),0)*90/N(U76))</f>
        <v/>
      </c>
      <c r="AD76" s="3">
        <f>N(W76)</f>
        <v/>
      </c>
      <c r="AE76" s="3">
        <f>SUM(Y76:AD76)</f>
        <v/>
      </c>
      <c r="AF76" s="3">
        <f>N(AE76)*N(M76)/90</f>
        <v/>
      </c>
      <c r="AG76" s="3">
        <f>IFERROR(AF76-VLOOKUP($C76,Assumptions!$A$29:$C$32,3,FALSE),"")</f>
        <v/>
      </c>
      <c r="AH76" s="3">
        <f>IFERROR(AG76/F76,"")</f>
        <v/>
      </c>
      <c r="AI76">
        <f>IF(AND($E76=TRUE,$C76="GKP"),AF76,"")</f>
        <v/>
      </c>
      <c r="AJ76">
        <f>IF(AND($E76=TRUE,$C76="DEF"),AF76,"")</f>
        <v/>
      </c>
      <c r="AK76">
        <f>IF(AND($E76=TRUE,$C76="MID"),AF76,"")</f>
        <v/>
      </c>
      <c r="AL76">
        <f>IF(AND($E76=TRUE,$C76="FWD"),AF76,"")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b">
        <v>1</v>
      </c>
      <c r="F77" s="2" t="n">
        <v>7.5</v>
      </c>
      <c r="G77" t="inlineStr">
        <is>
          <t>a</t>
        </is>
      </c>
      <c r="I77" s="2" t="n">
        <v>1773</v>
      </c>
      <c r="J77" t="n">
        <v>120</v>
      </c>
      <c r="K77" s="3" t="n">
        <v>2502</v>
      </c>
      <c r="L77" t="inlineStr">
        <is>
          <t>flat</t>
        </is>
      </c>
      <c r="M77" s="4" t="n">
        <v>1773</v>
      </c>
      <c r="N77" s="4" t="n">
        <v>0.421</v>
      </c>
      <c r="O77" s="3" t="n">
        <v>0.1865</v>
      </c>
      <c r="P77" t="inlineStr">
        <is>
          <t>adjusted xGOT</t>
        </is>
      </c>
      <c r="Q77" s="3" t="n">
        <v>1.28</v>
      </c>
      <c r="R77" s="3" t="n">
        <v>6.8</v>
      </c>
      <c r="S77" s="3" t="n">
        <v>0.3404</v>
      </c>
      <c r="T77" s="3" t="n">
        <v>7.026</v>
      </c>
      <c r="U77" s="4" t="n">
        <v>93.3</v>
      </c>
      <c r="V77" s="3">
        <f>IF(OR(N(T77)=0,N(U77)=0),0,1-POISSON(IFERROR(VLOOKUP($C77,Assumptions!$A$4:$G$7,7,FALSE),99)-1,N(T77)*N(U77)/90,TRUE))</f>
        <v/>
      </c>
      <c r="W77" s="3" t="n">
        <v>0.7614</v>
      </c>
      <c r="X77" s="3" t="n">
        <v>2.437</v>
      </c>
      <c r="Y77" s="3">
        <f>IF(X77="",IFERROR(VLOOKUP($C77,Assumptions!$A$4:$G$7,6,FALSE),0),X77)</f>
        <v/>
      </c>
      <c r="Z77" s="3">
        <f>N(O77)*IFERROR(VLOOKUP($C77,Assumptions!$A$4:$G$7,2,FALSE),0)</f>
        <v/>
      </c>
      <c r="AA77" s="3">
        <f>N(S77)*IFERROR(VLOOKUP($C77,Assumptions!$A$4:$G$7,3,FALSE),0)*Assumptions!$B$11</f>
        <v/>
      </c>
      <c r="AB77" s="3">
        <f>N(N77)*IFERROR(VLOOKUP($C77,Assumptions!$A$4:$G$7,4,FALSE),0)</f>
        <v/>
      </c>
      <c r="AC77" s="3">
        <f>IF(N(U77)=0,0,V77*IFERROR(VLOOKUP($C77,Assumptions!$A$4:$G$7,5,FALSE),0)*90/N(U77))</f>
        <v/>
      </c>
      <c r="AD77" s="3">
        <f>N(W77)</f>
        <v/>
      </c>
      <c r="AE77" s="3">
        <f>SUM(Y77:AD77)</f>
        <v/>
      </c>
      <c r="AF77" s="3">
        <f>N(AE77)*N(M77)/90</f>
        <v/>
      </c>
      <c r="AG77" s="3">
        <f>IFERROR(AF77-VLOOKUP($C77,Assumptions!$A$29:$C$32,3,FALSE),"")</f>
        <v/>
      </c>
      <c r="AH77" s="3">
        <f>IFERROR(AG77/F77,"")</f>
        <v/>
      </c>
      <c r="AI77">
        <f>IF(AND($E77=TRUE,$C77="GKP"),AF77,"")</f>
        <v/>
      </c>
      <c r="AJ77">
        <f>IF(AND($E77=TRUE,$C77="DEF"),AF77,"")</f>
        <v/>
      </c>
      <c r="AK77">
        <f>IF(AND($E77=TRUE,$C77="MID"),AF77,"")</f>
        <v/>
      </c>
      <c r="AL77">
        <f>IF(AND($E77=TRUE,$C77="FWD"),AF77,"")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b">
        <v>1</v>
      </c>
      <c r="F78" s="2" t="n">
        <v>5.5</v>
      </c>
      <c r="G78" t="inlineStr">
        <is>
          <t>a</t>
        </is>
      </c>
      <c r="I78" s="2" t="n">
        <v>3375</v>
      </c>
      <c r="J78" t="n">
        <v>119</v>
      </c>
      <c r="K78" s="3" t="n">
        <v>3312</v>
      </c>
      <c r="L78" t="inlineStr">
        <is>
          <t>flat</t>
        </is>
      </c>
      <c r="M78" s="4" t="n">
        <v>3375</v>
      </c>
      <c r="N78" s="4" t="n">
        <v>0.237</v>
      </c>
      <c r="O78" s="3" t="n">
        <v>0.022</v>
      </c>
      <c r="P78" t="inlineStr">
        <is>
          <t>adjusted xGOT</t>
        </is>
      </c>
      <c r="Q78" s="3" t="n">
        <v>0.994</v>
      </c>
      <c r="R78" s="3" t="n">
        <v>4.9</v>
      </c>
      <c r="S78" s="3" t="n">
        <v>0.0126</v>
      </c>
      <c r="T78" s="3" t="n">
        <v>8.186</v>
      </c>
      <c r="U78" s="4" t="n">
        <v>91.2</v>
      </c>
      <c r="V78" s="3">
        <f>IF(OR(N(T78)=0,N(U78)=0),0,1-POISSON(IFERROR(VLOOKUP($C78,Assumptions!$A$4:$G$7,7,FALSE),99)-1,N(T78)*N(U78)/90,TRUE))</f>
        <v/>
      </c>
      <c r="W78" s="3" t="n">
        <v>0.0267</v>
      </c>
      <c r="X78" s="3" t="n">
        <v>2</v>
      </c>
      <c r="Y78" s="3">
        <f>IF(X78="",IFERROR(VLOOKUP($C78,Assumptions!$A$4:$G$7,6,FALSE),0),X78)</f>
        <v/>
      </c>
      <c r="Z78" s="3">
        <f>N(O78)*IFERROR(VLOOKUP($C78,Assumptions!$A$4:$G$7,2,FALSE),0)</f>
        <v/>
      </c>
      <c r="AA78" s="3">
        <f>N(S78)*IFERROR(VLOOKUP($C78,Assumptions!$A$4:$G$7,3,FALSE),0)*Assumptions!$B$11</f>
        <v/>
      </c>
      <c r="AB78" s="3">
        <f>N(N78)*IFERROR(VLOOKUP($C78,Assumptions!$A$4:$G$7,4,FALSE),0)</f>
        <v/>
      </c>
      <c r="AC78" s="3">
        <f>IF(N(U78)=0,0,V78*IFERROR(VLOOKUP($C78,Assumptions!$A$4:$G$7,5,FALSE),0)*90/N(U78))</f>
        <v/>
      </c>
      <c r="AD78" s="3">
        <f>N(W78)</f>
        <v/>
      </c>
      <c r="AE78" s="3">
        <f>SUM(Y78:AD78)</f>
        <v/>
      </c>
      <c r="AF78" s="3">
        <f>N(AE78)*N(M78)/90</f>
        <v/>
      </c>
      <c r="AG78" s="3">
        <f>IFERROR(AF78-VLOOKUP($C78,Assumptions!$A$29:$C$32,3,FALSE),"")</f>
        <v/>
      </c>
      <c r="AH78" s="3">
        <f>IFERROR(AG78/F78,"")</f>
        <v/>
      </c>
      <c r="AI78">
        <f>IF(AND($E78=TRUE,$C78="GKP"),AF78,"")</f>
        <v/>
      </c>
      <c r="AJ78">
        <f>IF(AND($E78=TRUE,$C78="DEF"),AF78,"")</f>
        <v/>
      </c>
      <c r="AK78">
        <f>IF(AND($E78=TRUE,$C78="MID"),AF78,"")</f>
        <v/>
      </c>
      <c r="AL78">
        <f>IF(AND($E78=TRUE,$C78="FWD"),AF78,"")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b">
        <v>1</v>
      </c>
      <c r="F79" s="2" t="n">
        <v>6</v>
      </c>
      <c r="G79" t="inlineStr">
        <is>
          <t>a</t>
        </is>
      </c>
      <c r="I79" s="2" t="n">
        <v>1954</v>
      </c>
      <c r="J79" t="n">
        <v>119</v>
      </c>
      <c r="K79" s="3" t="n">
        <v>697</v>
      </c>
      <c r="L79" t="inlineStr">
        <is>
          <t>fade (losing his place)</t>
        </is>
      </c>
      <c r="M79" s="4" t="n">
        <v>1954</v>
      </c>
      <c r="N79" s="4" t="n">
        <v>0.237</v>
      </c>
      <c r="O79" s="3" t="n">
        <v>0.4198</v>
      </c>
      <c r="P79" t="inlineStr">
        <is>
          <t>adjusted xGOT</t>
        </is>
      </c>
      <c r="Q79" s="3" t="n">
        <v>1.055</v>
      </c>
      <c r="R79" s="3" t="n">
        <v>25.3</v>
      </c>
      <c r="S79" s="3" t="n">
        <v>0.1121</v>
      </c>
      <c r="T79" s="3" t="n">
        <v>6.238</v>
      </c>
      <c r="U79" s="4" t="n">
        <v>97.7</v>
      </c>
      <c r="V79" s="3">
        <f>IF(OR(N(T79)=0,N(U79)=0),0,1-POISSON(IFERROR(VLOOKUP($C79,Assumptions!$A$4:$G$7,7,FALSE),99)-1,N(T79)*N(U79)/90,TRUE))</f>
        <v/>
      </c>
      <c r="W79" s="3" t="n">
        <v>0.783</v>
      </c>
      <c r="X79" s="3" t="n">
        <v>2.349</v>
      </c>
      <c r="Y79" s="3">
        <f>IF(X79="",IFERROR(VLOOKUP($C79,Assumptions!$A$4:$G$7,6,FALSE),0),X79)</f>
        <v/>
      </c>
      <c r="Z79" s="3">
        <f>N(O79)*IFERROR(VLOOKUP($C79,Assumptions!$A$4:$G$7,2,FALSE),0)</f>
        <v/>
      </c>
      <c r="AA79" s="3">
        <f>N(S79)*IFERROR(VLOOKUP($C79,Assumptions!$A$4:$G$7,3,FALSE),0)*Assumptions!$B$11</f>
        <v/>
      </c>
      <c r="AB79" s="3">
        <f>N(N79)*IFERROR(VLOOKUP($C79,Assumptions!$A$4:$G$7,4,FALSE),0)</f>
        <v/>
      </c>
      <c r="AC79" s="3">
        <f>IF(N(U79)=0,0,V79*IFERROR(VLOOKUP($C79,Assumptions!$A$4:$G$7,5,FALSE),0)*90/N(U79))</f>
        <v/>
      </c>
      <c r="AD79" s="3">
        <f>N(W79)</f>
        <v/>
      </c>
      <c r="AE79" s="3">
        <f>SUM(Y79:AD79)</f>
        <v/>
      </c>
      <c r="AF79" s="3">
        <f>N(AE79)*N(M79)/90</f>
        <v/>
      </c>
      <c r="AG79" s="3">
        <f>IFERROR(AF79-VLOOKUP($C79,Assumptions!$A$29:$C$32,3,FALSE),"")</f>
        <v/>
      </c>
      <c r="AH79" s="3">
        <f>IFERROR(AG79/F79,"")</f>
        <v/>
      </c>
      <c r="AI79">
        <f>IF(AND($E79=TRUE,$C79="GKP"),AF79,"")</f>
        <v/>
      </c>
      <c r="AJ79">
        <f>IF(AND($E79=TRUE,$C79="DEF"),AF79,"")</f>
        <v/>
      </c>
      <c r="AK79">
        <f>IF(AND($E79=TRUE,$C79="MID"),AF79,"")</f>
        <v/>
      </c>
      <c r="AL79">
        <f>IF(AND($E79=TRUE,$C79="FWD"),AF79,"")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b">
        <v>1</v>
      </c>
      <c r="F80" s="2" t="n">
        <v>4.5</v>
      </c>
      <c r="G80" t="inlineStr">
        <is>
          <t>a</t>
        </is>
      </c>
      <c r="I80" s="2" t="n">
        <v>3130</v>
      </c>
      <c r="J80" t="n">
        <v>118</v>
      </c>
      <c r="K80" s="3" t="n">
        <v>3198</v>
      </c>
      <c r="L80" t="inlineStr">
        <is>
          <t>flat</t>
        </is>
      </c>
      <c r="M80" s="4" t="n">
        <v>3130</v>
      </c>
      <c r="N80" s="4" t="n">
        <v>0.263</v>
      </c>
      <c r="O80" s="3" t="n">
        <v>0.0626</v>
      </c>
      <c r="P80" t="inlineStr">
        <is>
          <t>adjusted xGOT</t>
        </is>
      </c>
      <c r="Q80" s="3" t="n">
        <v>1.057</v>
      </c>
      <c r="R80" s="3" t="n">
        <v>2.5</v>
      </c>
      <c r="S80" s="3" t="n">
        <v>0.0799</v>
      </c>
      <c r="T80" s="3" t="n">
        <v>5.411</v>
      </c>
      <c r="U80" s="4" t="n">
        <v>92.09999999999999</v>
      </c>
      <c r="V80" s="3">
        <f>IF(OR(N(T80)=0,N(U80)=0),0,1-POISSON(IFERROR(VLOOKUP($C80,Assumptions!$A$4:$G$7,7,FALSE),99)-1,N(T80)*N(U80)/90,TRUE))</f>
        <v/>
      </c>
      <c r="W80" s="3" t="n">
        <v>0.23</v>
      </c>
      <c r="X80" s="3" t="n">
        <v>2.07</v>
      </c>
      <c r="Y80" s="3">
        <f>IF(X80="",IFERROR(VLOOKUP($C80,Assumptions!$A$4:$G$7,6,FALSE),0),X80)</f>
        <v/>
      </c>
      <c r="Z80" s="3">
        <f>N(O80)*IFERROR(VLOOKUP($C80,Assumptions!$A$4:$G$7,2,FALSE),0)</f>
        <v/>
      </c>
      <c r="AA80" s="3">
        <f>N(S80)*IFERROR(VLOOKUP($C80,Assumptions!$A$4:$G$7,3,FALSE),0)*Assumptions!$B$11</f>
        <v/>
      </c>
      <c r="AB80" s="3">
        <f>N(N80)*IFERROR(VLOOKUP($C80,Assumptions!$A$4:$G$7,4,FALSE),0)</f>
        <v/>
      </c>
      <c r="AC80" s="3">
        <f>IF(N(U80)=0,0,V80*IFERROR(VLOOKUP($C80,Assumptions!$A$4:$G$7,5,FALSE),0)*90/N(U80))</f>
        <v/>
      </c>
      <c r="AD80" s="3">
        <f>N(W80)</f>
        <v/>
      </c>
      <c r="AE80" s="3">
        <f>SUM(Y80:AD80)</f>
        <v/>
      </c>
      <c r="AF80" s="3">
        <f>N(AE80)*N(M80)/90</f>
        <v/>
      </c>
      <c r="AG80" s="3">
        <f>IFERROR(AF80-VLOOKUP($C80,Assumptions!$A$29:$C$32,3,FALSE),"")</f>
        <v/>
      </c>
      <c r="AH80" s="3">
        <f>IFERROR(AG80/F80,"")</f>
        <v/>
      </c>
      <c r="AI80">
        <f>IF(AND($E80=TRUE,$C80="GKP"),AF80,"")</f>
        <v/>
      </c>
      <c r="AJ80">
        <f>IF(AND($E80=TRUE,$C80="DEF"),AF80,"")</f>
        <v/>
      </c>
      <c r="AK80">
        <f>IF(AND($E80=TRUE,$C80="MID"),AF80,"")</f>
        <v/>
      </c>
      <c r="AL80">
        <f>IF(AND($E80=TRUE,$C80="FWD"),AF80,"")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b">
        <v>1</v>
      </c>
      <c r="F81" s="2" t="n">
        <v>6.5</v>
      </c>
      <c r="G81" t="inlineStr">
        <is>
          <t>a</t>
        </is>
      </c>
      <c r="I81" s="2" t="n">
        <v>2173</v>
      </c>
      <c r="J81" t="n">
        <v>117</v>
      </c>
      <c r="K81" s="3" t="n">
        <v>3135</v>
      </c>
      <c r="L81" t="inlineStr">
        <is>
          <t>flat</t>
        </is>
      </c>
      <c r="M81" s="4" t="n">
        <v>2173</v>
      </c>
      <c r="N81" s="4" t="n">
        <v>0.316</v>
      </c>
      <c r="O81" s="3" t="n">
        <v>0.4489</v>
      </c>
      <c r="P81" t="inlineStr">
        <is>
          <t>adjusted xGOT</t>
        </is>
      </c>
      <c r="Q81" s="3" t="n">
        <v>0.992</v>
      </c>
      <c r="R81" s="3" t="n">
        <v>21.8</v>
      </c>
      <c r="S81" s="3" t="n">
        <v>0.0698</v>
      </c>
      <c r="T81" s="3" t="n">
        <v>6.397</v>
      </c>
      <c r="U81" s="4" t="n">
        <v>90.5</v>
      </c>
      <c r="V81" s="3">
        <f>IF(OR(N(T81)=0,N(U81)=0),0,1-POISSON(IFERROR(VLOOKUP($C81,Assumptions!$A$4:$G$7,7,FALSE),99)-1,N(T81)*N(U81)/90,TRUE))</f>
        <v/>
      </c>
      <c r="W81" s="3" t="n">
        <v>0.4142</v>
      </c>
      <c r="X81" s="3" t="n">
        <v>2.071</v>
      </c>
      <c r="Y81" s="3">
        <f>IF(X81="",IFERROR(VLOOKUP($C81,Assumptions!$A$4:$G$7,6,FALSE),0),X81)</f>
        <v/>
      </c>
      <c r="Z81" s="3">
        <f>N(O81)*IFERROR(VLOOKUP($C81,Assumptions!$A$4:$G$7,2,FALSE),0)</f>
        <v/>
      </c>
      <c r="AA81" s="3">
        <f>N(S81)*IFERROR(VLOOKUP($C81,Assumptions!$A$4:$G$7,3,FALSE),0)*Assumptions!$B$11</f>
        <v/>
      </c>
      <c r="AB81" s="3">
        <f>N(N81)*IFERROR(VLOOKUP($C81,Assumptions!$A$4:$G$7,4,FALSE),0)</f>
        <v/>
      </c>
      <c r="AC81" s="3">
        <f>IF(N(U81)=0,0,V81*IFERROR(VLOOKUP($C81,Assumptions!$A$4:$G$7,5,FALSE),0)*90/N(U81))</f>
        <v/>
      </c>
      <c r="AD81" s="3">
        <f>N(W81)</f>
        <v/>
      </c>
      <c r="AE81" s="3">
        <f>SUM(Y81:AD81)</f>
        <v/>
      </c>
      <c r="AF81" s="3">
        <f>N(AE81)*N(M81)/90</f>
        <v/>
      </c>
      <c r="AG81" s="3">
        <f>IFERROR(AF81-VLOOKUP($C81,Assumptions!$A$29:$C$32,3,FALSE),"")</f>
        <v/>
      </c>
      <c r="AH81" s="3">
        <f>IFERROR(AG81/F81,"")</f>
        <v/>
      </c>
      <c r="AI81">
        <f>IF(AND($E81=TRUE,$C81="GKP"),AF81,"")</f>
        <v/>
      </c>
      <c r="AJ81">
        <f>IF(AND($E81=TRUE,$C81="DEF"),AF81,"")</f>
        <v/>
      </c>
      <c r="AK81">
        <f>IF(AND($E81=TRUE,$C81="MID"),AF81,"")</f>
        <v/>
      </c>
      <c r="AL81">
        <f>IF(AND($E81=TRUE,$C81="FWD"),AF81,"")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b">
        <v>1</v>
      </c>
      <c r="F82" s="2" t="n">
        <v>6</v>
      </c>
      <c r="G82" t="inlineStr">
        <is>
          <t>i</t>
        </is>
      </c>
      <c r="H82" t="inlineStr">
        <is>
          <t>Leg injury - Expected back 28 Nov</t>
        </is>
      </c>
      <c r="I82" s="2" t="n">
        <v>2389</v>
      </c>
      <c r="J82" t="n">
        <v>117</v>
      </c>
      <c r="K82" s="3" t="n">
        <v>2713</v>
      </c>
      <c r="L82" t="inlineStr">
        <is>
          <t>ramp-up (injury / late WC return)</t>
        </is>
      </c>
      <c r="M82" s="4" t="n">
        <v>2389</v>
      </c>
      <c r="N82" s="4" t="n">
        <v>0.263</v>
      </c>
      <c r="O82" s="3" t="n">
        <v>0.1513</v>
      </c>
      <c r="P82" t="inlineStr">
        <is>
          <t>adjusted xGOT</t>
        </is>
      </c>
      <c r="Q82" s="3" t="n">
        <v>1.054</v>
      </c>
      <c r="R82" s="3" t="n">
        <v>7.9</v>
      </c>
      <c r="S82" s="3" t="n">
        <v>0.2053</v>
      </c>
      <c r="T82" s="3" t="n">
        <v>7.342</v>
      </c>
      <c r="U82" s="4" t="n">
        <v>91.90000000000001</v>
      </c>
      <c r="V82" s="3">
        <f>IF(OR(N(T82)=0,N(U82)=0),0,1-POISSON(IFERROR(VLOOKUP($C82,Assumptions!$A$4:$G$7,7,FALSE),99)-1,N(T82)*N(U82)/90,TRUE))</f>
        <v/>
      </c>
      <c r="W82" s="3" t="n">
        <v>0.3767</v>
      </c>
      <c r="X82" s="3" t="n">
        <v>2.223</v>
      </c>
      <c r="Y82" s="3">
        <f>IF(X82="",IFERROR(VLOOKUP($C82,Assumptions!$A$4:$G$7,6,FALSE),0),X82)</f>
        <v/>
      </c>
      <c r="Z82" s="3">
        <f>N(O82)*IFERROR(VLOOKUP($C82,Assumptions!$A$4:$G$7,2,FALSE),0)</f>
        <v/>
      </c>
      <c r="AA82" s="3">
        <f>N(S82)*IFERROR(VLOOKUP($C82,Assumptions!$A$4:$G$7,3,FALSE),0)*Assumptions!$B$11</f>
        <v/>
      </c>
      <c r="AB82" s="3">
        <f>N(N82)*IFERROR(VLOOKUP($C82,Assumptions!$A$4:$G$7,4,FALSE),0)</f>
        <v/>
      </c>
      <c r="AC82" s="3">
        <f>IF(N(U82)=0,0,V82*IFERROR(VLOOKUP($C82,Assumptions!$A$4:$G$7,5,FALSE),0)*90/N(U82))</f>
        <v/>
      </c>
      <c r="AD82" s="3">
        <f>N(W82)</f>
        <v/>
      </c>
      <c r="AE82" s="3">
        <f>SUM(Y82:AD82)</f>
        <v/>
      </c>
      <c r="AF82" s="3">
        <f>N(AE82)*N(M82)/90</f>
        <v/>
      </c>
      <c r="AG82" s="3">
        <f>IFERROR(AF82-VLOOKUP($C82,Assumptions!$A$29:$C$32,3,FALSE),"")</f>
        <v/>
      </c>
      <c r="AH82" s="3">
        <f>IFERROR(AG82/F82,"")</f>
        <v/>
      </c>
      <c r="AI82">
        <f>IF(AND($E82=TRUE,$C82="GKP"),AF82,"")</f>
        <v/>
      </c>
      <c r="AJ82">
        <f>IF(AND($E82=TRUE,$C82="DEF"),AF82,"")</f>
        <v/>
      </c>
      <c r="AK82">
        <f>IF(AND($E82=TRUE,$C82="MID"),AF82,"")</f>
        <v/>
      </c>
      <c r="AL82">
        <f>IF(AND($E82=TRUE,$C82="FWD"),AF82,"")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b">
        <v>1</v>
      </c>
      <c r="F83" s="2" t="n">
        <v>5.5</v>
      </c>
      <c r="G83" t="inlineStr">
        <is>
          <t>a</t>
        </is>
      </c>
      <c r="I83" s="2" t="n">
        <v>2793</v>
      </c>
      <c r="J83" t="n">
        <v>117</v>
      </c>
      <c r="K83" s="3" t="n">
        <v>3084</v>
      </c>
      <c r="L83" t="inlineStr">
        <is>
          <t>flat</t>
        </is>
      </c>
      <c r="M83" s="4" t="n">
        <v>2793</v>
      </c>
      <c r="N83" s="4" t="n">
        <v>0.237</v>
      </c>
      <c r="O83" s="3" t="n">
        <v>0.0338</v>
      </c>
      <c r="P83" t="inlineStr">
        <is>
          <t>adjusted xGOT</t>
        </is>
      </c>
      <c r="Q83" s="3" t="n">
        <v>0.999</v>
      </c>
      <c r="R83" s="3" t="n">
        <v>7.4</v>
      </c>
      <c r="S83" s="3" t="n">
        <v>0.1388</v>
      </c>
      <c r="T83" s="3" t="n">
        <v>7.16</v>
      </c>
      <c r="U83" s="4" t="n">
        <v>87.3</v>
      </c>
      <c r="V83" s="3">
        <f>IF(OR(N(T83)=0,N(U83)=0),0,1-POISSON(IFERROR(VLOOKUP($C83,Assumptions!$A$4:$G$7,7,FALSE),99)-1,N(T83)*N(U83)/90,TRUE))</f>
        <v/>
      </c>
      <c r="W83" s="3" t="n">
        <v>0.29</v>
      </c>
      <c r="X83" s="3" t="n">
        <v>2.095</v>
      </c>
      <c r="Y83" s="3">
        <f>IF(X83="",IFERROR(VLOOKUP($C83,Assumptions!$A$4:$G$7,6,FALSE),0),X83)</f>
        <v/>
      </c>
      <c r="Z83" s="3">
        <f>N(O83)*IFERROR(VLOOKUP($C83,Assumptions!$A$4:$G$7,2,FALSE),0)</f>
        <v/>
      </c>
      <c r="AA83" s="3">
        <f>N(S83)*IFERROR(VLOOKUP($C83,Assumptions!$A$4:$G$7,3,FALSE),0)*Assumptions!$B$11</f>
        <v/>
      </c>
      <c r="AB83" s="3">
        <f>N(N83)*IFERROR(VLOOKUP($C83,Assumptions!$A$4:$G$7,4,FALSE),0)</f>
        <v/>
      </c>
      <c r="AC83" s="3">
        <f>IF(N(U83)=0,0,V83*IFERROR(VLOOKUP($C83,Assumptions!$A$4:$G$7,5,FALSE),0)*90/N(U83))</f>
        <v/>
      </c>
      <c r="AD83" s="3">
        <f>N(W83)</f>
        <v/>
      </c>
      <c r="AE83" s="3">
        <f>SUM(Y83:AD83)</f>
        <v/>
      </c>
      <c r="AF83" s="3">
        <f>N(AE83)*N(M83)/90</f>
        <v/>
      </c>
      <c r="AG83" s="3">
        <f>IFERROR(AF83-VLOOKUP($C83,Assumptions!$A$29:$C$32,3,FALSE),"")</f>
        <v/>
      </c>
      <c r="AH83" s="3">
        <f>IFERROR(AG83/F83,"")</f>
        <v/>
      </c>
      <c r="AI83">
        <f>IF(AND($E83=TRUE,$C83="GKP"),AF83,"")</f>
        <v/>
      </c>
      <c r="AJ83">
        <f>IF(AND($E83=TRUE,$C83="DEF"),AF83,"")</f>
        <v/>
      </c>
      <c r="AK83">
        <f>IF(AND($E83=TRUE,$C83="MID"),AF83,"")</f>
        <v/>
      </c>
      <c r="AL83">
        <f>IF(AND($E83=TRUE,$C83="FWD"),AF83,"")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b">
        <v>1</v>
      </c>
      <c r="F84" s="2" t="n">
        <v>4.5</v>
      </c>
      <c r="G84" t="inlineStr">
        <is>
          <t>a</t>
        </is>
      </c>
      <c r="I84" s="2" t="n">
        <v>3016</v>
      </c>
      <c r="J84" t="n">
        <v>117</v>
      </c>
      <c r="K84" s="3" t="n">
        <v>3342</v>
      </c>
      <c r="L84" t="inlineStr">
        <is>
          <t>flat</t>
        </is>
      </c>
      <c r="M84" s="4" t="n">
        <v>3016</v>
      </c>
      <c r="N84" s="4" t="n">
        <v>0.237</v>
      </c>
      <c r="O84" s="3" t="n">
        <v>0.0354</v>
      </c>
      <c r="P84" t="inlineStr">
        <is>
          <t>adjusted xGOT</t>
        </is>
      </c>
      <c r="Q84" s="3" t="n">
        <v>1.04</v>
      </c>
      <c r="R84" s="3" t="n">
        <v>6.2</v>
      </c>
      <c r="S84" s="3" t="n">
        <v>0.09180000000000001</v>
      </c>
      <c r="T84" s="3" t="n">
        <v>5.962</v>
      </c>
      <c r="U84" s="4" t="n">
        <v>88.7</v>
      </c>
      <c r="V84" s="3">
        <f>IF(OR(N(T84)=0,N(U84)=0),0,1-POISSON(IFERROR(VLOOKUP($C84,Assumptions!$A$4:$G$7,7,FALSE),99)-1,N(T84)*N(U84)/90,TRUE))</f>
        <v/>
      </c>
      <c r="W84" s="3" t="n">
        <v>0.2089</v>
      </c>
      <c r="X84" s="3" t="n">
        <v>2.029</v>
      </c>
      <c r="Y84" s="3">
        <f>IF(X84="",IFERROR(VLOOKUP($C84,Assumptions!$A$4:$G$7,6,FALSE),0),X84)</f>
        <v/>
      </c>
      <c r="Z84" s="3">
        <f>N(O84)*IFERROR(VLOOKUP($C84,Assumptions!$A$4:$G$7,2,FALSE),0)</f>
        <v/>
      </c>
      <c r="AA84" s="3">
        <f>N(S84)*IFERROR(VLOOKUP($C84,Assumptions!$A$4:$G$7,3,FALSE),0)*Assumptions!$B$11</f>
        <v/>
      </c>
      <c r="AB84" s="3">
        <f>N(N84)*IFERROR(VLOOKUP($C84,Assumptions!$A$4:$G$7,4,FALSE),0)</f>
        <v/>
      </c>
      <c r="AC84" s="3">
        <f>IF(N(U84)=0,0,V84*IFERROR(VLOOKUP($C84,Assumptions!$A$4:$G$7,5,FALSE),0)*90/N(U84))</f>
        <v/>
      </c>
      <c r="AD84" s="3">
        <f>N(W84)</f>
        <v/>
      </c>
      <c r="AE84" s="3">
        <f>SUM(Y84:AD84)</f>
        <v/>
      </c>
      <c r="AF84" s="3">
        <f>N(AE84)*N(M84)/90</f>
        <v/>
      </c>
      <c r="AG84" s="3">
        <f>IFERROR(AF84-VLOOKUP($C84,Assumptions!$A$29:$C$32,3,FALSE),"")</f>
        <v/>
      </c>
      <c r="AH84" s="3">
        <f>IFERROR(AG84/F84,"")</f>
        <v/>
      </c>
      <c r="AI84">
        <f>IF(AND($E84=TRUE,$C84="GKP"),AF84,"")</f>
        <v/>
      </c>
      <c r="AJ84">
        <f>IF(AND($E84=TRUE,$C84="DEF"),AF84,"")</f>
        <v/>
      </c>
      <c r="AK84">
        <f>IF(AND($E84=TRUE,$C84="MID"),AF84,"")</f>
        <v/>
      </c>
      <c r="AL84">
        <f>IF(AND($E84=TRUE,$C84="FWD"),AF84,"")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b">
        <v>1</v>
      </c>
      <c r="F85" s="2" t="n">
        <v>5</v>
      </c>
      <c r="G85" t="inlineStr">
        <is>
          <t>a</t>
        </is>
      </c>
      <c r="I85" s="2" t="n">
        <v>2144</v>
      </c>
      <c r="J85" t="n">
        <v>116</v>
      </c>
      <c r="K85" s="3" t="n">
        <v>2867</v>
      </c>
      <c r="L85" t="inlineStr">
        <is>
          <t>flat</t>
        </is>
      </c>
      <c r="M85" s="4" t="n">
        <v>2144</v>
      </c>
      <c r="N85" s="4" t="n">
        <v>0.29</v>
      </c>
      <c r="O85" s="3" t="n">
        <v>0.1017</v>
      </c>
      <c r="P85" t="inlineStr">
        <is>
          <t>adjusted xGOT</t>
        </is>
      </c>
      <c r="Q85" s="3" t="n">
        <v>0.985</v>
      </c>
      <c r="R85" s="3" t="n">
        <v>2.5</v>
      </c>
      <c r="S85" s="3" t="n">
        <v>0.0464</v>
      </c>
      <c r="T85" s="3" t="n">
        <v>10.228</v>
      </c>
      <c r="U85" s="4" t="n">
        <v>89.3</v>
      </c>
      <c r="V85" s="3">
        <f>IF(OR(N(T85)=0,N(U85)=0),0,1-POISSON(IFERROR(VLOOKUP($C85,Assumptions!$A$4:$G$7,7,FALSE),99)-1,N(T85)*N(U85)/90,TRUE))</f>
        <v/>
      </c>
      <c r="W85" s="3" t="n">
        <v>0.3358</v>
      </c>
      <c r="X85" s="3" t="n">
        <v>2.141</v>
      </c>
      <c r="Y85" s="3">
        <f>IF(X85="",IFERROR(VLOOKUP($C85,Assumptions!$A$4:$G$7,6,FALSE),0),X85)</f>
        <v/>
      </c>
      <c r="Z85" s="3">
        <f>N(O85)*IFERROR(VLOOKUP($C85,Assumptions!$A$4:$G$7,2,FALSE),0)</f>
        <v/>
      </c>
      <c r="AA85" s="3">
        <f>N(S85)*IFERROR(VLOOKUP($C85,Assumptions!$A$4:$G$7,3,FALSE),0)*Assumptions!$B$11</f>
        <v/>
      </c>
      <c r="AB85" s="3">
        <f>N(N85)*IFERROR(VLOOKUP($C85,Assumptions!$A$4:$G$7,4,FALSE),0)</f>
        <v/>
      </c>
      <c r="AC85" s="3">
        <f>IF(N(U85)=0,0,V85*IFERROR(VLOOKUP($C85,Assumptions!$A$4:$G$7,5,FALSE),0)*90/N(U85))</f>
        <v/>
      </c>
      <c r="AD85" s="3">
        <f>N(W85)</f>
        <v/>
      </c>
      <c r="AE85" s="3">
        <f>SUM(Y85:AD85)</f>
        <v/>
      </c>
      <c r="AF85" s="3">
        <f>N(AE85)*N(M85)/90</f>
        <v/>
      </c>
      <c r="AG85" s="3">
        <f>IFERROR(AF85-VLOOKUP($C85,Assumptions!$A$29:$C$32,3,FALSE),"")</f>
        <v/>
      </c>
      <c r="AH85" s="3">
        <f>IFERROR(AG85/F85,"")</f>
        <v/>
      </c>
      <c r="AI85">
        <f>IF(AND($E85=TRUE,$C85="GKP"),AF85,"")</f>
        <v/>
      </c>
      <c r="AJ85">
        <f>IF(AND($E85=TRUE,$C85="DEF"),AF85,"")</f>
        <v/>
      </c>
      <c r="AK85">
        <f>IF(AND($E85=TRUE,$C85="MID"),AF85,"")</f>
        <v/>
      </c>
      <c r="AL85">
        <f>IF(AND($E85=TRUE,$C85="FWD"),AF85,"")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b">
        <v>1</v>
      </c>
      <c r="F86" s="2" t="n">
        <v>5</v>
      </c>
      <c r="G86" t="inlineStr">
        <is>
          <t>a</t>
        </is>
      </c>
      <c r="I86" s="2" t="n">
        <v>3118</v>
      </c>
      <c r="J86" t="n">
        <v>116</v>
      </c>
      <c r="K86" s="3" t="n">
        <v>3164</v>
      </c>
      <c r="L86" t="inlineStr">
        <is>
          <t>flat</t>
        </is>
      </c>
      <c r="M86" s="4" t="n">
        <v>3118</v>
      </c>
      <c r="N86" s="4" t="n">
        <v>0.29</v>
      </c>
      <c r="O86" s="3" t="n">
        <v>0.0554</v>
      </c>
      <c r="P86" t="inlineStr">
        <is>
          <t>adjusted xGOT</t>
        </is>
      </c>
      <c r="Q86" s="3" t="n">
        <v>1.149</v>
      </c>
      <c r="R86" s="3" t="n">
        <v>2.4</v>
      </c>
      <c r="S86" s="3" t="n">
        <v>0.0249</v>
      </c>
      <c r="T86" s="3" t="n">
        <v>6.859</v>
      </c>
      <c r="U86" s="4" t="n">
        <v>89.09999999999999</v>
      </c>
      <c r="V86" s="3">
        <f>IF(OR(N(T86)=0,N(U86)=0),0,1-POISSON(IFERROR(VLOOKUP($C86,Assumptions!$A$4:$G$7,7,FALSE),99)-1,N(T86)*N(U86)/90,TRUE))</f>
        <v/>
      </c>
      <c r="W86" s="3" t="n">
        <v>0.1155</v>
      </c>
      <c r="X86" s="3" t="n">
        <v>2.107</v>
      </c>
      <c r="Y86" s="3">
        <f>IF(X86="",IFERROR(VLOOKUP($C86,Assumptions!$A$4:$G$7,6,FALSE),0),X86)</f>
        <v/>
      </c>
      <c r="Z86" s="3">
        <f>N(O86)*IFERROR(VLOOKUP($C86,Assumptions!$A$4:$G$7,2,FALSE),0)</f>
        <v/>
      </c>
      <c r="AA86" s="3">
        <f>N(S86)*IFERROR(VLOOKUP($C86,Assumptions!$A$4:$G$7,3,FALSE),0)*Assumptions!$B$11</f>
        <v/>
      </c>
      <c r="AB86" s="3">
        <f>N(N86)*IFERROR(VLOOKUP($C86,Assumptions!$A$4:$G$7,4,FALSE),0)</f>
        <v/>
      </c>
      <c r="AC86" s="3">
        <f>IF(N(U86)=0,0,V86*IFERROR(VLOOKUP($C86,Assumptions!$A$4:$G$7,5,FALSE),0)*90/N(U86))</f>
        <v/>
      </c>
      <c r="AD86" s="3">
        <f>N(W86)</f>
        <v/>
      </c>
      <c r="AE86" s="3">
        <f>SUM(Y86:AD86)</f>
        <v/>
      </c>
      <c r="AF86" s="3">
        <f>N(AE86)*N(M86)/90</f>
        <v/>
      </c>
      <c r="AG86" s="3">
        <f>IFERROR(AF86-VLOOKUP($C86,Assumptions!$A$29:$C$32,3,FALSE),"")</f>
        <v/>
      </c>
      <c r="AH86" s="3">
        <f>IFERROR(AG86/F86,"")</f>
        <v/>
      </c>
      <c r="AI86">
        <f>IF(AND($E86=TRUE,$C86="GKP"),AF86,"")</f>
        <v/>
      </c>
      <c r="AJ86">
        <f>IF(AND($E86=TRUE,$C86="DEF"),AF86,"")</f>
        <v/>
      </c>
      <c r="AK86">
        <f>IF(AND($E86=TRUE,$C86="MID"),AF86,"")</f>
        <v/>
      </c>
      <c r="AL86">
        <f>IF(AND($E86=TRUE,$C86="FWD"),AF86,"")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b">
        <v>1</v>
      </c>
      <c r="F87" s="2" t="n">
        <v>5</v>
      </c>
      <c r="G87" t="inlineStr">
        <is>
          <t>a</t>
        </is>
      </c>
      <c r="I87" s="2" t="n">
        <v>3041</v>
      </c>
      <c r="J87" t="n">
        <v>116</v>
      </c>
      <c r="K87" s="3" t="n">
        <v>3089</v>
      </c>
      <c r="L87" t="inlineStr">
        <is>
          <t>flat</t>
        </is>
      </c>
      <c r="M87" s="4" t="n">
        <v>3041</v>
      </c>
      <c r="N87" s="4" t="n">
        <v>0.237</v>
      </c>
      <c r="O87" s="3" t="n">
        <v>0.09760000000000001</v>
      </c>
      <c r="P87" t="inlineStr">
        <is>
          <t>adjusted xGOT</t>
        </is>
      </c>
      <c r="Q87" s="3" t="n">
        <v>1.17</v>
      </c>
      <c r="R87" s="3" t="n">
        <v>4</v>
      </c>
      <c r="S87" s="3" t="n">
        <v>0.0206</v>
      </c>
      <c r="T87" s="3" t="n">
        <v>6.544</v>
      </c>
      <c r="U87" s="4" t="n">
        <v>86.90000000000001</v>
      </c>
      <c r="V87" s="3">
        <f>IF(OR(N(T87)=0,N(U87)=0),0,1-POISSON(IFERROR(VLOOKUP($C87,Assumptions!$A$4:$G$7,7,FALSE),99)-1,N(T87)*N(U87)/90,TRUE))</f>
        <v/>
      </c>
      <c r="W87" s="3" t="n">
        <v>0.2664</v>
      </c>
      <c r="X87" s="3" t="n">
        <v>2.012</v>
      </c>
      <c r="Y87" s="3">
        <f>IF(X87="",IFERROR(VLOOKUP($C87,Assumptions!$A$4:$G$7,6,FALSE),0),X87)</f>
        <v/>
      </c>
      <c r="Z87" s="3">
        <f>N(O87)*IFERROR(VLOOKUP($C87,Assumptions!$A$4:$G$7,2,FALSE),0)</f>
        <v/>
      </c>
      <c r="AA87" s="3">
        <f>N(S87)*IFERROR(VLOOKUP($C87,Assumptions!$A$4:$G$7,3,FALSE),0)*Assumptions!$B$11</f>
        <v/>
      </c>
      <c r="AB87" s="3">
        <f>N(N87)*IFERROR(VLOOKUP($C87,Assumptions!$A$4:$G$7,4,FALSE),0)</f>
        <v/>
      </c>
      <c r="AC87" s="3">
        <f>IF(N(U87)=0,0,V87*IFERROR(VLOOKUP($C87,Assumptions!$A$4:$G$7,5,FALSE),0)*90/N(U87))</f>
        <v/>
      </c>
      <c r="AD87" s="3">
        <f>N(W87)</f>
        <v/>
      </c>
      <c r="AE87" s="3">
        <f>SUM(Y87:AD87)</f>
        <v/>
      </c>
      <c r="AF87" s="3">
        <f>N(AE87)*N(M87)/90</f>
        <v/>
      </c>
      <c r="AG87" s="3">
        <f>IFERROR(AF87-VLOOKUP($C87,Assumptions!$A$29:$C$32,3,FALSE),"")</f>
        <v/>
      </c>
      <c r="AH87" s="3">
        <f>IFERROR(AG87/F87,"")</f>
        <v/>
      </c>
      <c r="AI87">
        <f>IF(AND($E87=TRUE,$C87="GKP"),AF87,"")</f>
        <v/>
      </c>
      <c r="AJ87">
        <f>IF(AND($E87=TRUE,$C87="DEF"),AF87,"")</f>
        <v/>
      </c>
      <c r="AK87">
        <f>IF(AND($E87=TRUE,$C87="MID"),AF87,"")</f>
        <v/>
      </c>
      <c r="AL87">
        <f>IF(AND($E87=TRUE,$C87="FWD"),AF87,"")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b">
        <v>1</v>
      </c>
      <c r="F88" s="2" t="n">
        <v>5.5</v>
      </c>
      <c r="G88" t="inlineStr">
        <is>
          <t>a</t>
        </is>
      </c>
      <c r="I88" s="2" t="n">
        <v>1957</v>
      </c>
      <c r="J88" t="n">
        <v>115</v>
      </c>
      <c r="K88" s="3" t="n">
        <v>2400</v>
      </c>
      <c r="L88" t="inlineStr">
        <is>
          <t>flat</t>
        </is>
      </c>
      <c r="M88" s="4" t="n">
        <v>1957</v>
      </c>
      <c r="N88" s="4" t="n">
        <v>0.237</v>
      </c>
      <c r="O88" s="3" t="n">
        <v>0.0538</v>
      </c>
      <c r="P88" t="inlineStr">
        <is>
          <t>adjusted xGOT</t>
        </is>
      </c>
      <c r="Q88" s="3" t="n">
        <v>1.124</v>
      </c>
      <c r="R88" s="3" t="n">
        <v>2.8</v>
      </c>
      <c r="S88" s="3" t="n">
        <v>0.1654</v>
      </c>
      <c r="T88" s="3" t="n">
        <v>6.37</v>
      </c>
      <c r="U88" s="4" t="n">
        <v>97.8</v>
      </c>
      <c r="V88" s="3">
        <f>IF(OR(N(T88)=0,N(U88)=0),0,1-POISSON(IFERROR(VLOOKUP($C88,Assumptions!$A$4:$G$7,7,FALSE),99)-1,N(T88)*N(U88)/90,TRUE))</f>
        <v/>
      </c>
      <c r="W88" s="3" t="n">
        <v>0.5518999999999999</v>
      </c>
      <c r="X88" s="3" t="n">
        <v>2.207</v>
      </c>
      <c r="Y88" s="3">
        <f>IF(X88="",IFERROR(VLOOKUP($C88,Assumptions!$A$4:$G$7,6,FALSE),0),X88)</f>
        <v/>
      </c>
      <c r="Z88" s="3">
        <f>N(O88)*IFERROR(VLOOKUP($C88,Assumptions!$A$4:$G$7,2,FALSE),0)</f>
        <v/>
      </c>
      <c r="AA88" s="3">
        <f>N(S88)*IFERROR(VLOOKUP($C88,Assumptions!$A$4:$G$7,3,FALSE),0)*Assumptions!$B$11</f>
        <v/>
      </c>
      <c r="AB88" s="3">
        <f>N(N88)*IFERROR(VLOOKUP($C88,Assumptions!$A$4:$G$7,4,FALSE),0)</f>
        <v/>
      </c>
      <c r="AC88" s="3">
        <f>IF(N(U88)=0,0,V88*IFERROR(VLOOKUP($C88,Assumptions!$A$4:$G$7,5,FALSE),0)*90/N(U88))</f>
        <v/>
      </c>
      <c r="AD88" s="3">
        <f>N(W88)</f>
        <v/>
      </c>
      <c r="AE88" s="3">
        <f>SUM(Y88:AD88)</f>
        <v/>
      </c>
      <c r="AF88" s="3">
        <f>N(AE88)*N(M88)/90</f>
        <v/>
      </c>
      <c r="AG88" s="3">
        <f>IFERROR(AF88-VLOOKUP($C88,Assumptions!$A$29:$C$32,3,FALSE),"")</f>
        <v/>
      </c>
      <c r="AH88" s="3">
        <f>IFERROR(AG88/F88,"")</f>
        <v/>
      </c>
      <c r="AI88">
        <f>IF(AND($E88=TRUE,$C88="GKP"),AF88,"")</f>
        <v/>
      </c>
      <c r="AJ88">
        <f>IF(AND($E88=TRUE,$C88="DEF"),AF88,"")</f>
        <v/>
      </c>
      <c r="AK88">
        <f>IF(AND($E88=TRUE,$C88="MID"),AF88,"")</f>
        <v/>
      </c>
      <c r="AL88">
        <f>IF(AND($E88=TRUE,$C88="FWD"),AF88,"")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b">
        <v>1</v>
      </c>
      <c r="F89" s="2" t="n">
        <v>6</v>
      </c>
      <c r="G89" t="inlineStr">
        <is>
          <t>a</t>
        </is>
      </c>
      <c r="I89" s="2" t="n">
        <v>2741</v>
      </c>
      <c r="J89" t="n">
        <v>115</v>
      </c>
      <c r="K89" s="3" t="n">
        <v>2662</v>
      </c>
      <c r="L89" t="inlineStr">
        <is>
          <t>flat</t>
        </is>
      </c>
      <c r="M89" s="4" t="n">
        <v>2741</v>
      </c>
      <c r="N89" s="4" t="n">
        <v>0.29</v>
      </c>
      <c r="O89" s="3" t="n">
        <v>0.2942</v>
      </c>
      <c r="P89" t="inlineStr">
        <is>
          <t>adjusted xGOT</t>
        </is>
      </c>
      <c r="Q89" s="3" t="n">
        <v>0.842</v>
      </c>
      <c r="R89" s="3" t="n">
        <v>23.1</v>
      </c>
      <c r="S89" s="3" t="n">
        <v>0.0747</v>
      </c>
      <c r="T89" s="3" t="n">
        <v>4.508</v>
      </c>
      <c r="U89" s="4" t="n">
        <v>85.7</v>
      </c>
      <c r="V89" s="3">
        <f>IF(OR(N(T89)=0,N(U89)=0),0,1-POISSON(IFERROR(VLOOKUP($C89,Assumptions!$A$4:$G$7,7,FALSE),99)-1,N(T89)*N(U89)/90,TRUE))</f>
        <v/>
      </c>
      <c r="W89" s="3" t="n">
        <v>0.197</v>
      </c>
      <c r="X89" s="3" t="n">
        <v>2.167</v>
      </c>
      <c r="Y89" s="3">
        <f>IF(X89="",IFERROR(VLOOKUP($C89,Assumptions!$A$4:$G$7,6,FALSE),0),X89)</f>
        <v/>
      </c>
      <c r="Z89" s="3">
        <f>N(O89)*IFERROR(VLOOKUP($C89,Assumptions!$A$4:$G$7,2,FALSE),0)</f>
        <v/>
      </c>
      <c r="AA89" s="3">
        <f>N(S89)*IFERROR(VLOOKUP($C89,Assumptions!$A$4:$G$7,3,FALSE),0)*Assumptions!$B$11</f>
        <v/>
      </c>
      <c r="AB89" s="3">
        <f>N(N89)*IFERROR(VLOOKUP($C89,Assumptions!$A$4:$G$7,4,FALSE),0)</f>
        <v/>
      </c>
      <c r="AC89" s="3">
        <f>IF(N(U89)=0,0,V89*IFERROR(VLOOKUP($C89,Assumptions!$A$4:$G$7,5,FALSE),0)*90/N(U89))</f>
        <v/>
      </c>
      <c r="AD89" s="3">
        <f>N(W89)</f>
        <v/>
      </c>
      <c r="AE89" s="3">
        <f>SUM(Y89:AD89)</f>
        <v/>
      </c>
      <c r="AF89" s="3">
        <f>N(AE89)*N(M89)/90</f>
        <v/>
      </c>
      <c r="AG89" s="3">
        <f>IFERROR(AF89-VLOOKUP($C89,Assumptions!$A$29:$C$32,3,FALSE),"")</f>
        <v/>
      </c>
      <c r="AH89" s="3">
        <f>IFERROR(AG89/F89,"")</f>
        <v/>
      </c>
      <c r="AI89">
        <f>IF(AND($E89=TRUE,$C89="GKP"),AF89,"")</f>
        <v/>
      </c>
      <c r="AJ89">
        <f>IF(AND($E89=TRUE,$C89="DEF"),AF89,"")</f>
        <v/>
      </c>
      <c r="AK89">
        <f>IF(AND($E89=TRUE,$C89="MID"),AF89,"")</f>
        <v/>
      </c>
      <c r="AL89">
        <f>IF(AND($E89=TRUE,$C89="FWD"),AF89,"")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b">
        <v>1</v>
      </c>
      <c r="F90" s="2" t="n">
        <v>5.5</v>
      </c>
      <c r="G90" t="inlineStr">
        <is>
          <t>a</t>
        </is>
      </c>
      <c r="I90" s="2" t="n">
        <v>1960</v>
      </c>
      <c r="J90" t="n">
        <v>115</v>
      </c>
      <c r="K90" s="3" t="n">
        <v>1659</v>
      </c>
      <c r="L90" t="inlineStr">
        <is>
          <t>flat</t>
        </is>
      </c>
      <c r="M90" s="4" t="n">
        <v>1960</v>
      </c>
      <c r="N90" s="4" t="n">
        <v>0.263</v>
      </c>
      <c r="O90" s="3" t="n">
        <v>0.1357</v>
      </c>
      <c r="P90" t="inlineStr">
        <is>
          <t>adjusted xGOT</t>
        </is>
      </c>
      <c r="Q90" s="3" t="n">
        <v>0.982</v>
      </c>
      <c r="R90" s="3" t="n">
        <v>12.9</v>
      </c>
      <c r="S90" s="3" t="n">
        <v>0.1199</v>
      </c>
      <c r="T90" s="3" t="n">
        <v>4.55</v>
      </c>
      <c r="U90" s="4" t="n">
        <v>89.09999999999999</v>
      </c>
      <c r="V90" s="3">
        <f>IF(OR(N(T90)=0,N(U90)=0),0,1-POISSON(IFERROR(VLOOKUP($C90,Assumptions!$A$4:$G$7,7,FALSE),99)-1,N(T90)*N(U90)/90,TRUE))</f>
        <v/>
      </c>
      <c r="W90" s="3" t="n">
        <v>0.2755</v>
      </c>
      <c r="X90" s="3" t="n">
        <v>2.617</v>
      </c>
      <c r="Y90" s="3">
        <f>IF(X90="",IFERROR(VLOOKUP($C90,Assumptions!$A$4:$G$7,6,FALSE),0),X90)</f>
        <v/>
      </c>
      <c r="Z90" s="3">
        <f>N(O90)*IFERROR(VLOOKUP($C90,Assumptions!$A$4:$G$7,2,FALSE),0)</f>
        <v/>
      </c>
      <c r="AA90" s="3">
        <f>N(S90)*IFERROR(VLOOKUP($C90,Assumptions!$A$4:$G$7,3,FALSE),0)*Assumptions!$B$11</f>
        <v/>
      </c>
      <c r="AB90" s="3">
        <f>N(N90)*IFERROR(VLOOKUP($C90,Assumptions!$A$4:$G$7,4,FALSE),0)</f>
        <v/>
      </c>
      <c r="AC90" s="3">
        <f>IF(N(U90)=0,0,V90*IFERROR(VLOOKUP($C90,Assumptions!$A$4:$G$7,5,FALSE),0)*90/N(U90))</f>
        <v/>
      </c>
      <c r="AD90" s="3">
        <f>N(W90)</f>
        <v/>
      </c>
      <c r="AE90" s="3">
        <f>SUM(Y90:AD90)</f>
        <v/>
      </c>
      <c r="AF90" s="3">
        <f>N(AE90)*N(M90)/90</f>
        <v/>
      </c>
      <c r="AG90" s="3">
        <f>IFERROR(AF90-VLOOKUP($C90,Assumptions!$A$29:$C$32,3,FALSE),"")</f>
        <v/>
      </c>
      <c r="AH90" s="3">
        <f>IFERROR(AG90/F90,"")</f>
        <v/>
      </c>
      <c r="AI90">
        <f>IF(AND($E90=TRUE,$C90="GKP"),AF90,"")</f>
        <v/>
      </c>
      <c r="AJ90">
        <f>IF(AND($E90=TRUE,$C90="DEF"),AF90,"")</f>
        <v/>
      </c>
      <c r="AK90">
        <f>IF(AND($E90=TRUE,$C90="MID"),AF90,"")</f>
        <v/>
      </c>
      <c r="AL90">
        <f>IF(AND($E90=TRUE,$C90="FWD"),AF90,"")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b">
        <v>1</v>
      </c>
      <c r="F91" s="2" t="n">
        <v>9.5</v>
      </c>
      <c r="G91" t="inlineStr">
        <is>
          <t>a</t>
        </is>
      </c>
      <c r="I91" s="2" t="n">
        <v>1954</v>
      </c>
      <c r="J91" t="n">
        <v>114</v>
      </c>
      <c r="K91" s="3" t="n">
        <v>2884</v>
      </c>
      <c r="L91" t="inlineStr">
        <is>
          <t>flat</t>
        </is>
      </c>
      <c r="M91" s="4" t="n">
        <v>1954</v>
      </c>
      <c r="N91" s="4" t="n">
        <v>0.237</v>
      </c>
      <c r="O91" s="3" t="n">
        <v>0.5047</v>
      </c>
      <c r="P91" t="inlineStr">
        <is>
          <t>adjusted xGOT</t>
        </is>
      </c>
      <c r="Q91" s="3" t="n">
        <v>1.039</v>
      </c>
      <c r="R91" s="3" t="n">
        <v>45</v>
      </c>
      <c r="S91" s="3" t="n">
        <v>0.1062</v>
      </c>
      <c r="T91" s="3" t="n">
        <v>6.853</v>
      </c>
      <c r="U91" s="4" t="n">
        <v>81.40000000000001</v>
      </c>
      <c r="V91" s="3">
        <f>IF(OR(N(T91)=0,N(U91)=0),0,1-POISSON(IFERROR(VLOOKUP($C91,Assumptions!$A$4:$G$7,7,FALSE),99)-1,N(T91)*N(U91)/90,TRUE))</f>
        <v/>
      </c>
      <c r="W91" s="3" t="n">
        <v>0.5067</v>
      </c>
      <c r="X91" s="3" t="n">
        <v>2.165</v>
      </c>
      <c r="Y91" s="3">
        <f>IF(X91="",IFERROR(VLOOKUP($C91,Assumptions!$A$4:$G$7,6,FALSE),0),X91)</f>
        <v/>
      </c>
      <c r="Z91" s="3">
        <f>N(O91)*IFERROR(VLOOKUP($C91,Assumptions!$A$4:$G$7,2,FALSE),0)</f>
        <v/>
      </c>
      <c r="AA91" s="3">
        <f>N(S91)*IFERROR(VLOOKUP($C91,Assumptions!$A$4:$G$7,3,FALSE),0)*Assumptions!$B$11</f>
        <v/>
      </c>
      <c r="AB91" s="3">
        <f>N(N91)*IFERROR(VLOOKUP($C91,Assumptions!$A$4:$G$7,4,FALSE),0)</f>
        <v/>
      </c>
      <c r="AC91" s="3">
        <f>IF(N(U91)=0,0,V91*IFERROR(VLOOKUP($C91,Assumptions!$A$4:$G$7,5,FALSE),0)*90/N(U91))</f>
        <v/>
      </c>
      <c r="AD91" s="3">
        <f>N(W91)</f>
        <v/>
      </c>
      <c r="AE91" s="3">
        <f>SUM(Y91:AD91)</f>
        <v/>
      </c>
      <c r="AF91" s="3">
        <f>N(AE91)*N(M91)/90</f>
        <v/>
      </c>
      <c r="AG91" s="3">
        <f>IFERROR(AF91-VLOOKUP($C91,Assumptions!$A$29:$C$32,3,FALSE),"")</f>
        <v/>
      </c>
      <c r="AH91" s="3">
        <f>IFERROR(AG91/F91,"")</f>
        <v/>
      </c>
      <c r="AI91">
        <f>IF(AND($E91=TRUE,$C91="GKP"),AF91,"")</f>
        <v/>
      </c>
      <c r="AJ91">
        <f>IF(AND($E91=TRUE,$C91="DEF"),AF91,"")</f>
        <v/>
      </c>
      <c r="AK91">
        <f>IF(AND($E91=TRUE,$C91="MID"),AF91,"")</f>
        <v/>
      </c>
      <c r="AL91">
        <f>IF(AND($E91=TRUE,$C91="FWD"),AF91,"")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b">
        <v>1</v>
      </c>
      <c r="F92" s="2" t="n">
        <v>6.5</v>
      </c>
      <c r="G92" t="inlineStr">
        <is>
          <t>a</t>
        </is>
      </c>
      <c r="I92" s="2" t="n">
        <v>2210</v>
      </c>
      <c r="J92" t="n">
        <v>114</v>
      </c>
      <c r="K92" s="3" t="n">
        <v>2422</v>
      </c>
      <c r="L92" t="inlineStr">
        <is>
          <t>flat</t>
        </is>
      </c>
      <c r="M92" s="4" t="n">
        <v>2210</v>
      </c>
      <c r="N92" s="4" t="n">
        <v>0.316</v>
      </c>
      <c r="O92" s="3" t="n">
        <v>0.5736</v>
      </c>
      <c r="P92" t="inlineStr">
        <is>
          <t>adjusted xGOT</t>
        </is>
      </c>
      <c r="Q92" s="3" t="n">
        <v>0.977</v>
      </c>
      <c r="R92" s="3" t="n">
        <v>42.5</v>
      </c>
      <c r="S92" s="3" t="n">
        <v>0.0523</v>
      </c>
      <c r="T92" s="3" t="n">
        <v>5.017</v>
      </c>
      <c r="U92" s="4" t="n">
        <v>88.40000000000001</v>
      </c>
      <c r="V92" s="3">
        <f>IF(OR(N(T92)=0,N(U92)=0),0,1-POISSON(IFERROR(VLOOKUP($C92,Assumptions!$A$4:$G$7,7,FALSE),99)-1,N(T92)*N(U92)/90,TRUE))</f>
        <v/>
      </c>
      <c r="W92" s="3" t="n">
        <v>0.5701000000000001</v>
      </c>
      <c r="X92" s="3" t="n">
        <v>2.24</v>
      </c>
      <c r="Y92" s="3">
        <f>IF(X92="",IFERROR(VLOOKUP($C92,Assumptions!$A$4:$G$7,6,FALSE),0),X92)</f>
        <v/>
      </c>
      <c r="Z92" s="3">
        <f>N(O92)*IFERROR(VLOOKUP($C92,Assumptions!$A$4:$G$7,2,FALSE),0)</f>
        <v/>
      </c>
      <c r="AA92" s="3">
        <f>N(S92)*IFERROR(VLOOKUP($C92,Assumptions!$A$4:$G$7,3,FALSE),0)*Assumptions!$B$11</f>
        <v/>
      </c>
      <c r="AB92" s="3">
        <f>N(N92)*IFERROR(VLOOKUP($C92,Assumptions!$A$4:$G$7,4,FALSE),0)</f>
        <v/>
      </c>
      <c r="AC92" s="3">
        <f>IF(N(U92)=0,0,V92*IFERROR(VLOOKUP($C92,Assumptions!$A$4:$G$7,5,FALSE),0)*90/N(U92))</f>
        <v/>
      </c>
      <c r="AD92" s="3">
        <f>N(W92)</f>
        <v/>
      </c>
      <c r="AE92" s="3">
        <f>SUM(Y92:AD92)</f>
        <v/>
      </c>
      <c r="AF92" s="3">
        <f>N(AE92)*N(M92)/90</f>
        <v/>
      </c>
      <c r="AG92" s="3">
        <f>IFERROR(AF92-VLOOKUP($C92,Assumptions!$A$29:$C$32,3,FALSE),"")</f>
        <v/>
      </c>
      <c r="AH92" s="3">
        <f>IFERROR(AG92/F92,"")</f>
        <v/>
      </c>
      <c r="AI92">
        <f>IF(AND($E92=TRUE,$C92="GKP"),AF92,"")</f>
        <v/>
      </c>
      <c r="AJ92">
        <f>IF(AND($E92=TRUE,$C92="DEF"),AF92,"")</f>
        <v/>
      </c>
      <c r="AK92">
        <f>IF(AND($E92=TRUE,$C92="MID"),AF92,"")</f>
        <v/>
      </c>
      <c r="AL92">
        <f>IF(AND($E92=TRUE,$C92="FWD"),AF92,"")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b">
        <v>1</v>
      </c>
      <c r="F93" s="2" t="n">
        <v>6</v>
      </c>
      <c r="G93" t="inlineStr">
        <is>
          <t>a</t>
        </is>
      </c>
      <c r="I93" s="2" t="n">
        <v>2293</v>
      </c>
      <c r="J93" t="n">
        <v>114</v>
      </c>
      <c r="K93" s="3" t="n">
        <v>2764</v>
      </c>
      <c r="L93" t="inlineStr">
        <is>
          <t>flat</t>
        </is>
      </c>
      <c r="M93" s="4" t="n">
        <v>2293</v>
      </c>
      <c r="N93" s="4" t="n">
        <v>0.237</v>
      </c>
      <c r="O93" s="3" t="n">
        <v>0.2284</v>
      </c>
      <c r="P93" t="inlineStr">
        <is>
          <t>adjusted xGOT</t>
        </is>
      </c>
      <c r="Q93" s="3" t="n">
        <v>0.898</v>
      </c>
      <c r="R93" s="3" t="n">
        <v>6.5</v>
      </c>
      <c r="S93" s="3" t="n">
        <v>0.06950000000000001</v>
      </c>
      <c r="T93" s="3" t="n">
        <v>4.819</v>
      </c>
      <c r="U93" s="4" t="n">
        <v>81.90000000000001</v>
      </c>
      <c r="V93" s="3">
        <f>IF(OR(N(T93)=0,N(U93)=0),0,1-POISSON(IFERROR(VLOOKUP($C93,Assumptions!$A$4:$G$7,7,FALSE),99)-1,N(T93)*N(U93)/90,TRUE))</f>
        <v/>
      </c>
      <c r="W93" s="3" t="n">
        <v>0.5102</v>
      </c>
      <c r="X93" s="3" t="n">
        <v>2.394</v>
      </c>
      <c r="Y93" s="3">
        <f>IF(X93="",IFERROR(VLOOKUP($C93,Assumptions!$A$4:$G$7,6,FALSE),0),X93)</f>
        <v/>
      </c>
      <c r="Z93" s="3">
        <f>N(O93)*IFERROR(VLOOKUP($C93,Assumptions!$A$4:$G$7,2,FALSE),0)</f>
        <v/>
      </c>
      <c r="AA93" s="3">
        <f>N(S93)*IFERROR(VLOOKUP($C93,Assumptions!$A$4:$G$7,3,FALSE),0)*Assumptions!$B$11</f>
        <v/>
      </c>
      <c r="AB93" s="3">
        <f>N(N93)*IFERROR(VLOOKUP($C93,Assumptions!$A$4:$G$7,4,FALSE),0)</f>
        <v/>
      </c>
      <c r="AC93" s="3">
        <f>IF(N(U93)=0,0,V93*IFERROR(VLOOKUP($C93,Assumptions!$A$4:$G$7,5,FALSE),0)*90/N(U93))</f>
        <v/>
      </c>
      <c r="AD93" s="3">
        <f>N(W93)</f>
        <v/>
      </c>
      <c r="AE93" s="3">
        <f>SUM(Y93:AD93)</f>
        <v/>
      </c>
      <c r="AF93" s="3">
        <f>N(AE93)*N(M93)/90</f>
        <v/>
      </c>
      <c r="AG93" s="3">
        <f>IFERROR(AF93-VLOOKUP($C93,Assumptions!$A$29:$C$32,3,FALSE),"")</f>
        <v/>
      </c>
      <c r="AH93" s="3">
        <f>IFERROR(AG93/F93,"")</f>
        <v/>
      </c>
      <c r="AI93">
        <f>IF(AND($E93=TRUE,$C93="GKP"),AF93,"")</f>
        <v/>
      </c>
      <c r="AJ93">
        <f>IF(AND($E93=TRUE,$C93="DEF"),AF93,"")</f>
        <v/>
      </c>
      <c r="AK93">
        <f>IF(AND($E93=TRUE,$C93="MID"),AF93,"")</f>
        <v/>
      </c>
      <c r="AL93">
        <f>IF(AND($E93=TRUE,$C93="FWD"),AF93,"")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b">
        <v>1</v>
      </c>
      <c r="F94" s="2" t="n">
        <v>7.5</v>
      </c>
      <c r="G94" t="inlineStr">
        <is>
          <t>i</t>
        </is>
      </c>
      <c r="H94" t="inlineStr">
        <is>
          <t>Foot injury - Unknown return date</t>
        </is>
      </c>
      <c r="I94" s="2" t="n">
        <v>1663</v>
      </c>
      <c r="J94" t="n">
        <v>113</v>
      </c>
      <c r="K94" s="3" t="n">
        <v>2594</v>
      </c>
      <c r="L94" t="inlineStr">
        <is>
          <t>ramp-up (injury / late WC return)</t>
        </is>
      </c>
      <c r="M94" s="4" t="n">
        <v>1663</v>
      </c>
      <c r="N94" s="4" t="n">
        <v>0.29</v>
      </c>
      <c r="O94" s="3" t="n">
        <v>0.4908</v>
      </c>
      <c r="P94" t="inlineStr">
        <is>
          <t>adjusted xGOT</t>
        </is>
      </c>
      <c r="Q94" s="3" t="n">
        <v>1.091</v>
      </c>
      <c r="R94" s="3" t="n">
        <v>8.300000000000001</v>
      </c>
      <c r="S94" s="3" t="n">
        <v>0.09</v>
      </c>
      <c r="T94" s="3" t="n">
        <v>5.678</v>
      </c>
      <c r="U94" s="4" t="n">
        <v>79.2</v>
      </c>
      <c r="V94" s="3">
        <f>IF(OR(N(T94)=0,N(U94)=0),0,1-POISSON(IFERROR(VLOOKUP($C94,Assumptions!$A$4:$G$7,7,FALSE),99)-1,N(T94)*N(U94)/90,TRUE))</f>
        <v/>
      </c>
      <c r="W94" s="3" t="n">
        <v>0.7577</v>
      </c>
      <c r="X94" s="3" t="n">
        <v>2.868</v>
      </c>
      <c r="Y94" s="3">
        <f>IF(X94="",IFERROR(VLOOKUP($C94,Assumptions!$A$4:$G$7,6,FALSE),0),X94)</f>
        <v/>
      </c>
      <c r="Z94" s="3">
        <f>N(O94)*IFERROR(VLOOKUP($C94,Assumptions!$A$4:$G$7,2,FALSE),0)</f>
        <v/>
      </c>
      <c r="AA94" s="3">
        <f>N(S94)*IFERROR(VLOOKUP($C94,Assumptions!$A$4:$G$7,3,FALSE),0)*Assumptions!$B$11</f>
        <v/>
      </c>
      <c r="AB94" s="3">
        <f>N(N94)*IFERROR(VLOOKUP($C94,Assumptions!$A$4:$G$7,4,FALSE),0)</f>
        <v/>
      </c>
      <c r="AC94" s="3">
        <f>IF(N(U94)=0,0,V94*IFERROR(VLOOKUP($C94,Assumptions!$A$4:$G$7,5,FALSE),0)*90/N(U94))</f>
        <v/>
      </c>
      <c r="AD94" s="3">
        <f>N(W94)</f>
        <v/>
      </c>
      <c r="AE94" s="3">
        <f>SUM(Y94:AD94)</f>
        <v/>
      </c>
      <c r="AF94" s="3">
        <f>N(AE94)*N(M94)/90</f>
        <v/>
      </c>
      <c r="AG94" s="3">
        <f>IFERROR(AF94-VLOOKUP($C94,Assumptions!$A$29:$C$32,3,FALSE),"")</f>
        <v/>
      </c>
      <c r="AH94" s="3">
        <f>IFERROR(AG94/F94,"")</f>
        <v/>
      </c>
      <c r="AI94">
        <f>IF(AND($E94=TRUE,$C94="GKP"),AF94,"")</f>
        <v/>
      </c>
      <c r="AJ94">
        <f>IF(AND($E94=TRUE,$C94="DEF"),AF94,"")</f>
        <v/>
      </c>
      <c r="AK94">
        <f>IF(AND($E94=TRUE,$C94="MID"),AF94,"")</f>
        <v/>
      </c>
      <c r="AL94">
        <f>IF(AND($E94=TRUE,$C94="FWD"),AF94,"")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b">
        <v>1</v>
      </c>
      <c r="F95" s="2" t="n">
        <v>5</v>
      </c>
      <c r="G95" t="inlineStr">
        <is>
          <t>a</t>
        </is>
      </c>
      <c r="I95" s="2" t="n">
        <v>2761</v>
      </c>
      <c r="J95" t="n">
        <v>113</v>
      </c>
      <c r="K95" s="3" t="n">
        <v>2947</v>
      </c>
      <c r="L95" t="inlineStr">
        <is>
          <t>ramp-up (injury / late WC return)</t>
        </is>
      </c>
      <c r="M95" s="4" t="n">
        <v>2761</v>
      </c>
      <c r="N95" s="4" t="n">
        <v>0.263</v>
      </c>
      <c r="O95" s="3" t="n">
        <v>0.0871</v>
      </c>
      <c r="P95" t="inlineStr">
        <is>
          <t>adjusted xGOT</t>
        </is>
      </c>
      <c r="Q95" s="3" t="n">
        <v>0.796</v>
      </c>
      <c r="R95" s="3" t="n">
        <v>5.4</v>
      </c>
      <c r="S95" s="3" t="n">
        <v>0.0594</v>
      </c>
      <c r="T95" s="3" t="n">
        <v>8.622</v>
      </c>
      <c r="U95" s="4" t="n">
        <v>92</v>
      </c>
      <c r="V95" s="3">
        <f>IF(OR(N(T95)=0,N(U95)=0),0,1-POISSON(IFERROR(VLOOKUP($C95,Assumptions!$A$4:$G$7,7,FALSE),99)-1,N(T95)*N(U95)/90,TRUE))</f>
        <v/>
      </c>
      <c r="W95" s="3" t="n">
        <v>0.0326</v>
      </c>
      <c r="X95" s="3" t="n">
        <v>2.021</v>
      </c>
      <c r="Y95" s="3">
        <f>IF(X95="",IFERROR(VLOOKUP($C95,Assumptions!$A$4:$G$7,6,FALSE),0),X95)</f>
        <v/>
      </c>
      <c r="Z95" s="3">
        <f>N(O95)*IFERROR(VLOOKUP($C95,Assumptions!$A$4:$G$7,2,FALSE),0)</f>
        <v/>
      </c>
      <c r="AA95" s="3">
        <f>N(S95)*IFERROR(VLOOKUP($C95,Assumptions!$A$4:$G$7,3,FALSE),0)*Assumptions!$B$11</f>
        <v/>
      </c>
      <c r="AB95" s="3">
        <f>N(N95)*IFERROR(VLOOKUP($C95,Assumptions!$A$4:$G$7,4,FALSE),0)</f>
        <v/>
      </c>
      <c r="AC95" s="3">
        <f>IF(N(U95)=0,0,V95*IFERROR(VLOOKUP($C95,Assumptions!$A$4:$G$7,5,FALSE),0)*90/N(U95))</f>
        <v/>
      </c>
      <c r="AD95" s="3">
        <f>N(W95)</f>
        <v/>
      </c>
      <c r="AE95" s="3">
        <f>SUM(Y95:AD95)</f>
        <v/>
      </c>
      <c r="AF95" s="3">
        <f>N(AE95)*N(M95)/90</f>
        <v/>
      </c>
      <c r="AG95" s="3">
        <f>IFERROR(AF95-VLOOKUP($C95,Assumptions!$A$29:$C$32,3,FALSE),"")</f>
        <v/>
      </c>
      <c r="AH95" s="3">
        <f>IFERROR(AG95/F95,"")</f>
        <v/>
      </c>
      <c r="AI95">
        <f>IF(AND($E95=TRUE,$C95="GKP"),AF95,"")</f>
        <v/>
      </c>
      <c r="AJ95">
        <f>IF(AND($E95=TRUE,$C95="DEF"),AF95,"")</f>
        <v/>
      </c>
      <c r="AK95">
        <f>IF(AND($E95=TRUE,$C95="MID"),AF95,"")</f>
        <v/>
      </c>
      <c r="AL95">
        <f>IF(AND($E95=TRUE,$C95="FWD"),AF95,"")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b">
        <v>1</v>
      </c>
      <c r="F96" s="2" t="n">
        <v>4.5</v>
      </c>
      <c r="G96" t="inlineStr">
        <is>
          <t>a</t>
        </is>
      </c>
      <c r="I96" s="2" t="n">
        <v>3258</v>
      </c>
      <c r="J96" t="n">
        <v>113</v>
      </c>
      <c r="K96" s="3" t="n">
        <v>3192</v>
      </c>
      <c r="L96" t="inlineStr">
        <is>
          <t>flat</t>
        </is>
      </c>
      <c r="M96" s="4" t="n">
        <v>3258</v>
      </c>
      <c r="N96" s="4" t="n">
        <v>0.263</v>
      </c>
      <c r="O96" s="3" t="n">
        <v>0.0351</v>
      </c>
      <c r="P96" t="inlineStr">
        <is>
          <t>adjusted xGOT</t>
        </is>
      </c>
      <c r="Q96" s="3" t="n">
        <v>0.993</v>
      </c>
      <c r="R96" s="3" t="n">
        <v>1.5</v>
      </c>
      <c r="S96" s="3" t="n">
        <v>0.0839</v>
      </c>
      <c r="T96" s="3" t="n">
        <v>6.346</v>
      </c>
      <c r="U96" s="4" t="n">
        <v>88.09999999999999</v>
      </c>
      <c r="V96" s="3">
        <f>IF(OR(N(T96)=0,N(U96)=0),0,1-POISSON(IFERROR(VLOOKUP($C96,Assumptions!$A$4:$G$7,7,FALSE),99)-1,N(T96)*N(U96)/90,TRUE))</f>
        <v/>
      </c>
      <c r="W96" s="3" t="n">
        <v>0.2486</v>
      </c>
      <c r="X96" s="3" t="n">
        <v>2.044</v>
      </c>
      <c r="Y96" s="3">
        <f>IF(X96="",IFERROR(VLOOKUP($C96,Assumptions!$A$4:$G$7,6,FALSE),0),X96)</f>
        <v/>
      </c>
      <c r="Z96" s="3">
        <f>N(O96)*IFERROR(VLOOKUP($C96,Assumptions!$A$4:$G$7,2,FALSE),0)</f>
        <v/>
      </c>
      <c r="AA96" s="3">
        <f>N(S96)*IFERROR(VLOOKUP($C96,Assumptions!$A$4:$G$7,3,FALSE),0)*Assumptions!$B$11</f>
        <v/>
      </c>
      <c r="AB96" s="3">
        <f>N(N96)*IFERROR(VLOOKUP($C96,Assumptions!$A$4:$G$7,4,FALSE),0)</f>
        <v/>
      </c>
      <c r="AC96" s="3">
        <f>IF(N(U96)=0,0,V96*IFERROR(VLOOKUP($C96,Assumptions!$A$4:$G$7,5,FALSE),0)*90/N(U96))</f>
        <v/>
      </c>
      <c r="AD96" s="3">
        <f>N(W96)</f>
        <v/>
      </c>
      <c r="AE96" s="3">
        <f>SUM(Y96:AD96)</f>
        <v/>
      </c>
      <c r="AF96" s="3">
        <f>N(AE96)*N(M96)/90</f>
        <v/>
      </c>
      <c r="AG96" s="3">
        <f>IFERROR(AF96-VLOOKUP($C96,Assumptions!$A$29:$C$32,3,FALSE),"")</f>
        <v/>
      </c>
      <c r="AH96" s="3">
        <f>IFERROR(AG96/F96,"")</f>
        <v/>
      </c>
      <c r="AI96">
        <f>IF(AND($E96=TRUE,$C96="GKP"),AF96,"")</f>
        <v/>
      </c>
      <c r="AJ96">
        <f>IF(AND($E96=TRUE,$C96="DEF"),AF96,"")</f>
        <v/>
      </c>
      <c r="AK96">
        <f>IF(AND($E96=TRUE,$C96="MID"),AF96,"")</f>
        <v/>
      </c>
      <c r="AL96">
        <f>IF(AND($E96=TRUE,$C96="FWD"),AF96,"")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b">
        <v>1</v>
      </c>
      <c r="F97" s="2" t="n">
        <v>4.5</v>
      </c>
      <c r="G97" t="inlineStr">
        <is>
          <t>a</t>
        </is>
      </c>
      <c r="I97" s="2" t="n">
        <v>3220</v>
      </c>
      <c r="J97" t="n">
        <v>113</v>
      </c>
      <c r="K97" s="3" t="n">
        <v>2992</v>
      </c>
      <c r="L97" t="inlineStr">
        <is>
          <t>flat</t>
        </is>
      </c>
      <c r="M97" s="4" t="n">
        <v>3220</v>
      </c>
      <c r="N97" s="4" t="n">
        <v>0.21</v>
      </c>
      <c r="O97" s="3" t="n">
        <v>0.021</v>
      </c>
      <c r="P97" t="inlineStr">
        <is>
          <t>adjusted xGOT</t>
        </is>
      </c>
      <c r="Q97" s="3" t="n">
        <v>1.042</v>
      </c>
      <c r="R97" s="3" t="n">
        <v>1.9</v>
      </c>
      <c r="S97" s="3" t="n">
        <v>0.0485</v>
      </c>
      <c r="T97" s="3" t="n">
        <v>6.521</v>
      </c>
      <c r="U97" s="4" t="n">
        <v>84.7</v>
      </c>
      <c r="V97" s="3">
        <f>IF(OR(N(T97)=0,N(U97)=0),0,1-POISSON(IFERROR(VLOOKUP($C97,Assumptions!$A$4:$G$7,7,FALSE),99)-1,N(T97)*N(U97)/90,TRUE))</f>
        <v/>
      </c>
      <c r="W97" s="3" t="n">
        <v>0.0559</v>
      </c>
      <c r="X97" s="3" t="n">
        <v>2.096</v>
      </c>
      <c r="Y97" s="3">
        <f>IF(X97="",IFERROR(VLOOKUP($C97,Assumptions!$A$4:$G$7,6,FALSE),0),X97)</f>
        <v/>
      </c>
      <c r="Z97" s="3">
        <f>N(O97)*IFERROR(VLOOKUP($C97,Assumptions!$A$4:$G$7,2,FALSE),0)</f>
        <v/>
      </c>
      <c r="AA97" s="3">
        <f>N(S97)*IFERROR(VLOOKUP($C97,Assumptions!$A$4:$G$7,3,FALSE),0)*Assumptions!$B$11</f>
        <v/>
      </c>
      <c r="AB97" s="3">
        <f>N(N97)*IFERROR(VLOOKUP($C97,Assumptions!$A$4:$G$7,4,FALSE),0)</f>
        <v/>
      </c>
      <c r="AC97" s="3">
        <f>IF(N(U97)=0,0,V97*IFERROR(VLOOKUP($C97,Assumptions!$A$4:$G$7,5,FALSE),0)*90/N(U97))</f>
        <v/>
      </c>
      <c r="AD97" s="3">
        <f>N(W97)</f>
        <v/>
      </c>
      <c r="AE97" s="3">
        <f>SUM(Y97:AD97)</f>
        <v/>
      </c>
      <c r="AF97" s="3">
        <f>N(AE97)*N(M97)/90</f>
        <v/>
      </c>
      <c r="AG97" s="3">
        <f>IFERROR(AF97-VLOOKUP($C97,Assumptions!$A$29:$C$32,3,FALSE),"")</f>
        <v/>
      </c>
      <c r="AH97" s="3">
        <f>IFERROR(AG97/F97,"")</f>
        <v/>
      </c>
      <c r="AI97">
        <f>IF(AND($E97=TRUE,$C97="GKP"),AF97,"")</f>
        <v/>
      </c>
      <c r="AJ97">
        <f>IF(AND($E97=TRUE,$C97="DEF"),AF97,"")</f>
        <v/>
      </c>
      <c r="AK97">
        <f>IF(AND($E97=TRUE,$C97="MID"),AF97,"")</f>
        <v/>
      </c>
      <c r="AL97">
        <f>IF(AND($E97=TRUE,$C97="FWD"),AF97,"")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b">
        <v>1</v>
      </c>
      <c r="F98" s="2" t="n">
        <v>5.5</v>
      </c>
      <c r="G98" t="inlineStr">
        <is>
          <t>a</t>
        </is>
      </c>
      <c r="I98" s="2" t="n">
        <v>2139</v>
      </c>
      <c r="J98" t="n">
        <v>113</v>
      </c>
      <c r="K98" s="3" t="n">
        <v>1569</v>
      </c>
      <c r="L98" t="inlineStr">
        <is>
          <t>flat</t>
        </is>
      </c>
      <c r="M98" s="4" t="n">
        <v>2139</v>
      </c>
      <c r="N98" s="4" t="n">
        <v>0.421</v>
      </c>
      <c r="O98" s="3" t="n">
        <v>0.0213</v>
      </c>
      <c r="P98" t="inlineStr">
        <is>
          <t>adjusted xGOT</t>
        </is>
      </c>
      <c r="Q98" s="3" t="n">
        <v>0.887</v>
      </c>
      <c r="R98" s="3" t="n">
        <v>4.8</v>
      </c>
      <c r="S98" s="3" t="n">
        <v>0.0226</v>
      </c>
      <c r="T98" s="3" t="n">
        <v>7.192</v>
      </c>
      <c r="U98" s="4" t="n">
        <v>89.09999999999999</v>
      </c>
      <c r="V98" s="3">
        <f>IF(OR(N(T98)=0,N(U98)=0),0,1-POISSON(IFERROR(VLOOKUP($C98,Assumptions!$A$4:$G$7,7,FALSE),99)-1,N(T98)*N(U98)/90,TRUE))</f>
        <v/>
      </c>
      <c r="W98" s="3" t="n">
        <v>0.1262</v>
      </c>
      <c r="X98" s="3" t="n">
        <v>2.062</v>
      </c>
      <c r="Y98" s="3">
        <f>IF(X98="",IFERROR(VLOOKUP($C98,Assumptions!$A$4:$G$7,6,FALSE),0),X98)</f>
        <v/>
      </c>
      <c r="Z98" s="3">
        <f>N(O98)*IFERROR(VLOOKUP($C98,Assumptions!$A$4:$G$7,2,FALSE),0)</f>
        <v/>
      </c>
      <c r="AA98" s="3">
        <f>N(S98)*IFERROR(VLOOKUP($C98,Assumptions!$A$4:$G$7,3,FALSE),0)*Assumptions!$B$11</f>
        <v/>
      </c>
      <c r="AB98" s="3">
        <f>N(N98)*IFERROR(VLOOKUP($C98,Assumptions!$A$4:$G$7,4,FALSE),0)</f>
        <v/>
      </c>
      <c r="AC98" s="3">
        <f>IF(N(U98)=0,0,V98*IFERROR(VLOOKUP($C98,Assumptions!$A$4:$G$7,5,FALSE),0)*90/N(U98))</f>
        <v/>
      </c>
      <c r="AD98" s="3">
        <f>N(W98)</f>
        <v/>
      </c>
      <c r="AE98" s="3">
        <f>SUM(Y98:AD98)</f>
        <v/>
      </c>
      <c r="AF98" s="3">
        <f>N(AE98)*N(M98)/90</f>
        <v/>
      </c>
      <c r="AG98" s="3">
        <f>IFERROR(AF98-VLOOKUP($C98,Assumptions!$A$29:$C$32,3,FALSE),"")</f>
        <v/>
      </c>
      <c r="AH98" s="3">
        <f>IFERROR(AG98/F98,"")</f>
        <v/>
      </c>
      <c r="AI98">
        <f>IF(AND($E98=TRUE,$C98="GKP"),AF98,"")</f>
        <v/>
      </c>
      <c r="AJ98">
        <f>IF(AND($E98=TRUE,$C98="DEF"),AF98,"")</f>
        <v/>
      </c>
      <c r="AK98">
        <f>IF(AND($E98=TRUE,$C98="MID"),AF98,"")</f>
        <v/>
      </c>
      <c r="AL98">
        <f>IF(AND($E98=TRUE,$C98="FWD"),AF98,"")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b">
        <v>1</v>
      </c>
      <c r="F99" s="2" t="n">
        <v>5</v>
      </c>
      <c r="G99" t="inlineStr">
        <is>
          <t>a</t>
        </is>
      </c>
      <c r="I99" s="2" t="n">
        <v>3040</v>
      </c>
      <c r="J99" t="n">
        <v>113</v>
      </c>
      <c r="K99" s="3" t="n">
        <v>3181</v>
      </c>
      <c r="L99" t="inlineStr">
        <is>
          <t>flat</t>
        </is>
      </c>
      <c r="M99" s="4" t="n">
        <v>3040</v>
      </c>
      <c r="N99" s="4" t="n">
        <v>0.237</v>
      </c>
      <c r="O99" s="3" t="n">
        <v>0</v>
      </c>
      <c r="P99" t="inlineStr">
        <is>
          <t>blended xG</t>
        </is>
      </c>
      <c r="Q99" s="3" t="n">
        <v>1</v>
      </c>
      <c r="R99" s="3" t="n">
        <v>0</v>
      </c>
      <c r="S99" s="3" t="n">
        <v>0.0137</v>
      </c>
      <c r="T99" s="3" t="n">
        <v>0</v>
      </c>
      <c r="U99" s="4" t="n">
        <v>86.90000000000001</v>
      </c>
      <c r="V99" s="3">
        <f>IF(OR(N(T99)=0,N(U99)=0),0,1-POISSON(IFERROR(VLOOKUP($C99,Assumptions!$A$4:$G$7,7,FALSE),99)-1,N(T99)*N(U99)/90,TRUE))</f>
        <v/>
      </c>
      <c r="W99" s="3" t="n">
        <v>0.2368</v>
      </c>
      <c r="X99" s="3" t="n">
        <v>2.043</v>
      </c>
      <c r="Y99" s="3">
        <f>IF(X99="",IFERROR(VLOOKUP($C99,Assumptions!$A$4:$G$7,6,FALSE),0),X99)</f>
        <v/>
      </c>
      <c r="Z99" s="3">
        <f>N(O99)*IFERROR(VLOOKUP($C99,Assumptions!$A$4:$G$7,2,FALSE),0)</f>
        <v/>
      </c>
      <c r="AA99" s="3">
        <f>N(S99)*IFERROR(VLOOKUP($C99,Assumptions!$A$4:$G$7,3,FALSE),0)*Assumptions!$B$11</f>
        <v/>
      </c>
      <c r="AB99" s="3">
        <f>N(N99)*IFERROR(VLOOKUP($C99,Assumptions!$A$4:$G$7,4,FALSE),0)</f>
        <v/>
      </c>
      <c r="AC99" s="3">
        <f>IF(N(U99)=0,0,V99*IFERROR(VLOOKUP($C99,Assumptions!$A$4:$G$7,5,FALSE),0)*90/N(U99))</f>
        <v/>
      </c>
      <c r="AD99" s="3">
        <f>N(W99)</f>
        <v/>
      </c>
      <c r="AE99" s="3">
        <f>SUM(Y99:AD99)</f>
        <v/>
      </c>
      <c r="AF99" s="3">
        <f>N(AE99)*N(M99)/90</f>
        <v/>
      </c>
      <c r="AG99" s="3">
        <f>IFERROR(AF99-VLOOKUP($C99,Assumptions!$A$29:$C$32,3,FALSE),"")</f>
        <v/>
      </c>
      <c r="AH99" s="3">
        <f>IFERROR(AG99/F99,"")</f>
        <v/>
      </c>
      <c r="AI99">
        <f>IF(AND($E99=TRUE,$C99="GKP"),AF99,"")</f>
        <v/>
      </c>
      <c r="AJ99">
        <f>IF(AND($E99=TRUE,$C99="DEF"),AF99,"")</f>
        <v/>
      </c>
      <c r="AK99">
        <f>IF(AND($E99=TRUE,$C99="MID"),AF99,"")</f>
        <v/>
      </c>
      <c r="AL99">
        <f>IF(AND($E99=TRUE,$C99="FWD"),AF99,"")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b">
        <v>1</v>
      </c>
      <c r="F100" s="2" t="n">
        <v>5.5</v>
      </c>
      <c r="G100" t="inlineStr">
        <is>
          <t>a</t>
        </is>
      </c>
      <c r="I100" s="2" t="n">
        <v>2046</v>
      </c>
      <c r="J100" t="n">
        <v>113</v>
      </c>
      <c r="K100" s="3" t="n">
        <v>1915</v>
      </c>
      <c r="L100" t="inlineStr">
        <is>
          <t>flat</t>
        </is>
      </c>
      <c r="M100" s="4" t="n">
        <v>2046</v>
      </c>
      <c r="N100" s="4" t="n">
        <v>0.263</v>
      </c>
      <c r="O100" s="3" t="n">
        <v>0.1149</v>
      </c>
      <c r="P100" t="inlineStr">
        <is>
          <t>adjusted xGOT</t>
        </is>
      </c>
      <c r="Q100" s="3" t="n">
        <v>1.001</v>
      </c>
      <c r="R100" s="3" t="n">
        <v>8.6</v>
      </c>
      <c r="S100" s="3" t="n">
        <v>0.2617</v>
      </c>
      <c r="T100" s="3" t="n">
        <v>10.074</v>
      </c>
      <c r="U100" s="4" t="n">
        <v>85.2</v>
      </c>
      <c r="V100" s="3">
        <f>IF(OR(N(T100)=0,N(U100)=0),0,1-POISSON(IFERROR(VLOOKUP($C100,Assumptions!$A$4:$G$7,7,FALSE),99)-1,N(T100)*N(U100)/90,TRUE))</f>
        <v/>
      </c>
      <c r="W100" s="3" t="n">
        <v>0.3959</v>
      </c>
      <c r="X100" s="3" t="n">
        <v>2.419</v>
      </c>
      <c r="Y100" s="3">
        <f>IF(X100="",IFERROR(VLOOKUP($C100,Assumptions!$A$4:$G$7,6,FALSE),0),X100)</f>
        <v/>
      </c>
      <c r="Z100" s="3">
        <f>N(O100)*IFERROR(VLOOKUP($C100,Assumptions!$A$4:$G$7,2,FALSE),0)</f>
        <v/>
      </c>
      <c r="AA100" s="3">
        <f>N(S100)*IFERROR(VLOOKUP($C100,Assumptions!$A$4:$G$7,3,FALSE),0)*Assumptions!$B$11</f>
        <v/>
      </c>
      <c r="AB100" s="3">
        <f>N(N100)*IFERROR(VLOOKUP($C100,Assumptions!$A$4:$G$7,4,FALSE),0)</f>
        <v/>
      </c>
      <c r="AC100" s="3">
        <f>IF(N(U100)=0,0,V100*IFERROR(VLOOKUP($C100,Assumptions!$A$4:$G$7,5,FALSE),0)*90/N(U100))</f>
        <v/>
      </c>
      <c r="AD100" s="3">
        <f>N(W100)</f>
        <v/>
      </c>
      <c r="AE100" s="3">
        <f>SUM(Y100:AD100)</f>
        <v/>
      </c>
      <c r="AF100" s="3">
        <f>N(AE100)*N(M100)/90</f>
        <v/>
      </c>
      <c r="AG100" s="3">
        <f>IFERROR(AF100-VLOOKUP($C100,Assumptions!$A$29:$C$32,3,FALSE),"")</f>
        <v/>
      </c>
      <c r="AH100" s="3">
        <f>IFERROR(AG100/F100,"")</f>
        <v/>
      </c>
      <c r="AI100">
        <f>IF(AND($E100=TRUE,$C100="GKP"),AF100,"")</f>
        <v/>
      </c>
      <c r="AJ100">
        <f>IF(AND($E100=TRUE,$C100="DEF"),AF100,"")</f>
        <v/>
      </c>
      <c r="AK100">
        <f>IF(AND($E100=TRUE,$C100="MID"),AF100,"")</f>
        <v/>
      </c>
      <c r="AL100">
        <f>IF(AND($E100=TRUE,$C100="FWD"),AF100,"")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b">
        <v>1</v>
      </c>
      <c r="F101" s="2" t="n">
        <v>6.5</v>
      </c>
      <c r="G101" t="inlineStr">
        <is>
          <t>a</t>
        </is>
      </c>
      <c r="I101" s="2" t="n">
        <v>1885</v>
      </c>
      <c r="J101" t="n">
        <v>113</v>
      </c>
      <c r="K101" s="3" t="n">
        <v>1328</v>
      </c>
      <c r="L101" t="inlineStr">
        <is>
          <t>flat</t>
        </is>
      </c>
      <c r="M101" s="4" t="n">
        <v>1885</v>
      </c>
      <c r="N101" s="4" t="n">
        <v>0.5</v>
      </c>
      <c r="O101" s="3" t="n">
        <v>0.2755</v>
      </c>
      <c r="P101" t="inlineStr">
        <is>
          <t>adjusted xGOT</t>
        </is>
      </c>
      <c r="Q101" s="3" t="n">
        <v>1.114</v>
      </c>
      <c r="R101" s="3" t="n">
        <v>31.9</v>
      </c>
      <c r="S101" s="3" t="n">
        <v>0.1264</v>
      </c>
      <c r="T101" s="3" t="n">
        <v>6.516</v>
      </c>
      <c r="U101" s="4" t="n">
        <v>85.7</v>
      </c>
      <c r="V101" s="3">
        <f>IF(OR(N(T101)=0,N(U101)=0),0,1-POISSON(IFERROR(VLOOKUP($C101,Assumptions!$A$4:$G$7,7,FALSE),99)-1,N(T101)*N(U101)/90,TRUE))</f>
        <v/>
      </c>
      <c r="W101" s="3" t="n">
        <v>0.382</v>
      </c>
      <c r="X101" s="3" t="n">
        <v>2.435</v>
      </c>
      <c r="Y101" s="3">
        <f>IF(X101="",IFERROR(VLOOKUP($C101,Assumptions!$A$4:$G$7,6,FALSE),0),X101)</f>
        <v/>
      </c>
      <c r="Z101" s="3">
        <f>N(O101)*IFERROR(VLOOKUP($C101,Assumptions!$A$4:$G$7,2,FALSE),0)</f>
        <v/>
      </c>
      <c r="AA101" s="3">
        <f>N(S101)*IFERROR(VLOOKUP($C101,Assumptions!$A$4:$G$7,3,FALSE),0)*Assumptions!$B$11</f>
        <v/>
      </c>
      <c r="AB101" s="3">
        <f>N(N101)*IFERROR(VLOOKUP($C101,Assumptions!$A$4:$G$7,4,FALSE),0)</f>
        <v/>
      </c>
      <c r="AC101" s="3">
        <f>IF(N(U101)=0,0,V101*IFERROR(VLOOKUP($C101,Assumptions!$A$4:$G$7,5,FALSE),0)*90/N(U101))</f>
        <v/>
      </c>
      <c r="AD101" s="3">
        <f>N(W101)</f>
        <v/>
      </c>
      <c r="AE101" s="3">
        <f>SUM(Y101:AD101)</f>
        <v/>
      </c>
      <c r="AF101" s="3">
        <f>N(AE101)*N(M101)/90</f>
        <v/>
      </c>
      <c r="AG101" s="3">
        <f>IFERROR(AF101-VLOOKUP($C101,Assumptions!$A$29:$C$32,3,FALSE),"")</f>
        <v/>
      </c>
      <c r="AH101" s="3">
        <f>IFERROR(AG101/F101,"")</f>
        <v/>
      </c>
      <c r="AI101">
        <f>IF(AND($E101=TRUE,$C101="GKP"),AF101,"")</f>
        <v/>
      </c>
      <c r="AJ101">
        <f>IF(AND($E101=TRUE,$C101="DEF"),AF101,"")</f>
        <v/>
      </c>
      <c r="AK101">
        <f>IF(AND($E101=TRUE,$C101="MID"),AF101,"")</f>
        <v/>
      </c>
      <c r="AL101">
        <f>IF(AND($E101=TRUE,$C101="FWD"),AF101,"")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b">
        <v>1</v>
      </c>
      <c r="F102" s="2" t="n">
        <v>5.5</v>
      </c>
      <c r="G102" t="inlineStr">
        <is>
          <t>a</t>
        </is>
      </c>
      <c r="I102" s="2" t="n">
        <v>2552</v>
      </c>
      <c r="J102" t="n">
        <v>112</v>
      </c>
      <c r="K102" s="3" t="n">
        <v>3158</v>
      </c>
      <c r="L102" t="inlineStr">
        <is>
          <t>flat</t>
        </is>
      </c>
      <c r="M102" s="4" t="n">
        <v>2552</v>
      </c>
      <c r="N102" s="4" t="n">
        <v>0.316</v>
      </c>
      <c r="O102" s="3" t="n">
        <v>0.0475</v>
      </c>
      <c r="P102" t="inlineStr">
        <is>
          <t>adjusted xGOT</t>
        </is>
      </c>
      <c r="Q102" s="3" t="n">
        <v>0.885</v>
      </c>
      <c r="R102" s="3" t="n">
        <v>2.3</v>
      </c>
      <c r="S102" s="3" t="n">
        <v>0.2485</v>
      </c>
      <c r="T102" s="3" t="n">
        <v>10.222</v>
      </c>
      <c r="U102" s="4" t="n">
        <v>88</v>
      </c>
      <c r="V102" s="3">
        <f>IF(OR(N(T102)=0,N(U102)=0),0,1-POISSON(IFERROR(VLOOKUP($C102,Assumptions!$A$4:$G$7,7,FALSE),99)-1,N(T102)*N(U102)/90,TRUE))</f>
        <v/>
      </c>
      <c r="W102" s="3" t="n">
        <v>0.2821</v>
      </c>
      <c r="X102" s="3" t="n">
        <v>2.187</v>
      </c>
      <c r="Y102" s="3">
        <f>IF(X102="",IFERROR(VLOOKUP($C102,Assumptions!$A$4:$G$7,6,FALSE),0),X102)</f>
        <v/>
      </c>
      <c r="Z102" s="3">
        <f>N(O102)*IFERROR(VLOOKUP($C102,Assumptions!$A$4:$G$7,2,FALSE),0)</f>
        <v/>
      </c>
      <c r="AA102" s="3">
        <f>N(S102)*IFERROR(VLOOKUP($C102,Assumptions!$A$4:$G$7,3,FALSE),0)*Assumptions!$B$11</f>
        <v/>
      </c>
      <c r="AB102" s="3">
        <f>N(N102)*IFERROR(VLOOKUP($C102,Assumptions!$A$4:$G$7,4,FALSE),0)</f>
        <v/>
      </c>
      <c r="AC102" s="3">
        <f>IF(N(U102)=0,0,V102*IFERROR(VLOOKUP($C102,Assumptions!$A$4:$G$7,5,FALSE),0)*90/N(U102))</f>
        <v/>
      </c>
      <c r="AD102" s="3">
        <f>N(W102)</f>
        <v/>
      </c>
      <c r="AE102" s="3">
        <f>SUM(Y102:AD102)</f>
        <v/>
      </c>
      <c r="AF102" s="3">
        <f>N(AE102)*N(M102)/90</f>
        <v/>
      </c>
      <c r="AG102" s="3">
        <f>IFERROR(AF102-VLOOKUP($C102,Assumptions!$A$29:$C$32,3,FALSE),"")</f>
        <v/>
      </c>
      <c r="AH102" s="3">
        <f>IFERROR(AG102/F102,"")</f>
        <v/>
      </c>
      <c r="AI102">
        <f>IF(AND($E102=TRUE,$C102="GKP"),AF102,"")</f>
        <v/>
      </c>
      <c r="AJ102">
        <f>IF(AND($E102=TRUE,$C102="DEF"),AF102,"")</f>
        <v/>
      </c>
      <c r="AK102">
        <f>IF(AND($E102=TRUE,$C102="MID"),AF102,"")</f>
        <v/>
      </c>
      <c r="AL102">
        <f>IF(AND($E102=TRUE,$C102="FWD"),AF102,"")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b">
        <v>1</v>
      </c>
      <c r="F103" s="2" t="n">
        <v>7</v>
      </c>
      <c r="G103" t="inlineStr">
        <is>
          <t>d</t>
        </is>
      </c>
      <c r="H103" t="inlineStr">
        <is>
          <t>Shin injury - 75% chance of playing</t>
        </is>
      </c>
      <c r="I103" s="2" t="n">
        <v>1630</v>
      </c>
      <c r="J103" t="n">
        <v>111</v>
      </c>
      <c r="K103" s="3" t="n">
        <v>2274</v>
      </c>
      <c r="L103" t="inlineStr">
        <is>
          <t>flat</t>
        </is>
      </c>
      <c r="M103" s="4" t="n">
        <v>1630</v>
      </c>
      <c r="N103" s="4" t="n">
        <v>0.21</v>
      </c>
      <c r="O103" s="3" t="n">
        <v>0.5673</v>
      </c>
      <c r="P103" t="inlineStr">
        <is>
          <t>adjusted xGOT</t>
        </is>
      </c>
      <c r="Q103" s="3" t="n">
        <v>1.116</v>
      </c>
      <c r="R103" s="3" t="n">
        <v>9.199999999999999</v>
      </c>
      <c r="S103" s="3" t="n">
        <v>0.0242</v>
      </c>
      <c r="T103" s="3" t="n">
        <v>3.92</v>
      </c>
      <c r="U103" s="4" t="n">
        <v>95.90000000000001</v>
      </c>
      <c r="V103" s="3">
        <f>IF(OR(N(T103)=0,N(U103)=0),0,1-POISSON(IFERROR(VLOOKUP($C103,Assumptions!$A$4:$G$7,7,FALSE),99)-1,N(T103)*N(U103)/90,TRUE))</f>
        <v/>
      </c>
      <c r="W103" s="3" t="n">
        <v>1.0491</v>
      </c>
      <c r="X103" s="3" t="n">
        <v>2.429</v>
      </c>
      <c r="Y103" s="3">
        <f>IF(X103="",IFERROR(VLOOKUP($C103,Assumptions!$A$4:$G$7,6,FALSE),0),X103)</f>
        <v/>
      </c>
      <c r="Z103" s="3">
        <f>N(O103)*IFERROR(VLOOKUP($C103,Assumptions!$A$4:$G$7,2,FALSE),0)</f>
        <v/>
      </c>
      <c r="AA103" s="3">
        <f>N(S103)*IFERROR(VLOOKUP($C103,Assumptions!$A$4:$G$7,3,FALSE),0)*Assumptions!$B$11</f>
        <v/>
      </c>
      <c r="AB103" s="3">
        <f>N(N103)*IFERROR(VLOOKUP($C103,Assumptions!$A$4:$G$7,4,FALSE),0)</f>
        <v/>
      </c>
      <c r="AC103" s="3">
        <f>IF(N(U103)=0,0,V103*IFERROR(VLOOKUP($C103,Assumptions!$A$4:$G$7,5,FALSE),0)*90/N(U103))</f>
        <v/>
      </c>
      <c r="AD103" s="3">
        <f>N(W103)</f>
        <v/>
      </c>
      <c r="AE103" s="3">
        <f>SUM(Y103:AD103)</f>
        <v/>
      </c>
      <c r="AF103" s="3">
        <f>N(AE103)*N(M103)/90</f>
        <v/>
      </c>
      <c r="AG103" s="3">
        <f>IFERROR(AF103-VLOOKUP($C103,Assumptions!$A$29:$C$32,3,FALSE),"")</f>
        <v/>
      </c>
      <c r="AH103" s="3">
        <f>IFERROR(AG103/F103,"")</f>
        <v/>
      </c>
      <c r="AI103">
        <f>IF(AND($E103=TRUE,$C103="GKP"),AF103,"")</f>
        <v/>
      </c>
      <c r="AJ103">
        <f>IF(AND($E103=TRUE,$C103="DEF"),AF103,"")</f>
        <v/>
      </c>
      <c r="AK103">
        <f>IF(AND($E103=TRUE,$C103="MID"),AF103,"")</f>
        <v/>
      </c>
      <c r="AL103">
        <f>IF(AND($E103=TRUE,$C103="FWD"),AF103,"")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b">
        <v>1</v>
      </c>
      <c r="F104" s="2" t="n">
        <v>5</v>
      </c>
      <c r="G104" t="inlineStr">
        <is>
          <t>a</t>
        </is>
      </c>
      <c r="I104" s="2" t="n">
        <v>2609</v>
      </c>
      <c r="J104" t="n">
        <v>111</v>
      </c>
      <c r="K104" s="3" t="n">
        <v>2594</v>
      </c>
      <c r="L104" t="inlineStr">
        <is>
          <t>flat</t>
        </is>
      </c>
      <c r="M104" s="4" t="n">
        <v>2609</v>
      </c>
      <c r="N104" s="4" t="n">
        <v>0.21</v>
      </c>
      <c r="O104" s="3" t="n">
        <v>0.0527</v>
      </c>
      <c r="P104" t="inlineStr">
        <is>
          <t>adjusted xGOT</t>
        </is>
      </c>
      <c r="Q104" s="3" t="n">
        <v>0.791</v>
      </c>
      <c r="R104" s="3" t="n">
        <v>8</v>
      </c>
      <c r="S104" s="3" t="n">
        <v>0.1048</v>
      </c>
      <c r="T104" s="3" t="n">
        <v>6.528</v>
      </c>
      <c r="U104" s="4" t="n">
        <v>90</v>
      </c>
      <c r="V104" s="3">
        <f>IF(OR(N(T104)=0,N(U104)=0),0,1-POISSON(IFERROR(VLOOKUP($C104,Assumptions!$A$4:$G$7,7,FALSE),99)-1,N(T104)*N(U104)/90,TRUE))</f>
        <v/>
      </c>
      <c r="W104" s="3" t="n">
        <v>0.345</v>
      </c>
      <c r="X104" s="3" t="n">
        <v>2.139</v>
      </c>
      <c r="Y104" s="3">
        <f>IF(X104="",IFERROR(VLOOKUP($C104,Assumptions!$A$4:$G$7,6,FALSE),0),X104)</f>
        <v/>
      </c>
      <c r="Z104" s="3">
        <f>N(O104)*IFERROR(VLOOKUP($C104,Assumptions!$A$4:$G$7,2,FALSE),0)</f>
        <v/>
      </c>
      <c r="AA104" s="3">
        <f>N(S104)*IFERROR(VLOOKUP($C104,Assumptions!$A$4:$G$7,3,FALSE),0)*Assumptions!$B$11</f>
        <v/>
      </c>
      <c r="AB104" s="3">
        <f>N(N104)*IFERROR(VLOOKUP($C104,Assumptions!$A$4:$G$7,4,FALSE),0)</f>
        <v/>
      </c>
      <c r="AC104" s="3">
        <f>IF(N(U104)=0,0,V104*IFERROR(VLOOKUP($C104,Assumptions!$A$4:$G$7,5,FALSE),0)*90/N(U104))</f>
        <v/>
      </c>
      <c r="AD104" s="3">
        <f>N(W104)</f>
        <v/>
      </c>
      <c r="AE104" s="3">
        <f>SUM(Y104:AD104)</f>
        <v/>
      </c>
      <c r="AF104" s="3">
        <f>N(AE104)*N(M104)/90</f>
        <v/>
      </c>
      <c r="AG104" s="3">
        <f>IFERROR(AF104-VLOOKUP($C104,Assumptions!$A$29:$C$32,3,FALSE),"")</f>
        <v/>
      </c>
      <c r="AH104" s="3">
        <f>IFERROR(AG104/F104,"")</f>
        <v/>
      </c>
      <c r="AI104">
        <f>IF(AND($E104=TRUE,$C104="GKP"),AF104,"")</f>
        <v/>
      </c>
      <c r="AJ104">
        <f>IF(AND($E104=TRUE,$C104="DEF"),AF104,"")</f>
        <v/>
      </c>
      <c r="AK104">
        <f>IF(AND($E104=TRUE,$C104="MID"),AF104,"")</f>
        <v/>
      </c>
      <c r="AL104">
        <f>IF(AND($E104=TRUE,$C104="FWD"),AF104,"")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b">
        <v>1</v>
      </c>
      <c r="F105" s="2" t="n">
        <v>4.5</v>
      </c>
      <c r="G105" t="inlineStr">
        <is>
          <t>a</t>
        </is>
      </c>
      <c r="I105" s="2" t="n">
        <v>3032</v>
      </c>
      <c r="J105" t="n">
        <v>110</v>
      </c>
      <c r="K105" s="3" t="n">
        <v>2668</v>
      </c>
      <c r="L105" t="inlineStr">
        <is>
          <t>flat</t>
        </is>
      </c>
      <c r="M105" s="4" t="n">
        <v>3032</v>
      </c>
      <c r="N105" s="4" t="n">
        <v>0.29</v>
      </c>
      <c r="O105" s="3" t="n">
        <v>0.0669</v>
      </c>
      <c r="P105" t="inlineStr">
        <is>
          <t>adjusted xGOT</t>
        </is>
      </c>
      <c r="Q105" s="3" t="n">
        <v>0.993</v>
      </c>
      <c r="R105" s="3" t="n">
        <v>2.3</v>
      </c>
      <c r="S105" s="3" t="n">
        <v>0.0614</v>
      </c>
      <c r="T105" s="3" t="n">
        <v>6.344</v>
      </c>
      <c r="U105" s="4" t="n">
        <v>89.2</v>
      </c>
      <c r="V105" s="3">
        <f>IF(OR(N(T105)=0,N(U105)=0),0,1-POISSON(IFERROR(VLOOKUP($C105,Assumptions!$A$4:$G$7,7,FALSE),99)-1,N(T105)*N(U105)/90,TRUE))</f>
        <v/>
      </c>
      <c r="W105" s="3" t="n">
        <v>0.1781</v>
      </c>
      <c r="X105" s="3" t="n">
        <v>2.078</v>
      </c>
      <c r="Y105" s="3">
        <f>IF(X105="",IFERROR(VLOOKUP($C105,Assumptions!$A$4:$G$7,6,FALSE),0),X105)</f>
        <v/>
      </c>
      <c r="Z105" s="3">
        <f>N(O105)*IFERROR(VLOOKUP($C105,Assumptions!$A$4:$G$7,2,FALSE),0)</f>
        <v/>
      </c>
      <c r="AA105" s="3">
        <f>N(S105)*IFERROR(VLOOKUP($C105,Assumptions!$A$4:$G$7,3,FALSE),0)*Assumptions!$B$11</f>
        <v/>
      </c>
      <c r="AB105" s="3">
        <f>N(N105)*IFERROR(VLOOKUP($C105,Assumptions!$A$4:$G$7,4,FALSE),0)</f>
        <v/>
      </c>
      <c r="AC105" s="3">
        <f>IF(N(U105)=0,0,V105*IFERROR(VLOOKUP($C105,Assumptions!$A$4:$G$7,5,FALSE),0)*90/N(U105))</f>
        <v/>
      </c>
      <c r="AD105" s="3">
        <f>N(W105)</f>
        <v/>
      </c>
      <c r="AE105" s="3">
        <f>SUM(Y105:AD105)</f>
        <v/>
      </c>
      <c r="AF105" s="3">
        <f>N(AE105)*N(M105)/90</f>
        <v/>
      </c>
      <c r="AG105" s="3">
        <f>IFERROR(AF105-VLOOKUP($C105,Assumptions!$A$29:$C$32,3,FALSE),"")</f>
        <v/>
      </c>
      <c r="AH105" s="3">
        <f>IFERROR(AG105/F105,"")</f>
        <v/>
      </c>
      <c r="AI105">
        <f>IF(AND($E105=TRUE,$C105="GKP"),AF105,"")</f>
        <v/>
      </c>
      <c r="AJ105">
        <f>IF(AND($E105=TRUE,$C105="DEF"),AF105,"")</f>
        <v/>
      </c>
      <c r="AK105">
        <f>IF(AND($E105=TRUE,$C105="MID"),AF105,"")</f>
        <v/>
      </c>
      <c r="AL105">
        <f>IF(AND($E105=TRUE,$C105="FWD"),AF105,"")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b">
        <v>1</v>
      </c>
      <c r="F106" s="2" t="n">
        <v>5.5</v>
      </c>
      <c r="G106" t="inlineStr">
        <is>
          <t>a</t>
        </is>
      </c>
      <c r="I106" s="2" t="n">
        <v>2102</v>
      </c>
      <c r="J106" t="n">
        <v>110</v>
      </c>
      <c r="K106" s="3" t="n">
        <v>3340</v>
      </c>
      <c r="L106" t="inlineStr">
        <is>
          <t>flat</t>
        </is>
      </c>
      <c r="M106" s="4" t="n">
        <v>2102</v>
      </c>
      <c r="N106" s="4" t="n">
        <v>0.29</v>
      </c>
      <c r="O106" s="3" t="n">
        <v>0.0345</v>
      </c>
      <c r="P106" t="inlineStr">
        <is>
          <t>adjusted xGOT</t>
        </is>
      </c>
      <c r="Q106" s="3" t="n">
        <v>0.904</v>
      </c>
      <c r="R106" s="3" t="n">
        <v>1.2</v>
      </c>
      <c r="S106" s="3" t="n">
        <v>0.0554</v>
      </c>
      <c r="T106" s="3" t="n">
        <v>10.253</v>
      </c>
      <c r="U106" s="4" t="n">
        <v>95.5</v>
      </c>
      <c r="V106" s="3">
        <f>IF(OR(N(T106)=0,N(U106)=0),0,1-POISSON(IFERROR(VLOOKUP($C106,Assumptions!$A$4:$G$7,7,FALSE),99)-1,N(T106)*N(U106)/90,TRUE))</f>
        <v/>
      </c>
      <c r="W106" s="3" t="n">
        <v>0.1284</v>
      </c>
      <c r="X106" s="3" t="n">
        <v>2.226</v>
      </c>
      <c r="Y106" s="3">
        <f>IF(X106="",IFERROR(VLOOKUP($C106,Assumptions!$A$4:$G$7,6,FALSE),0),X106)</f>
        <v/>
      </c>
      <c r="Z106" s="3">
        <f>N(O106)*IFERROR(VLOOKUP($C106,Assumptions!$A$4:$G$7,2,FALSE),0)</f>
        <v/>
      </c>
      <c r="AA106" s="3">
        <f>N(S106)*IFERROR(VLOOKUP($C106,Assumptions!$A$4:$G$7,3,FALSE),0)*Assumptions!$B$11</f>
        <v/>
      </c>
      <c r="AB106" s="3">
        <f>N(N106)*IFERROR(VLOOKUP($C106,Assumptions!$A$4:$G$7,4,FALSE),0)</f>
        <v/>
      </c>
      <c r="AC106" s="3">
        <f>IF(N(U106)=0,0,V106*IFERROR(VLOOKUP($C106,Assumptions!$A$4:$G$7,5,FALSE),0)*90/N(U106))</f>
        <v/>
      </c>
      <c r="AD106" s="3">
        <f>N(W106)</f>
        <v/>
      </c>
      <c r="AE106" s="3">
        <f>SUM(Y106:AD106)</f>
        <v/>
      </c>
      <c r="AF106" s="3">
        <f>N(AE106)*N(M106)/90</f>
        <v/>
      </c>
      <c r="AG106" s="3">
        <f>IFERROR(AF106-VLOOKUP($C106,Assumptions!$A$29:$C$32,3,FALSE),"")</f>
        <v/>
      </c>
      <c r="AH106" s="3">
        <f>IFERROR(AG106/F106,"")</f>
        <v/>
      </c>
      <c r="AI106">
        <f>IF(AND($E106=TRUE,$C106="GKP"),AF106,"")</f>
        <v/>
      </c>
      <c r="AJ106">
        <f>IF(AND($E106=TRUE,$C106="DEF"),AF106,"")</f>
        <v/>
      </c>
      <c r="AK106">
        <f>IF(AND($E106=TRUE,$C106="MID"),AF106,"")</f>
        <v/>
      </c>
      <c r="AL106">
        <f>IF(AND($E106=TRUE,$C106="FWD"),AF106,"")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b">
        <v>1</v>
      </c>
      <c r="F107" s="2" t="n">
        <v>5.5</v>
      </c>
      <c r="G107" t="inlineStr">
        <is>
          <t>a</t>
        </is>
      </c>
      <c r="I107" s="2" t="n">
        <v>2796</v>
      </c>
      <c r="J107" t="n">
        <v>110</v>
      </c>
      <c r="K107" s="3" t="n">
        <v>3089</v>
      </c>
      <c r="L107" t="inlineStr">
        <is>
          <t>flat</t>
        </is>
      </c>
      <c r="M107" s="4" t="n">
        <v>2796</v>
      </c>
      <c r="N107" s="4" t="n">
        <v>0.237</v>
      </c>
      <c r="O107" s="3" t="n">
        <v>0.0454</v>
      </c>
      <c r="P107" t="inlineStr">
        <is>
          <t>adjusted xGOT</t>
        </is>
      </c>
      <c r="Q107" s="3" t="n">
        <v>0.972</v>
      </c>
      <c r="R107" s="3" t="n">
        <v>4.4</v>
      </c>
      <c r="S107" s="3" t="n">
        <v>0.0806</v>
      </c>
      <c r="T107" s="3" t="n">
        <v>11.125</v>
      </c>
      <c r="U107" s="4" t="n">
        <v>87.40000000000001</v>
      </c>
      <c r="V107" s="3">
        <f>IF(OR(N(T107)=0,N(U107)=0),0,1-POISSON(IFERROR(VLOOKUP($C107,Assumptions!$A$4:$G$7,7,FALSE),99)-1,N(T107)*N(U107)/90,TRUE))</f>
        <v/>
      </c>
      <c r="W107" s="3" t="n">
        <v>0.3219</v>
      </c>
      <c r="X107" s="3" t="n">
        <v>2.06</v>
      </c>
      <c r="Y107" s="3">
        <f>IF(X107="",IFERROR(VLOOKUP($C107,Assumptions!$A$4:$G$7,6,FALSE),0),X107)</f>
        <v/>
      </c>
      <c r="Z107" s="3">
        <f>N(O107)*IFERROR(VLOOKUP($C107,Assumptions!$A$4:$G$7,2,FALSE),0)</f>
        <v/>
      </c>
      <c r="AA107" s="3">
        <f>N(S107)*IFERROR(VLOOKUP($C107,Assumptions!$A$4:$G$7,3,FALSE),0)*Assumptions!$B$11</f>
        <v/>
      </c>
      <c r="AB107" s="3">
        <f>N(N107)*IFERROR(VLOOKUP($C107,Assumptions!$A$4:$G$7,4,FALSE),0)</f>
        <v/>
      </c>
      <c r="AC107" s="3">
        <f>IF(N(U107)=0,0,V107*IFERROR(VLOOKUP($C107,Assumptions!$A$4:$G$7,5,FALSE),0)*90/N(U107))</f>
        <v/>
      </c>
      <c r="AD107" s="3">
        <f>N(W107)</f>
        <v/>
      </c>
      <c r="AE107" s="3">
        <f>SUM(Y107:AD107)</f>
        <v/>
      </c>
      <c r="AF107" s="3">
        <f>N(AE107)*N(M107)/90</f>
        <v/>
      </c>
      <c r="AG107" s="3">
        <f>IFERROR(AF107-VLOOKUP($C107,Assumptions!$A$29:$C$32,3,FALSE),"")</f>
        <v/>
      </c>
      <c r="AH107" s="3">
        <f>IFERROR(AG107/F107,"")</f>
        <v/>
      </c>
      <c r="AI107">
        <f>IF(AND($E107=TRUE,$C107="GKP"),AF107,"")</f>
        <v/>
      </c>
      <c r="AJ107">
        <f>IF(AND($E107=TRUE,$C107="DEF"),AF107,"")</f>
        <v/>
      </c>
      <c r="AK107">
        <f>IF(AND($E107=TRUE,$C107="MID"),AF107,"")</f>
        <v/>
      </c>
      <c r="AL107">
        <f>IF(AND($E107=TRUE,$C107="FWD"),AF107,"")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b">
        <v>1</v>
      </c>
      <c r="F108" s="2" t="n">
        <v>5</v>
      </c>
      <c r="G108" t="inlineStr">
        <is>
          <t>a</t>
        </is>
      </c>
      <c r="I108" s="2" t="n">
        <v>2880</v>
      </c>
      <c r="J108" t="n">
        <v>109</v>
      </c>
      <c r="K108" s="3" t="n">
        <v>3385</v>
      </c>
      <c r="L108" t="inlineStr">
        <is>
          <t>flat</t>
        </is>
      </c>
      <c r="M108" s="4" t="n">
        <v>2880</v>
      </c>
      <c r="N108" s="4" t="n">
        <v>0.21</v>
      </c>
      <c r="O108" s="3" t="n">
        <v>0</v>
      </c>
      <c r="P108" t="inlineStr">
        <is>
          <t>blended xG</t>
        </is>
      </c>
      <c r="Q108" s="3" t="n">
        <v>1</v>
      </c>
      <c r="R108" s="3" t="n">
        <v>0</v>
      </c>
      <c r="S108" s="3" t="n">
        <v>0</v>
      </c>
      <c r="T108" s="3" t="n">
        <v>0</v>
      </c>
      <c r="U108" s="4" t="n">
        <v>90</v>
      </c>
      <c r="V108" s="3">
        <f>IF(OR(N(T108)=0,N(U108)=0),0,1-POISSON(IFERROR(VLOOKUP($C108,Assumptions!$A$4:$G$7,7,FALSE),99)-1,N(T108)*N(U108)/90,TRUE))</f>
        <v/>
      </c>
      <c r="W108" s="3" t="n">
        <v>0.3438</v>
      </c>
      <c r="X108" s="3" t="n">
        <v>2</v>
      </c>
      <c r="Y108" s="3">
        <f>IF(X108="",IFERROR(VLOOKUP($C108,Assumptions!$A$4:$G$7,6,FALSE),0),X108)</f>
        <v/>
      </c>
      <c r="Z108" s="3">
        <f>N(O108)*IFERROR(VLOOKUP($C108,Assumptions!$A$4:$G$7,2,FALSE),0)</f>
        <v/>
      </c>
      <c r="AA108" s="3">
        <f>N(S108)*IFERROR(VLOOKUP($C108,Assumptions!$A$4:$G$7,3,FALSE),0)*Assumptions!$B$11</f>
        <v/>
      </c>
      <c r="AB108" s="3">
        <f>N(N108)*IFERROR(VLOOKUP($C108,Assumptions!$A$4:$G$7,4,FALSE),0)</f>
        <v/>
      </c>
      <c r="AC108" s="3">
        <f>IF(N(U108)=0,0,V108*IFERROR(VLOOKUP($C108,Assumptions!$A$4:$G$7,5,FALSE),0)*90/N(U108))</f>
        <v/>
      </c>
      <c r="AD108" s="3">
        <f>N(W108)</f>
        <v/>
      </c>
      <c r="AE108" s="3">
        <f>SUM(Y108:AD108)</f>
        <v/>
      </c>
      <c r="AF108" s="3">
        <f>N(AE108)*N(M108)/90</f>
        <v/>
      </c>
      <c r="AG108" s="3">
        <f>IFERROR(AF108-VLOOKUP($C108,Assumptions!$A$29:$C$32,3,FALSE),"")</f>
        <v/>
      </c>
      <c r="AH108" s="3">
        <f>IFERROR(AG108/F108,"")</f>
        <v/>
      </c>
      <c r="AI108">
        <f>IF(AND($E108=TRUE,$C108="GKP"),AF108,"")</f>
        <v/>
      </c>
      <c r="AJ108">
        <f>IF(AND($E108=TRUE,$C108="DEF"),AF108,"")</f>
        <v/>
      </c>
      <c r="AK108">
        <f>IF(AND($E108=TRUE,$C108="MID"),AF108,"")</f>
        <v/>
      </c>
      <c r="AL108">
        <f>IF(AND($E108=TRUE,$C108="FWD"),AF108,"")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b">
        <v>1</v>
      </c>
      <c r="F109" s="2" t="n">
        <v>4.5</v>
      </c>
      <c r="G109" t="inlineStr">
        <is>
          <t>a</t>
        </is>
      </c>
      <c r="I109" s="2" t="n">
        <v>2952</v>
      </c>
      <c r="J109" t="n">
        <v>109</v>
      </c>
      <c r="K109" s="3" t="n">
        <v>3272</v>
      </c>
      <c r="L109" t="inlineStr">
        <is>
          <t>flat</t>
        </is>
      </c>
      <c r="M109" s="4" t="n">
        <v>2952</v>
      </c>
      <c r="N109" s="4" t="n">
        <v>0.21</v>
      </c>
      <c r="O109" s="3" t="n">
        <v>0.0477</v>
      </c>
      <c r="P109" t="inlineStr">
        <is>
          <t>adjusted xGOT</t>
        </is>
      </c>
      <c r="Q109" s="3" t="n">
        <v>1.117</v>
      </c>
      <c r="R109" s="3" t="n">
        <v>1.4</v>
      </c>
      <c r="S109" s="3" t="n">
        <v>0.0156</v>
      </c>
      <c r="T109" s="3" t="n">
        <v>8.223000000000001</v>
      </c>
      <c r="U109" s="4" t="n">
        <v>89.5</v>
      </c>
      <c r="V109" s="3">
        <f>IF(OR(N(T109)=0,N(U109)=0),0,1-POISSON(IFERROR(VLOOKUP($C109,Assumptions!$A$4:$G$7,7,FALSE),99)-1,N(T109)*N(U109)/90,TRUE))</f>
        <v/>
      </c>
      <c r="W109" s="3" t="n">
        <v>0.122</v>
      </c>
      <c r="X109" s="3" t="n">
        <v>2.043</v>
      </c>
      <c r="Y109" s="3">
        <f>IF(X109="",IFERROR(VLOOKUP($C109,Assumptions!$A$4:$G$7,6,FALSE),0),X109)</f>
        <v/>
      </c>
      <c r="Z109" s="3">
        <f>N(O109)*IFERROR(VLOOKUP($C109,Assumptions!$A$4:$G$7,2,FALSE),0)</f>
        <v/>
      </c>
      <c r="AA109" s="3">
        <f>N(S109)*IFERROR(VLOOKUP($C109,Assumptions!$A$4:$G$7,3,FALSE),0)*Assumptions!$B$11</f>
        <v/>
      </c>
      <c r="AB109" s="3">
        <f>N(N109)*IFERROR(VLOOKUP($C109,Assumptions!$A$4:$G$7,4,FALSE),0)</f>
        <v/>
      </c>
      <c r="AC109" s="3">
        <f>IF(N(U109)=0,0,V109*IFERROR(VLOOKUP($C109,Assumptions!$A$4:$G$7,5,FALSE),0)*90/N(U109))</f>
        <v/>
      </c>
      <c r="AD109" s="3">
        <f>N(W109)</f>
        <v/>
      </c>
      <c r="AE109" s="3">
        <f>SUM(Y109:AD109)</f>
        <v/>
      </c>
      <c r="AF109" s="3">
        <f>N(AE109)*N(M109)/90</f>
        <v/>
      </c>
      <c r="AG109" s="3">
        <f>IFERROR(AF109-VLOOKUP($C109,Assumptions!$A$29:$C$32,3,FALSE),"")</f>
        <v/>
      </c>
      <c r="AH109" s="3">
        <f>IFERROR(AG109/F109,"")</f>
        <v/>
      </c>
      <c r="AI109">
        <f>IF(AND($E109=TRUE,$C109="GKP"),AF109,"")</f>
        <v/>
      </c>
      <c r="AJ109">
        <f>IF(AND($E109=TRUE,$C109="DEF"),AF109,"")</f>
        <v/>
      </c>
      <c r="AK109">
        <f>IF(AND($E109=TRUE,$C109="MID"),AF109,"")</f>
        <v/>
      </c>
      <c r="AL109">
        <f>IF(AND($E109=TRUE,$C109="FWD"),AF109,"")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b">
        <v>1</v>
      </c>
      <c r="F110" s="2" t="n">
        <v>6</v>
      </c>
      <c r="G110" t="inlineStr">
        <is>
          <t>a</t>
        </is>
      </c>
      <c r="I110" s="2" t="n">
        <v>1553</v>
      </c>
      <c r="J110" t="n">
        <v>109</v>
      </c>
      <c r="K110" s="3" t="n">
        <v>2229</v>
      </c>
      <c r="L110" t="inlineStr">
        <is>
          <t>flat</t>
        </is>
      </c>
      <c r="M110" s="4" t="n">
        <v>1553</v>
      </c>
      <c r="N110" s="4" t="n">
        <v>0.21</v>
      </c>
      <c r="O110" s="3" t="n">
        <v>0.3444</v>
      </c>
      <c r="P110" t="inlineStr">
        <is>
          <t>adjusted xGOT</t>
        </is>
      </c>
      <c r="Q110" s="3" t="n">
        <v>1.132</v>
      </c>
      <c r="R110" s="3" t="n">
        <v>5.2</v>
      </c>
      <c r="S110" s="3" t="n">
        <v>0.1037</v>
      </c>
      <c r="T110" s="3" t="n">
        <v>7.191</v>
      </c>
      <c r="U110" s="4" t="n">
        <v>81.7</v>
      </c>
      <c r="V110" s="3">
        <f>IF(OR(N(T110)=0,N(U110)=0),0,1-POISSON(IFERROR(VLOOKUP($C110,Assumptions!$A$4:$G$7,7,FALSE),99)-1,N(T110)*N(U110)/90,TRUE))</f>
        <v/>
      </c>
      <c r="W110" s="3" t="n">
        <v>0.6954</v>
      </c>
      <c r="X110" s="3" t="n">
        <v>2.666</v>
      </c>
      <c r="Y110" s="3">
        <f>IF(X110="",IFERROR(VLOOKUP($C110,Assumptions!$A$4:$G$7,6,FALSE),0),X110)</f>
        <v/>
      </c>
      <c r="Z110" s="3">
        <f>N(O110)*IFERROR(VLOOKUP($C110,Assumptions!$A$4:$G$7,2,FALSE),0)</f>
        <v/>
      </c>
      <c r="AA110" s="3">
        <f>N(S110)*IFERROR(VLOOKUP($C110,Assumptions!$A$4:$G$7,3,FALSE),0)*Assumptions!$B$11</f>
        <v/>
      </c>
      <c r="AB110" s="3">
        <f>N(N110)*IFERROR(VLOOKUP($C110,Assumptions!$A$4:$G$7,4,FALSE),0)</f>
        <v/>
      </c>
      <c r="AC110" s="3">
        <f>IF(N(U110)=0,0,V110*IFERROR(VLOOKUP($C110,Assumptions!$A$4:$G$7,5,FALSE),0)*90/N(U110))</f>
        <v/>
      </c>
      <c r="AD110" s="3">
        <f>N(W110)</f>
        <v/>
      </c>
      <c r="AE110" s="3">
        <f>SUM(Y110:AD110)</f>
        <v/>
      </c>
      <c r="AF110" s="3">
        <f>N(AE110)*N(M110)/90</f>
        <v/>
      </c>
      <c r="AG110" s="3">
        <f>IFERROR(AF110-VLOOKUP($C110,Assumptions!$A$29:$C$32,3,FALSE),"")</f>
        <v/>
      </c>
      <c r="AH110" s="3">
        <f>IFERROR(AG110/F110,"")</f>
        <v/>
      </c>
      <c r="AI110">
        <f>IF(AND($E110=TRUE,$C110="GKP"),AF110,"")</f>
        <v/>
      </c>
      <c r="AJ110">
        <f>IF(AND($E110=TRUE,$C110="DEF"),AF110,"")</f>
        <v/>
      </c>
      <c r="AK110">
        <f>IF(AND($E110=TRUE,$C110="MID"),AF110,"")</f>
        <v/>
      </c>
      <c r="AL110">
        <f>IF(AND($E110=TRUE,$C110="FWD"),AF110,"")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b">
        <v>1</v>
      </c>
      <c r="F111" s="2" t="n">
        <v>5.5</v>
      </c>
      <c r="G111" t="inlineStr">
        <is>
          <t>a</t>
        </is>
      </c>
      <c r="I111" s="2" t="n">
        <v>1697</v>
      </c>
      <c r="J111" t="n">
        <v>109</v>
      </c>
      <c r="K111" s="3" t="n">
        <v>2371</v>
      </c>
      <c r="L111" t="inlineStr">
        <is>
          <t>flat</t>
        </is>
      </c>
      <c r="M111" s="4" t="n">
        <v>1697</v>
      </c>
      <c r="N111" s="4" t="n">
        <v>0.5</v>
      </c>
      <c r="O111" s="3" t="n">
        <v>0.1779</v>
      </c>
      <c r="P111" t="inlineStr">
        <is>
          <t>adjusted xGOT</t>
        </is>
      </c>
      <c r="Q111" s="3" t="n">
        <v>0.998</v>
      </c>
      <c r="R111" s="3" t="n">
        <v>4.2</v>
      </c>
      <c r="S111" s="3" t="n">
        <v>0.0373</v>
      </c>
      <c r="T111" s="3" t="n">
        <v>6.087</v>
      </c>
      <c r="U111" s="4" t="n">
        <v>77.09999999999999</v>
      </c>
      <c r="V111" s="3">
        <f>IF(OR(N(T111)=0,N(U111)=0),0,1-POISSON(IFERROR(VLOOKUP($C111,Assumptions!$A$4:$G$7,7,FALSE),99)-1,N(T111)*N(U111)/90,TRUE))</f>
        <v/>
      </c>
      <c r="W111" s="3" t="n">
        <v>0.3182</v>
      </c>
      <c r="X111" s="3" t="n">
        <v>2.387</v>
      </c>
      <c r="Y111" s="3">
        <f>IF(X111="",IFERROR(VLOOKUP($C111,Assumptions!$A$4:$G$7,6,FALSE),0),X111)</f>
        <v/>
      </c>
      <c r="Z111" s="3">
        <f>N(O111)*IFERROR(VLOOKUP($C111,Assumptions!$A$4:$G$7,2,FALSE),0)</f>
        <v/>
      </c>
      <c r="AA111" s="3">
        <f>N(S111)*IFERROR(VLOOKUP($C111,Assumptions!$A$4:$G$7,3,FALSE),0)*Assumptions!$B$11</f>
        <v/>
      </c>
      <c r="AB111" s="3">
        <f>N(N111)*IFERROR(VLOOKUP($C111,Assumptions!$A$4:$G$7,4,FALSE),0)</f>
        <v/>
      </c>
      <c r="AC111" s="3">
        <f>IF(N(U111)=0,0,V111*IFERROR(VLOOKUP($C111,Assumptions!$A$4:$G$7,5,FALSE),0)*90/N(U111))</f>
        <v/>
      </c>
      <c r="AD111" s="3">
        <f>N(W111)</f>
        <v/>
      </c>
      <c r="AE111" s="3">
        <f>SUM(Y111:AD111)</f>
        <v/>
      </c>
      <c r="AF111" s="3">
        <f>N(AE111)*N(M111)/90</f>
        <v/>
      </c>
      <c r="AG111" s="3">
        <f>IFERROR(AF111-VLOOKUP($C111,Assumptions!$A$29:$C$32,3,FALSE),"")</f>
        <v/>
      </c>
      <c r="AH111" s="3">
        <f>IFERROR(AG111/F111,"")</f>
        <v/>
      </c>
      <c r="AI111">
        <f>IF(AND($E111=TRUE,$C111="GKP"),AF111,"")</f>
        <v/>
      </c>
      <c r="AJ111">
        <f>IF(AND($E111=TRUE,$C111="DEF"),AF111,"")</f>
        <v/>
      </c>
      <c r="AK111">
        <f>IF(AND($E111=TRUE,$C111="MID"),AF111,"")</f>
        <v/>
      </c>
      <c r="AL111">
        <f>IF(AND($E111=TRUE,$C111="FWD"),AF111,"")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b">
        <v>1</v>
      </c>
      <c r="F112" s="2" t="n">
        <v>5</v>
      </c>
      <c r="G112" t="inlineStr">
        <is>
          <t>a</t>
        </is>
      </c>
      <c r="I112" s="2" t="n">
        <v>2935</v>
      </c>
      <c r="J112" t="n">
        <v>108</v>
      </c>
      <c r="K112" s="3" t="n">
        <v>2548</v>
      </c>
      <c r="L112" t="inlineStr">
        <is>
          <t>flat</t>
        </is>
      </c>
      <c r="M112" s="4" t="n">
        <v>2935</v>
      </c>
      <c r="N112" s="4" t="n">
        <v>0.263</v>
      </c>
      <c r="O112" s="3" t="n">
        <v>0.0877</v>
      </c>
      <c r="P112" t="inlineStr">
        <is>
          <t>adjusted xGOT</t>
        </is>
      </c>
      <c r="Q112" s="3" t="n">
        <v>0.9350000000000001</v>
      </c>
      <c r="R112" s="3" t="n">
        <v>4.4</v>
      </c>
      <c r="S112" s="3" t="n">
        <v>0.0284</v>
      </c>
      <c r="T112" s="3" t="n">
        <v>8.827</v>
      </c>
      <c r="U112" s="4" t="n">
        <v>88.90000000000001</v>
      </c>
      <c r="V112" s="3">
        <f>IF(OR(N(T112)=0,N(U112)=0),0,1-POISSON(IFERROR(VLOOKUP($C112,Assumptions!$A$4:$G$7,7,FALSE),99)-1,N(T112)*N(U112)/90,TRUE))</f>
        <v/>
      </c>
      <c r="W112" s="3" t="n">
        <v>0.1227</v>
      </c>
      <c r="X112" s="3" t="n">
        <v>2.024</v>
      </c>
      <c r="Y112" s="3">
        <f>IF(X112="",IFERROR(VLOOKUP($C112,Assumptions!$A$4:$G$7,6,FALSE),0),X112)</f>
        <v/>
      </c>
      <c r="Z112" s="3">
        <f>N(O112)*IFERROR(VLOOKUP($C112,Assumptions!$A$4:$G$7,2,FALSE),0)</f>
        <v/>
      </c>
      <c r="AA112" s="3">
        <f>N(S112)*IFERROR(VLOOKUP($C112,Assumptions!$A$4:$G$7,3,FALSE),0)*Assumptions!$B$11</f>
        <v/>
      </c>
      <c r="AB112" s="3">
        <f>N(N112)*IFERROR(VLOOKUP($C112,Assumptions!$A$4:$G$7,4,FALSE),0)</f>
        <v/>
      </c>
      <c r="AC112" s="3">
        <f>IF(N(U112)=0,0,V112*IFERROR(VLOOKUP($C112,Assumptions!$A$4:$G$7,5,FALSE),0)*90/N(U112))</f>
        <v/>
      </c>
      <c r="AD112" s="3">
        <f>N(W112)</f>
        <v/>
      </c>
      <c r="AE112" s="3">
        <f>SUM(Y112:AD112)</f>
        <v/>
      </c>
      <c r="AF112" s="3">
        <f>N(AE112)*N(M112)/90</f>
        <v/>
      </c>
      <c r="AG112" s="3">
        <f>IFERROR(AF112-VLOOKUP($C112,Assumptions!$A$29:$C$32,3,FALSE),"")</f>
        <v/>
      </c>
      <c r="AH112" s="3">
        <f>IFERROR(AG112/F112,"")</f>
        <v/>
      </c>
      <c r="AI112">
        <f>IF(AND($E112=TRUE,$C112="GKP"),AF112,"")</f>
        <v/>
      </c>
      <c r="AJ112">
        <f>IF(AND($E112=TRUE,$C112="DEF"),AF112,"")</f>
        <v/>
      </c>
      <c r="AK112">
        <f>IF(AND($E112=TRUE,$C112="MID"),AF112,"")</f>
        <v/>
      </c>
      <c r="AL112">
        <f>IF(AND($E112=TRUE,$C112="FWD"),AF112,"")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b">
        <v>1</v>
      </c>
      <c r="F113" s="2" t="n">
        <v>5.5</v>
      </c>
      <c r="G113" t="inlineStr">
        <is>
          <t>a</t>
        </is>
      </c>
      <c r="I113" s="2" t="n">
        <v>2654</v>
      </c>
      <c r="J113" t="n">
        <v>108</v>
      </c>
      <c r="K113" s="3" t="n">
        <v>1604</v>
      </c>
      <c r="L113" t="inlineStr">
        <is>
          <t>flat</t>
        </is>
      </c>
      <c r="M113" s="4" t="n">
        <v>2654</v>
      </c>
      <c r="N113" s="4" t="n">
        <v>0.263</v>
      </c>
      <c r="O113" s="3" t="n">
        <v>0.1366</v>
      </c>
      <c r="P113" t="inlineStr">
        <is>
          <t>adjusted xGOT</t>
        </is>
      </c>
      <c r="Q113" s="3" t="n">
        <v>1.036</v>
      </c>
      <c r="R113" s="3" t="n">
        <v>22.4</v>
      </c>
      <c r="S113" s="3" t="n">
        <v>0.077</v>
      </c>
      <c r="T113" s="3" t="n">
        <v>7.939</v>
      </c>
      <c r="U113" s="4" t="n">
        <v>85.59999999999999</v>
      </c>
      <c r="V113" s="3">
        <f>IF(OR(N(T113)=0,N(U113)=0),0,1-POISSON(IFERROR(VLOOKUP($C113,Assumptions!$A$4:$G$7,7,FALSE),99)-1,N(T113)*N(U113)/90,TRUE))</f>
        <v/>
      </c>
      <c r="W113" s="3" t="n">
        <v>0.3052</v>
      </c>
      <c r="X113" s="3" t="n">
        <v>2.238</v>
      </c>
      <c r="Y113" s="3">
        <f>IF(X113="",IFERROR(VLOOKUP($C113,Assumptions!$A$4:$G$7,6,FALSE),0),X113)</f>
        <v/>
      </c>
      <c r="Z113" s="3">
        <f>N(O113)*IFERROR(VLOOKUP($C113,Assumptions!$A$4:$G$7,2,FALSE),0)</f>
        <v/>
      </c>
      <c r="AA113" s="3">
        <f>N(S113)*IFERROR(VLOOKUP($C113,Assumptions!$A$4:$G$7,3,FALSE),0)*Assumptions!$B$11</f>
        <v/>
      </c>
      <c r="AB113" s="3">
        <f>N(N113)*IFERROR(VLOOKUP($C113,Assumptions!$A$4:$G$7,4,FALSE),0)</f>
        <v/>
      </c>
      <c r="AC113" s="3">
        <f>IF(N(U113)=0,0,V113*IFERROR(VLOOKUP($C113,Assumptions!$A$4:$G$7,5,FALSE),0)*90/N(U113))</f>
        <v/>
      </c>
      <c r="AD113" s="3">
        <f>N(W113)</f>
        <v/>
      </c>
      <c r="AE113" s="3">
        <f>SUM(Y113:AD113)</f>
        <v/>
      </c>
      <c r="AF113" s="3">
        <f>N(AE113)*N(M113)/90</f>
        <v/>
      </c>
      <c r="AG113" s="3">
        <f>IFERROR(AF113-VLOOKUP($C113,Assumptions!$A$29:$C$32,3,FALSE),"")</f>
        <v/>
      </c>
      <c r="AH113" s="3">
        <f>IFERROR(AG113/F113,"")</f>
        <v/>
      </c>
      <c r="AI113">
        <f>IF(AND($E113=TRUE,$C113="GKP"),AF113,"")</f>
        <v/>
      </c>
      <c r="AJ113">
        <f>IF(AND($E113=TRUE,$C113="DEF"),AF113,"")</f>
        <v/>
      </c>
      <c r="AK113">
        <f>IF(AND($E113=TRUE,$C113="MID"),AF113,"")</f>
        <v/>
      </c>
      <c r="AL113">
        <f>IF(AND($E113=TRUE,$C113="FWD"),AF113,"")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b">
        <v>1</v>
      </c>
      <c r="F114" s="2" t="n">
        <v>6</v>
      </c>
      <c r="G114" t="inlineStr">
        <is>
          <t>a</t>
        </is>
      </c>
      <c r="I114" s="2" t="n">
        <v>1896</v>
      </c>
      <c r="J114" t="n">
        <v>108</v>
      </c>
      <c r="K114" s="3" t="n">
        <v>2371</v>
      </c>
      <c r="L114" t="inlineStr">
        <is>
          <t>flat</t>
        </is>
      </c>
      <c r="M114" s="4" t="n">
        <v>1896</v>
      </c>
      <c r="N114" s="4" t="n">
        <v>0.21</v>
      </c>
      <c r="O114" s="3" t="n">
        <v>0.3409</v>
      </c>
      <c r="P114" t="inlineStr">
        <is>
          <t>adjusted xGOT</t>
        </is>
      </c>
      <c r="Q114" s="3" t="n">
        <v>1.09</v>
      </c>
      <c r="R114" s="3" t="n">
        <v>6.6</v>
      </c>
      <c r="S114" s="3" t="n">
        <v>0.1052</v>
      </c>
      <c r="T114" s="3" t="n">
        <v>4.932</v>
      </c>
      <c r="U114" s="4" t="n">
        <v>79</v>
      </c>
      <c r="V114" s="3">
        <f>IF(OR(N(T114)=0,N(U114)=0),0,1-POISSON(IFERROR(VLOOKUP($C114,Assumptions!$A$4:$G$7,7,FALSE),99)-1,N(T114)*N(U114)/90,TRUE))</f>
        <v/>
      </c>
      <c r="W114" s="3" t="n">
        <v>0.5696</v>
      </c>
      <c r="X114" s="3" t="n">
        <v>2.563</v>
      </c>
      <c r="Y114" s="3">
        <f>IF(X114="",IFERROR(VLOOKUP($C114,Assumptions!$A$4:$G$7,6,FALSE),0),X114)</f>
        <v/>
      </c>
      <c r="Z114" s="3">
        <f>N(O114)*IFERROR(VLOOKUP($C114,Assumptions!$A$4:$G$7,2,FALSE),0)</f>
        <v/>
      </c>
      <c r="AA114" s="3">
        <f>N(S114)*IFERROR(VLOOKUP($C114,Assumptions!$A$4:$G$7,3,FALSE),0)*Assumptions!$B$11</f>
        <v/>
      </c>
      <c r="AB114" s="3">
        <f>N(N114)*IFERROR(VLOOKUP($C114,Assumptions!$A$4:$G$7,4,FALSE),0)</f>
        <v/>
      </c>
      <c r="AC114" s="3">
        <f>IF(N(U114)=0,0,V114*IFERROR(VLOOKUP($C114,Assumptions!$A$4:$G$7,5,FALSE),0)*90/N(U114))</f>
        <v/>
      </c>
      <c r="AD114" s="3">
        <f>N(W114)</f>
        <v/>
      </c>
      <c r="AE114" s="3">
        <f>SUM(Y114:AD114)</f>
        <v/>
      </c>
      <c r="AF114" s="3">
        <f>N(AE114)*N(M114)/90</f>
        <v/>
      </c>
      <c r="AG114" s="3">
        <f>IFERROR(AF114-VLOOKUP($C114,Assumptions!$A$29:$C$32,3,FALSE),"")</f>
        <v/>
      </c>
      <c r="AH114" s="3">
        <f>IFERROR(AG114/F114,"")</f>
        <v/>
      </c>
      <c r="AI114">
        <f>IF(AND($E114=TRUE,$C114="GKP"),AF114,"")</f>
        <v/>
      </c>
      <c r="AJ114">
        <f>IF(AND($E114=TRUE,$C114="DEF"),AF114,"")</f>
        <v/>
      </c>
      <c r="AK114">
        <f>IF(AND($E114=TRUE,$C114="MID"),AF114,"")</f>
        <v/>
      </c>
      <c r="AL114">
        <f>IF(AND($E114=TRUE,$C114="FWD"),AF114,"")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b">
        <v>1</v>
      </c>
      <c r="F115" s="2" t="n">
        <v>5.5</v>
      </c>
      <c r="G115" t="inlineStr">
        <is>
          <t>a</t>
        </is>
      </c>
      <c r="I115" s="2" t="n">
        <v>2829</v>
      </c>
      <c r="J115" t="n">
        <v>107</v>
      </c>
      <c r="K115" s="3" t="n">
        <v>3067</v>
      </c>
      <c r="L115" t="inlineStr">
        <is>
          <t>ramp-up (injury / late WC return)</t>
        </is>
      </c>
      <c r="M115" s="4" t="n">
        <v>2829</v>
      </c>
      <c r="N115" s="4" t="n">
        <v>0.237</v>
      </c>
      <c r="O115" s="3" t="n">
        <v>0.0395</v>
      </c>
      <c r="P115" t="inlineStr">
        <is>
          <t>adjusted xGOT</t>
        </is>
      </c>
      <c r="Q115" s="3" t="n">
        <v>0.962</v>
      </c>
      <c r="R115" s="3" t="n">
        <v>6.4</v>
      </c>
      <c r="S115" s="3" t="n">
        <v>0.0562</v>
      </c>
      <c r="T115" s="3" t="n">
        <v>11.554</v>
      </c>
      <c r="U115" s="4" t="n">
        <v>88.40000000000001</v>
      </c>
      <c r="V115" s="3">
        <f>IF(OR(N(T115)=0,N(U115)=0),0,1-POISSON(IFERROR(VLOOKUP($C115,Assumptions!$A$4:$G$7,7,FALSE),99)-1,N(T115)*N(U115)/90,TRUE))</f>
        <v/>
      </c>
      <c r="W115" s="3" t="n">
        <v>0.1909</v>
      </c>
      <c r="X115" s="3" t="n">
        <v>2.1</v>
      </c>
      <c r="Y115" s="3">
        <f>IF(X115="",IFERROR(VLOOKUP($C115,Assumptions!$A$4:$G$7,6,FALSE),0),X115)</f>
        <v/>
      </c>
      <c r="Z115" s="3">
        <f>N(O115)*IFERROR(VLOOKUP($C115,Assumptions!$A$4:$G$7,2,FALSE),0)</f>
        <v/>
      </c>
      <c r="AA115" s="3">
        <f>N(S115)*IFERROR(VLOOKUP($C115,Assumptions!$A$4:$G$7,3,FALSE),0)*Assumptions!$B$11</f>
        <v/>
      </c>
      <c r="AB115" s="3">
        <f>N(N115)*IFERROR(VLOOKUP($C115,Assumptions!$A$4:$G$7,4,FALSE),0)</f>
        <v/>
      </c>
      <c r="AC115" s="3">
        <f>IF(N(U115)=0,0,V115*IFERROR(VLOOKUP($C115,Assumptions!$A$4:$G$7,5,FALSE),0)*90/N(U115))</f>
        <v/>
      </c>
      <c r="AD115" s="3">
        <f>N(W115)</f>
        <v/>
      </c>
      <c r="AE115" s="3">
        <f>SUM(Y115:AD115)</f>
        <v/>
      </c>
      <c r="AF115" s="3">
        <f>N(AE115)*N(M115)/90</f>
        <v/>
      </c>
      <c r="AG115" s="3">
        <f>IFERROR(AF115-VLOOKUP($C115,Assumptions!$A$29:$C$32,3,FALSE),"")</f>
        <v/>
      </c>
      <c r="AH115" s="3">
        <f>IFERROR(AG115/F115,"")</f>
        <v/>
      </c>
      <c r="AI115">
        <f>IF(AND($E115=TRUE,$C115="GKP"),AF115,"")</f>
        <v/>
      </c>
      <c r="AJ115">
        <f>IF(AND($E115=TRUE,$C115="DEF"),AF115,"")</f>
        <v/>
      </c>
      <c r="AK115">
        <f>IF(AND($E115=TRUE,$C115="MID"),AF115,"")</f>
        <v/>
      </c>
      <c r="AL115">
        <f>IF(AND($E115=TRUE,$C115="FWD"),AF115,"")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b">
        <v>1</v>
      </c>
      <c r="F116" s="2" t="n">
        <v>6</v>
      </c>
      <c r="G116" t="inlineStr">
        <is>
          <t>a</t>
        </is>
      </c>
      <c r="I116" s="2" t="n">
        <v>1951</v>
      </c>
      <c r="J116" t="n">
        <v>106</v>
      </c>
      <c r="K116" s="3" t="n">
        <v>2308</v>
      </c>
      <c r="L116" t="inlineStr">
        <is>
          <t>flat</t>
        </is>
      </c>
      <c r="M116" s="4" t="n">
        <v>1951</v>
      </c>
      <c r="N116" s="4" t="n">
        <v>0.21</v>
      </c>
      <c r="O116" s="3" t="n">
        <v>0.3586</v>
      </c>
      <c r="P116" t="inlineStr">
        <is>
          <t>adjusted xGOT</t>
        </is>
      </c>
      <c r="Q116" s="3" t="n">
        <v>1.136</v>
      </c>
      <c r="R116" s="3" t="n">
        <v>26.1</v>
      </c>
      <c r="S116" s="3" t="n">
        <v>0.1344</v>
      </c>
      <c r="T116" s="3" t="n">
        <v>5.682</v>
      </c>
      <c r="U116" s="4" t="n">
        <v>102.7</v>
      </c>
      <c r="V116" s="3">
        <f>IF(OR(N(T116)=0,N(U116)=0),0,1-POISSON(IFERROR(VLOOKUP($C116,Assumptions!$A$4:$G$7,7,FALSE),99)-1,N(T116)*N(U116)/90,TRUE))</f>
        <v/>
      </c>
      <c r="W116" s="3" t="n">
        <v>0.4613</v>
      </c>
      <c r="X116" s="3" t="n">
        <v>2.537</v>
      </c>
      <c r="Y116" s="3">
        <f>IF(X116="",IFERROR(VLOOKUP($C116,Assumptions!$A$4:$G$7,6,FALSE),0),X116)</f>
        <v/>
      </c>
      <c r="Z116" s="3">
        <f>N(O116)*IFERROR(VLOOKUP($C116,Assumptions!$A$4:$G$7,2,FALSE),0)</f>
        <v/>
      </c>
      <c r="AA116" s="3">
        <f>N(S116)*IFERROR(VLOOKUP($C116,Assumptions!$A$4:$G$7,3,FALSE),0)*Assumptions!$B$11</f>
        <v/>
      </c>
      <c r="AB116" s="3">
        <f>N(N116)*IFERROR(VLOOKUP($C116,Assumptions!$A$4:$G$7,4,FALSE),0)</f>
        <v/>
      </c>
      <c r="AC116" s="3">
        <f>IF(N(U116)=0,0,V116*IFERROR(VLOOKUP($C116,Assumptions!$A$4:$G$7,5,FALSE),0)*90/N(U116))</f>
        <v/>
      </c>
      <c r="AD116" s="3">
        <f>N(W116)</f>
        <v/>
      </c>
      <c r="AE116" s="3">
        <f>SUM(Y116:AD116)</f>
        <v/>
      </c>
      <c r="AF116" s="3">
        <f>N(AE116)*N(M116)/90</f>
        <v/>
      </c>
      <c r="AG116" s="3">
        <f>IFERROR(AF116-VLOOKUP($C116,Assumptions!$A$29:$C$32,3,FALSE),"")</f>
        <v/>
      </c>
      <c r="AH116" s="3">
        <f>IFERROR(AG116/F116,"")</f>
        <v/>
      </c>
      <c r="AI116">
        <f>IF(AND($E116=TRUE,$C116="GKP"),AF116,"")</f>
        <v/>
      </c>
      <c r="AJ116">
        <f>IF(AND($E116=TRUE,$C116="DEF"),AF116,"")</f>
        <v/>
      </c>
      <c r="AK116">
        <f>IF(AND($E116=TRUE,$C116="MID"),AF116,"")</f>
        <v/>
      </c>
      <c r="AL116">
        <f>IF(AND($E116=TRUE,$C116="FWD"),AF116,"")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b">
        <v>1</v>
      </c>
      <c r="F117" s="2" t="n">
        <v>5</v>
      </c>
      <c r="G117" t="inlineStr">
        <is>
          <t>a</t>
        </is>
      </c>
      <c r="I117" s="2" t="n">
        <v>2667</v>
      </c>
      <c r="J117" t="n">
        <v>105</v>
      </c>
      <c r="K117" s="3" t="n">
        <v>3385</v>
      </c>
      <c r="L117" t="inlineStr">
        <is>
          <t>flat</t>
        </is>
      </c>
      <c r="M117" s="4" t="n">
        <v>2667</v>
      </c>
      <c r="N117" s="4" t="n">
        <v>0.237</v>
      </c>
      <c r="O117" s="3" t="n">
        <v>0</v>
      </c>
      <c r="P117" t="inlineStr">
        <is>
          <t>blended xG</t>
        </is>
      </c>
      <c r="Q117" s="3" t="n">
        <v>1</v>
      </c>
      <c r="R117" s="3" t="n">
        <v>0</v>
      </c>
      <c r="S117" s="3" t="n">
        <v>0.001</v>
      </c>
      <c r="T117" s="3" t="n">
        <v>0</v>
      </c>
      <c r="U117" s="4" t="n">
        <v>88.90000000000001</v>
      </c>
      <c r="V117" s="3">
        <f>IF(OR(N(T117)=0,N(U117)=0),0,1-POISSON(IFERROR(VLOOKUP($C117,Assumptions!$A$4:$G$7,7,FALSE),99)-1,N(T117)*N(U117)/90,TRUE))</f>
        <v/>
      </c>
      <c r="W117" s="3" t="n">
        <v>0.135</v>
      </c>
      <c r="X117" s="3" t="n">
        <v>2.025</v>
      </c>
      <c r="Y117" s="3">
        <f>IF(X117="",IFERROR(VLOOKUP($C117,Assumptions!$A$4:$G$7,6,FALSE),0),X117)</f>
        <v/>
      </c>
      <c r="Z117" s="3">
        <f>N(O117)*IFERROR(VLOOKUP($C117,Assumptions!$A$4:$G$7,2,FALSE),0)</f>
        <v/>
      </c>
      <c r="AA117" s="3">
        <f>N(S117)*IFERROR(VLOOKUP($C117,Assumptions!$A$4:$G$7,3,FALSE),0)*Assumptions!$B$11</f>
        <v/>
      </c>
      <c r="AB117" s="3">
        <f>N(N117)*IFERROR(VLOOKUP($C117,Assumptions!$A$4:$G$7,4,FALSE),0)</f>
        <v/>
      </c>
      <c r="AC117" s="3">
        <f>IF(N(U117)=0,0,V117*IFERROR(VLOOKUP($C117,Assumptions!$A$4:$G$7,5,FALSE),0)*90/N(U117))</f>
        <v/>
      </c>
      <c r="AD117" s="3">
        <f>N(W117)</f>
        <v/>
      </c>
      <c r="AE117" s="3">
        <f>SUM(Y117:AD117)</f>
        <v/>
      </c>
      <c r="AF117" s="3">
        <f>N(AE117)*N(M117)/90</f>
        <v/>
      </c>
      <c r="AG117" s="3">
        <f>IFERROR(AF117-VLOOKUP($C117,Assumptions!$A$29:$C$32,3,FALSE),"")</f>
        <v/>
      </c>
      <c r="AH117" s="3">
        <f>IFERROR(AG117/F117,"")</f>
        <v/>
      </c>
      <c r="AI117">
        <f>IF(AND($E117=TRUE,$C117="GKP"),AF117,"")</f>
        <v/>
      </c>
      <c r="AJ117">
        <f>IF(AND($E117=TRUE,$C117="DEF"),AF117,"")</f>
        <v/>
      </c>
      <c r="AK117">
        <f>IF(AND($E117=TRUE,$C117="MID"),AF117,"")</f>
        <v/>
      </c>
      <c r="AL117">
        <f>IF(AND($E117=TRUE,$C117="FWD"),AF117,"")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b">
        <v>1</v>
      </c>
      <c r="F118" s="2" t="n">
        <v>5.5</v>
      </c>
      <c r="G118" t="inlineStr">
        <is>
          <t>a</t>
        </is>
      </c>
      <c r="I118" s="2" t="n">
        <v>1551</v>
      </c>
      <c r="J118" t="n">
        <v>104</v>
      </c>
      <c r="K118" s="3" t="n">
        <v>858</v>
      </c>
      <c r="L118" t="inlineStr">
        <is>
          <t>flat</t>
        </is>
      </c>
      <c r="M118" s="4" t="n">
        <v>1551</v>
      </c>
      <c r="N118" s="4" t="n">
        <v>0.29</v>
      </c>
      <c r="O118" s="3" t="n">
        <v>0.5123</v>
      </c>
      <c r="P118" t="inlineStr">
        <is>
          <t>adjusted xGOT</t>
        </is>
      </c>
      <c r="Q118" s="3" t="n">
        <v>0.992</v>
      </c>
      <c r="R118" s="3" t="n">
        <v>23.2</v>
      </c>
      <c r="S118" s="3" t="n">
        <v>0.0358</v>
      </c>
      <c r="T118" s="3" t="n">
        <v>5.047</v>
      </c>
      <c r="U118" s="4" t="n">
        <v>91.2</v>
      </c>
      <c r="V118" s="3">
        <f>IF(OR(N(T118)=0,N(U118)=0),0,1-POISSON(IFERROR(VLOOKUP($C118,Assumptions!$A$4:$G$7,7,FALSE),99)-1,N(T118)*N(U118)/90,TRUE))</f>
        <v/>
      </c>
      <c r="W118" s="3" t="n">
        <v>0.9284</v>
      </c>
      <c r="X118" s="3" t="n">
        <v>3.075</v>
      </c>
      <c r="Y118" s="3">
        <f>IF(X118="",IFERROR(VLOOKUP($C118,Assumptions!$A$4:$G$7,6,FALSE),0),X118)</f>
        <v/>
      </c>
      <c r="Z118" s="3">
        <f>N(O118)*IFERROR(VLOOKUP($C118,Assumptions!$A$4:$G$7,2,FALSE),0)</f>
        <v/>
      </c>
      <c r="AA118" s="3">
        <f>N(S118)*IFERROR(VLOOKUP($C118,Assumptions!$A$4:$G$7,3,FALSE),0)*Assumptions!$B$11</f>
        <v/>
      </c>
      <c r="AB118" s="3">
        <f>N(N118)*IFERROR(VLOOKUP($C118,Assumptions!$A$4:$G$7,4,FALSE),0)</f>
        <v/>
      </c>
      <c r="AC118" s="3">
        <f>IF(N(U118)=0,0,V118*IFERROR(VLOOKUP($C118,Assumptions!$A$4:$G$7,5,FALSE),0)*90/N(U118))</f>
        <v/>
      </c>
      <c r="AD118" s="3">
        <f>N(W118)</f>
        <v/>
      </c>
      <c r="AE118" s="3">
        <f>SUM(Y118:AD118)</f>
        <v/>
      </c>
      <c r="AF118" s="3">
        <f>N(AE118)*N(M118)/90</f>
        <v/>
      </c>
      <c r="AG118" s="3">
        <f>IFERROR(AF118-VLOOKUP($C118,Assumptions!$A$29:$C$32,3,FALSE),"")</f>
        <v/>
      </c>
      <c r="AH118" s="3">
        <f>IFERROR(AG118/F118,"")</f>
        <v/>
      </c>
      <c r="AI118">
        <f>IF(AND($E118=TRUE,$C118="GKP"),AF118,"")</f>
        <v/>
      </c>
      <c r="AJ118">
        <f>IF(AND($E118=TRUE,$C118="DEF"),AF118,"")</f>
        <v/>
      </c>
      <c r="AK118">
        <f>IF(AND($E118=TRUE,$C118="MID"),AF118,"")</f>
        <v/>
      </c>
      <c r="AL118">
        <f>IF(AND($E118=TRUE,$C118="FWD"),AF118,"")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b">
        <v>1</v>
      </c>
      <c r="F119" s="2" t="n">
        <v>5</v>
      </c>
      <c r="G119" t="inlineStr">
        <is>
          <t>a</t>
        </is>
      </c>
      <c r="I119" s="2" t="n">
        <v>2652</v>
      </c>
      <c r="J119" t="n">
        <v>104</v>
      </c>
      <c r="K119" s="3" t="n">
        <v>2987</v>
      </c>
      <c r="L119" t="inlineStr">
        <is>
          <t>flat</t>
        </is>
      </c>
      <c r="M119" s="4" t="n">
        <v>2652</v>
      </c>
      <c r="N119" s="4" t="n">
        <v>0.263</v>
      </c>
      <c r="O119" s="3" t="n">
        <v>0.0403</v>
      </c>
      <c r="P119" t="inlineStr">
        <is>
          <t>adjusted xGOT</t>
        </is>
      </c>
      <c r="Q119" s="3" t="n">
        <v>0.974</v>
      </c>
      <c r="R119" s="3" t="n">
        <v>2.8</v>
      </c>
      <c r="S119" s="3" t="n">
        <v>0.0449</v>
      </c>
      <c r="T119" s="3" t="n">
        <v>10.853</v>
      </c>
      <c r="U119" s="4" t="n">
        <v>88.40000000000001</v>
      </c>
      <c r="V119" s="3">
        <f>IF(OR(N(T119)=0,N(U119)=0),0,1-POISSON(IFERROR(VLOOKUP($C119,Assumptions!$A$4:$G$7,7,FALSE),99)-1,N(T119)*N(U119)/90,TRUE))</f>
        <v/>
      </c>
      <c r="W119" s="3" t="n">
        <v>0.0339</v>
      </c>
      <c r="X119" s="3" t="n">
        <v>2.24</v>
      </c>
      <c r="Y119" s="3">
        <f>IF(X119="",IFERROR(VLOOKUP($C119,Assumptions!$A$4:$G$7,6,FALSE),0),X119)</f>
        <v/>
      </c>
      <c r="Z119" s="3">
        <f>N(O119)*IFERROR(VLOOKUP($C119,Assumptions!$A$4:$G$7,2,FALSE),0)</f>
        <v/>
      </c>
      <c r="AA119" s="3">
        <f>N(S119)*IFERROR(VLOOKUP($C119,Assumptions!$A$4:$G$7,3,FALSE),0)*Assumptions!$B$11</f>
        <v/>
      </c>
      <c r="AB119" s="3">
        <f>N(N119)*IFERROR(VLOOKUP($C119,Assumptions!$A$4:$G$7,4,FALSE),0)</f>
        <v/>
      </c>
      <c r="AC119" s="3">
        <f>IF(N(U119)=0,0,V119*IFERROR(VLOOKUP($C119,Assumptions!$A$4:$G$7,5,FALSE),0)*90/N(U119))</f>
        <v/>
      </c>
      <c r="AD119" s="3">
        <f>N(W119)</f>
        <v/>
      </c>
      <c r="AE119" s="3">
        <f>SUM(Y119:AD119)</f>
        <v/>
      </c>
      <c r="AF119" s="3">
        <f>N(AE119)*N(M119)/90</f>
        <v/>
      </c>
      <c r="AG119" s="3">
        <f>IFERROR(AF119-VLOOKUP($C119,Assumptions!$A$29:$C$32,3,FALSE),"")</f>
        <v/>
      </c>
      <c r="AH119" s="3">
        <f>IFERROR(AG119/F119,"")</f>
        <v/>
      </c>
      <c r="AI119">
        <f>IF(AND($E119=TRUE,$C119="GKP"),AF119,"")</f>
        <v/>
      </c>
      <c r="AJ119">
        <f>IF(AND($E119=TRUE,$C119="DEF"),AF119,"")</f>
        <v/>
      </c>
      <c r="AK119">
        <f>IF(AND($E119=TRUE,$C119="MID"),AF119,"")</f>
        <v/>
      </c>
      <c r="AL119">
        <f>IF(AND($E119=TRUE,$C119="FWD"),AF119,"")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b">
        <v>1</v>
      </c>
      <c r="F120" s="2" t="n">
        <v>5.5</v>
      </c>
      <c r="G120" t="inlineStr">
        <is>
          <t>a</t>
        </is>
      </c>
      <c r="I120" s="2" t="n">
        <v>2420</v>
      </c>
      <c r="J120" t="n">
        <v>103</v>
      </c>
      <c r="K120" s="3" t="n">
        <v>3152</v>
      </c>
      <c r="L120" t="inlineStr">
        <is>
          <t>flat</t>
        </is>
      </c>
      <c r="M120" s="4" t="n">
        <v>2420</v>
      </c>
      <c r="N120" s="4" t="n">
        <v>0.237</v>
      </c>
      <c r="O120" s="3" t="n">
        <v>0.0848</v>
      </c>
      <c r="P120" t="inlineStr">
        <is>
          <t>adjusted xGOT</t>
        </is>
      </c>
      <c r="Q120" s="3" t="n">
        <v>1.194</v>
      </c>
      <c r="R120" s="3" t="n">
        <v>14</v>
      </c>
      <c r="S120" s="3" t="n">
        <v>0.1549</v>
      </c>
      <c r="T120" s="3" t="n">
        <v>7.355</v>
      </c>
      <c r="U120" s="4" t="n">
        <v>83.40000000000001</v>
      </c>
      <c r="V120" s="3">
        <f>IF(OR(N(T120)=0,N(U120)=0),0,1-POISSON(IFERROR(VLOOKUP($C120,Assumptions!$A$4:$G$7,7,FALSE),99)-1,N(T120)*N(U120)/90,TRUE))</f>
        <v/>
      </c>
      <c r="W120" s="3" t="n">
        <v>0.5207000000000001</v>
      </c>
      <c r="X120" s="3" t="n">
        <v>2.12</v>
      </c>
      <c r="Y120" s="3">
        <f>IF(X120="",IFERROR(VLOOKUP($C120,Assumptions!$A$4:$G$7,6,FALSE),0),X120)</f>
        <v/>
      </c>
      <c r="Z120" s="3">
        <f>N(O120)*IFERROR(VLOOKUP($C120,Assumptions!$A$4:$G$7,2,FALSE),0)</f>
        <v/>
      </c>
      <c r="AA120" s="3">
        <f>N(S120)*IFERROR(VLOOKUP($C120,Assumptions!$A$4:$G$7,3,FALSE),0)*Assumptions!$B$11</f>
        <v/>
      </c>
      <c r="AB120" s="3">
        <f>N(N120)*IFERROR(VLOOKUP($C120,Assumptions!$A$4:$G$7,4,FALSE),0)</f>
        <v/>
      </c>
      <c r="AC120" s="3">
        <f>IF(N(U120)=0,0,V120*IFERROR(VLOOKUP($C120,Assumptions!$A$4:$G$7,5,FALSE),0)*90/N(U120))</f>
        <v/>
      </c>
      <c r="AD120" s="3">
        <f>N(W120)</f>
        <v/>
      </c>
      <c r="AE120" s="3">
        <f>SUM(Y120:AD120)</f>
        <v/>
      </c>
      <c r="AF120" s="3">
        <f>N(AE120)*N(M120)/90</f>
        <v/>
      </c>
      <c r="AG120" s="3">
        <f>IFERROR(AF120-VLOOKUP($C120,Assumptions!$A$29:$C$32,3,FALSE),"")</f>
        <v/>
      </c>
      <c r="AH120" s="3">
        <f>IFERROR(AG120/F120,"")</f>
        <v/>
      </c>
      <c r="AI120">
        <f>IF(AND($E120=TRUE,$C120="GKP"),AF120,"")</f>
        <v/>
      </c>
      <c r="AJ120">
        <f>IF(AND($E120=TRUE,$C120="DEF"),AF120,"")</f>
        <v/>
      </c>
      <c r="AK120">
        <f>IF(AND($E120=TRUE,$C120="MID"),AF120,"")</f>
        <v/>
      </c>
      <c r="AL120">
        <f>IF(AND($E120=TRUE,$C120="FWD"),AF120,"")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b">
        <v>1</v>
      </c>
      <c r="F121" s="2" t="n">
        <v>4.5</v>
      </c>
      <c r="G121" t="inlineStr">
        <is>
          <t>a</t>
        </is>
      </c>
      <c r="I121" s="2" t="n">
        <v>2532</v>
      </c>
      <c r="J121" t="n">
        <v>103</v>
      </c>
      <c r="K121" s="3" t="n">
        <v>3141</v>
      </c>
      <c r="L121" t="inlineStr">
        <is>
          <t>flat</t>
        </is>
      </c>
      <c r="M121" s="4" t="n">
        <v>2532</v>
      </c>
      <c r="N121" s="4" t="n">
        <v>0.237</v>
      </c>
      <c r="O121" s="3" t="n">
        <v>0.0564</v>
      </c>
      <c r="P121" t="inlineStr">
        <is>
          <t>adjusted xGOT</t>
        </is>
      </c>
      <c r="Q121" s="3" t="n">
        <v>0.928</v>
      </c>
      <c r="R121" s="3" t="n">
        <v>3.1</v>
      </c>
      <c r="S121" s="3" t="n">
        <v>0.0139</v>
      </c>
      <c r="T121" s="3" t="n">
        <v>7.375</v>
      </c>
      <c r="U121" s="4" t="n">
        <v>90.40000000000001</v>
      </c>
      <c r="V121" s="3">
        <f>IF(OR(N(T121)=0,N(U121)=0),0,1-POISSON(IFERROR(VLOOKUP($C121,Assumptions!$A$4:$G$7,7,FALSE),99)-1,N(T121)*N(U121)/90,TRUE))</f>
        <v/>
      </c>
      <c r="W121" s="3" t="n">
        <v>0.3199</v>
      </c>
      <c r="X121" s="3" t="n">
        <v>2.062</v>
      </c>
      <c r="Y121" s="3">
        <f>IF(X121="",IFERROR(VLOOKUP($C121,Assumptions!$A$4:$G$7,6,FALSE),0),X121)</f>
        <v/>
      </c>
      <c r="Z121" s="3">
        <f>N(O121)*IFERROR(VLOOKUP($C121,Assumptions!$A$4:$G$7,2,FALSE),0)</f>
        <v/>
      </c>
      <c r="AA121" s="3">
        <f>N(S121)*IFERROR(VLOOKUP($C121,Assumptions!$A$4:$G$7,3,FALSE),0)*Assumptions!$B$11</f>
        <v/>
      </c>
      <c r="AB121" s="3">
        <f>N(N121)*IFERROR(VLOOKUP($C121,Assumptions!$A$4:$G$7,4,FALSE),0)</f>
        <v/>
      </c>
      <c r="AC121" s="3">
        <f>IF(N(U121)=0,0,V121*IFERROR(VLOOKUP($C121,Assumptions!$A$4:$G$7,5,FALSE),0)*90/N(U121))</f>
        <v/>
      </c>
      <c r="AD121" s="3">
        <f>N(W121)</f>
        <v/>
      </c>
      <c r="AE121" s="3">
        <f>SUM(Y121:AD121)</f>
        <v/>
      </c>
      <c r="AF121" s="3">
        <f>N(AE121)*N(M121)/90</f>
        <v/>
      </c>
      <c r="AG121" s="3">
        <f>IFERROR(AF121-VLOOKUP($C121,Assumptions!$A$29:$C$32,3,FALSE),"")</f>
        <v/>
      </c>
      <c r="AH121" s="3">
        <f>IFERROR(AG121/F121,"")</f>
        <v/>
      </c>
      <c r="AI121">
        <f>IF(AND($E121=TRUE,$C121="GKP"),AF121,"")</f>
        <v/>
      </c>
      <c r="AJ121">
        <f>IF(AND($E121=TRUE,$C121="DEF"),AF121,"")</f>
        <v/>
      </c>
      <c r="AK121">
        <f>IF(AND($E121=TRUE,$C121="MID"),AF121,"")</f>
        <v/>
      </c>
      <c r="AL121">
        <f>IF(AND($E121=TRUE,$C121="FWD"),AF121,"")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b">
        <v>1</v>
      </c>
      <c r="F122" s="2" t="n">
        <v>5.5</v>
      </c>
      <c r="G122" t="inlineStr">
        <is>
          <t>a</t>
        </is>
      </c>
      <c r="I122" s="2" t="n">
        <v>2136</v>
      </c>
      <c r="J122" t="n">
        <v>103</v>
      </c>
      <c r="K122" s="3" t="n">
        <v>2844</v>
      </c>
      <c r="L122" t="inlineStr">
        <is>
          <t>flat</t>
        </is>
      </c>
      <c r="M122" s="4" t="n">
        <v>2136</v>
      </c>
      <c r="N122" s="4" t="n">
        <v>0.237</v>
      </c>
      <c r="O122" s="3" t="n">
        <v>0.1222</v>
      </c>
      <c r="P122" t="inlineStr">
        <is>
          <t>adjusted xGOT</t>
        </is>
      </c>
      <c r="Q122" s="3" t="n">
        <v>0.967</v>
      </c>
      <c r="R122" s="3" t="n">
        <v>13.5</v>
      </c>
      <c r="S122" s="3" t="n">
        <v>0.189</v>
      </c>
      <c r="T122" s="3" t="n">
        <v>6.889</v>
      </c>
      <c r="U122" s="4" t="n">
        <v>76.3</v>
      </c>
      <c r="V122" s="3">
        <f>IF(OR(N(T122)=0,N(U122)=0),0,1-POISSON(IFERROR(VLOOKUP($C122,Assumptions!$A$4:$G$7,7,FALSE),99)-1,N(T122)*N(U122)/90,TRUE))</f>
        <v/>
      </c>
      <c r="W122" s="3" t="n">
        <v>0.2949</v>
      </c>
      <c r="X122" s="3" t="n">
        <v>2.317</v>
      </c>
      <c r="Y122" s="3">
        <f>IF(X122="",IFERROR(VLOOKUP($C122,Assumptions!$A$4:$G$7,6,FALSE),0),X122)</f>
        <v/>
      </c>
      <c r="Z122" s="3">
        <f>N(O122)*IFERROR(VLOOKUP($C122,Assumptions!$A$4:$G$7,2,FALSE),0)</f>
        <v/>
      </c>
      <c r="AA122" s="3">
        <f>N(S122)*IFERROR(VLOOKUP($C122,Assumptions!$A$4:$G$7,3,FALSE),0)*Assumptions!$B$11</f>
        <v/>
      </c>
      <c r="AB122" s="3">
        <f>N(N122)*IFERROR(VLOOKUP($C122,Assumptions!$A$4:$G$7,4,FALSE),0)</f>
        <v/>
      </c>
      <c r="AC122" s="3">
        <f>IF(N(U122)=0,0,V122*IFERROR(VLOOKUP($C122,Assumptions!$A$4:$G$7,5,FALSE),0)*90/N(U122))</f>
        <v/>
      </c>
      <c r="AD122" s="3">
        <f>N(W122)</f>
        <v/>
      </c>
      <c r="AE122" s="3">
        <f>SUM(Y122:AD122)</f>
        <v/>
      </c>
      <c r="AF122" s="3">
        <f>N(AE122)*N(M122)/90</f>
        <v/>
      </c>
      <c r="AG122" s="3">
        <f>IFERROR(AF122-VLOOKUP($C122,Assumptions!$A$29:$C$32,3,FALSE),"")</f>
        <v/>
      </c>
      <c r="AH122" s="3">
        <f>IFERROR(AG122/F122,"")</f>
        <v/>
      </c>
      <c r="AI122">
        <f>IF(AND($E122=TRUE,$C122="GKP"),AF122,"")</f>
        <v/>
      </c>
      <c r="AJ122">
        <f>IF(AND($E122=TRUE,$C122="DEF"),AF122,"")</f>
        <v/>
      </c>
      <c r="AK122">
        <f>IF(AND($E122=TRUE,$C122="MID"),AF122,"")</f>
        <v/>
      </c>
      <c r="AL122">
        <f>IF(AND($E122=TRUE,$C122="FWD"),AF122,"")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b">
        <v>1</v>
      </c>
      <c r="F123" s="2" t="n">
        <v>6</v>
      </c>
      <c r="G123" t="inlineStr">
        <is>
          <t>a</t>
        </is>
      </c>
      <c r="I123" s="2" t="n">
        <v>1753</v>
      </c>
      <c r="J123" t="n">
        <v>102</v>
      </c>
      <c r="K123" s="3" t="n">
        <v>2776</v>
      </c>
      <c r="L123" t="inlineStr">
        <is>
          <t>flat</t>
        </is>
      </c>
      <c r="M123" s="4" t="n">
        <v>1753</v>
      </c>
      <c r="N123" s="4" t="n">
        <v>0.237</v>
      </c>
      <c r="O123" s="3" t="n">
        <v>0.157</v>
      </c>
      <c r="P123" t="inlineStr">
        <is>
          <t>adjusted xGOT</t>
        </is>
      </c>
      <c r="Q123" s="3" t="n">
        <v>0.905</v>
      </c>
      <c r="R123" s="3" t="n">
        <v>10.4</v>
      </c>
      <c r="S123" s="3" t="n">
        <v>0.1503</v>
      </c>
      <c r="T123" s="3" t="n">
        <v>9.667</v>
      </c>
      <c r="U123" s="4" t="n">
        <v>83.5</v>
      </c>
      <c r="V123" s="3">
        <f>IF(OR(N(T123)=0,N(U123)=0),0,1-POISSON(IFERROR(VLOOKUP($C123,Assumptions!$A$4:$G$7,7,FALSE),99)-1,N(T123)*N(U123)/90,TRUE))</f>
        <v/>
      </c>
      <c r="W123" s="3" t="n">
        <v>0.5134</v>
      </c>
      <c r="X123" s="3" t="n">
        <v>2.618</v>
      </c>
      <c r="Y123" s="3">
        <f>IF(X123="",IFERROR(VLOOKUP($C123,Assumptions!$A$4:$G$7,6,FALSE),0),X123)</f>
        <v/>
      </c>
      <c r="Z123" s="3">
        <f>N(O123)*IFERROR(VLOOKUP($C123,Assumptions!$A$4:$G$7,2,FALSE),0)</f>
        <v/>
      </c>
      <c r="AA123" s="3">
        <f>N(S123)*IFERROR(VLOOKUP($C123,Assumptions!$A$4:$G$7,3,FALSE),0)*Assumptions!$B$11</f>
        <v/>
      </c>
      <c r="AB123" s="3">
        <f>N(N123)*IFERROR(VLOOKUP($C123,Assumptions!$A$4:$G$7,4,FALSE),0)</f>
        <v/>
      </c>
      <c r="AC123" s="3">
        <f>IF(N(U123)=0,0,V123*IFERROR(VLOOKUP($C123,Assumptions!$A$4:$G$7,5,FALSE),0)*90/N(U123))</f>
        <v/>
      </c>
      <c r="AD123" s="3">
        <f>N(W123)</f>
        <v/>
      </c>
      <c r="AE123" s="3">
        <f>SUM(Y123:AD123)</f>
        <v/>
      </c>
      <c r="AF123" s="3">
        <f>N(AE123)*N(M123)/90</f>
        <v/>
      </c>
      <c r="AG123" s="3">
        <f>IFERROR(AF123-VLOOKUP($C123,Assumptions!$A$29:$C$32,3,FALSE),"")</f>
        <v/>
      </c>
      <c r="AH123" s="3">
        <f>IFERROR(AG123/F123,"")</f>
        <v/>
      </c>
      <c r="AI123">
        <f>IF(AND($E123=TRUE,$C123="GKP"),AF123,"")</f>
        <v/>
      </c>
      <c r="AJ123">
        <f>IF(AND($E123=TRUE,$C123="DEF"),AF123,"")</f>
        <v/>
      </c>
      <c r="AK123">
        <f>IF(AND($E123=TRUE,$C123="MID"),AF123,"")</f>
        <v/>
      </c>
      <c r="AL123">
        <f>IF(AND($E123=TRUE,$C123="FWD"),AF123,"")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b">
        <v>1</v>
      </c>
      <c r="F124" s="2" t="n">
        <v>4.5</v>
      </c>
      <c r="G124" t="inlineStr">
        <is>
          <t>a</t>
        </is>
      </c>
      <c r="I124" s="2" t="n">
        <v>3035</v>
      </c>
      <c r="J124" t="n">
        <v>100</v>
      </c>
      <c r="K124" s="3" t="n">
        <v>3340</v>
      </c>
      <c r="L124" t="inlineStr">
        <is>
          <t>flat</t>
        </is>
      </c>
      <c r="M124" s="4" t="n">
        <v>3035</v>
      </c>
      <c r="N124" s="4" t="n">
        <v>0.237</v>
      </c>
      <c r="O124" s="3" t="n">
        <v>0.0313</v>
      </c>
      <c r="P124" t="inlineStr">
        <is>
          <t>adjusted xGOT</t>
        </is>
      </c>
      <c r="Q124" s="3" t="n">
        <v>0.831</v>
      </c>
      <c r="R124" s="3" t="n">
        <v>6.2</v>
      </c>
      <c r="S124" s="3" t="n">
        <v>0.0177</v>
      </c>
      <c r="T124" s="3" t="n">
        <v>6.171</v>
      </c>
      <c r="U124" s="4" t="n">
        <v>89.3</v>
      </c>
      <c r="V124" s="3">
        <f>IF(OR(N(T124)=0,N(U124)=0),0,1-POISSON(IFERROR(VLOOKUP($C124,Assumptions!$A$4:$G$7,7,FALSE),99)-1,N(T124)*N(U124)/90,TRUE))</f>
        <v/>
      </c>
      <c r="W124" s="3" t="n">
        <v>0.1186</v>
      </c>
      <c r="X124" s="3" t="n">
        <v>2.016</v>
      </c>
      <c r="Y124" s="3">
        <f>IF(X124="",IFERROR(VLOOKUP($C124,Assumptions!$A$4:$G$7,6,FALSE),0),X124)</f>
        <v/>
      </c>
      <c r="Z124" s="3">
        <f>N(O124)*IFERROR(VLOOKUP($C124,Assumptions!$A$4:$G$7,2,FALSE),0)</f>
        <v/>
      </c>
      <c r="AA124" s="3">
        <f>N(S124)*IFERROR(VLOOKUP($C124,Assumptions!$A$4:$G$7,3,FALSE),0)*Assumptions!$B$11</f>
        <v/>
      </c>
      <c r="AB124" s="3">
        <f>N(N124)*IFERROR(VLOOKUP($C124,Assumptions!$A$4:$G$7,4,FALSE),0)</f>
        <v/>
      </c>
      <c r="AC124" s="3">
        <f>IF(N(U124)=0,0,V124*IFERROR(VLOOKUP($C124,Assumptions!$A$4:$G$7,5,FALSE),0)*90/N(U124))</f>
        <v/>
      </c>
      <c r="AD124" s="3">
        <f>N(W124)</f>
        <v/>
      </c>
      <c r="AE124" s="3">
        <f>SUM(Y124:AD124)</f>
        <v/>
      </c>
      <c r="AF124" s="3">
        <f>N(AE124)*N(M124)/90</f>
        <v/>
      </c>
      <c r="AG124" s="3">
        <f>IFERROR(AF124-VLOOKUP($C124,Assumptions!$A$29:$C$32,3,FALSE),"")</f>
        <v/>
      </c>
      <c r="AH124" s="3">
        <f>IFERROR(AG124/F124,"")</f>
        <v/>
      </c>
      <c r="AI124">
        <f>IF(AND($E124=TRUE,$C124="GKP"),AF124,"")</f>
        <v/>
      </c>
      <c r="AJ124">
        <f>IF(AND($E124=TRUE,$C124="DEF"),AF124,"")</f>
        <v/>
      </c>
      <c r="AK124">
        <f>IF(AND($E124=TRUE,$C124="MID"),AF124,"")</f>
        <v/>
      </c>
      <c r="AL124">
        <f>IF(AND($E124=TRUE,$C124="FWD"),AF124,"")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b">
        <v>1</v>
      </c>
      <c r="F125" s="2" t="n">
        <v>4.5</v>
      </c>
      <c r="G125" t="inlineStr">
        <is>
          <t>a</t>
        </is>
      </c>
      <c r="I125" s="2" t="n">
        <v>2837</v>
      </c>
      <c r="J125" t="n">
        <v>100</v>
      </c>
      <c r="K125" s="3" t="n">
        <v>1898</v>
      </c>
      <c r="L125" t="inlineStr">
        <is>
          <t>flat</t>
        </is>
      </c>
      <c r="M125" s="4" t="n">
        <v>2837</v>
      </c>
      <c r="N125" s="4" t="n">
        <v>0.263</v>
      </c>
      <c r="O125" s="3" t="n">
        <v>0.0518</v>
      </c>
      <c r="P125" t="inlineStr">
        <is>
          <t>adjusted xGOT</t>
        </is>
      </c>
      <c r="Q125" s="3" t="n">
        <v>0.893</v>
      </c>
      <c r="R125" s="3" t="n">
        <v>7.5</v>
      </c>
      <c r="S125" s="3" t="n">
        <v>0.0175</v>
      </c>
      <c r="T125" s="3" t="n">
        <v>7.4</v>
      </c>
      <c r="U125" s="4" t="n">
        <v>91.5</v>
      </c>
      <c r="V125" s="3">
        <f>IF(OR(N(T125)=0,N(U125)=0),0,1-POISSON(IFERROR(VLOOKUP($C125,Assumptions!$A$4:$G$7,7,FALSE),99)-1,N(T125)*N(U125)/90,TRUE))</f>
        <v/>
      </c>
      <c r="W125" s="3" t="n">
        <v>0.1586</v>
      </c>
      <c r="X125" s="3" t="n">
        <v>2.03</v>
      </c>
      <c r="Y125" s="3">
        <f>IF(X125="",IFERROR(VLOOKUP($C125,Assumptions!$A$4:$G$7,6,FALSE),0),X125)</f>
        <v/>
      </c>
      <c r="Z125" s="3">
        <f>N(O125)*IFERROR(VLOOKUP($C125,Assumptions!$A$4:$G$7,2,FALSE),0)</f>
        <v/>
      </c>
      <c r="AA125" s="3">
        <f>N(S125)*IFERROR(VLOOKUP($C125,Assumptions!$A$4:$G$7,3,FALSE),0)*Assumptions!$B$11</f>
        <v/>
      </c>
      <c r="AB125" s="3">
        <f>N(N125)*IFERROR(VLOOKUP($C125,Assumptions!$A$4:$G$7,4,FALSE),0)</f>
        <v/>
      </c>
      <c r="AC125" s="3">
        <f>IF(N(U125)=0,0,V125*IFERROR(VLOOKUP($C125,Assumptions!$A$4:$G$7,5,FALSE),0)*90/N(U125))</f>
        <v/>
      </c>
      <c r="AD125" s="3">
        <f>N(W125)</f>
        <v/>
      </c>
      <c r="AE125" s="3">
        <f>SUM(Y125:AD125)</f>
        <v/>
      </c>
      <c r="AF125" s="3">
        <f>N(AE125)*N(M125)/90</f>
        <v/>
      </c>
      <c r="AG125" s="3">
        <f>IFERROR(AF125-VLOOKUP($C125,Assumptions!$A$29:$C$32,3,FALSE),"")</f>
        <v/>
      </c>
      <c r="AH125" s="3">
        <f>IFERROR(AG125/F125,"")</f>
        <v/>
      </c>
      <c r="AI125">
        <f>IF(AND($E125=TRUE,$C125="GKP"),AF125,"")</f>
        <v/>
      </c>
      <c r="AJ125">
        <f>IF(AND($E125=TRUE,$C125="DEF"),AF125,"")</f>
        <v/>
      </c>
      <c r="AK125">
        <f>IF(AND($E125=TRUE,$C125="MID"),AF125,"")</f>
        <v/>
      </c>
      <c r="AL125">
        <f>IF(AND($E125=TRUE,$C125="FWD"),AF125,"")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b">
        <v>1</v>
      </c>
      <c r="F126" s="2" t="n">
        <v>5</v>
      </c>
      <c r="G126" t="inlineStr">
        <is>
          <t>a</t>
        </is>
      </c>
      <c r="I126" s="2" t="n">
        <v>1888</v>
      </c>
      <c r="J126" t="n">
        <v>99</v>
      </c>
      <c r="K126" s="3" t="n">
        <v>2046</v>
      </c>
      <c r="L126" t="inlineStr">
        <is>
          <t>flat</t>
        </is>
      </c>
      <c r="M126" s="4" t="n">
        <v>1888</v>
      </c>
      <c r="N126" s="4" t="n">
        <v>0.21</v>
      </c>
      <c r="O126" s="3" t="n">
        <v>0.0424</v>
      </c>
      <c r="P126" t="inlineStr">
        <is>
          <t>adjusted xGOT</t>
        </is>
      </c>
      <c r="Q126" s="3" t="n">
        <v>0.989</v>
      </c>
      <c r="R126" s="3" t="n">
        <v>0.9</v>
      </c>
      <c r="S126" s="3" t="n">
        <v>0.0512</v>
      </c>
      <c r="T126" s="3" t="n">
        <v>9.679</v>
      </c>
      <c r="U126" s="4" t="n">
        <v>89.90000000000001</v>
      </c>
      <c r="V126" s="3">
        <f>IF(OR(N(T126)=0,N(U126)=0),0,1-POISSON(IFERROR(VLOOKUP($C126,Assumptions!$A$4:$G$7,7,FALSE),99)-1,N(T126)*N(U126)/90,TRUE))</f>
        <v/>
      </c>
      <c r="W126" s="3" t="n">
        <v>0.143</v>
      </c>
      <c r="X126" s="3" t="n">
        <v>2.193</v>
      </c>
      <c r="Y126" s="3">
        <f>IF(X126="",IFERROR(VLOOKUP($C126,Assumptions!$A$4:$G$7,6,FALSE),0),X126)</f>
        <v/>
      </c>
      <c r="Z126" s="3">
        <f>N(O126)*IFERROR(VLOOKUP($C126,Assumptions!$A$4:$G$7,2,FALSE),0)</f>
        <v/>
      </c>
      <c r="AA126" s="3">
        <f>N(S126)*IFERROR(VLOOKUP($C126,Assumptions!$A$4:$G$7,3,FALSE),0)*Assumptions!$B$11</f>
        <v/>
      </c>
      <c r="AB126" s="3">
        <f>N(N126)*IFERROR(VLOOKUP($C126,Assumptions!$A$4:$G$7,4,FALSE),0)</f>
        <v/>
      </c>
      <c r="AC126" s="3">
        <f>IF(N(U126)=0,0,V126*IFERROR(VLOOKUP($C126,Assumptions!$A$4:$G$7,5,FALSE),0)*90/N(U126))</f>
        <v/>
      </c>
      <c r="AD126" s="3">
        <f>N(W126)</f>
        <v/>
      </c>
      <c r="AE126" s="3">
        <f>SUM(Y126:AD126)</f>
        <v/>
      </c>
      <c r="AF126" s="3">
        <f>N(AE126)*N(M126)/90</f>
        <v/>
      </c>
      <c r="AG126" s="3">
        <f>IFERROR(AF126-VLOOKUP($C126,Assumptions!$A$29:$C$32,3,FALSE),"")</f>
        <v/>
      </c>
      <c r="AH126" s="3">
        <f>IFERROR(AG126/F126,"")</f>
        <v/>
      </c>
      <c r="AI126">
        <f>IF(AND($E126=TRUE,$C126="GKP"),AF126,"")</f>
        <v/>
      </c>
      <c r="AJ126">
        <f>IF(AND($E126=TRUE,$C126="DEF"),AF126,"")</f>
        <v/>
      </c>
      <c r="AK126">
        <f>IF(AND($E126=TRUE,$C126="MID"),AF126,"")</f>
        <v/>
      </c>
      <c r="AL126">
        <f>IF(AND($E126=TRUE,$C126="FWD"),AF126,"")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b">
        <v>1</v>
      </c>
      <c r="F127" s="2" t="n">
        <v>5.5</v>
      </c>
      <c r="G127" t="inlineStr">
        <is>
          <t>a</t>
        </is>
      </c>
      <c r="I127" s="2" t="n">
        <v>1921</v>
      </c>
      <c r="J127" t="n">
        <v>98</v>
      </c>
      <c r="K127" s="3" t="n">
        <v>1402</v>
      </c>
      <c r="L127" t="inlineStr">
        <is>
          <t>fade (losing his place)</t>
        </is>
      </c>
      <c r="M127" s="4" t="n">
        <v>1921</v>
      </c>
      <c r="N127" s="4" t="n">
        <v>0.263</v>
      </c>
      <c r="O127" s="3" t="n">
        <v>0.1272</v>
      </c>
      <c r="P127" t="inlineStr">
        <is>
          <t>adjusted xGOT</t>
        </is>
      </c>
      <c r="Q127" s="3" t="n">
        <v>1.005</v>
      </c>
      <c r="R127" s="3" t="n">
        <v>5.2</v>
      </c>
      <c r="S127" s="3" t="n">
        <v>0.0598</v>
      </c>
      <c r="T127" s="3" t="n">
        <v>10.006</v>
      </c>
      <c r="U127" s="4" t="n">
        <v>96</v>
      </c>
      <c r="V127" s="3">
        <f>IF(OR(N(T127)=0,N(U127)=0),0,1-POISSON(IFERROR(VLOOKUP($C127,Assumptions!$A$4:$G$7,7,FALSE),99)-1,N(T127)*N(U127)/90,TRUE))</f>
        <v/>
      </c>
      <c r="W127" s="3" t="n">
        <v>0.328</v>
      </c>
      <c r="X127" s="3" t="n">
        <v>2.296</v>
      </c>
      <c r="Y127" s="3">
        <f>IF(X127="",IFERROR(VLOOKUP($C127,Assumptions!$A$4:$G$7,6,FALSE),0),X127)</f>
        <v/>
      </c>
      <c r="Z127" s="3">
        <f>N(O127)*IFERROR(VLOOKUP($C127,Assumptions!$A$4:$G$7,2,FALSE),0)</f>
        <v/>
      </c>
      <c r="AA127" s="3">
        <f>N(S127)*IFERROR(VLOOKUP($C127,Assumptions!$A$4:$G$7,3,FALSE),0)*Assumptions!$B$11</f>
        <v/>
      </c>
      <c r="AB127" s="3">
        <f>N(N127)*IFERROR(VLOOKUP($C127,Assumptions!$A$4:$G$7,4,FALSE),0)</f>
        <v/>
      </c>
      <c r="AC127" s="3">
        <f>IF(N(U127)=0,0,V127*IFERROR(VLOOKUP($C127,Assumptions!$A$4:$G$7,5,FALSE),0)*90/N(U127))</f>
        <v/>
      </c>
      <c r="AD127" s="3">
        <f>N(W127)</f>
        <v/>
      </c>
      <c r="AE127" s="3">
        <f>SUM(Y127:AD127)</f>
        <v/>
      </c>
      <c r="AF127" s="3">
        <f>N(AE127)*N(M127)/90</f>
        <v/>
      </c>
      <c r="AG127" s="3">
        <f>IFERROR(AF127-VLOOKUP($C127,Assumptions!$A$29:$C$32,3,FALSE),"")</f>
        <v/>
      </c>
      <c r="AH127" s="3">
        <f>IFERROR(AG127/F127,"")</f>
        <v/>
      </c>
      <c r="AI127">
        <f>IF(AND($E127=TRUE,$C127="GKP"),AF127,"")</f>
        <v/>
      </c>
      <c r="AJ127">
        <f>IF(AND($E127=TRUE,$C127="DEF"),AF127,"")</f>
        <v/>
      </c>
      <c r="AK127">
        <f>IF(AND($E127=TRUE,$C127="MID"),AF127,"")</f>
        <v/>
      </c>
      <c r="AL127">
        <f>IF(AND($E127=TRUE,$C127="FWD"),AF127,"")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b">
        <v>1</v>
      </c>
      <c r="F128" s="2" t="n">
        <v>5.5</v>
      </c>
      <c r="G128" t="inlineStr">
        <is>
          <t>a</t>
        </is>
      </c>
      <c r="I128" s="2" t="n">
        <v>2239</v>
      </c>
      <c r="J128" t="n">
        <v>98</v>
      </c>
      <c r="K128" s="3" t="n">
        <v>1573</v>
      </c>
      <c r="L128" t="inlineStr">
        <is>
          <t>flat</t>
        </is>
      </c>
      <c r="M128" s="4" t="n">
        <v>2239</v>
      </c>
      <c r="N128" s="4" t="n">
        <v>0.263</v>
      </c>
      <c r="O128" s="3" t="n">
        <v>0.0882</v>
      </c>
      <c r="P128" t="inlineStr">
        <is>
          <t>adjusted xGOT</t>
        </is>
      </c>
      <c r="Q128" s="3" t="n">
        <v>0.993</v>
      </c>
      <c r="R128" s="3" t="n">
        <v>5.5</v>
      </c>
      <c r="S128" s="3" t="n">
        <v>0.229</v>
      </c>
      <c r="T128" s="3" t="n">
        <v>8.778</v>
      </c>
      <c r="U128" s="4" t="n">
        <v>86.09999999999999</v>
      </c>
      <c r="V128" s="3">
        <f>IF(OR(N(T128)=0,N(U128)=0),0,1-POISSON(IFERROR(VLOOKUP($C128,Assumptions!$A$4:$G$7,7,FALSE),99)-1,N(T128)*N(U128)/90,TRUE))</f>
        <v/>
      </c>
      <c r="W128" s="3" t="n">
        <v>0.0402</v>
      </c>
      <c r="X128" s="3" t="n">
        <v>2.492</v>
      </c>
      <c r="Y128" s="3">
        <f>IF(X128="",IFERROR(VLOOKUP($C128,Assumptions!$A$4:$G$7,6,FALSE),0),X128)</f>
        <v/>
      </c>
      <c r="Z128" s="3">
        <f>N(O128)*IFERROR(VLOOKUP($C128,Assumptions!$A$4:$G$7,2,FALSE),0)</f>
        <v/>
      </c>
      <c r="AA128" s="3">
        <f>N(S128)*IFERROR(VLOOKUP($C128,Assumptions!$A$4:$G$7,3,FALSE),0)*Assumptions!$B$11</f>
        <v/>
      </c>
      <c r="AB128" s="3">
        <f>N(N128)*IFERROR(VLOOKUP($C128,Assumptions!$A$4:$G$7,4,FALSE),0)</f>
        <v/>
      </c>
      <c r="AC128" s="3">
        <f>IF(N(U128)=0,0,V128*IFERROR(VLOOKUP($C128,Assumptions!$A$4:$G$7,5,FALSE),0)*90/N(U128))</f>
        <v/>
      </c>
      <c r="AD128" s="3">
        <f>N(W128)</f>
        <v/>
      </c>
      <c r="AE128" s="3">
        <f>SUM(Y128:AD128)</f>
        <v/>
      </c>
      <c r="AF128" s="3">
        <f>N(AE128)*N(M128)/90</f>
        <v/>
      </c>
      <c r="AG128" s="3">
        <f>IFERROR(AF128-VLOOKUP($C128,Assumptions!$A$29:$C$32,3,FALSE),"")</f>
        <v/>
      </c>
      <c r="AH128" s="3">
        <f>IFERROR(AG128/F128,"")</f>
        <v/>
      </c>
      <c r="AI128">
        <f>IF(AND($E128=TRUE,$C128="GKP"),AF128,"")</f>
        <v/>
      </c>
      <c r="AJ128">
        <f>IF(AND($E128=TRUE,$C128="DEF"),AF128,"")</f>
        <v/>
      </c>
      <c r="AK128">
        <f>IF(AND($E128=TRUE,$C128="MID"),AF128,"")</f>
        <v/>
      </c>
      <c r="AL128">
        <f>IF(AND($E128=TRUE,$C128="FWD"),AF128,"")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b">
        <v>1</v>
      </c>
      <c r="F129" s="2" t="n">
        <v>5</v>
      </c>
      <c r="G129" t="inlineStr">
        <is>
          <t>a</t>
        </is>
      </c>
      <c r="I129" s="2" t="n">
        <v>2117</v>
      </c>
      <c r="J129" t="n">
        <v>97</v>
      </c>
      <c r="K129" s="3" t="n">
        <v>2605</v>
      </c>
      <c r="L129" t="inlineStr">
        <is>
          <t>flat</t>
        </is>
      </c>
      <c r="M129" s="4" t="n">
        <v>2117</v>
      </c>
      <c r="N129" s="4" t="n">
        <v>0.263</v>
      </c>
      <c r="O129" s="3" t="n">
        <v>0.2396</v>
      </c>
      <c r="P129" t="inlineStr">
        <is>
          <t>adjusted xGOT</t>
        </is>
      </c>
      <c r="Q129" s="3" t="n">
        <v>0.903</v>
      </c>
      <c r="R129" s="3" t="n">
        <v>7.1</v>
      </c>
      <c r="S129" s="3" t="n">
        <v>0.081</v>
      </c>
      <c r="T129" s="3" t="n">
        <v>9.727</v>
      </c>
      <c r="U129" s="4" t="n">
        <v>81.40000000000001</v>
      </c>
      <c r="V129" s="3">
        <f>IF(OR(N(T129)=0,N(U129)=0),0,1-POISSON(IFERROR(VLOOKUP($C129,Assumptions!$A$4:$G$7,7,FALSE),99)-1,N(T129)*N(U129)/90,TRUE))</f>
        <v/>
      </c>
      <c r="W129" s="3" t="n">
        <v>0.3826</v>
      </c>
      <c r="X129" s="3" t="n">
        <v>2.338</v>
      </c>
      <c r="Y129" s="3">
        <f>IF(X129="",IFERROR(VLOOKUP($C129,Assumptions!$A$4:$G$7,6,FALSE),0),X129)</f>
        <v/>
      </c>
      <c r="Z129" s="3">
        <f>N(O129)*IFERROR(VLOOKUP($C129,Assumptions!$A$4:$G$7,2,FALSE),0)</f>
        <v/>
      </c>
      <c r="AA129" s="3">
        <f>N(S129)*IFERROR(VLOOKUP($C129,Assumptions!$A$4:$G$7,3,FALSE),0)*Assumptions!$B$11</f>
        <v/>
      </c>
      <c r="AB129" s="3">
        <f>N(N129)*IFERROR(VLOOKUP($C129,Assumptions!$A$4:$G$7,4,FALSE),0)</f>
        <v/>
      </c>
      <c r="AC129" s="3">
        <f>IF(N(U129)=0,0,V129*IFERROR(VLOOKUP($C129,Assumptions!$A$4:$G$7,5,FALSE),0)*90/N(U129))</f>
        <v/>
      </c>
      <c r="AD129" s="3">
        <f>N(W129)</f>
        <v/>
      </c>
      <c r="AE129" s="3">
        <f>SUM(Y129:AD129)</f>
        <v/>
      </c>
      <c r="AF129" s="3">
        <f>N(AE129)*N(M129)/90</f>
        <v/>
      </c>
      <c r="AG129" s="3">
        <f>IFERROR(AF129-VLOOKUP($C129,Assumptions!$A$29:$C$32,3,FALSE),"")</f>
        <v/>
      </c>
      <c r="AH129" s="3">
        <f>IFERROR(AG129/F129,"")</f>
        <v/>
      </c>
      <c r="AI129">
        <f>IF(AND($E129=TRUE,$C129="GKP"),AF129,"")</f>
        <v/>
      </c>
      <c r="AJ129">
        <f>IF(AND($E129=TRUE,$C129="DEF"),AF129,"")</f>
        <v/>
      </c>
      <c r="AK129">
        <f>IF(AND($E129=TRUE,$C129="MID"),AF129,"")</f>
        <v/>
      </c>
      <c r="AL129">
        <f>IF(AND($E129=TRUE,$C129="FWD"),AF129,"")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b">
        <v>1</v>
      </c>
      <c r="F130" s="2" t="n">
        <v>4.5</v>
      </c>
      <c r="G130" t="inlineStr">
        <is>
          <t>u</t>
        </is>
      </c>
      <c r="H130" t="inlineStr">
        <is>
          <t>Has joined Paris Saint-Germain permanently</t>
        </is>
      </c>
      <c r="I130" s="2" t="n">
        <v>1842</v>
      </c>
      <c r="J130" t="n">
        <v>97</v>
      </c>
      <c r="K130" s="3" t="n"/>
      <c r="M130" s="4" t="n">
        <v>1842</v>
      </c>
      <c r="N130" s="4" t="n">
        <v>0.237</v>
      </c>
      <c r="O130" s="3" t="n">
        <v>0.0331</v>
      </c>
      <c r="P130" t="inlineStr">
        <is>
          <t>adjusted xGOT</t>
        </is>
      </c>
      <c r="Q130" s="3" t="n">
        <v>1.01</v>
      </c>
      <c r="R130" s="3" t="n">
        <v>2.9</v>
      </c>
      <c r="S130" s="3" t="n">
        <v>0.1547</v>
      </c>
      <c r="T130" s="3" t="n">
        <v>6.129</v>
      </c>
      <c r="U130" s="4" t="n">
        <v>87.7</v>
      </c>
      <c r="V130" s="3">
        <f>IF(OR(N(T130)=0,N(U130)=0),0,1-POISSON(IFERROR(VLOOKUP($C130,Assumptions!$A$4:$G$7,7,FALSE),99)-1,N(T130)*N(U130)/90,TRUE))</f>
        <v/>
      </c>
      <c r="W130" s="3" t="n">
        <v>0.1954</v>
      </c>
      <c r="X130" s="3" t="n">
        <v>2.443</v>
      </c>
      <c r="Y130" s="3">
        <f>IF(X130="",IFERROR(VLOOKUP($C130,Assumptions!$A$4:$G$7,6,FALSE),0),X130)</f>
        <v/>
      </c>
      <c r="Z130" s="3">
        <f>N(O130)*IFERROR(VLOOKUP($C130,Assumptions!$A$4:$G$7,2,FALSE),0)</f>
        <v/>
      </c>
      <c r="AA130" s="3">
        <f>N(S130)*IFERROR(VLOOKUP($C130,Assumptions!$A$4:$G$7,3,FALSE),0)*Assumptions!$B$11</f>
        <v/>
      </c>
      <c r="AB130" s="3">
        <f>N(N130)*IFERROR(VLOOKUP($C130,Assumptions!$A$4:$G$7,4,FALSE),0)</f>
        <v/>
      </c>
      <c r="AC130" s="3">
        <f>IF(N(U130)=0,0,V130*IFERROR(VLOOKUP($C130,Assumptions!$A$4:$G$7,5,FALSE),0)*90/N(U130))</f>
        <v/>
      </c>
      <c r="AD130" s="3">
        <f>N(W130)</f>
        <v/>
      </c>
      <c r="AE130" s="3">
        <f>SUM(Y130:AD130)</f>
        <v/>
      </c>
      <c r="AF130" s="3">
        <f>N(AE130)*N(M130)/90</f>
        <v/>
      </c>
      <c r="AG130" s="3">
        <f>IFERROR(AF130-VLOOKUP($C130,Assumptions!$A$29:$C$32,3,FALSE),"")</f>
        <v/>
      </c>
      <c r="AH130" s="3">
        <f>IFERROR(AG130/F130,"")</f>
        <v/>
      </c>
      <c r="AI130">
        <f>IF(AND($E130=TRUE,$C130="GKP"),AF130,"")</f>
        <v/>
      </c>
      <c r="AJ130">
        <f>IF(AND($E130=TRUE,$C130="DEF"),AF130,"")</f>
        <v/>
      </c>
      <c r="AK130">
        <f>IF(AND($E130=TRUE,$C130="MID"),AF130,"")</f>
        <v/>
      </c>
      <c r="AL130">
        <f>IF(AND($E130=TRUE,$C130="FWD"),AF130,"")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b">
        <v>1</v>
      </c>
      <c r="F131" s="2" t="n">
        <v>4</v>
      </c>
      <c r="G131" t="inlineStr">
        <is>
          <t>a</t>
        </is>
      </c>
      <c r="I131" s="2" t="n">
        <v>3150</v>
      </c>
      <c r="J131" t="n">
        <v>96</v>
      </c>
      <c r="K131" s="3" t="n">
        <v>35</v>
      </c>
      <c r="L131" t="inlineStr">
        <is>
          <t>flat</t>
        </is>
      </c>
      <c r="M131" s="4" t="n">
        <v>3150</v>
      </c>
      <c r="N131" s="4" t="n">
        <v>0.237</v>
      </c>
      <c r="O131" s="3" t="n">
        <v>0</v>
      </c>
      <c r="P131" t="inlineStr">
        <is>
          <t>blended xG</t>
        </is>
      </c>
      <c r="Q131" s="3" t="n">
        <v>1</v>
      </c>
      <c r="R131" s="3" t="n">
        <v>0</v>
      </c>
      <c r="S131" s="3" t="n">
        <v>0.0005999999999999999</v>
      </c>
      <c r="T131" s="3" t="n">
        <v>0</v>
      </c>
      <c r="U131" s="4" t="n">
        <v>90</v>
      </c>
      <c r="V131" s="3">
        <f>IF(OR(N(T131)=0,N(U131)=0),0,1-POISSON(IFERROR(VLOOKUP($C131,Assumptions!$A$4:$G$7,7,FALSE),99)-1,N(T131)*N(U131)/90,TRUE))</f>
        <v/>
      </c>
      <c r="W131" s="3" t="n">
        <v>0.2</v>
      </c>
      <c r="X131" s="3" t="n">
        <v>2</v>
      </c>
      <c r="Y131" s="3">
        <f>IF(X131="",IFERROR(VLOOKUP($C131,Assumptions!$A$4:$G$7,6,FALSE),0),X131)</f>
        <v/>
      </c>
      <c r="Z131" s="3">
        <f>N(O131)*IFERROR(VLOOKUP($C131,Assumptions!$A$4:$G$7,2,FALSE),0)</f>
        <v/>
      </c>
      <c r="AA131" s="3">
        <f>N(S131)*IFERROR(VLOOKUP($C131,Assumptions!$A$4:$G$7,3,FALSE),0)*Assumptions!$B$11</f>
        <v/>
      </c>
      <c r="AB131" s="3">
        <f>N(N131)*IFERROR(VLOOKUP($C131,Assumptions!$A$4:$G$7,4,FALSE),0)</f>
        <v/>
      </c>
      <c r="AC131" s="3">
        <f>IF(N(U131)=0,0,V131*IFERROR(VLOOKUP($C131,Assumptions!$A$4:$G$7,5,FALSE),0)*90/N(U131))</f>
        <v/>
      </c>
      <c r="AD131" s="3">
        <f>N(W131)</f>
        <v/>
      </c>
      <c r="AE131" s="3">
        <f>SUM(Y131:AD131)</f>
        <v/>
      </c>
      <c r="AF131" s="3">
        <f>N(AE131)*N(M131)/90</f>
        <v/>
      </c>
      <c r="AG131" s="3">
        <f>IFERROR(AF131-VLOOKUP($C131,Assumptions!$A$29:$C$32,3,FALSE),"")</f>
        <v/>
      </c>
      <c r="AH131" s="3">
        <f>IFERROR(AG131/F131,"")</f>
        <v/>
      </c>
      <c r="AI131">
        <f>IF(AND($E131=TRUE,$C131="GKP"),AF131,"")</f>
        <v/>
      </c>
      <c r="AJ131">
        <f>IF(AND($E131=TRUE,$C131="DEF"),AF131,"")</f>
        <v/>
      </c>
      <c r="AK131">
        <f>IF(AND($E131=TRUE,$C131="MID"),AF131,"")</f>
        <v/>
      </c>
      <c r="AL131">
        <f>IF(AND($E131=TRUE,$C131="FWD"),AF131,"")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b">
        <v>1</v>
      </c>
      <c r="F132" s="2" t="n">
        <v>5</v>
      </c>
      <c r="G132" t="inlineStr">
        <is>
          <t>a</t>
        </is>
      </c>
      <c r="I132" s="2" t="n">
        <v>2255</v>
      </c>
      <c r="J132" t="n">
        <v>96</v>
      </c>
      <c r="K132" s="3" t="n">
        <v>663</v>
      </c>
      <c r="L132" t="inlineStr">
        <is>
          <t>flat</t>
        </is>
      </c>
      <c r="M132" s="4" t="n">
        <v>2255</v>
      </c>
      <c r="N132" s="4" t="n">
        <v>0.237</v>
      </c>
      <c r="O132" s="3" t="n">
        <v>0.0555</v>
      </c>
      <c r="P132" t="inlineStr">
        <is>
          <t>adjusted xGOT</t>
        </is>
      </c>
      <c r="Q132" s="3" t="n">
        <v>0.891</v>
      </c>
      <c r="R132" s="3" t="n">
        <v>4</v>
      </c>
      <c r="S132" s="3" t="n">
        <v>0.1352</v>
      </c>
      <c r="T132" s="3" t="n">
        <v>5.672</v>
      </c>
      <c r="U132" s="4" t="n">
        <v>86.7</v>
      </c>
      <c r="V132" s="3">
        <f>IF(OR(N(T132)=0,N(U132)=0),0,1-POISSON(IFERROR(VLOOKUP($C132,Assumptions!$A$4:$G$7,7,FALSE),99)-1,N(T132)*N(U132)/90,TRUE))</f>
        <v/>
      </c>
      <c r="W132" s="3" t="n">
        <v>0.3193</v>
      </c>
      <c r="X132" s="3" t="n">
        <v>2.275</v>
      </c>
      <c r="Y132" s="3">
        <f>IF(X132="",IFERROR(VLOOKUP($C132,Assumptions!$A$4:$G$7,6,FALSE),0),X132)</f>
        <v/>
      </c>
      <c r="Z132" s="3">
        <f>N(O132)*IFERROR(VLOOKUP($C132,Assumptions!$A$4:$G$7,2,FALSE),0)</f>
        <v/>
      </c>
      <c r="AA132" s="3">
        <f>N(S132)*IFERROR(VLOOKUP($C132,Assumptions!$A$4:$G$7,3,FALSE),0)*Assumptions!$B$11</f>
        <v/>
      </c>
      <c r="AB132" s="3">
        <f>N(N132)*IFERROR(VLOOKUP($C132,Assumptions!$A$4:$G$7,4,FALSE),0)</f>
        <v/>
      </c>
      <c r="AC132" s="3">
        <f>IF(N(U132)=0,0,V132*IFERROR(VLOOKUP($C132,Assumptions!$A$4:$G$7,5,FALSE),0)*90/N(U132))</f>
        <v/>
      </c>
      <c r="AD132" s="3">
        <f>N(W132)</f>
        <v/>
      </c>
      <c r="AE132" s="3">
        <f>SUM(Y132:AD132)</f>
        <v/>
      </c>
      <c r="AF132" s="3">
        <f>N(AE132)*N(M132)/90</f>
        <v/>
      </c>
      <c r="AG132" s="3">
        <f>IFERROR(AF132-VLOOKUP($C132,Assumptions!$A$29:$C$32,3,FALSE),"")</f>
        <v/>
      </c>
      <c r="AH132" s="3">
        <f>IFERROR(AG132/F132,"")</f>
        <v/>
      </c>
      <c r="AI132">
        <f>IF(AND($E132=TRUE,$C132="GKP"),AF132,"")</f>
        <v/>
      </c>
      <c r="AJ132">
        <f>IF(AND($E132=TRUE,$C132="DEF"),AF132,"")</f>
        <v/>
      </c>
      <c r="AK132">
        <f>IF(AND($E132=TRUE,$C132="MID"),AF132,"")</f>
        <v/>
      </c>
      <c r="AL132">
        <f>IF(AND($E132=TRUE,$C132="FWD"),AF132,"")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b">
        <v>1</v>
      </c>
      <c r="F133" s="2" t="n">
        <v>4.5</v>
      </c>
      <c r="G133" t="inlineStr">
        <is>
          <t>a</t>
        </is>
      </c>
      <c r="I133" s="2" t="n">
        <v>2795</v>
      </c>
      <c r="J133" t="n">
        <v>96</v>
      </c>
      <c r="K133" s="3" t="n">
        <v>2440</v>
      </c>
      <c r="L133" t="inlineStr">
        <is>
          <t>flat</t>
        </is>
      </c>
      <c r="M133" s="4" t="n">
        <v>2795</v>
      </c>
      <c r="N133" s="4" t="n">
        <v>0.21</v>
      </c>
      <c r="O133" s="3" t="n">
        <v>0.0625</v>
      </c>
      <c r="P133" t="inlineStr">
        <is>
          <t>adjusted xGOT</t>
        </is>
      </c>
      <c r="Q133" s="3" t="n">
        <v>0.9320000000000001</v>
      </c>
      <c r="R133" s="3" t="n">
        <v>4.4</v>
      </c>
      <c r="S133" s="3" t="n">
        <v>0.1068</v>
      </c>
      <c r="T133" s="3" t="n">
        <v>6.132</v>
      </c>
      <c r="U133" s="4" t="n">
        <v>87.3</v>
      </c>
      <c r="V133" s="3">
        <f>IF(OR(N(T133)=0,N(U133)=0),0,1-POISSON(IFERROR(VLOOKUP($C133,Assumptions!$A$4:$G$7,7,FALSE),99)-1,N(T133)*N(U133)/90,TRUE))</f>
        <v/>
      </c>
      <c r="W133" s="3" t="n">
        <v>0.0322</v>
      </c>
      <c r="X133" s="3" t="n">
        <v>2.093</v>
      </c>
      <c r="Y133" s="3">
        <f>IF(X133="",IFERROR(VLOOKUP($C133,Assumptions!$A$4:$G$7,6,FALSE),0),X133)</f>
        <v/>
      </c>
      <c r="Z133" s="3">
        <f>N(O133)*IFERROR(VLOOKUP($C133,Assumptions!$A$4:$G$7,2,FALSE),0)</f>
        <v/>
      </c>
      <c r="AA133" s="3">
        <f>N(S133)*IFERROR(VLOOKUP($C133,Assumptions!$A$4:$G$7,3,FALSE),0)*Assumptions!$B$11</f>
        <v/>
      </c>
      <c r="AB133" s="3">
        <f>N(N133)*IFERROR(VLOOKUP($C133,Assumptions!$A$4:$G$7,4,FALSE),0)</f>
        <v/>
      </c>
      <c r="AC133" s="3">
        <f>IF(N(U133)=0,0,V133*IFERROR(VLOOKUP($C133,Assumptions!$A$4:$G$7,5,FALSE),0)*90/N(U133))</f>
        <v/>
      </c>
      <c r="AD133" s="3">
        <f>N(W133)</f>
        <v/>
      </c>
      <c r="AE133" s="3">
        <f>SUM(Y133:AD133)</f>
        <v/>
      </c>
      <c r="AF133" s="3">
        <f>N(AE133)*N(M133)/90</f>
        <v/>
      </c>
      <c r="AG133" s="3">
        <f>IFERROR(AF133-VLOOKUP($C133,Assumptions!$A$29:$C$32,3,FALSE),"")</f>
        <v/>
      </c>
      <c r="AH133" s="3">
        <f>IFERROR(AG133/F133,"")</f>
        <v/>
      </c>
      <c r="AI133">
        <f>IF(AND($E133=TRUE,$C133="GKP"),AF133,"")</f>
        <v/>
      </c>
      <c r="AJ133">
        <f>IF(AND($E133=TRUE,$C133="DEF"),AF133,"")</f>
        <v/>
      </c>
      <c r="AK133">
        <f>IF(AND($E133=TRUE,$C133="MID"),AF133,"")</f>
        <v/>
      </c>
      <c r="AL133">
        <f>IF(AND($E133=TRUE,$C133="FWD"),AF133,"")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b">
        <v>1</v>
      </c>
      <c r="F134" s="2" t="n">
        <v>5</v>
      </c>
      <c r="G134" t="inlineStr">
        <is>
          <t>a</t>
        </is>
      </c>
      <c r="I134" s="2" t="n">
        <v>2416</v>
      </c>
      <c r="J134" t="n">
        <v>96</v>
      </c>
      <c r="K134" s="3" t="n">
        <v>4</v>
      </c>
      <c r="L134" t="inlineStr">
        <is>
          <t>flat</t>
        </is>
      </c>
      <c r="M134" s="4" t="n">
        <v>2416</v>
      </c>
      <c r="N134" s="4" t="n">
        <v>0.21</v>
      </c>
      <c r="O134" s="3" t="n">
        <v>0.006</v>
      </c>
      <c r="P134" t="inlineStr">
        <is>
          <t>adjusted xGOT</t>
        </is>
      </c>
      <c r="Q134" s="3" t="n">
        <v>1.015</v>
      </c>
      <c r="R134" s="3" t="n">
        <v>0.2</v>
      </c>
      <c r="S134" s="3" t="n">
        <v>0</v>
      </c>
      <c r="T134" s="3" t="n">
        <v>0</v>
      </c>
      <c r="U134" s="4" t="n">
        <v>89.5</v>
      </c>
      <c r="V134" s="3">
        <f>IF(OR(N(T134)=0,N(U134)=0),0,1-POISSON(IFERROR(VLOOKUP($C134,Assumptions!$A$4:$G$7,7,FALSE),99)-1,N(T134)*N(U134)/90,TRUE))</f>
        <v/>
      </c>
      <c r="W134" s="3" t="n">
        <v>0.1863</v>
      </c>
      <c r="X134" s="3" t="n">
        <v>2.012</v>
      </c>
      <c r="Y134" s="3">
        <f>IF(X134="",IFERROR(VLOOKUP($C134,Assumptions!$A$4:$G$7,6,FALSE),0),X134)</f>
        <v/>
      </c>
      <c r="Z134" s="3">
        <f>N(O134)*IFERROR(VLOOKUP($C134,Assumptions!$A$4:$G$7,2,FALSE),0)</f>
        <v/>
      </c>
      <c r="AA134" s="3">
        <f>N(S134)*IFERROR(VLOOKUP($C134,Assumptions!$A$4:$G$7,3,FALSE),0)*Assumptions!$B$11</f>
        <v/>
      </c>
      <c r="AB134" s="3">
        <f>N(N134)*IFERROR(VLOOKUP($C134,Assumptions!$A$4:$G$7,4,FALSE),0)</f>
        <v/>
      </c>
      <c r="AC134" s="3">
        <f>IF(N(U134)=0,0,V134*IFERROR(VLOOKUP($C134,Assumptions!$A$4:$G$7,5,FALSE),0)*90/N(U134))</f>
        <v/>
      </c>
      <c r="AD134" s="3">
        <f>N(W134)</f>
        <v/>
      </c>
      <c r="AE134" s="3">
        <f>SUM(Y134:AD134)</f>
        <v/>
      </c>
      <c r="AF134" s="3">
        <f>N(AE134)*N(M134)/90</f>
        <v/>
      </c>
      <c r="AG134" s="3">
        <f>IFERROR(AF134-VLOOKUP($C134,Assumptions!$A$29:$C$32,3,FALSE),"")</f>
        <v/>
      </c>
      <c r="AH134" s="3">
        <f>IFERROR(AG134/F134,"")</f>
        <v/>
      </c>
      <c r="AI134">
        <f>IF(AND($E134=TRUE,$C134="GKP"),AF134,"")</f>
        <v/>
      </c>
      <c r="AJ134">
        <f>IF(AND($E134=TRUE,$C134="DEF"),AF134,"")</f>
        <v/>
      </c>
      <c r="AK134">
        <f>IF(AND($E134=TRUE,$C134="MID"),AF134,"")</f>
        <v/>
      </c>
      <c r="AL134">
        <f>IF(AND($E134=TRUE,$C134="FWD"),AF134,"")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b">
        <v>1</v>
      </c>
      <c r="F135" s="2" t="n">
        <v>4.5</v>
      </c>
      <c r="G135" t="inlineStr">
        <is>
          <t>a</t>
        </is>
      </c>
      <c r="I135" s="2" t="n">
        <v>2959</v>
      </c>
      <c r="J135" t="n">
        <v>95</v>
      </c>
      <c r="K135" s="3" t="n">
        <v>3004</v>
      </c>
      <c r="L135" t="inlineStr">
        <is>
          <t>flat</t>
        </is>
      </c>
      <c r="M135" s="4" t="n">
        <v>2959</v>
      </c>
      <c r="N135" s="4" t="n">
        <v>0.29</v>
      </c>
      <c r="O135" s="3" t="n">
        <v>0.0081</v>
      </c>
      <c r="P135" t="inlineStr">
        <is>
          <t>adjusted xGOT</t>
        </is>
      </c>
      <c r="Q135" s="3" t="n">
        <v>0.945</v>
      </c>
      <c r="R135" s="3" t="n">
        <v>2.8</v>
      </c>
      <c r="S135" s="3" t="n">
        <v>0.0548</v>
      </c>
      <c r="T135" s="3" t="n">
        <v>7.155</v>
      </c>
      <c r="U135" s="4" t="n">
        <v>89.7</v>
      </c>
      <c r="V135" s="3">
        <f>IF(OR(N(T135)=0,N(U135)=0),0,1-POISSON(IFERROR(VLOOKUP($C135,Assumptions!$A$4:$G$7,7,FALSE),99)-1,N(T135)*N(U135)/90,TRUE))</f>
        <v/>
      </c>
      <c r="W135" s="3" t="n">
        <v>0.1217</v>
      </c>
      <c r="X135" s="3" t="n">
        <v>2.007</v>
      </c>
      <c r="Y135" s="3">
        <f>IF(X135="",IFERROR(VLOOKUP($C135,Assumptions!$A$4:$G$7,6,FALSE),0),X135)</f>
        <v/>
      </c>
      <c r="Z135" s="3">
        <f>N(O135)*IFERROR(VLOOKUP($C135,Assumptions!$A$4:$G$7,2,FALSE),0)</f>
        <v/>
      </c>
      <c r="AA135" s="3">
        <f>N(S135)*IFERROR(VLOOKUP($C135,Assumptions!$A$4:$G$7,3,FALSE),0)*Assumptions!$B$11</f>
        <v/>
      </c>
      <c r="AB135" s="3">
        <f>N(N135)*IFERROR(VLOOKUP($C135,Assumptions!$A$4:$G$7,4,FALSE),0)</f>
        <v/>
      </c>
      <c r="AC135" s="3">
        <f>IF(N(U135)=0,0,V135*IFERROR(VLOOKUP($C135,Assumptions!$A$4:$G$7,5,FALSE),0)*90/N(U135))</f>
        <v/>
      </c>
      <c r="AD135" s="3">
        <f>N(W135)</f>
        <v/>
      </c>
      <c r="AE135" s="3">
        <f>SUM(Y135:AD135)</f>
        <v/>
      </c>
      <c r="AF135" s="3">
        <f>N(AE135)*N(M135)/90</f>
        <v/>
      </c>
      <c r="AG135" s="3">
        <f>IFERROR(AF135-VLOOKUP($C135,Assumptions!$A$29:$C$32,3,FALSE),"")</f>
        <v/>
      </c>
      <c r="AH135" s="3">
        <f>IFERROR(AG135/F135,"")</f>
        <v/>
      </c>
      <c r="AI135">
        <f>IF(AND($E135=TRUE,$C135="GKP"),AF135,"")</f>
        <v/>
      </c>
      <c r="AJ135">
        <f>IF(AND($E135=TRUE,$C135="DEF"),AF135,"")</f>
        <v/>
      </c>
      <c r="AK135">
        <f>IF(AND($E135=TRUE,$C135="MID"),AF135,"")</f>
        <v/>
      </c>
      <c r="AL135">
        <f>IF(AND($E135=TRUE,$C135="FWD"),AF135,"")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b">
        <v>1</v>
      </c>
      <c r="F136" s="2" t="n">
        <v>6</v>
      </c>
      <c r="G136" t="inlineStr">
        <is>
          <t>a</t>
        </is>
      </c>
      <c r="I136" s="2" t="n">
        <v>1440</v>
      </c>
      <c r="J136" t="n">
        <v>95</v>
      </c>
      <c r="K136" s="3" t="n">
        <v>812</v>
      </c>
      <c r="L136" t="inlineStr">
        <is>
          <t>fade (losing his place)</t>
        </is>
      </c>
      <c r="M136" s="4" t="n">
        <v>1440</v>
      </c>
      <c r="N136" s="4" t="n">
        <v>0.21</v>
      </c>
      <c r="O136" s="3" t="n">
        <v>0.1477</v>
      </c>
      <c r="P136" t="inlineStr">
        <is>
          <t>adjusted xGOT</t>
        </is>
      </c>
      <c r="Q136" s="3" t="n">
        <v>0.989</v>
      </c>
      <c r="R136" s="3" t="n">
        <v>2.8</v>
      </c>
      <c r="S136" s="3" t="n">
        <v>0.1547</v>
      </c>
      <c r="T136" s="3" t="n">
        <v>6.645</v>
      </c>
      <c r="U136" s="4" t="n">
        <v>96</v>
      </c>
      <c r="V136" s="3">
        <f>IF(OR(N(T136)=0,N(U136)=0),0,1-POISSON(IFERROR(VLOOKUP($C136,Assumptions!$A$4:$G$7,7,FALSE),99)-1,N(T136)*N(U136)/90,TRUE))</f>
        <v/>
      </c>
      <c r="W136" s="3" t="n">
        <v>0.6875</v>
      </c>
      <c r="X136" s="3" t="n">
        <v>2.5</v>
      </c>
      <c r="Y136" s="3">
        <f>IF(X136="",IFERROR(VLOOKUP($C136,Assumptions!$A$4:$G$7,6,FALSE),0),X136)</f>
        <v/>
      </c>
      <c r="Z136" s="3">
        <f>N(O136)*IFERROR(VLOOKUP($C136,Assumptions!$A$4:$G$7,2,FALSE),0)</f>
        <v/>
      </c>
      <c r="AA136" s="3">
        <f>N(S136)*IFERROR(VLOOKUP($C136,Assumptions!$A$4:$G$7,3,FALSE),0)*Assumptions!$B$11</f>
        <v/>
      </c>
      <c r="AB136" s="3">
        <f>N(N136)*IFERROR(VLOOKUP($C136,Assumptions!$A$4:$G$7,4,FALSE),0)</f>
        <v/>
      </c>
      <c r="AC136" s="3">
        <f>IF(N(U136)=0,0,V136*IFERROR(VLOOKUP($C136,Assumptions!$A$4:$G$7,5,FALSE),0)*90/N(U136))</f>
        <v/>
      </c>
      <c r="AD136" s="3">
        <f>N(W136)</f>
        <v/>
      </c>
      <c r="AE136" s="3">
        <f>SUM(Y136:AD136)</f>
        <v/>
      </c>
      <c r="AF136" s="3">
        <f>N(AE136)*N(M136)/90</f>
        <v/>
      </c>
      <c r="AG136" s="3">
        <f>IFERROR(AF136-VLOOKUP($C136,Assumptions!$A$29:$C$32,3,FALSE),"")</f>
        <v/>
      </c>
      <c r="AH136" s="3">
        <f>IFERROR(AG136/F136,"")</f>
        <v/>
      </c>
      <c r="AI136">
        <f>IF(AND($E136=TRUE,$C136="GKP"),AF136,"")</f>
        <v/>
      </c>
      <c r="AJ136">
        <f>IF(AND($E136=TRUE,$C136="DEF"),AF136,"")</f>
        <v/>
      </c>
      <c r="AK136">
        <f>IF(AND($E136=TRUE,$C136="MID"),AF136,"")</f>
        <v/>
      </c>
      <c r="AL136">
        <f>IF(AND($E136=TRUE,$C136="FWD"),AF136,"")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b">
        <v>1</v>
      </c>
      <c r="F137" s="2" t="n">
        <v>4.5</v>
      </c>
      <c r="G137" t="inlineStr">
        <is>
          <t>a</t>
        </is>
      </c>
      <c r="I137" s="2" t="n">
        <v>1816</v>
      </c>
      <c r="J137" t="n">
        <v>95</v>
      </c>
      <c r="K137" s="3" t="n">
        <v>1525</v>
      </c>
      <c r="L137" t="inlineStr">
        <is>
          <t>flat</t>
        </is>
      </c>
      <c r="M137" s="4" t="n">
        <v>1816</v>
      </c>
      <c r="N137" s="4" t="n">
        <v>0.237</v>
      </c>
      <c r="O137" s="3" t="n">
        <v>0.0893</v>
      </c>
      <c r="P137" t="inlineStr">
        <is>
          <t>adjusted xGOT</t>
        </is>
      </c>
      <c r="Q137" s="3" t="n">
        <v>1.126</v>
      </c>
      <c r="R137" s="3" t="n">
        <v>4.9</v>
      </c>
      <c r="S137" s="3" t="n">
        <v>0.0998</v>
      </c>
      <c r="T137" s="3" t="n">
        <v>10.172</v>
      </c>
      <c r="U137" s="4" t="n">
        <v>90.8</v>
      </c>
      <c r="V137" s="3">
        <f>IF(OR(N(T137)=0,N(U137)=0),0,1-POISSON(IFERROR(VLOOKUP($C137,Assumptions!$A$4:$G$7,7,FALSE),99)-1,N(T137)*N(U137)/90,TRUE))</f>
        <v/>
      </c>
      <c r="W137" s="3" t="n">
        <v>0.3965</v>
      </c>
      <c r="X137" s="3" t="n">
        <v>2.329</v>
      </c>
      <c r="Y137" s="3">
        <f>IF(X137="",IFERROR(VLOOKUP($C137,Assumptions!$A$4:$G$7,6,FALSE),0),X137)</f>
        <v/>
      </c>
      <c r="Z137" s="3">
        <f>N(O137)*IFERROR(VLOOKUP($C137,Assumptions!$A$4:$G$7,2,FALSE),0)</f>
        <v/>
      </c>
      <c r="AA137" s="3">
        <f>N(S137)*IFERROR(VLOOKUP($C137,Assumptions!$A$4:$G$7,3,FALSE),0)*Assumptions!$B$11</f>
        <v/>
      </c>
      <c r="AB137" s="3">
        <f>N(N137)*IFERROR(VLOOKUP($C137,Assumptions!$A$4:$G$7,4,FALSE),0)</f>
        <v/>
      </c>
      <c r="AC137" s="3">
        <f>IF(N(U137)=0,0,V137*IFERROR(VLOOKUP($C137,Assumptions!$A$4:$G$7,5,FALSE),0)*90/N(U137))</f>
        <v/>
      </c>
      <c r="AD137" s="3">
        <f>N(W137)</f>
        <v/>
      </c>
      <c r="AE137" s="3">
        <f>SUM(Y137:AD137)</f>
        <v/>
      </c>
      <c r="AF137" s="3">
        <f>N(AE137)*N(M137)/90</f>
        <v/>
      </c>
      <c r="AG137" s="3">
        <f>IFERROR(AF137-VLOOKUP($C137,Assumptions!$A$29:$C$32,3,FALSE),"")</f>
        <v/>
      </c>
      <c r="AH137" s="3">
        <f>IFERROR(AG137/F137,"")</f>
        <v/>
      </c>
      <c r="AI137">
        <f>IF(AND($E137=TRUE,$C137="GKP"),AF137,"")</f>
        <v/>
      </c>
      <c r="AJ137">
        <f>IF(AND($E137=TRUE,$C137="DEF"),AF137,"")</f>
        <v/>
      </c>
      <c r="AK137">
        <f>IF(AND($E137=TRUE,$C137="MID"),AF137,"")</f>
        <v/>
      </c>
      <c r="AL137">
        <f>IF(AND($E137=TRUE,$C137="FWD"),AF137,"")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b">
        <v>1</v>
      </c>
      <c r="F138" s="2" t="n">
        <v>5.5</v>
      </c>
      <c r="G138" t="inlineStr">
        <is>
          <t>a</t>
        </is>
      </c>
      <c r="I138" s="2" t="n">
        <v>1898</v>
      </c>
      <c r="J138" t="n">
        <v>95</v>
      </c>
      <c r="K138" s="3" t="n">
        <v>2514</v>
      </c>
      <c r="L138" t="inlineStr">
        <is>
          <t>flat</t>
        </is>
      </c>
      <c r="M138" s="4" t="n">
        <v>1898</v>
      </c>
      <c r="N138" s="4" t="n">
        <v>0.29</v>
      </c>
      <c r="O138" s="3" t="n">
        <v>0.333</v>
      </c>
      <c r="P138" t="inlineStr">
        <is>
          <t>adjusted xGOT</t>
        </is>
      </c>
      <c r="Q138" s="3" t="n">
        <v>0.86</v>
      </c>
      <c r="R138" s="3" t="n">
        <v>8.199999999999999</v>
      </c>
      <c r="S138" s="3" t="n">
        <v>0.0342</v>
      </c>
      <c r="T138" s="3" t="n">
        <v>3.862</v>
      </c>
      <c r="U138" s="4" t="n">
        <v>90.40000000000001</v>
      </c>
      <c r="V138" s="3">
        <f>IF(OR(N(T138)=0,N(U138)=0),0,1-POISSON(IFERROR(VLOOKUP($C138,Assumptions!$A$4:$G$7,7,FALSE),99)-1,N(T138)*N(U138)/90,TRUE))</f>
        <v/>
      </c>
      <c r="W138" s="3" t="n">
        <v>0.4268</v>
      </c>
      <c r="X138" s="3" t="n">
        <v>2.703</v>
      </c>
      <c r="Y138" s="3">
        <f>IF(X138="",IFERROR(VLOOKUP($C138,Assumptions!$A$4:$G$7,6,FALSE),0),X138)</f>
        <v/>
      </c>
      <c r="Z138" s="3">
        <f>N(O138)*IFERROR(VLOOKUP($C138,Assumptions!$A$4:$G$7,2,FALSE),0)</f>
        <v/>
      </c>
      <c r="AA138" s="3">
        <f>N(S138)*IFERROR(VLOOKUP($C138,Assumptions!$A$4:$G$7,3,FALSE),0)*Assumptions!$B$11</f>
        <v/>
      </c>
      <c r="AB138" s="3">
        <f>N(N138)*IFERROR(VLOOKUP($C138,Assumptions!$A$4:$G$7,4,FALSE),0)</f>
        <v/>
      </c>
      <c r="AC138" s="3">
        <f>IF(N(U138)=0,0,V138*IFERROR(VLOOKUP($C138,Assumptions!$A$4:$G$7,5,FALSE),0)*90/N(U138))</f>
        <v/>
      </c>
      <c r="AD138" s="3">
        <f>N(W138)</f>
        <v/>
      </c>
      <c r="AE138" s="3">
        <f>SUM(Y138:AD138)</f>
        <v/>
      </c>
      <c r="AF138" s="3">
        <f>N(AE138)*N(M138)/90</f>
        <v/>
      </c>
      <c r="AG138" s="3">
        <f>IFERROR(AF138-VLOOKUP($C138,Assumptions!$A$29:$C$32,3,FALSE),"")</f>
        <v/>
      </c>
      <c r="AH138" s="3">
        <f>IFERROR(AG138/F138,"")</f>
        <v/>
      </c>
      <c r="AI138">
        <f>IF(AND($E138=TRUE,$C138="GKP"),AF138,"")</f>
        <v/>
      </c>
      <c r="AJ138">
        <f>IF(AND($E138=TRUE,$C138="DEF"),AF138,"")</f>
        <v/>
      </c>
      <c r="AK138">
        <f>IF(AND($E138=TRUE,$C138="MID"),AF138,"")</f>
        <v/>
      </c>
      <c r="AL138">
        <f>IF(AND($E138=TRUE,$C138="FWD"),AF138,"")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b">
        <v>1</v>
      </c>
      <c r="F139" s="2" t="n">
        <v>5</v>
      </c>
      <c r="G139" t="inlineStr">
        <is>
          <t>a</t>
        </is>
      </c>
      <c r="I139" s="2" t="n">
        <v>1901</v>
      </c>
      <c r="J139" t="n">
        <v>94</v>
      </c>
      <c r="K139" s="3" t="n">
        <v>2787</v>
      </c>
      <c r="L139" t="inlineStr">
        <is>
          <t>flat</t>
        </is>
      </c>
      <c r="M139" s="4" t="n">
        <v>1901</v>
      </c>
      <c r="N139" s="4" t="n">
        <v>0.263</v>
      </c>
      <c r="O139" s="3" t="n">
        <v>0.0984</v>
      </c>
      <c r="P139" t="inlineStr">
        <is>
          <t>adjusted xGOT</t>
        </is>
      </c>
      <c r="Q139" s="3" t="n">
        <v>1.082</v>
      </c>
      <c r="R139" s="3" t="n">
        <v>2.7</v>
      </c>
      <c r="S139" s="3" t="n">
        <v>0.1119</v>
      </c>
      <c r="T139" s="3" t="n">
        <v>11.593</v>
      </c>
      <c r="U139" s="4" t="n">
        <v>82.7</v>
      </c>
      <c r="V139" s="3">
        <f>IF(OR(N(T139)=0,N(U139)=0),0,1-POISSON(IFERROR(VLOOKUP($C139,Assumptions!$A$4:$G$7,7,FALSE),99)-1,N(T139)*N(U139)/90,TRUE))</f>
        <v/>
      </c>
      <c r="W139" s="3" t="n">
        <v>0.2367</v>
      </c>
      <c r="X139" s="3" t="n">
        <v>2.178</v>
      </c>
      <c r="Y139" s="3">
        <f>IF(X139="",IFERROR(VLOOKUP($C139,Assumptions!$A$4:$G$7,6,FALSE),0),X139)</f>
        <v/>
      </c>
      <c r="Z139" s="3">
        <f>N(O139)*IFERROR(VLOOKUP($C139,Assumptions!$A$4:$G$7,2,FALSE),0)</f>
        <v/>
      </c>
      <c r="AA139" s="3">
        <f>N(S139)*IFERROR(VLOOKUP($C139,Assumptions!$A$4:$G$7,3,FALSE),0)*Assumptions!$B$11</f>
        <v/>
      </c>
      <c r="AB139" s="3">
        <f>N(N139)*IFERROR(VLOOKUP($C139,Assumptions!$A$4:$G$7,4,FALSE),0)</f>
        <v/>
      </c>
      <c r="AC139" s="3">
        <f>IF(N(U139)=0,0,V139*IFERROR(VLOOKUP($C139,Assumptions!$A$4:$G$7,5,FALSE),0)*90/N(U139))</f>
        <v/>
      </c>
      <c r="AD139" s="3">
        <f>N(W139)</f>
        <v/>
      </c>
      <c r="AE139" s="3">
        <f>SUM(Y139:AD139)</f>
        <v/>
      </c>
      <c r="AF139" s="3">
        <f>N(AE139)*N(M139)/90</f>
        <v/>
      </c>
      <c r="AG139" s="3">
        <f>IFERROR(AF139-VLOOKUP($C139,Assumptions!$A$29:$C$32,3,FALSE),"")</f>
        <v/>
      </c>
      <c r="AH139" s="3">
        <f>IFERROR(AG139/F139,"")</f>
        <v/>
      </c>
      <c r="AI139">
        <f>IF(AND($E139=TRUE,$C139="GKP"),AF139,"")</f>
        <v/>
      </c>
      <c r="AJ139">
        <f>IF(AND($E139=TRUE,$C139="DEF"),AF139,"")</f>
        <v/>
      </c>
      <c r="AK139">
        <f>IF(AND($E139=TRUE,$C139="MID"),AF139,"")</f>
        <v/>
      </c>
      <c r="AL139">
        <f>IF(AND($E139=TRUE,$C139="FWD"),AF139,"")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b">
        <v>1</v>
      </c>
      <c r="F140" s="2" t="n">
        <v>4.5</v>
      </c>
      <c r="G140" t="inlineStr">
        <is>
          <t>a</t>
        </is>
      </c>
      <c r="I140" s="2" t="n">
        <v>1893</v>
      </c>
      <c r="J140" t="n">
        <v>94</v>
      </c>
      <c r="K140" s="3" t="n">
        <v>2280</v>
      </c>
      <c r="L140" t="inlineStr">
        <is>
          <t>flat</t>
        </is>
      </c>
      <c r="M140" s="4" t="n">
        <v>1893</v>
      </c>
      <c r="N140" s="4" t="n">
        <v>0.21</v>
      </c>
      <c r="O140" s="3" t="n">
        <v>0.0727</v>
      </c>
      <c r="P140" t="inlineStr">
        <is>
          <t>adjusted xGOT</t>
        </is>
      </c>
      <c r="Q140" s="3" t="n">
        <v>0.836</v>
      </c>
      <c r="R140" s="3" t="n">
        <v>3.6</v>
      </c>
      <c r="S140" s="3" t="n">
        <v>0.0887</v>
      </c>
      <c r="T140" s="3" t="n">
        <v>8.420999999999999</v>
      </c>
      <c r="U140" s="4" t="n">
        <v>90.09999999999999</v>
      </c>
      <c r="V140" s="3">
        <f>IF(OR(N(T140)=0,N(U140)=0),0,1-POISSON(IFERROR(VLOOKUP($C140,Assumptions!$A$4:$G$7,7,FALSE),99)-1,N(T140)*N(U140)/90,TRUE))</f>
        <v/>
      </c>
      <c r="W140" s="3" t="n">
        <v>0.3803</v>
      </c>
      <c r="X140" s="3" t="n">
        <v>2.33</v>
      </c>
      <c r="Y140" s="3">
        <f>IF(X140="",IFERROR(VLOOKUP($C140,Assumptions!$A$4:$G$7,6,FALSE),0),X140)</f>
        <v/>
      </c>
      <c r="Z140" s="3">
        <f>N(O140)*IFERROR(VLOOKUP($C140,Assumptions!$A$4:$G$7,2,FALSE),0)</f>
        <v/>
      </c>
      <c r="AA140" s="3">
        <f>N(S140)*IFERROR(VLOOKUP($C140,Assumptions!$A$4:$G$7,3,FALSE),0)*Assumptions!$B$11</f>
        <v/>
      </c>
      <c r="AB140" s="3">
        <f>N(N140)*IFERROR(VLOOKUP($C140,Assumptions!$A$4:$G$7,4,FALSE),0)</f>
        <v/>
      </c>
      <c r="AC140" s="3">
        <f>IF(N(U140)=0,0,V140*IFERROR(VLOOKUP($C140,Assumptions!$A$4:$G$7,5,FALSE),0)*90/N(U140))</f>
        <v/>
      </c>
      <c r="AD140" s="3">
        <f>N(W140)</f>
        <v/>
      </c>
      <c r="AE140" s="3">
        <f>SUM(Y140:AD140)</f>
        <v/>
      </c>
      <c r="AF140" s="3">
        <f>N(AE140)*N(M140)/90</f>
        <v/>
      </c>
      <c r="AG140" s="3">
        <f>IFERROR(AF140-VLOOKUP($C140,Assumptions!$A$29:$C$32,3,FALSE),"")</f>
        <v/>
      </c>
      <c r="AH140" s="3">
        <f>IFERROR(AG140/F140,"")</f>
        <v/>
      </c>
      <c r="AI140">
        <f>IF(AND($E140=TRUE,$C140="GKP"),AF140,"")</f>
        <v/>
      </c>
      <c r="AJ140">
        <f>IF(AND($E140=TRUE,$C140="DEF"),AF140,"")</f>
        <v/>
      </c>
      <c r="AK140">
        <f>IF(AND($E140=TRUE,$C140="MID"),AF140,"")</f>
        <v/>
      </c>
      <c r="AL140">
        <f>IF(AND($E140=TRUE,$C140="FWD"),AF140,"")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b">
        <v>1</v>
      </c>
      <c r="F141" s="2" t="n">
        <v>5</v>
      </c>
      <c r="G141" t="inlineStr">
        <is>
          <t>a</t>
        </is>
      </c>
      <c r="I141" s="2" t="n">
        <v>2195</v>
      </c>
      <c r="J141" t="n">
        <v>93</v>
      </c>
      <c r="K141" s="3" t="n">
        <v>1406</v>
      </c>
      <c r="L141" t="inlineStr">
        <is>
          <t>flat</t>
        </is>
      </c>
      <c r="M141" s="4" t="n">
        <v>2195</v>
      </c>
      <c r="N141" s="4" t="n">
        <v>0.21</v>
      </c>
      <c r="O141" s="3" t="n">
        <v>0.0397</v>
      </c>
      <c r="P141" t="inlineStr">
        <is>
          <t>adjusted xGOT</t>
        </is>
      </c>
      <c r="Q141" s="3" t="n">
        <v>0.896</v>
      </c>
      <c r="R141" s="3" t="n">
        <v>8.5</v>
      </c>
      <c r="S141" s="3" t="n">
        <v>0.0158</v>
      </c>
      <c r="T141" s="3" t="n">
        <v>8.845000000000001</v>
      </c>
      <c r="U141" s="4" t="n">
        <v>87.8</v>
      </c>
      <c r="V141" s="3">
        <f>IF(OR(N(T141)=0,N(U141)=0),0,1-POISSON(IFERROR(VLOOKUP($C141,Assumptions!$A$4:$G$7,7,FALSE),99)-1,N(T141)*N(U141)/90,TRUE))</f>
        <v/>
      </c>
      <c r="W141" s="3" t="n">
        <v>0.123</v>
      </c>
      <c r="X141" s="3" t="n">
        <v>2.173</v>
      </c>
      <c r="Y141" s="3">
        <f>IF(X141="",IFERROR(VLOOKUP($C141,Assumptions!$A$4:$G$7,6,FALSE),0),X141)</f>
        <v/>
      </c>
      <c r="Z141" s="3">
        <f>N(O141)*IFERROR(VLOOKUP($C141,Assumptions!$A$4:$G$7,2,FALSE),0)</f>
        <v/>
      </c>
      <c r="AA141" s="3">
        <f>N(S141)*IFERROR(VLOOKUP($C141,Assumptions!$A$4:$G$7,3,FALSE),0)*Assumptions!$B$11</f>
        <v/>
      </c>
      <c r="AB141" s="3">
        <f>N(N141)*IFERROR(VLOOKUP($C141,Assumptions!$A$4:$G$7,4,FALSE),0)</f>
        <v/>
      </c>
      <c r="AC141" s="3">
        <f>IF(N(U141)=0,0,V141*IFERROR(VLOOKUP($C141,Assumptions!$A$4:$G$7,5,FALSE),0)*90/N(U141))</f>
        <v/>
      </c>
      <c r="AD141" s="3">
        <f>N(W141)</f>
        <v/>
      </c>
      <c r="AE141" s="3">
        <f>SUM(Y141:AD141)</f>
        <v/>
      </c>
      <c r="AF141" s="3">
        <f>N(AE141)*N(M141)/90</f>
        <v/>
      </c>
      <c r="AG141" s="3">
        <f>IFERROR(AF141-VLOOKUP($C141,Assumptions!$A$29:$C$32,3,FALSE),"")</f>
        <v/>
      </c>
      <c r="AH141" s="3">
        <f>IFERROR(AG141/F141,"")</f>
        <v/>
      </c>
      <c r="AI141">
        <f>IF(AND($E141=TRUE,$C141="GKP"),AF141,"")</f>
        <v/>
      </c>
      <c r="AJ141">
        <f>IF(AND($E141=TRUE,$C141="DEF"),AF141,"")</f>
        <v/>
      </c>
      <c r="AK141">
        <f>IF(AND($E141=TRUE,$C141="MID"),AF141,"")</f>
        <v/>
      </c>
      <c r="AL141">
        <f>IF(AND($E141=TRUE,$C141="FWD"),AF141,"")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b">
        <v>1</v>
      </c>
      <c r="F142" s="2" t="n">
        <v>6</v>
      </c>
      <c r="G142" t="inlineStr">
        <is>
          <t>a</t>
        </is>
      </c>
      <c r="I142" s="2" t="n">
        <v>1623</v>
      </c>
      <c r="J142" t="n">
        <v>92</v>
      </c>
      <c r="K142" s="3" t="n">
        <v>247</v>
      </c>
      <c r="L142" t="inlineStr">
        <is>
          <t>flat</t>
        </is>
      </c>
      <c r="M142" s="4" t="n">
        <v>1623</v>
      </c>
      <c r="N142" s="4" t="n">
        <v>0.421</v>
      </c>
      <c r="O142" s="3" t="n">
        <v>0.2473</v>
      </c>
      <c r="P142" t="inlineStr">
        <is>
          <t>adjusted xGOT</t>
        </is>
      </c>
      <c r="Q142" s="3" t="n">
        <v>0.968</v>
      </c>
      <c r="R142" s="3" t="n">
        <v>4.6</v>
      </c>
      <c r="S142" s="3" t="n">
        <v>0.1504</v>
      </c>
      <c r="T142" s="3" t="n">
        <v>6.477</v>
      </c>
      <c r="U142" s="4" t="n">
        <v>85.40000000000001</v>
      </c>
      <c r="V142" s="3">
        <f>IF(OR(N(T142)=0,N(U142)=0),0,1-POISSON(IFERROR(VLOOKUP($C142,Assumptions!$A$4:$G$7,7,FALSE),99)-1,N(T142)*N(U142)/90,TRUE))</f>
        <v/>
      </c>
      <c r="W142" s="3" t="n">
        <v>0.3327</v>
      </c>
      <c r="X142" s="3" t="n">
        <v>2.495</v>
      </c>
      <c r="Y142" s="3">
        <f>IF(X142="",IFERROR(VLOOKUP($C142,Assumptions!$A$4:$G$7,6,FALSE),0),X142)</f>
        <v/>
      </c>
      <c r="Z142" s="3">
        <f>N(O142)*IFERROR(VLOOKUP($C142,Assumptions!$A$4:$G$7,2,FALSE),0)</f>
        <v/>
      </c>
      <c r="AA142" s="3">
        <f>N(S142)*IFERROR(VLOOKUP($C142,Assumptions!$A$4:$G$7,3,FALSE),0)*Assumptions!$B$11</f>
        <v/>
      </c>
      <c r="AB142" s="3">
        <f>N(N142)*IFERROR(VLOOKUP($C142,Assumptions!$A$4:$G$7,4,FALSE),0)</f>
        <v/>
      </c>
      <c r="AC142" s="3">
        <f>IF(N(U142)=0,0,V142*IFERROR(VLOOKUP($C142,Assumptions!$A$4:$G$7,5,FALSE),0)*90/N(U142))</f>
        <v/>
      </c>
      <c r="AD142" s="3">
        <f>N(W142)</f>
        <v/>
      </c>
      <c r="AE142" s="3">
        <f>SUM(Y142:AD142)</f>
        <v/>
      </c>
      <c r="AF142" s="3">
        <f>N(AE142)*N(M142)/90</f>
        <v/>
      </c>
      <c r="AG142" s="3">
        <f>IFERROR(AF142-VLOOKUP($C142,Assumptions!$A$29:$C$32,3,FALSE),"")</f>
        <v/>
      </c>
      <c r="AH142" s="3">
        <f>IFERROR(AG142/F142,"")</f>
        <v/>
      </c>
      <c r="AI142">
        <f>IF(AND($E142=TRUE,$C142="GKP"),AF142,"")</f>
        <v/>
      </c>
      <c r="AJ142">
        <f>IF(AND($E142=TRUE,$C142="DEF"),AF142,"")</f>
        <v/>
      </c>
      <c r="AK142">
        <f>IF(AND($E142=TRUE,$C142="MID"),AF142,"")</f>
        <v/>
      </c>
      <c r="AL142">
        <f>IF(AND($E142=TRUE,$C142="FWD"),AF142,"")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b">
        <v>1</v>
      </c>
      <c r="F143" s="2" t="n">
        <v>6</v>
      </c>
      <c r="G143" t="inlineStr">
        <is>
          <t>a</t>
        </is>
      </c>
      <c r="I143" s="2" t="n">
        <v>1920</v>
      </c>
      <c r="J143" t="n">
        <v>92</v>
      </c>
      <c r="K143" s="3" t="n">
        <v>2884</v>
      </c>
      <c r="L143" t="inlineStr">
        <is>
          <t>flat</t>
        </is>
      </c>
      <c r="M143" s="4" t="n">
        <v>1920</v>
      </c>
      <c r="N143" s="4" t="n">
        <v>0.29</v>
      </c>
      <c r="O143" s="3" t="n">
        <v>0.3039</v>
      </c>
      <c r="P143" t="inlineStr">
        <is>
          <t>adjusted xGOT</t>
        </is>
      </c>
      <c r="Q143" s="3" t="n">
        <v>1.077</v>
      </c>
      <c r="R143" s="3" t="n">
        <v>6</v>
      </c>
      <c r="S143" s="3" t="n">
        <v>0.0511</v>
      </c>
      <c r="T143" s="3" t="n">
        <v>3.83</v>
      </c>
      <c r="U143" s="4" t="n">
        <v>87.3</v>
      </c>
      <c r="V143" s="3">
        <f>IF(OR(N(T143)=0,N(U143)=0),0,1-POISSON(IFERROR(VLOOKUP($C143,Assumptions!$A$4:$G$7,7,FALSE),99)-1,N(T143)*N(U143)/90,TRUE))</f>
        <v/>
      </c>
      <c r="W143" s="3" t="n">
        <v>0.6094000000000001</v>
      </c>
      <c r="X143" s="3" t="n">
        <v>2.438</v>
      </c>
      <c r="Y143" s="3">
        <f>IF(X143="",IFERROR(VLOOKUP($C143,Assumptions!$A$4:$G$7,6,FALSE),0),X143)</f>
        <v/>
      </c>
      <c r="Z143" s="3">
        <f>N(O143)*IFERROR(VLOOKUP($C143,Assumptions!$A$4:$G$7,2,FALSE),0)</f>
        <v/>
      </c>
      <c r="AA143" s="3">
        <f>N(S143)*IFERROR(VLOOKUP($C143,Assumptions!$A$4:$G$7,3,FALSE),0)*Assumptions!$B$11</f>
        <v/>
      </c>
      <c r="AB143" s="3">
        <f>N(N143)*IFERROR(VLOOKUP($C143,Assumptions!$A$4:$G$7,4,FALSE),0)</f>
        <v/>
      </c>
      <c r="AC143" s="3">
        <f>IF(N(U143)=0,0,V143*IFERROR(VLOOKUP($C143,Assumptions!$A$4:$G$7,5,FALSE),0)*90/N(U143))</f>
        <v/>
      </c>
      <c r="AD143" s="3">
        <f>N(W143)</f>
        <v/>
      </c>
      <c r="AE143" s="3">
        <f>SUM(Y143:AD143)</f>
        <v/>
      </c>
      <c r="AF143" s="3">
        <f>N(AE143)*N(M143)/90</f>
        <v/>
      </c>
      <c r="AG143" s="3">
        <f>IFERROR(AF143-VLOOKUP($C143,Assumptions!$A$29:$C$32,3,FALSE),"")</f>
        <v/>
      </c>
      <c r="AH143" s="3">
        <f>IFERROR(AG143/F143,"")</f>
        <v/>
      </c>
      <c r="AI143">
        <f>IF(AND($E143=TRUE,$C143="GKP"),AF143,"")</f>
        <v/>
      </c>
      <c r="AJ143">
        <f>IF(AND($E143=TRUE,$C143="DEF"),AF143,"")</f>
        <v/>
      </c>
      <c r="AK143">
        <f>IF(AND($E143=TRUE,$C143="MID"),AF143,"")</f>
        <v/>
      </c>
      <c r="AL143">
        <f>IF(AND($E143=TRUE,$C143="FWD"),AF143,"")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b">
        <v>1</v>
      </c>
      <c r="F144" s="2" t="n">
        <v>6</v>
      </c>
      <c r="G144" t="inlineStr">
        <is>
          <t>a</t>
        </is>
      </c>
      <c r="I144" s="2" t="n">
        <v>1736</v>
      </c>
      <c r="J144" t="n">
        <v>91</v>
      </c>
      <c r="K144" s="3" t="n">
        <v>2782</v>
      </c>
      <c r="L144" t="inlineStr">
        <is>
          <t>flat</t>
        </is>
      </c>
      <c r="M144" s="4" t="n">
        <v>1736</v>
      </c>
      <c r="N144" s="4" t="n">
        <v>0.263</v>
      </c>
      <c r="O144" s="3" t="n">
        <v>0.2866</v>
      </c>
      <c r="P144" t="inlineStr">
        <is>
          <t>adjusted xGOT</t>
        </is>
      </c>
      <c r="Q144" s="3" t="n">
        <v>1.119</v>
      </c>
      <c r="R144" s="3" t="n">
        <v>9.800000000000001</v>
      </c>
      <c r="S144" s="3" t="n">
        <v>0.1218</v>
      </c>
      <c r="T144" s="3" t="n">
        <v>6.692</v>
      </c>
      <c r="U144" s="4" t="n">
        <v>86.8</v>
      </c>
      <c r="V144" s="3">
        <f>IF(OR(N(T144)=0,N(U144)=0),0,1-POISSON(IFERROR(VLOOKUP($C144,Assumptions!$A$4:$G$7,7,FALSE),99)-1,N(T144)*N(U144)/90,TRUE))</f>
        <v/>
      </c>
      <c r="W144" s="3" t="n">
        <v>0.1037</v>
      </c>
      <c r="X144" s="3" t="n">
        <v>2.437</v>
      </c>
      <c r="Y144" s="3">
        <f>IF(X144="",IFERROR(VLOOKUP($C144,Assumptions!$A$4:$G$7,6,FALSE),0),X144)</f>
        <v/>
      </c>
      <c r="Z144" s="3">
        <f>N(O144)*IFERROR(VLOOKUP($C144,Assumptions!$A$4:$G$7,2,FALSE),0)</f>
        <v/>
      </c>
      <c r="AA144" s="3">
        <f>N(S144)*IFERROR(VLOOKUP($C144,Assumptions!$A$4:$G$7,3,FALSE),0)*Assumptions!$B$11</f>
        <v/>
      </c>
      <c r="AB144" s="3">
        <f>N(N144)*IFERROR(VLOOKUP($C144,Assumptions!$A$4:$G$7,4,FALSE),0)</f>
        <v/>
      </c>
      <c r="AC144" s="3">
        <f>IF(N(U144)=0,0,V144*IFERROR(VLOOKUP($C144,Assumptions!$A$4:$G$7,5,FALSE),0)*90/N(U144))</f>
        <v/>
      </c>
      <c r="AD144" s="3">
        <f>N(W144)</f>
        <v/>
      </c>
      <c r="AE144" s="3">
        <f>SUM(Y144:AD144)</f>
        <v/>
      </c>
      <c r="AF144" s="3">
        <f>N(AE144)*N(M144)/90</f>
        <v/>
      </c>
      <c r="AG144" s="3">
        <f>IFERROR(AF144-VLOOKUP($C144,Assumptions!$A$29:$C$32,3,FALSE),"")</f>
        <v/>
      </c>
      <c r="AH144" s="3">
        <f>IFERROR(AG144/F144,"")</f>
        <v/>
      </c>
      <c r="AI144">
        <f>IF(AND($E144=TRUE,$C144="GKP"),AF144,"")</f>
        <v/>
      </c>
      <c r="AJ144">
        <f>IF(AND($E144=TRUE,$C144="DEF"),AF144,"")</f>
        <v/>
      </c>
      <c r="AK144">
        <f>IF(AND($E144=TRUE,$C144="MID"),AF144,"")</f>
        <v/>
      </c>
      <c r="AL144">
        <f>IF(AND($E144=TRUE,$C144="FWD"),AF144,"")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b">
        <v>1</v>
      </c>
      <c r="F145" s="2" t="n">
        <v>5</v>
      </c>
      <c r="G145" t="inlineStr">
        <is>
          <t>a</t>
        </is>
      </c>
      <c r="I145" s="2" t="n">
        <v>1869</v>
      </c>
      <c r="J145" t="n">
        <v>91</v>
      </c>
      <c r="K145" s="3" t="n">
        <v>5</v>
      </c>
      <c r="L145" t="inlineStr">
        <is>
          <t>flat</t>
        </is>
      </c>
      <c r="M145" s="4" t="n">
        <v>1869</v>
      </c>
      <c r="N145" s="4" t="n">
        <v>0.237</v>
      </c>
      <c r="O145" s="3" t="n">
        <v>0.0701</v>
      </c>
      <c r="P145" t="inlineStr">
        <is>
          <t>adjusted xGOT</t>
        </is>
      </c>
      <c r="Q145" s="3" t="n">
        <v>1.047</v>
      </c>
      <c r="R145" s="3" t="n">
        <v>7.7</v>
      </c>
      <c r="S145" s="3" t="n">
        <v>0.0738</v>
      </c>
      <c r="T145" s="3" t="n">
        <v>8.984999999999999</v>
      </c>
      <c r="U145" s="4" t="n">
        <v>85</v>
      </c>
      <c r="V145" s="3">
        <f>IF(OR(N(T145)=0,N(U145)=0),0,1-POISSON(IFERROR(VLOOKUP($C145,Assumptions!$A$4:$G$7,7,FALSE),99)-1,N(T145)*N(U145)/90,TRUE))</f>
        <v/>
      </c>
      <c r="W145" s="3" t="n">
        <v>0.4815</v>
      </c>
      <c r="X145" s="3" t="n">
        <v>2.071</v>
      </c>
      <c r="Y145" s="3">
        <f>IF(X145="",IFERROR(VLOOKUP($C145,Assumptions!$A$4:$G$7,6,FALSE),0),X145)</f>
        <v/>
      </c>
      <c r="Z145" s="3">
        <f>N(O145)*IFERROR(VLOOKUP($C145,Assumptions!$A$4:$G$7,2,FALSE),0)</f>
        <v/>
      </c>
      <c r="AA145" s="3">
        <f>N(S145)*IFERROR(VLOOKUP($C145,Assumptions!$A$4:$G$7,3,FALSE),0)*Assumptions!$B$11</f>
        <v/>
      </c>
      <c r="AB145" s="3">
        <f>N(N145)*IFERROR(VLOOKUP($C145,Assumptions!$A$4:$G$7,4,FALSE),0)</f>
        <v/>
      </c>
      <c r="AC145" s="3">
        <f>IF(N(U145)=0,0,V145*IFERROR(VLOOKUP($C145,Assumptions!$A$4:$G$7,5,FALSE),0)*90/N(U145))</f>
        <v/>
      </c>
      <c r="AD145" s="3">
        <f>N(W145)</f>
        <v/>
      </c>
      <c r="AE145" s="3">
        <f>SUM(Y145:AD145)</f>
        <v/>
      </c>
      <c r="AF145" s="3">
        <f>N(AE145)*N(M145)/90</f>
        <v/>
      </c>
      <c r="AG145" s="3">
        <f>IFERROR(AF145-VLOOKUP($C145,Assumptions!$A$29:$C$32,3,FALSE),"")</f>
        <v/>
      </c>
      <c r="AH145" s="3">
        <f>IFERROR(AG145/F145,"")</f>
        <v/>
      </c>
      <c r="AI145">
        <f>IF(AND($E145=TRUE,$C145="GKP"),AF145,"")</f>
        <v/>
      </c>
      <c r="AJ145">
        <f>IF(AND($E145=TRUE,$C145="DEF"),AF145,"")</f>
        <v/>
      </c>
      <c r="AK145">
        <f>IF(AND($E145=TRUE,$C145="MID"),AF145,"")</f>
        <v/>
      </c>
      <c r="AL145">
        <f>IF(AND($E145=TRUE,$C145="FWD"),AF145,"")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b">
        <v>1</v>
      </c>
      <c r="F146" s="2" t="n">
        <v>5</v>
      </c>
      <c r="G146" t="inlineStr">
        <is>
          <t>a</t>
        </is>
      </c>
      <c r="I146" s="2" t="n">
        <v>2904</v>
      </c>
      <c r="J146" t="n">
        <v>91</v>
      </c>
      <c r="K146" s="3" t="n">
        <v>2337</v>
      </c>
      <c r="L146" t="inlineStr">
        <is>
          <t>flat</t>
        </is>
      </c>
      <c r="M146" s="4" t="n">
        <v>2904</v>
      </c>
      <c r="N146" s="4" t="n">
        <v>0.237</v>
      </c>
      <c r="O146" s="3" t="n">
        <v>0.0373</v>
      </c>
      <c r="P146" t="inlineStr">
        <is>
          <t>adjusted xGOT</t>
        </is>
      </c>
      <c r="Q146" s="3" t="n">
        <v>0.781</v>
      </c>
      <c r="R146" s="3" t="n">
        <v>4</v>
      </c>
      <c r="S146" s="3" t="n">
        <v>0.054</v>
      </c>
      <c r="T146" s="3" t="n">
        <v>8.657999999999999</v>
      </c>
      <c r="U146" s="4" t="n">
        <v>85.40000000000001</v>
      </c>
      <c r="V146" s="3">
        <f>IF(OR(N(T146)=0,N(U146)=0),0,1-POISSON(IFERROR(VLOOKUP($C146,Assumptions!$A$4:$G$7,7,FALSE),99)-1,N(T146)*N(U146)/90,TRUE))</f>
        <v/>
      </c>
      <c r="W146" s="3" t="n">
        <v>0.093</v>
      </c>
      <c r="X146" s="3" t="n">
        <v>2.107</v>
      </c>
      <c r="Y146" s="3">
        <f>IF(X146="",IFERROR(VLOOKUP($C146,Assumptions!$A$4:$G$7,6,FALSE),0),X146)</f>
        <v/>
      </c>
      <c r="Z146" s="3">
        <f>N(O146)*IFERROR(VLOOKUP($C146,Assumptions!$A$4:$G$7,2,FALSE),0)</f>
        <v/>
      </c>
      <c r="AA146" s="3">
        <f>N(S146)*IFERROR(VLOOKUP($C146,Assumptions!$A$4:$G$7,3,FALSE),0)*Assumptions!$B$11</f>
        <v/>
      </c>
      <c r="AB146" s="3">
        <f>N(N146)*IFERROR(VLOOKUP($C146,Assumptions!$A$4:$G$7,4,FALSE),0)</f>
        <v/>
      </c>
      <c r="AC146" s="3">
        <f>IF(N(U146)=0,0,V146*IFERROR(VLOOKUP($C146,Assumptions!$A$4:$G$7,5,FALSE),0)*90/N(U146))</f>
        <v/>
      </c>
      <c r="AD146" s="3">
        <f>N(W146)</f>
        <v/>
      </c>
      <c r="AE146" s="3">
        <f>SUM(Y146:AD146)</f>
        <v/>
      </c>
      <c r="AF146" s="3">
        <f>N(AE146)*N(M146)/90</f>
        <v/>
      </c>
      <c r="AG146" s="3">
        <f>IFERROR(AF146-VLOOKUP($C146,Assumptions!$A$29:$C$32,3,FALSE),"")</f>
        <v/>
      </c>
      <c r="AH146" s="3">
        <f>IFERROR(AG146/F146,"")</f>
        <v/>
      </c>
      <c r="AI146">
        <f>IF(AND($E146=TRUE,$C146="GKP"),AF146,"")</f>
        <v/>
      </c>
      <c r="AJ146">
        <f>IF(AND($E146=TRUE,$C146="DEF"),AF146,"")</f>
        <v/>
      </c>
      <c r="AK146">
        <f>IF(AND($E146=TRUE,$C146="MID"),AF146,"")</f>
        <v/>
      </c>
      <c r="AL146">
        <f>IF(AND($E146=TRUE,$C146="FWD"),AF146,"")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b">
        <v>1</v>
      </c>
      <c r="F147" s="2" t="n">
        <v>6</v>
      </c>
      <c r="G147" t="inlineStr">
        <is>
          <t>a</t>
        </is>
      </c>
      <c r="I147" s="2" t="n">
        <v>2339</v>
      </c>
      <c r="J147" t="n">
        <v>91</v>
      </c>
      <c r="K147" s="3" t="n">
        <v>1653</v>
      </c>
      <c r="L147" t="inlineStr">
        <is>
          <t>fade (losing his place)</t>
        </is>
      </c>
      <c r="M147" s="4" t="n">
        <v>2339</v>
      </c>
      <c r="N147" s="4" t="n">
        <v>0.21</v>
      </c>
      <c r="O147" s="3" t="n">
        <v>0.2011</v>
      </c>
      <c r="P147" t="inlineStr">
        <is>
          <t>adjusted xGOT</t>
        </is>
      </c>
      <c r="Q147" s="3" t="n">
        <v>0.957</v>
      </c>
      <c r="R147" s="3" t="n">
        <v>10.7</v>
      </c>
      <c r="S147" s="3" t="n">
        <v>0.1998</v>
      </c>
      <c r="T147" s="3" t="n">
        <v>7.844</v>
      </c>
      <c r="U147" s="4" t="n">
        <v>86.59999999999999</v>
      </c>
      <c r="V147" s="3">
        <f>IF(OR(N(T147)=0,N(U147)=0),0,1-POISSON(IFERROR(VLOOKUP($C147,Assumptions!$A$4:$G$7,7,FALSE),99)-1,N(T147)*N(U147)/90,TRUE))</f>
        <v/>
      </c>
      <c r="W147" s="3" t="n">
        <v>0.2309</v>
      </c>
      <c r="X147" s="3" t="n">
        <v>2.116</v>
      </c>
      <c r="Y147" s="3">
        <f>IF(X147="",IFERROR(VLOOKUP($C147,Assumptions!$A$4:$G$7,6,FALSE),0),X147)</f>
        <v/>
      </c>
      <c r="Z147" s="3">
        <f>N(O147)*IFERROR(VLOOKUP($C147,Assumptions!$A$4:$G$7,2,FALSE),0)</f>
        <v/>
      </c>
      <c r="AA147" s="3">
        <f>N(S147)*IFERROR(VLOOKUP($C147,Assumptions!$A$4:$G$7,3,FALSE),0)*Assumptions!$B$11</f>
        <v/>
      </c>
      <c r="AB147" s="3">
        <f>N(N147)*IFERROR(VLOOKUP($C147,Assumptions!$A$4:$G$7,4,FALSE),0)</f>
        <v/>
      </c>
      <c r="AC147" s="3">
        <f>IF(N(U147)=0,0,V147*IFERROR(VLOOKUP($C147,Assumptions!$A$4:$G$7,5,FALSE),0)*90/N(U147))</f>
        <v/>
      </c>
      <c r="AD147" s="3">
        <f>N(W147)</f>
        <v/>
      </c>
      <c r="AE147" s="3">
        <f>SUM(Y147:AD147)</f>
        <v/>
      </c>
      <c r="AF147" s="3">
        <f>N(AE147)*N(M147)/90</f>
        <v/>
      </c>
      <c r="AG147" s="3">
        <f>IFERROR(AF147-VLOOKUP($C147,Assumptions!$A$29:$C$32,3,FALSE),"")</f>
        <v/>
      </c>
      <c r="AH147" s="3">
        <f>IFERROR(AG147/F147,"")</f>
        <v/>
      </c>
      <c r="AI147">
        <f>IF(AND($E147=TRUE,$C147="GKP"),AF147,"")</f>
        <v/>
      </c>
      <c r="AJ147">
        <f>IF(AND($E147=TRUE,$C147="DEF"),AF147,"")</f>
        <v/>
      </c>
      <c r="AK147">
        <f>IF(AND($E147=TRUE,$C147="MID"),AF147,"")</f>
        <v/>
      </c>
      <c r="AL147">
        <f>IF(AND($E147=TRUE,$C147="FWD"),AF147,"")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b">
        <v>1</v>
      </c>
      <c r="F148" s="2" t="n">
        <v>5.5</v>
      </c>
      <c r="G148" t="inlineStr">
        <is>
          <t>a</t>
        </is>
      </c>
      <c r="I148" s="2" t="n">
        <v>2340</v>
      </c>
      <c r="J148" t="n">
        <v>91</v>
      </c>
      <c r="K148" s="3" t="n">
        <v>3385</v>
      </c>
      <c r="L148" t="inlineStr">
        <is>
          <t>flat</t>
        </is>
      </c>
      <c r="M148" s="4" t="n">
        <v>2340</v>
      </c>
      <c r="N148" s="4" t="n">
        <v>0.263</v>
      </c>
      <c r="O148" s="3" t="n">
        <v>0</v>
      </c>
      <c r="P148" t="inlineStr">
        <is>
          <t>blended xG</t>
        </is>
      </c>
      <c r="Q148" s="3" t="n">
        <v>1</v>
      </c>
      <c r="R148" s="3" t="n">
        <v>0</v>
      </c>
      <c r="S148" s="3" t="n">
        <v>0.0005999999999999999</v>
      </c>
      <c r="T148" s="3" t="n">
        <v>0</v>
      </c>
      <c r="U148" s="4" t="n">
        <v>90</v>
      </c>
      <c r="V148" s="3">
        <f>IF(OR(N(T148)=0,N(U148)=0),0,1-POISSON(IFERROR(VLOOKUP($C148,Assumptions!$A$4:$G$7,7,FALSE),99)-1,N(T148)*N(U148)/90,TRUE))</f>
        <v/>
      </c>
      <c r="W148" s="3" t="n">
        <v>0.3077</v>
      </c>
      <c r="X148" s="3" t="n">
        <v>2</v>
      </c>
      <c r="Y148" s="3">
        <f>IF(X148="",IFERROR(VLOOKUP($C148,Assumptions!$A$4:$G$7,6,FALSE),0),X148)</f>
        <v/>
      </c>
      <c r="Z148" s="3">
        <f>N(O148)*IFERROR(VLOOKUP($C148,Assumptions!$A$4:$G$7,2,FALSE),0)</f>
        <v/>
      </c>
      <c r="AA148" s="3">
        <f>N(S148)*IFERROR(VLOOKUP($C148,Assumptions!$A$4:$G$7,3,FALSE),0)*Assumptions!$B$11</f>
        <v/>
      </c>
      <c r="AB148" s="3">
        <f>N(N148)*IFERROR(VLOOKUP($C148,Assumptions!$A$4:$G$7,4,FALSE),0)</f>
        <v/>
      </c>
      <c r="AC148" s="3">
        <f>IF(N(U148)=0,0,V148*IFERROR(VLOOKUP($C148,Assumptions!$A$4:$G$7,5,FALSE),0)*90/N(U148))</f>
        <v/>
      </c>
      <c r="AD148" s="3">
        <f>N(W148)</f>
        <v/>
      </c>
      <c r="AE148" s="3">
        <f>SUM(Y148:AD148)</f>
        <v/>
      </c>
      <c r="AF148" s="3">
        <f>N(AE148)*N(M148)/90</f>
        <v/>
      </c>
      <c r="AG148" s="3">
        <f>IFERROR(AF148-VLOOKUP($C148,Assumptions!$A$29:$C$32,3,FALSE),"")</f>
        <v/>
      </c>
      <c r="AH148" s="3">
        <f>IFERROR(AG148/F148,"")</f>
        <v/>
      </c>
      <c r="AI148">
        <f>IF(AND($E148=TRUE,$C148="GKP"),AF148,"")</f>
        <v/>
      </c>
      <c r="AJ148">
        <f>IF(AND($E148=TRUE,$C148="DEF"),AF148,"")</f>
        <v/>
      </c>
      <c r="AK148">
        <f>IF(AND($E148=TRUE,$C148="MID"),AF148,"")</f>
        <v/>
      </c>
      <c r="AL148">
        <f>IF(AND($E148=TRUE,$C148="FWD"),AF148,"")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b">
        <v>1</v>
      </c>
      <c r="F149" s="2" t="n">
        <v>4.5</v>
      </c>
      <c r="G149" t="inlineStr">
        <is>
          <t>a</t>
        </is>
      </c>
      <c r="I149" s="2" t="n">
        <v>2790</v>
      </c>
      <c r="J149" t="n">
        <v>90</v>
      </c>
      <c r="K149" s="3" t="n">
        <v>0</v>
      </c>
      <c r="L149" t="inlineStr">
        <is>
          <t>flat</t>
        </is>
      </c>
      <c r="M149" s="4" t="n">
        <v>2790</v>
      </c>
      <c r="N149" s="4" t="n">
        <v>0.237</v>
      </c>
      <c r="O149" s="3" t="n">
        <v>0</v>
      </c>
      <c r="P149" t="inlineStr">
        <is>
          <t>blended xG</t>
        </is>
      </c>
      <c r="Q149" s="3" t="n">
        <v>1</v>
      </c>
      <c r="R149" s="3" t="n">
        <v>0</v>
      </c>
      <c r="S149" s="3" t="n">
        <v>0.0018</v>
      </c>
      <c r="T149" s="3" t="n">
        <v>0</v>
      </c>
      <c r="U149" s="4" t="n">
        <v>90</v>
      </c>
      <c r="V149" s="3">
        <f>IF(OR(N(T149)=0,N(U149)=0),0,1-POISSON(IFERROR(VLOOKUP($C149,Assumptions!$A$4:$G$7,7,FALSE),99)-1,N(T149)*N(U149)/90,TRUE))</f>
        <v/>
      </c>
      <c r="W149" s="3" t="n">
        <v>0.2258</v>
      </c>
      <c r="X149" s="3" t="n">
        <v>2</v>
      </c>
      <c r="Y149" s="3">
        <f>IF(X149="",IFERROR(VLOOKUP($C149,Assumptions!$A$4:$G$7,6,FALSE),0),X149)</f>
        <v/>
      </c>
      <c r="Z149" s="3">
        <f>N(O149)*IFERROR(VLOOKUP($C149,Assumptions!$A$4:$G$7,2,FALSE),0)</f>
        <v/>
      </c>
      <c r="AA149" s="3">
        <f>N(S149)*IFERROR(VLOOKUP($C149,Assumptions!$A$4:$G$7,3,FALSE),0)*Assumptions!$B$11</f>
        <v/>
      </c>
      <c r="AB149" s="3">
        <f>N(N149)*IFERROR(VLOOKUP($C149,Assumptions!$A$4:$G$7,4,FALSE),0)</f>
        <v/>
      </c>
      <c r="AC149" s="3">
        <f>IF(N(U149)=0,0,V149*IFERROR(VLOOKUP($C149,Assumptions!$A$4:$G$7,5,FALSE),0)*90/N(U149))</f>
        <v/>
      </c>
      <c r="AD149" s="3">
        <f>N(W149)</f>
        <v/>
      </c>
      <c r="AE149" s="3">
        <f>SUM(Y149:AD149)</f>
        <v/>
      </c>
      <c r="AF149" s="3">
        <f>N(AE149)*N(M149)/90</f>
        <v/>
      </c>
      <c r="AG149" s="3">
        <f>IFERROR(AF149-VLOOKUP($C149,Assumptions!$A$29:$C$32,3,FALSE),"")</f>
        <v/>
      </c>
      <c r="AH149" s="3">
        <f>IFERROR(AG149/F149,"")</f>
        <v/>
      </c>
      <c r="AI149">
        <f>IF(AND($E149=TRUE,$C149="GKP"),AF149,"")</f>
        <v/>
      </c>
      <c r="AJ149">
        <f>IF(AND($E149=TRUE,$C149="DEF"),AF149,"")</f>
        <v/>
      </c>
      <c r="AK149">
        <f>IF(AND($E149=TRUE,$C149="MID"),AF149,"")</f>
        <v/>
      </c>
      <c r="AL149">
        <f>IF(AND($E149=TRUE,$C149="FWD"),AF149,"")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b">
        <v>1</v>
      </c>
      <c r="F150" s="2" t="n">
        <v>5</v>
      </c>
      <c r="G150" t="inlineStr">
        <is>
          <t>a</t>
        </is>
      </c>
      <c r="I150" s="2" t="n">
        <v>1649</v>
      </c>
      <c r="J150" t="n">
        <v>90</v>
      </c>
      <c r="K150" s="3" t="n">
        <v>1972</v>
      </c>
      <c r="L150" t="inlineStr">
        <is>
          <t>flat</t>
        </is>
      </c>
      <c r="M150" s="4" t="n">
        <v>1649</v>
      </c>
      <c r="N150" s="4" t="n">
        <v>0.21</v>
      </c>
      <c r="O150" s="3" t="n">
        <v>0.0541</v>
      </c>
      <c r="P150" t="inlineStr">
        <is>
          <t>adjusted xGOT</t>
        </is>
      </c>
      <c r="Q150" s="3" t="n">
        <v>0.885</v>
      </c>
      <c r="R150" s="3" t="n">
        <v>5.2</v>
      </c>
      <c r="S150" s="3" t="n">
        <v>0.0334</v>
      </c>
      <c r="T150" s="3" t="n">
        <v>8.071999999999999</v>
      </c>
      <c r="U150" s="4" t="n">
        <v>86.8</v>
      </c>
      <c r="V150" s="3">
        <f>IF(OR(N(T150)=0,N(U150)=0),0,1-POISSON(IFERROR(VLOOKUP($C150,Assumptions!$A$4:$G$7,7,FALSE),99)-1,N(T150)*N(U150)/90,TRUE))</f>
        <v/>
      </c>
      <c r="W150" s="3" t="n">
        <v>0.2183</v>
      </c>
      <c r="X150" s="3" t="n">
        <v>2.292</v>
      </c>
      <c r="Y150" s="3">
        <f>IF(X150="",IFERROR(VLOOKUP($C150,Assumptions!$A$4:$G$7,6,FALSE),0),X150)</f>
        <v/>
      </c>
      <c r="Z150" s="3">
        <f>N(O150)*IFERROR(VLOOKUP($C150,Assumptions!$A$4:$G$7,2,FALSE),0)</f>
        <v/>
      </c>
      <c r="AA150" s="3">
        <f>N(S150)*IFERROR(VLOOKUP($C150,Assumptions!$A$4:$G$7,3,FALSE),0)*Assumptions!$B$11</f>
        <v/>
      </c>
      <c r="AB150" s="3">
        <f>N(N150)*IFERROR(VLOOKUP($C150,Assumptions!$A$4:$G$7,4,FALSE),0)</f>
        <v/>
      </c>
      <c r="AC150" s="3">
        <f>IF(N(U150)=0,0,V150*IFERROR(VLOOKUP($C150,Assumptions!$A$4:$G$7,5,FALSE),0)*90/N(U150))</f>
        <v/>
      </c>
      <c r="AD150" s="3">
        <f>N(W150)</f>
        <v/>
      </c>
      <c r="AE150" s="3">
        <f>SUM(Y150:AD150)</f>
        <v/>
      </c>
      <c r="AF150" s="3">
        <f>N(AE150)*N(M150)/90</f>
        <v/>
      </c>
      <c r="AG150" s="3">
        <f>IFERROR(AF150-VLOOKUP($C150,Assumptions!$A$29:$C$32,3,FALSE),"")</f>
        <v/>
      </c>
      <c r="AH150" s="3">
        <f>IFERROR(AG150/F150,"")</f>
        <v/>
      </c>
      <c r="AI150">
        <f>IF(AND($E150=TRUE,$C150="GKP"),AF150,"")</f>
        <v/>
      </c>
      <c r="AJ150">
        <f>IF(AND($E150=TRUE,$C150="DEF"),AF150,"")</f>
        <v/>
      </c>
      <c r="AK150">
        <f>IF(AND($E150=TRUE,$C150="MID"),AF150,"")</f>
        <v/>
      </c>
      <c r="AL150">
        <f>IF(AND($E150=TRUE,$C150="FWD"),AF150,"")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b">
        <v>1</v>
      </c>
      <c r="F151" s="2" t="n">
        <v>5</v>
      </c>
      <c r="G151" t="inlineStr">
        <is>
          <t>a</t>
        </is>
      </c>
      <c r="I151" s="2" t="n">
        <v>1834</v>
      </c>
      <c r="J151" t="n">
        <v>89</v>
      </c>
      <c r="K151" s="3" t="n">
        <v>2440</v>
      </c>
      <c r="L151" t="inlineStr">
        <is>
          <t>flat</t>
        </is>
      </c>
      <c r="M151" s="4" t="n">
        <v>1834</v>
      </c>
      <c r="N151" s="4" t="n">
        <v>0.21</v>
      </c>
      <c r="O151" s="3" t="n">
        <v>0.0794</v>
      </c>
      <c r="P151" t="inlineStr">
        <is>
          <t>adjusted xGOT</t>
        </is>
      </c>
      <c r="Q151" s="3" t="n">
        <v>0.9350000000000001</v>
      </c>
      <c r="R151" s="3" t="n">
        <v>5.7</v>
      </c>
      <c r="S151" s="3" t="n">
        <v>0.0575</v>
      </c>
      <c r="T151" s="3" t="n">
        <v>9.778</v>
      </c>
      <c r="U151" s="4" t="n">
        <v>87.3</v>
      </c>
      <c r="V151" s="3">
        <f>IF(OR(N(T151)=0,N(U151)=0),0,1-POISSON(IFERROR(VLOOKUP($C151,Assumptions!$A$4:$G$7,7,FALSE),99)-1,N(T151)*N(U151)/90,TRUE))</f>
        <v/>
      </c>
      <c r="W151" s="3" t="n">
        <v>0.2944</v>
      </c>
      <c r="X151" s="3" t="n">
        <v>2.208</v>
      </c>
      <c r="Y151" s="3">
        <f>IF(X151="",IFERROR(VLOOKUP($C151,Assumptions!$A$4:$G$7,6,FALSE),0),X151)</f>
        <v/>
      </c>
      <c r="Z151" s="3">
        <f>N(O151)*IFERROR(VLOOKUP($C151,Assumptions!$A$4:$G$7,2,FALSE),0)</f>
        <v/>
      </c>
      <c r="AA151" s="3">
        <f>N(S151)*IFERROR(VLOOKUP($C151,Assumptions!$A$4:$G$7,3,FALSE),0)*Assumptions!$B$11</f>
        <v/>
      </c>
      <c r="AB151" s="3">
        <f>N(N151)*IFERROR(VLOOKUP($C151,Assumptions!$A$4:$G$7,4,FALSE),0)</f>
        <v/>
      </c>
      <c r="AC151" s="3">
        <f>IF(N(U151)=0,0,V151*IFERROR(VLOOKUP($C151,Assumptions!$A$4:$G$7,5,FALSE),0)*90/N(U151))</f>
        <v/>
      </c>
      <c r="AD151" s="3">
        <f>N(W151)</f>
        <v/>
      </c>
      <c r="AE151" s="3">
        <f>SUM(Y151:AD151)</f>
        <v/>
      </c>
      <c r="AF151" s="3">
        <f>N(AE151)*N(M151)/90</f>
        <v/>
      </c>
      <c r="AG151" s="3">
        <f>IFERROR(AF151-VLOOKUP($C151,Assumptions!$A$29:$C$32,3,FALSE),"")</f>
        <v/>
      </c>
      <c r="AH151" s="3">
        <f>IFERROR(AG151/F151,"")</f>
        <v/>
      </c>
      <c r="AI151">
        <f>IF(AND($E151=TRUE,$C151="GKP"),AF151,"")</f>
        <v/>
      </c>
      <c r="AJ151">
        <f>IF(AND($E151=TRUE,$C151="DEF"),AF151,"")</f>
        <v/>
      </c>
      <c r="AK151">
        <f>IF(AND($E151=TRUE,$C151="MID"),AF151,"")</f>
        <v/>
      </c>
      <c r="AL151">
        <f>IF(AND($E151=TRUE,$C151="FWD"),AF151,"")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b">
        <v>1</v>
      </c>
      <c r="F152" s="2" t="n">
        <v>5</v>
      </c>
      <c r="G152" t="inlineStr">
        <is>
          <t>a</t>
        </is>
      </c>
      <c r="I152" s="2" t="n">
        <v>2073</v>
      </c>
      <c r="J152" t="n">
        <v>89</v>
      </c>
      <c r="K152" s="3" t="n">
        <v>2998</v>
      </c>
      <c r="L152" t="inlineStr">
        <is>
          <t>flat</t>
        </is>
      </c>
      <c r="M152" s="4" t="n">
        <v>2073</v>
      </c>
      <c r="N152" s="4" t="n">
        <v>0.237</v>
      </c>
      <c r="O152" s="3" t="n">
        <v>0.0511</v>
      </c>
      <c r="P152" t="inlineStr">
        <is>
          <t>adjusted xGOT</t>
        </is>
      </c>
      <c r="Q152" s="3" t="n">
        <v>1.015</v>
      </c>
      <c r="R152" s="3" t="n">
        <v>1.8</v>
      </c>
      <c r="S152" s="3" t="n">
        <v>0.07049999999999999</v>
      </c>
      <c r="T152" s="3" t="n">
        <v>10.815</v>
      </c>
      <c r="U152" s="4" t="n">
        <v>82.90000000000001</v>
      </c>
      <c r="V152" s="3">
        <f>IF(OR(N(T152)=0,N(U152)=0),0,1-POISSON(IFERROR(VLOOKUP($C152,Assumptions!$A$4:$G$7,7,FALSE),99)-1,N(T152)*N(U152)/90,TRUE))</f>
        <v/>
      </c>
      <c r="W152" s="3" t="n">
        <v>0.0868</v>
      </c>
      <c r="X152" s="3" t="n">
        <v>2.171</v>
      </c>
      <c r="Y152" s="3">
        <f>IF(X152="",IFERROR(VLOOKUP($C152,Assumptions!$A$4:$G$7,6,FALSE),0),X152)</f>
        <v/>
      </c>
      <c r="Z152" s="3">
        <f>N(O152)*IFERROR(VLOOKUP($C152,Assumptions!$A$4:$G$7,2,FALSE),0)</f>
        <v/>
      </c>
      <c r="AA152" s="3">
        <f>N(S152)*IFERROR(VLOOKUP($C152,Assumptions!$A$4:$G$7,3,FALSE),0)*Assumptions!$B$11</f>
        <v/>
      </c>
      <c r="AB152" s="3">
        <f>N(N152)*IFERROR(VLOOKUP($C152,Assumptions!$A$4:$G$7,4,FALSE),0)</f>
        <v/>
      </c>
      <c r="AC152" s="3">
        <f>IF(N(U152)=0,0,V152*IFERROR(VLOOKUP($C152,Assumptions!$A$4:$G$7,5,FALSE),0)*90/N(U152))</f>
        <v/>
      </c>
      <c r="AD152" s="3">
        <f>N(W152)</f>
        <v/>
      </c>
      <c r="AE152" s="3">
        <f>SUM(Y152:AD152)</f>
        <v/>
      </c>
      <c r="AF152" s="3">
        <f>N(AE152)*N(M152)/90</f>
        <v/>
      </c>
      <c r="AG152" s="3">
        <f>IFERROR(AF152-VLOOKUP($C152,Assumptions!$A$29:$C$32,3,FALSE),"")</f>
        <v/>
      </c>
      <c r="AH152" s="3">
        <f>IFERROR(AG152/F152,"")</f>
        <v/>
      </c>
      <c r="AI152">
        <f>IF(AND($E152=TRUE,$C152="GKP"),AF152,"")</f>
        <v/>
      </c>
      <c r="AJ152">
        <f>IF(AND($E152=TRUE,$C152="DEF"),AF152,"")</f>
        <v/>
      </c>
      <c r="AK152">
        <f>IF(AND($E152=TRUE,$C152="MID"),AF152,"")</f>
        <v/>
      </c>
      <c r="AL152">
        <f>IF(AND($E152=TRUE,$C152="FWD"),AF152,"")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b">
        <v>1</v>
      </c>
      <c r="F153" s="2" t="n">
        <v>6</v>
      </c>
      <c r="G153" t="inlineStr">
        <is>
          <t>a</t>
        </is>
      </c>
      <c r="I153" s="2" t="n">
        <v>1838</v>
      </c>
      <c r="J153" t="n">
        <v>88</v>
      </c>
      <c r="K153" s="3" t="n">
        <v>739</v>
      </c>
      <c r="L153" t="inlineStr">
        <is>
          <t>flat</t>
        </is>
      </c>
      <c r="M153" s="4" t="n">
        <v>1838</v>
      </c>
      <c r="N153" s="4" t="n">
        <v>0.237</v>
      </c>
      <c r="O153" s="3" t="n">
        <v>0.1583</v>
      </c>
      <c r="P153" t="inlineStr">
        <is>
          <t>adjusted xGOT</t>
        </is>
      </c>
      <c r="Q153" s="3" t="n">
        <v>1.167</v>
      </c>
      <c r="R153" s="3" t="n">
        <v>7.9</v>
      </c>
      <c r="S153" s="3" t="n">
        <v>0.1703</v>
      </c>
      <c r="T153" s="3" t="n">
        <v>6.144</v>
      </c>
      <c r="U153" s="4" t="n">
        <v>87.5</v>
      </c>
      <c r="V153" s="3">
        <f>IF(OR(N(T153)=0,N(U153)=0),0,1-POISSON(IFERROR(VLOOKUP($C153,Assumptions!$A$4:$G$7,7,FALSE),99)-1,N(T153)*N(U153)/90,TRUE))</f>
        <v/>
      </c>
      <c r="W153" s="3" t="n">
        <v>0.3917</v>
      </c>
      <c r="X153" s="3" t="n">
        <v>2.301</v>
      </c>
      <c r="Y153" s="3">
        <f>IF(X153="",IFERROR(VLOOKUP($C153,Assumptions!$A$4:$G$7,6,FALSE),0),X153)</f>
        <v/>
      </c>
      <c r="Z153" s="3">
        <f>N(O153)*IFERROR(VLOOKUP($C153,Assumptions!$A$4:$G$7,2,FALSE),0)</f>
        <v/>
      </c>
      <c r="AA153" s="3">
        <f>N(S153)*IFERROR(VLOOKUP($C153,Assumptions!$A$4:$G$7,3,FALSE),0)*Assumptions!$B$11</f>
        <v/>
      </c>
      <c r="AB153" s="3">
        <f>N(N153)*IFERROR(VLOOKUP($C153,Assumptions!$A$4:$G$7,4,FALSE),0)</f>
        <v/>
      </c>
      <c r="AC153" s="3">
        <f>IF(N(U153)=0,0,V153*IFERROR(VLOOKUP($C153,Assumptions!$A$4:$G$7,5,FALSE),0)*90/N(U153))</f>
        <v/>
      </c>
      <c r="AD153" s="3">
        <f>N(W153)</f>
        <v/>
      </c>
      <c r="AE153" s="3">
        <f>SUM(Y153:AD153)</f>
        <v/>
      </c>
      <c r="AF153" s="3">
        <f>N(AE153)*N(M153)/90</f>
        <v/>
      </c>
      <c r="AG153" s="3">
        <f>IFERROR(AF153-VLOOKUP($C153,Assumptions!$A$29:$C$32,3,FALSE),"")</f>
        <v/>
      </c>
      <c r="AH153" s="3">
        <f>IFERROR(AG153/F153,"")</f>
        <v/>
      </c>
      <c r="AI153">
        <f>IF(AND($E153=TRUE,$C153="GKP"),AF153,"")</f>
        <v/>
      </c>
      <c r="AJ153">
        <f>IF(AND($E153=TRUE,$C153="DEF"),AF153,"")</f>
        <v/>
      </c>
      <c r="AK153">
        <f>IF(AND($E153=TRUE,$C153="MID"),AF153,"")</f>
        <v/>
      </c>
      <c r="AL153">
        <f>IF(AND($E153=TRUE,$C153="FWD"),AF153,"")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b">
        <v>1</v>
      </c>
      <c r="F154" s="2" t="n">
        <v>5.5</v>
      </c>
      <c r="G154" t="inlineStr">
        <is>
          <t>a</t>
        </is>
      </c>
      <c r="I154" s="2" t="n">
        <v>1776</v>
      </c>
      <c r="J154" t="n">
        <v>87</v>
      </c>
      <c r="K154" s="3" t="n">
        <v>2611</v>
      </c>
      <c r="L154" t="inlineStr">
        <is>
          <t>flat</t>
        </is>
      </c>
      <c r="M154" s="4" t="n">
        <v>1776</v>
      </c>
      <c r="N154" s="4" t="n">
        <v>0.263</v>
      </c>
      <c r="O154" s="3" t="n">
        <v>0.1425</v>
      </c>
      <c r="P154" t="inlineStr">
        <is>
          <t>adjusted xGOT</t>
        </is>
      </c>
      <c r="Q154" s="3" t="n">
        <v>0.97</v>
      </c>
      <c r="R154" s="3" t="n">
        <v>7.9</v>
      </c>
      <c r="S154" s="3" t="n">
        <v>0.19</v>
      </c>
      <c r="T154" s="3" t="n">
        <v>7.198</v>
      </c>
      <c r="U154" s="4" t="n">
        <v>88.8</v>
      </c>
      <c r="V154" s="3">
        <f>IF(OR(N(T154)=0,N(U154)=0),0,1-POISSON(IFERROR(VLOOKUP($C154,Assumptions!$A$4:$G$7,7,FALSE),99)-1,N(T154)*N(U154)/90,TRUE))</f>
        <v/>
      </c>
      <c r="W154" s="3" t="n">
        <v>0.1014</v>
      </c>
      <c r="X154" s="3" t="n">
        <v>2.534</v>
      </c>
      <c r="Y154" s="3">
        <f>IF(X154="",IFERROR(VLOOKUP($C154,Assumptions!$A$4:$G$7,6,FALSE),0),X154)</f>
        <v/>
      </c>
      <c r="Z154" s="3">
        <f>N(O154)*IFERROR(VLOOKUP($C154,Assumptions!$A$4:$G$7,2,FALSE),0)</f>
        <v/>
      </c>
      <c r="AA154" s="3">
        <f>N(S154)*IFERROR(VLOOKUP($C154,Assumptions!$A$4:$G$7,3,FALSE),0)*Assumptions!$B$11</f>
        <v/>
      </c>
      <c r="AB154" s="3">
        <f>N(N154)*IFERROR(VLOOKUP($C154,Assumptions!$A$4:$G$7,4,FALSE),0)</f>
        <v/>
      </c>
      <c r="AC154" s="3">
        <f>IF(N(U154)=0,0,V154*IFERROR(VLOOKUP($C154,Assumptions!$A$4:$G$7,5,FALSE),0)*90/N(U154))</f>
        <v/>
      </c>
      <c r="AD154" s="3">
        <f>N(W154)</f>
        <v/>
      </c>
      <c r="AE154" s="3">
        <f>SUM(Y154:AD154)</f>
        <v/>
      </c>
      <c r="AF154" s="3">
        <f>N(AE154)*N(M154)/90</f>
        <v/>
      </c>
      <c r="AG154" s="3">
        <f>IFERROR(AF154-VLOOKUP($C154,Assumptions!$A$29:$C$32,3,FALSE),"")</f>
        <v/>
      </c>
      <c r="AH154" s="3">
        <f>IFERROR(AG154/F154,"")</f>
        <v/>
      </c>
      <c r="AI154">
        <f>IF(AND($E154=TRUE,$C154="GKP"),AF154,"")</f>
        <v/>
      </c>
      <c r="AJ154">
        <f>IF(AND($E154=TRUE,$C154="DEF"),AF154,"")</f>
        <v/>
      </c>
      <c r="AK154">
        <f>IF(AND($E154=TRUE,$C154="MID"),AF154,"")</f>
        <v/>
      </c>
      <c r="AL154">
        <f>IF(AND($E154=TRUE,$C154="FWD"),AF154,"")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b">
        <v>1</v>
      </c>
      <c r="F155" s="2" t="n">
        <v>5.5</v>
      </c>
      <c r="G155" t="inlineStr">
        <is>
          <t>a</t>
        </is>
      </c>
      <c r="I155" s="2" t="n">
        <v>1787</v>
      </c>
      <c r="J155" t="n">
        <v>87</v>
      </c>
      <c r="K155" s="3" t="n">
        <v>1043</v>
      </c>
      <c r="L155" t="inlineStr">
        <is>
          <t>flat</t>
        </is>
      </c>
      <c r="M155" s="4" t="n">
        <v>1787</v>
      </c>
      <c r="N155" s="4" t="n">
        <v>0.5</v>
      </c>
      <c r="O155" s="3" t="n">
        <v>0.018</v>
      </c>
      <c r="P155" t="inlineStr">
        <is>
          <t>adjusted xGOT</t>
        </is>
      </c>
      <c r="Q155" s="3" t="n">
        <v>0.993</v>
      </c>
      <c r="R155" s="3" t="n">
        <v>0.4</v>
      </c>
      <c r="S155" s="3" t="n">
        <v>0.0956</v>
      </c>
      <c r="T155" s="3" t="n">
        <v>8.346</v>
      </c>
      <c r="U155" s="4" t="n">
        <v>89.40000000000001</v>
      </c>
      <c r="V155" s="3">
        <f>IF(OR(N(T155)=0,N(U155)=0),0,1-POISSON(IFERROR(VLOOKUP($C155,Assumptions!$A$4:$G$7,7,FALSE),99)-1,N(T155)*N(U155)/90,TRUE))</f>
        <v/>
      </c>
      <c r="W155" s="3" t="n">
        <v>0.2518</v>
      </c>
      <c r="X155" s="3" t="n">
        <v>2.166</v>
      </c>
      <c r="Y155" s="3">
        <f>IF(X155="",IFERROR(VLOOKUP($C155,Assumptions!$A$4:$G$7,6,FALSE),0),X155)</f>
        <v/>
      </c>
      <c r="Z155" s="3">
        <f>N(O155)*IFERROR(VLOOKUP($C155,Assumptions!$A$4:$G$7,2,FALSE),0)</f>
        <v/>
      </c>
      <c r="AA155" s="3">
        <f>N(S155)*IFERROR(VLOOKUP($C155,Assumptions!$A$4:$G$7,3,FALSE),0)*Assumptions!$B$11</f>
        <v/>
      </c>
      <c r="AB155" s="3">
        <f>N(N155)*IFERROR(VLOOKUP($C155,Assumptions!$A$4:$G$7,4,FALSE),0)</f>
        <v/>
      </c>
      <c r="AC155" s="3">
        <f>IF(N(U155)=0,0,V155*IFERROR(VLOOKUP($C155,Assumptions!$A$4:$G$7,5,FALSE),0)*90/N(U155))</f>
        <v/>
      </c>
      <c r="AD155" s="3">
        <f>N(W155)</f>
        <v/>
      </c>
      <c r="AE155" s="3">
        <f>SUM(Y155:AD155)</f>
        <v/>
      </c>
      <c r="AF155" s="3">
        <f>N(AE155)*N(M155)/90</f>
        <v/>
      </c>
      <c r="AG155" s="3">
        <f>IFERROR(AF155-VLOOKUP($C155,Assumptions!$A$29:$C$32,3,FALSE),"")</f>
        <v/>
      </c>
      <c r="AH155" s="3">
        <f>IFERROR(AG155/F155,"")</f>
        <v/>
      </c>
      <c r="AI155">
        <f>IF(AND($E155=TRUE,$C155="GKP"),AF155,"")</f>
        <v/>
      </c>
      <c r="AJ155">
        <f>IF(AND($E155=TRUE,$C155="DEF"),AF155,"")</f>
        <v/>
      </c>
      <c r="AK155">
        <f>IF(AND($E155=TRUE,$C155="MID"),AF155,"")</f>
        <v/>
      </c>
      <c r="AL155">
        <f>IF(AND($E155=TRUE,$C155="FWD"),AF155,"")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b">
        <v>1</v>
      </c>
      <c r="F156" s="2" t="n">
        <v>5.5</v>
      </c>
      <c r="G156" t="inlineStr">
        <is>
          <t>a</t>
        </is>
      </c>
      <c r="I156" s="2" t="n">
        <v>1880</v>
      </c>
      <c r="J156" t="n">
        <v>86</v>
      </c>
      <c r="K156" s="3" t="n">
        <v>356</v>
      </c>
      <c r="L156" t="inlineStr">
        <is>
          <t>fade (losing his place)</t>
        </is>
      </c>
      <c r="M156" s="4" t="n">
        <v>1880</v>
      </c>
      <c r="N156" s="4" t="n">
        <v>0.237</v>
      </c>
      <c r="O156" s="3" t="n">
        <v>0.0346</v>
      </c>
      <c r="P156" t="inlineStr">
        <is>
          <t>adjusted xGOT</t>
        </is>
      </c>
      <c r="Q156" s="3" t="n">
        <v>1.004</v>
      </c>
      <c r="R156" s="3" t="n">
        <v>6.4</v>
      </c>
      <c r="S156" s="3" t="n">
        <v>0.0411</v>
      </c>
      <c r="T156" s="3" t="n">
        <v>11.998</v>
      </c>
      <c r="U156" s="4" t="n">
        <v>81.7</v>
      </c>
      <c r="V156" s="3">
        <f>IF(OR(N(T156)=0,N(U156)=0),0,1-POISSON(IFERROR(VLOOKUP($C156,Assumptions!$A$4:$G$7,7,FALSE),99)-1,N(T156)*N(U156)/90,TRUE))</f>
        <v/>
      </c>
      <c r="W156" s="3" t="n">
        <v>0.1915</v>
      </c>
      <c r="X156" s="3" t="n">
        <v>2.25</v>
      </c>
      <c r="Y156" s="3">
        <f>IF(X156="",IFERROR(VLOOKUP($C156,Assumptions!$A$4:$G$7,6,FALSE),0),X156)</f>
        <v/>
      </c>
      <c r="Z156" s="3">
        <f>N(O156)*IFERROR(VLOOKUP($C156,Assumptions!$A$4:$G$7,2,FALSE),0)</f>
        <v/>
      </c>
      <c r="AA156" s="3">
        <f>N(S156)*IFERROR(VLOOKUP($C156,Assumptions!$A$4:$G$7,3,FALSE),0)*Assumptions!$B$11</f>
        <v/>
      </c>
      <c r="AB156" s="3">
        <f>N(N156)*IFERROR(VLOOKUP($C156,Assumptions!$A$4:$G$7,4,FALSE),0)</f>
        <v/>
      </c>
      <c r="AC156" s="3">
        <f>IF(N(U156)=0,0,V156*IFERROR(VLOOKUP($C156,Assumptions!$A$4:$G$7,5,FALSE),0)*90/N(U156))</f>
        <v/>
      </c>
      <c r="AD156" s="3">
        <f>N(W156)</f>
        <v/>
      </c>
      <c r="AE156" s="3">
        <f>SUM(Y156:AD156)</f>
        <v/>
      </c>
      <c r="AF156" s="3">
        <f>N(AE156)*N(M156)/90</f>
        <v/>
      </c>
      <c r="AG156" s="3">
        <f>IFERROR(AF156-VLOOKUP($C156,Assumptions!$A$29:$C$32,3,FALSE),"")</f>
        <v/>
      </c>
      <c r="AH156" s="3">
        <f>IFERROR(AG156/F156,"")</f>
        <v/>
      </c>
      <c r="AI156">
        <f>IF(AND($E156=TRUE,$C156="GKP"),AF156,"")</f>
        <v/>
      </c>
      <c r="AJ156">
        <f>IF(AND($E156=TRUE,$C156="DEF"),AF156,"")</f>
        <v/>
      </c>
      <c r="AK156">
        <f>IF(AND($E156=TRUE,$C156="MID"),AF156,"")</f>
        <v/>
      </c>
      <c r="AL156">
        <f>IF(AND($E156=TRUE,$C156="FWD"),AF156,"")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b">
        <v>1</v>
      </c>
      <c r="F157" s="2" t="n">
        <v>5.5</v>
      </c>
      <c r="G157" t="inlineStr">
        <is>
          <t>a</t>
        </is>
      </c>
      <c r="I157" s="2" t="n">
        <v>2251</v>
      </c>
      <c r="J157" t="n">
        <v>85</v>
      </c>
      <c r="K157" s="3" t="n">
        <v>3137</v>
      </c>
      <c r="L157" t="inlineStr">
        <is>
          <t>flat</t>
        </is>
      </c>
      <c r="M157" s="4" t="n">
        <v>2251</v>
      </c>
      <c r="N157" s="4" t="n">
        <v>0.263</v>
      </c>
      <c r="O157" s="3" t="n">
        <v>0.0573</v>
      </c>
      <c r="P157" t="inlineStr">
        <is>
          <t>adjusted xGOT</t>
        </is>
      </c>
      <c r="Q157" s="3" t="n">
        <v>0.954</v>
      </c>
      <c r="R157" s="3" t="n">
        <v>3.4</v>
      </c>
      <c r="S157" s="3" t="n">
        <v>0.051</v>
      </c>
      <c r="T157" s="3" t="n">
        <v>5.922</v>
      </c>
      <c r="U157" s="4" t="n">
        <v>83.40000000000001</v>
      </c>
      <c r="V157" s="3">
        <f>IF(OR(N(T157)=0,N(U157)=0),0,1-POISSON(IFERROR(VLOOKUP($C157,Assumptions!$A$4:$G$7,7,FALSE),99)-1,N(T157)*N(U157)/90,TRUE))</f>
        <v/>
      </c>
      <c r="W157" s="3" t="n">
        <v>0.1199</v>
      </c>
      <c r="X157" s="3" t="n">
        <v>2.279</v>
      </c>
      <c r="Y157" s="3">
        <f>IF(X157="",IFERROR(VLOOKUP($C157,Assumptions!$A$4:$G$7,6,FALSE),0),X157)</f>
        <v/>
      </c>
      <c r="Z157" s="3">
        <f>N(O157)*IFERROR(VLOOKUP($C157,Assumptions!$A$4:$G$7,2,FALSE),0)</f>
        <v/>
      </c>
      <c r="AA157" s="3">
        <f>N(S157)*IFERROR(VLOOKUP($C157,Assumptions!$A$4:$G$7,3,FALSE),0)*Assumptions!$B$11</f>
        <v/>
      </c>
      <c r="AB157" s="3">
        <f>N(N157)*IFERROR(VLOOKUP($C157,Assumptions!$A$4:$G$7,4,FALSE),0)</f>
        <v/>
      </c>
      <c r="AC157" s="3">
        <f>IF(N(U157)=0,0,V157*IFERROR(VLOOKUP($C157,Assumptions!$A$4:$G$7,5,FALSE),0)*90/N(U157))</f>
        <v/>
      </c>
      <c r="AD157" s="3">
        <f>N(W157)</f>
        <v/>
      </c>
      <c r="AE157" s="3">
        <f>SUM(Y157:AD157)</f>
        <v/>
      </c>
      <c r="AF157" s="3">
        <f>N(AE157)*N(M157)/90</f>
        <v/>
      </c>
      <c r="AG157" s="3">
        <f>IFERROR(AF157-VLOOKUP($C157,Assumptions!$A$29:$C$32,3,FALSE),"")</f>
        <v/>
      </c>
      <c r="AH157" s="3">
        <f>IFERROR(AG157/F157,"")</f>
        <v/>
      </c>
      <c r="AI157">
        <f>IF(AND($E157=TRUE,$C157="GKP"),AF157,"")</f>
        <v/>
      </c>
      <c r="AJ157">
        <f>IF(AND($E157=TRUE,$C157="DEF"),AF157,"")</f>
        <v/>
      </c>
      <c r="AK157">
        <f>IF(AND($E157=TRUE,$C157="MID"),AF157,"")</f>
        <v/>
      </c>
      <c r="AL157">
        <f>IF(AND($E157=TRUE,$C157="FWD"),AF157,"")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b">
        <v>1</v>
      </c>
      <c r="F158" s="2" t="n">
        <v>4.5</v>
      </c>
      <c r="G158" t="inlineStr">
        <is>
          <t>a</t>
        </is>
      </c>
      <c r="I158" s="2" t="n">
        <v>1404</v>
      </c>
      <c r="J158" t="n">
        <v>84</v>
      </c>
      <c r="K158" s="3" t="n">
        <v>830</v>
      </c>
      <c r="L158" t="inlineStr">
        <is>
          <t>fade (losing his place)</t>
        </is>
      </c>
      <c r="M158" s="4" t="n">
        <v>1404</v>
      </c>
      <c r="N158" s="4" t="n">
        <v>0.263</v>
      </c>
      <c r="O158" s="3" t="n">
        <v>0.109</v>
      </c>
      <c r="P158" t="inlineStr">
        <is>
          <t>adjusted xGOT</t>
        </is>
      </c>
      <c r="Q158" s="3" t="n">
        <v>1.025</v>
      </c>
      <c r="R158" s="3" t="n">
        <v>1.7</v>
      </c>
      <c r="S158" s="3" t="n">
        <v>0.2809</v>
      </c>
      <c r="T158" s="3" t="n">
        <v>5.317</v>
      </c>
      <c r="U158" s="4" t="n">
        <v>82.59999999999999</v>
      </c>
      <c r="V158" s="3">
        <f>IF(OR(N(T158)=0,N(U158)=0),0,1-POISSON(IFERROR(VLOOKUP($C158,Assumptions!$A$4:$G$7,7,FALSE),99)-1,N(T158)*N(U158)/90,TRUE))</f>
        <v/>
      </c>
      <c r="W158" s="3" t="n">
        <v>0.5769</v>
      </c>
      <c r="X158" s="3" t="n">
        <v>2.692</v>
      </c>
      <c r="Y158" s="3">
        <f>IF(X158="",IFERROR(VLOOKUP($C158,Assumptions!$A$4:$G$7,6,FALSE),0),X158)</f>
        <v/>
      </c>
      <c r="Z158" s="3">
        <f>N(O158)*IFERROR(VLOOKUP($C158,Assumptions!$A$4:$G$7,2,FALSE),0)</f>
        <v/>
      </c>
      <c r="AA158" s="3">
        <f>N(S158)*IFERROR(VLOOKUP($C158,Assumptions!$A$4:$G$7,3,FALSE),0)*Assumptions!$B$11</f>
        <v/>
      </c>
      <c r="AB158" s="3">
        <f>N(N158)*IFERROR(VLOOKUP($C158,Assumptions!$A$4:$G$7,4,FALSE),0)</f>
        <v/>
      </c>
      <c r="AC158" s="3">
        <f>IF(N(U158)=0,0,V158*IFERROR(VLOOKUP($C158,Assumptions!$A$4:$G$7,5,FALSE),0)*90/N(U158))</f>
        <v/>
      </c>
      <c r="AD158" s="3">
        <f>N(W158)</f>
        <v/>
      </c>
      <c r="AE158" s="3">
        <f>SUM(Y158:AD158)</f>
        <v/>
      </c>
      <c r="AF158" s="3">
        <f>N(AE158)*N(M158)/90</f>
        <v/>
      </c>
      <c r="AG158" s="3">
        <f>IFERROR(AF158-VLOOKUP($C158,Assumptions!$A$29:$C$32,3,FALSE),"")</f>
        <v/>
      </c>
      <c r="AH158" s="3">
        <f>IFERROR(AG158/F158,"")</f>
        <v/>
      </c>
      <c r="AI158">
        <f>IF(AND($E158=TRUE,$C158="GKP"),AF158,"")</f>
        <v/>
      </c>
      <c r="AJ158">
        <f>IF(AND($E158=TRUE,$C158="DEF"),AF158,"")</f>
        <v/>
      </c>
      <c r="AK158">
        <f>IF(AND($E158=TRUE,$C158="MID"),AF158,"")</f>
        <v/>
      </c>
      <c r="AL158">
        <f>IF(AND($E158=TRUE,$C158="FWD"),AF158,"")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b">
        <v>1</v>
      </c>
      <c r="F159" s="2" t="n">
        <v>5</v>
      </c>
      <c r="G159" t="inlineStr">
        <is>
          <t>a</t>
        </is>
      </c>
      <c r="I159" s="2" t="n">
        <v>2100</v>
      </c>
      <c r="J159" t="n">
        <v>84</v>
      </c>
      <c r="K159" s="3" t="n">
        <v>1881</v>
      </c>
      <c r="L159" t="inlineStr">
        <is>
          <t>flat</t>
        </is>
      </c>
      <c r="M159" s="4" t="n">
        <v>2100</v>
      </c>
      <c r="N159" s="4" t="n"/>
      <c r="O159" s="3" t="n">
        <v>0.0257</v>
      </c>
      <c r="P159" t="inlineStr">
        <is>
          <t>adjusted xGOT</t>
        </is>
      </c>
      <c r="Q159" s="3" t="n">
        <v>0.9379999999999999</v>
      </c>
      <c r="R159" s="3" t="n">
        <v>0.6</v>
      </c>
      <c r="S159" s="3" t="n">
        <v>0.0227</v>
      </c>
      <c r="T159" s="3" t="n">
        <v>12.179</v>
      </c>
      <c r="U159" s="4" t="n">
        <v>84</v>
      </c>
      <c r="V159" s="3">
        <f>IF(OR(N(T159)=0,N(U159)=0),0,1-POISSON(IFERROR(VLOOKUP($C159,Assumptions!$A$4:$G$7,7,FALSE),99)-1,N(T159)*N(U159)/90,TRUE))</f>
        <v/>
      </c>
      <c r="W159" s="3" t="n">
        <v>0</v>
      </c>
      <c r="X159" s="3" t="n">
        <v>2.314</v>
      </c>
      <c r="Y159" s="3">
        <f>IF(X159="",IFERROR(VLOOKUP($C159,Assumptions!$A$4:$G$7,6,FALSE),0),X159)</f>
        <v/>
      </c>
      <c r="Z159" s="3">
        <f>N(O159)*IFERROR(VLOOKUP($C159,Assumptions!$A$4:$G$7,2,FALSE),0)</f>
        <v/>
      </c>
      <c r="AA159" s="3">
        <f>N(S159)*IFERROR(VLOOKUP($C159,Assumptions!$A$4:$G$7,3,FALSE),0)*Assumptions!$B$11</f>
        <v/>
      </c>
      <c r="AB159" s="3">
        <f>N(N159)*IFERROR(VLOOKUP($C159,Assumptions!$A$4:$G$7,4,FALSE),0)</f>
        <v/>
      </c>
      <c r="AC159" s="3">
        <f>IF(N(U159)=0,0,V159*IFERROR(VLOOKUP($C159,Assumptions!$A$4:$G$7,5,FALSE),0)*90/N(U159))</f>
        <v/>
      </c>
      <c r="AD159" s="3">
        <f>N(W159)</f>
        <v/>
      </c>
      <c r="AE159" s="3">
        <f>SUM(Y159:AD159)</f>
        <v/>
      </c>
      <c r="AF159" s="3">
        <f>N(AE159)*N(M159)/90</f>
        <v/>
      </c>
      <c r="AG159" s="3">
        <f>IFERROR(AF159-VLOOKUP($C159,Assumptions!$A$29:$C$32,3,FALSE),"")</f>
        <v/>
      </c>
      <c r="AH159" s="3">
        <f>IFERROR(AG159/F159,"")</f>
        <v/>
      </c>
      <c r="AI159">
        <f>IF(AND($E159=TRUE,$C159="GKP"),AF159,"")</f>
        <v/>
      </c>
      <c r="AJ159">
        <f>IF(AND($E159=TRUE,$C159="DEF"),AF159,"")</f>
        <v/>
      </c>
      <c r="AK159">
        <f>IF(AND($E159=TRUE,$C159="MID"),AF159,"")</f>
        <v/>
      </c>
      <c r="AL159">
        <f>IF(AND($E159=TRUE,$C159="FWD"),AF159,"")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b">
        <v>1</v>
      </c>
      <c r="F160" s="2" t="n">
        <v>5.5</v>
      </c>
      <c r="G160" t="inlineStr">
        <is>
          <t>a</t>
        </is>
      </c>
      <c r="I160" s="2" t="n">
        <v>2130</v>
      </c>
      <c r="J160" t="n">
        <v>83</v>
      </c>
      <c r="K160" s="3" t="n">
        <v>3101</v>
      </c>
      <c r="L160" t="inlineStr">
        <is>
          <t>flat</t>
        </is>
      </c>
      <c r="M160" s="4" t="n">
        <v>2130</v>
      </c>
      <c r="N160" s="4" t="n">
        <v>0.237</v>
      </c>
      <c r="O160" s="3" t="n">
        <v>0.0299</v>
      </c>
      <c r="P160" t="inlineStr">
        <is>
          <t>adjusted xGOT</t>
        </is>
      </c>
      <c r="Q160" s="3" t="n">
        <v>0.968</v>
      </c>
      <c r="R160" s="3" t="n">
        <v>4</v>
      </c>
      <c r="S160" s="3" t="n">
        <v>0.0163</v>
      </c>
      <c r="T160" s="3" t="n">
        <v>8.984</v>
      </c>
      <c r="U160" s="4" t="n">
        <v>85.2</v>
      </c>
      <c r="V160" s="3">
        <f>IF(OR(N(T160)=0,N(U160)=0),0,1-POISSON(IFERROR(VLOOKUP($C160,Assumptions!$A$4:$G$7,7,FALSE),99)-1,N(T160)*N(U160)/90,TRUE))</f>
        <v/>
      </c>
      <c r="W160" s="3" t="n">
        <v>0.1268</v>
      </c>
      <c r="X160" s="3" t="n">
        <v>2.028</v>
      </c>
      <c r="Y160" s="3">
        <f>IF(X160="",IFERROR(VLOOKUP($C160,Assumptions!$A$4:$G$7,6,FALSE),0),X160)</f>
        <v/>
      </c>
      <c r="Z160" s="3">
        <f>N(O160)*IFERROR(VLOOKUP($C160,Assumptions!$A$4:$G$7,2,FALSE),0)</f>
        <v/>
      </c>
      <c r="AA160" s="3">
        <f>N(S160)*IFERROR(VLOOKUP($C160,Assumptions!$A$4:$G$7,3,FALSE),0)*Assumptions!$B$11</f>
        <v/>
      </c>
      <c r="AB160" s="3">
        <f>N(N160)*IFERROR(VLOOKUP($C160,Assumptions!$A$4:$G$7,4,FALSE),0)</f>
        <v/>
      </c>
      <c r="AC160" s="3">
        <f>IF(N(U160)=0,0,V160*IFERROR(VLOOKUP($C160,Assumptions!$A$4:$G$7,5,FALSE),0)*90/N(U160))</f>
        <v/>
      </c>
      <c r="AD160" s="3">
        <f>N(W160)</f>
        <v/>
      </c>
      <c r="AE160" s="3">
        <f>SUM(Y160:AD160)</f>
        <v/>
      </c>
      <c r="AF160" s="3">
        <f>N(AE160)*N(M160)/90</f>
        <v/>
      </c>
      <c r="AG160" s="3">
        <f>IFERROR(AF160-VLOOKUP($C160,Assumptions!$A$29:$C$32,3,FALSE),"")</f>
        <v/>
      </c>
      <c r="AH160" s="3">
        <f>IFERROR(AG160/F160,"")</f>
        <v/>
      </c>
      <c r="AI160">
        <f>IF(AND($E160=TRUE,$C160="GKP"),AF160,"")</f>
        <v/>
      </c>
      <c r="AJ160">
        <f>IF(AND($E160=TRUE,$C160="DEF"),AF160,"")</f>
        <v/>
      </c>
      <c r="AK160">
        <f>IF(AND($E160=TRUE,$C160="MID"),AF160,"")</f>
        <v/>
      </c>
      <c r="AL160">
        <f>IF(AND($E160=TRUE,$C160="FWD"),AF160,"")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b">
        <v>1</v>
      </c>
      <c r="F161" s="2" t="n">
        <v>5.5</v>
      </c>
      <c r="G161" t="inlineStr">
        <is>
          <t>a</t>
        </is>
      </c>
      <c r="I161" s="2" t="n">
        <v>1553</v>
      </c>
      <c r="J161" t="n">
        <v>83</v>
      </c>
      <c r="K161" s="3" t="n">
        <v>2263</v>
      </c>
      <c r="L161" t="inlineStr">
        <is>
          <t>flat</t>
        </is>
      </c>
      <c r="M161" s="4" t="n">
        <v>1553</v>
      </c>
      <c r="N161" s="4" t="n">
        <v>0.29</v>
      </c>
      <c r="O161" s="3" t="n">
        <v>0.1438</v>
      </c>
      <c r="P161" t="inlineStr">
        <is>
          <t>adjusted xGOT</t>
        </is>
      </c>
      <c r="Q161" s="3" t="n">
        <v>1.165</v>
      </c>
      <c r="R161" s="3" t="n">
        <v>2.1</v>
      </c>
      <c r="S161" s="3" t="n">
        <v>0.0516</v>
      </c>
      <c r="T161" s="3" t="n">
        <v>6.36</v>
      </c>
      <c r="U161" s="4" t="n">
        <v>97.09999999999999</v>
      </c>
      <c r="V161" s="3">
        <f>IF(OR(N(T161)=0,N(U161)=0),0,1-POISSON(IFERROR(VLOOKUP($C161,Assumptions!$A$4:$G$7,7,FALSE),99)-1,N(T161)*N(U161)/90,TRUE))</f>
        <v/>
      </c>
      <c r="W161" s="3" t="n">
        <v>0.4057</v>
      </c>
      <c r="X161" s="3" t="n">
        <v>2.55</v>
      </c>
      <c r="Y161" s="3">
        <f>IF(X161="",IFERROR(VLOOKUP($C161,Assumptions!$A$4:$G$7,6,FALSE),0),X161)</f>
        <v/>
      </c>
      <c r="Z161" s="3">
        <f>N(O161)*IFERROR(VLOOKUP($C161,Assumptions!$A$4:$G$7,2,FALSE),0)</f>
        <v/>
      </c>
      <c r="AA161" s="3">
        <f>N(S161)*IFERROR(VLOOKUP($C161,Assumptions!$A$4:$G$7,3,FALSE),0)*Assumptions!$B$11</f>
        <v/>
      </c>
      <c r="AB161" s="3">
        <f>N(N161)*IFERROR(VLOOKUP($C161,Assumptions!$A$4:$G$7,4,FALSE),0)</f>
        <v/>
      </c>
      <c r="AC161" s="3">
        <f>IF(N(U161)=0,0,V161*IFERROR(VLOOKUP($C161,Assumptions!$A$4:$G$7,5,FALSE),0)*90/N(U161))</f>
        <v/>
      </c>
      <c r="AD161" s="3">
        <f>N(W161)</f>
        <v/>
      </c>
      <c r="AE161" s="3">
        <f>SUM(Y161:AD161)</f>
        <v/>
      </c>
      <c r="AF161" s="3">
        <f>N(AE161)*N(M161)/90</f>
        <v/>
      </c>
      <c r="AG161" s="3">
        <f>IFERROR(AF161-VLOOKUP($C161,Assumptions!$A$29:$C$32,3,FALSE),"")</f>
        <v/>
      </c>
      <c r="AH161" s="3">
        <f>IFERROR(AG161/F161,"")</f>
        <v/>
      </c>
      <c r="AI161">
        <f>IF(AND($E161=TRUE,$C161="GKP"),AF161,"")</f>
        <v/>
      </c>
      <c r="AJ161">
        <f>IF(AND($E161=TRUE,$C161="DEF"),AF161,"")</f>
        <v/>
      </c>
      <c r="AK161">
        <f>IF(AND($E161=TRUE,$C161="MID"),AF161,"")</f>
        <v/>
      </c>
      <c r="AL161">
        <f>IF(AND($E161=TRUE,$C161="FWD"),AF161,"")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b">
        <v>1</v>
      </c>
      <c r="F162" s="2" t="n">
        <v>5.5</v>
      </c>
      <c r="G162" t="inlineStr">
        <is>
          <t>a</t>
        </is>
      </c>
      <c r="I162" s="2" t="n">
        <v>1676</v>
      </c>
      <c r="J162" t="n">
        <v>82</v>
      </c>
      <c r="K162" s="3" t="n">
        <v>443</v>
      </c>
      <c r="L162" t="inlineStr">
        <is>
          <t>flat</t>
        </is>
      </c>
      <c r="M162" s="4" t="n">
        <v>1676</v>
      </c>
      <c r="N162" s="4" t="n">
        <v>0.237</v>
      </c>
      <c r="O162" s="3" t="n">
        <v>0.1126</v>
      </c>
      <c r="P162" t="inlineStr">
        <is>
          <t>adjusted xGOT</t>
        </is>
      </c>
      <c r="Q162" s="3" t="n">
        <v>1.043</v>
      </c>
      <c r="R162" s="3" t="n">
        <v>4.9</v>
      </c>
      <c r="S162" s="3" t="n">
        <v>0.2363</v>
      </c>
      <c r="T162" s="3" t="n">
        <v>7.423</v>
      </c>
      <c r="U162" s="4" t="n">
        <v>98.59999999999999</v>
      </c>
      <c r="V162" s="3">
        <f>IF(OR(N(T162)=0,N(U162)=0),0,1-POISSON(IFERROR(VLOOKUP($C162,Assumptions!$A$4:$G$7,7,FALSE),99)-1,N(T162)*N(U162)/90,TRUE))</f>
        <v/>
      </c>
      <c r="W162" s="3" t="n">
        <v>0.1611</v>
      </c>
      <c r="X162" s="3" t="n">
        <v>2.47</v>
      </c>
      <c r="Y162" s="3">
        <f>IF(X162="",IFERROR(VLOOKUP($C162,Assumptions!$A$4:$G$7,6,FALSE),0),X162)</f>
        <v/>
      </c>
      <c r="Z162" s="3">
        <f>N(O162)*IFERROR(VLOOKUP($C162,Assumptions!$A$4:$G$7,2,FALSE),0)</f>
        <v/>
      </c>
      <c r="AA162" s="3">
        <f>N(S162)*IFERROR(VLOOKUP($C162,Assumptions!$A$4:$G$7,3,FALSE),0)*Assumptions!$B$11</f>
        <v/>
      </c>
      <c r="AB162" s="3">
        <f>N(N162)*IFERROR(VLOOKUP($C162,Assumptions!$A$4:$G$7,4,FALSE),0)</f>
        <v/>
      </c>
      <c r="AC162" s="3">
        <f>IF(N(U162)=0,0,V162*IFERROR(VLOOKUP($C162,Assumptions!$A$4:$G$7,5,FALSE),0)*90/N(U162))</f>
        <v/>
      </c>
      <c r="AD162" s="3">
        <f>N(W162)</f>
        <v/>
      </c>
      <c r="AE162" s="3">
        <f>SUM(Y162:AD162)</f>
        <v/>
      </c>
      <c r="AF162" s="3">
        <f>N(AE162)*N(M162)/90</f>
        <v/>
      </c>
      <c r="AG162" s="3">
        <f>IFERROR(AF162-VLOOKUP($C162,Assumptions!$A$29:$C$32,3,FALSE),"")</f>
        <v/>
      </c>
      <c r="AH162" s="3">
        <f>IFERROR(AG162/F162,"")</f>
        <v/>
      </c>
      <c r="AI162">
        <f>IF(AND($E162=TRUE,$C162="GKP"),AF162,"")</f>
        <v/>
      </c>
      <c r="AJ162">
        <f>IF(AND($E162=TRUE,$C162="DEF"),AF162,"")</f>
        <v/>
      </c>
      <c r="AK162">
        <f>IF(AND($E162=TRUE,$C162="MID"),AF162,"")</f>
        <v/>
      </c>
      <c r="AL162">
        <f>IF(AND($E162=TRUE,$C162="FWD"),AF162,"")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b">
        <v>1</v>
      </c>
      <c r="F163" s="2" t="n">
        <v>6</v>
      </c>
      <c r="G163" t="inlineStr">
        <is>
          <t>a</t>
        </is>
      </c>
      <c r="I163" s="2" t="n">
        <v>1606</v>
      </c>
      <c r="J163" t="n">
        <v>82</v>
      </c>
      <c r="K163" s="3" t="n">
        <v>1835</v>
      </c>
      <c r="L163" t="inlineStr">
        <is>
          <t>flat</t>
        </is>
      </c>
      <c r="M163" s="4" t="n">
        <v>1606</v>
      </c>
      <c r="N163" s="4" t="n">
        <v>0.21</v>
      </c>
      <c r="O163" s="3" t="n">
        <v>0.1588</v>
      </c>
      <c r="P163" t="inlineStr">
        <is>
          <t>adjusted xGOT</t>
        </is>
      </c>
      <c r="Q163" s="3" t="n">
        <v>0.923</v>
      </c>
      <c r="R163" s="3" t="n">
        <v>14.6</v>
      </c>
      <c r="S163" s="3" t="n">
        <v>0.2086</v>
      </c>
      <c r="T163" s="3" t="n">
        <v>6.137</v>
      </c>
      <c r="U163" s="4" t="n">
        <v>84.5</v>
      </c>
      <c r="V163" s="3">
        <f>IF(OR(N(T163)=0,N(U163)=0),0,1-POISSON(IFERROR(VLOOKUP($C163,Assumptions!$A$4:$G$7,7,FALSE),99)-1,N(T163)*N(U163)/90,TRUE))</f>
        <v/>
      </c>
      <c r="W163" s="3" t="n">
        <v>0.2802</v>
      </c>
      <c r="X163" s="3" t="n">
        <v>2.802</v>
      </c>
      <c r="Y163" s="3">
        <f>IF(X163="",IFERROR(VLOOKUP($C163,Assumptions!$A$4:$G$7,6,FALSE),0),X163)</f>
        <v/>
      </c>
      <c r="Z163" s="3">
        <f>N(O163)*IFERROR(VLOOKUP($C163,Assumptions!$A$4:$G$7,2,FALSE),0)</f>
        <v/>
      </c>
      <c r="AA163" s="3">
        <f>N(S163)*IFERROR(VLOOKUP($C163,Assumptions!$A$4:$G$7,3,FALSE),0)*Assumptions!$B$11</f>
        <v/>
      </c>
      <c r="AB163" s="3">
        <f>N(N163)*IFERROR(VLOOKUP($C163,Assumptions!$A$4:$G$7,4,FALSE),0)</f>
        <v/>
      </c>
      <c r="AC163" s="3">
        <f>IF(N(U163)=0,0,V163*IFERROR(VLOOKUP($C163,Assumptions!$A$4:$G$7,5,FALSE),0)*90/N(U163))</f>
        <v/>
      </c>
      <c r="AD163" s="3">
        <f>N(W163)</f>
        <v/>
      </c>
      <c r="AE163" s="3">
        <f>SUM(Y163:AD163)</f>
        <v/>
      </c>
      <c r="AF163" s="3">
        <f>N(AE163)*N(M163)/90</f>
        <v/>
      </c>
      <c r="AG163" s="3">
        <f>IFERROR(AF163-VLOOKUP($C163,Assumptions!$A$29:$C$32,3,FALSE),"")</f>
        <v/>
      </c>
      <c r="AH163" s="3">
        <f>IFERROR(AG163/F163,"")</f>
        <v/>
      </c>
      <c r="AI163">
        <f>IF(AND($E163=TRUE,$C163="GKP"),AF163,"")</f>
        <v/>
      </c>
      <c r="AJ163">
        <f>IF(AND($E163=TRUE,$C163="DEF"),AF163,"")</f>
        <v/>
      </c>
      <c r="AK163">
        <f>IF(AND($E163=TRUE,$C163="MID"),AF163,"")</f>
        <v/>
      </c>
      <c r="AL163">
        <f>IF(AND($E163=TRUE,$C163="FWD"),AF163,"")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b">
        <v>1</v>
      </c>
      <c r="F164" s="2" t="n">
        <v>4.5</v>
      </c>
      <c r="G164" t="inlineStr">
        <is>
          <t>a</t>
        </is>
      </c>
      <c r="I164" s="2" t="n">
        <v>1791</v>
      </c>
      <c r="J164" t="n">
        <v>81</v>
      </c>
      <c r="K164" s="3" t="n">
        <v>1528</v>
      </c>
      <c r="L164" t="inlineStr">
        <is>
          <t>flat</t>
        </is>
      </c>
      <c r="M164" s="4" t="n">
        <v>1791</v>
      </c>
      <c r="N164" s="4" t="n">
        <v>0.237</v>
      </c>
      <c r="O164" s="3" t="n">
        <v>0.0396</v>
      </c>
      <c r="P164" t="inlineStr">
        <is>
          <t>adjusted xGOT</t>
        </is>
      </c>
      <c r="Q164" s="3" t="n">
        <v>0.858</v>
      </c>
      <c r="R164" s="3" t="n">
        <v>3.9</v>
      </c>
      <c r="S164" s="3" t="n">
        <v>0.0605</v>
      </c>
      <c r="T164" s="3" t="n">
        <v>8.118</v>
      </c>
      <c r="U164" s="4" t="n">
        <v>85.3</v>
      </c>
      <c r="V164" s="3">
        <f>IF(OR(N(T164)=0,N(U164)=0),0,1-POISSON(IFERROR(VLOOKUP($C164,Assumptions!$A$4:$G$7,7,FALSE),99)-1,N(T164)*N(U164)/90,TRUE))</f>
        <v/>
      </c>
      <c r="W164" s="3" t="n">
        <v>0.2513</v>
      </c>
      <c r="X164" s="3" t="n">
        <v>2.06</v>
      </c>
      <c r="Y164" s="3">
        <f>IF(X164="",IFERROR(VLOOKUP($C164,Assumptions!$A$4:$G$7,6,FALSE),0),X164)</f>
        <v/>
      </c>
      <c r="Z164" s="3">
        <f>N(O164)*IFERROR(VLOOKUP($C164,Assumptions!$A$4:$G$7,2,FALSE),0)</f>
        <v/>
      </c>
      <c r="AA164" s="3">
        <f>N(S164)*IFERROR(VLOOKUP($C164,Assumptions!$A$4:$G$7,3,FALSE),0)*Assumptions!$B$11</f>
        <v/>
      </c>
      <c r="AB164" s="3">
        <f>N(N164)*IFERROR(VLOOKUP($C164,Assumptions!$A$4:$G$7,4,FALSE),0)</f>
        <v/>
      </c>
      <c r="AC164" s="3">
        <f>IF(N(U164)=0,0,V164*IFERROR(VLOOKUP($C164,Assumptions!$A$4:$G$7,5,FALSE),0)*90/N(U164))</f>
        <v/>
      </c>
      <c r="AD164" s="3">
        <f>N(W164)</f>
        <v/>
      </c>
      <c r="AE164" s="3">
        <f>SUM(Y164:AD164)</f>
        <v/>
      </c>
      <c r="AF164" s="3">
        <f>N(AE164)*N(M164)/90</f>
        <v/>
      </c>
      <c r="AG164" s="3">
        <f>IFERROR(AF164-VLOOKUP($C164,Assumptions!$A$29:$C$32,3,FALSE),"")</f>
        <v/>
      </c>
      <c r="AH164" s="3">
        <f>IFERROR(AG164/F164,"")</f>
        <v/>
      </c>
      <c r="AI164">
        <f>IF(AND($E164=TRUE,$C164="GKP"),AF164,"")</f>
        <v/>
      </c>
      <c r="AJ164">
        <f>IF(AND($E164=TRUE,$C164="DEF"),AF164,"")</f>
        <v/>
      </c>
      <c r="AK164">
        <f>IF(AND($E164=TRUE,$C164="MID"),AF164,"")</f>
        <v/>
      </c>
      <c r="AL164">
        <f>IF(AND($E164=TRUE,$C164="FWD"),AF164,"")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b">
        <v>1</v>
      </c>
      <c r="F165" s="2" t="n">
        <v>5.5</v>
      </c>
      <c r="G165" t="inlineStr">
        <is>
          <t>a</t>
        </is>
      </c>
      <c r="I165" s="2" t="n">
        <v>2534</v>
      </c>
      <c r="J165" t="n">
        <v>81</v>
      </c>
      <c r="K165" s="3" t="n">
        <v>2918</v>
      </c>
      <c r="L165" t="inlineStr">
        <is>
          <t>flat</t>
        </is>
      </c>
      <c r="M165" s="4" t="n">
        <v>2534</v>
      </c>
      <c r="N165" s="4" t="n">
        <v>0.237</v>
      </c>
      <c r="O165" s="3" t="n">
        <v>0.0645</v>
      </c>
      <c r="P165" t="inlineStr">
        <is>
          <t>adjusted xGOT</t>
        </is>
      </c>
      <c r="Q165" s="3" t="n">
        <v>1.038</v>
      </c>
      <c r="R165" s="3" t="n">
        <v>6.8</v>
      </c>
      <c r="S165" s="3" t="n">
        <v>0.1177</v>
      </c>
      <c r="T165" s="3" t="n">
        <v>9.006</v>
      </c>
      <c r="U165" s="4" t="n">
        <v>81.7</v>
      </c>
      <c r="V165" s="3">
        <f>IF(OR(N(T165)=0,N(U165)=0),0,1-POISSON(IFERROR(VLOOKUP($C165,Assumptions!$A$4:$G$7,7,FALSE),99)-1,N(T165)*N(U165)/90,TRUE))</f>
        <v/>
      </c>
      <c r="W165" s="3" t="n">
        <v>0.0355</v>
      </c>
      <c r="X165" s="3" t="n">
        <v>2.202</v>
      </c>
      <c r="Y165" s="3">
        <f>IF(X165="",IFERROR(VLOOKUP($C165,Assumptions!$A$4:$G$7,6,FALSE),0),X165)</f>
        <v/>
      </c>
      <c r="Z165" s="3">
        <f>N(O165)*IFERROR(VLOOKUP($C165,Assumptions!$A$4:$G$7,2,FALSE),0)</f>
        <v/>
      </c>
      <c r="AA165" s="3">
        <f>N(S165)*IFERROR(VLOOKUP($C165,Assumptions!$A$4:$G$7,3,FALSE),0)*Assumptions!$B$11</f>
        <v/>
      </c>
      <c r="AB165" s="3">
        <f>N(N165)*IFERROR(VLOOKUP($C165,Assumptions!$A$4:$G$7,4,FALSE),0)</f>
        <v/>
      </c>
      <c r="AC165" s="3">
        <f>IF(N(U165)=0,0,V165*IFERROR(VLOOKUP($C165,Assumptions!$A$4:$G$7,5,FALSE),0)*90/N(U165))</f>
        <v/>
      </c>
      <c r="AD165" s="3">
        <f>N(W165)</f>
        <v/>
      </c>
      <c r="AE165" s="3">
        <f>SUM(Y165:AD165)</f>
        <v/>
      </c>
      <c r="AF165" s="3">
        <f>N(AE165)*N(M165)/90</f>
        <v/>
      </c>
      <c r="AG165" s="3">
        <f>IFERROR(AF165-VLOOKUP($C165,Assumptions!$A$29:$C$32,3,FALSE),"")</f>
        <v/>
      </c>
      <c r="AH165" s="3">
        <f>IFERROR(AG165/F165,"")</f>
        <v/>
      </c>
      <c r="AI165">
        <f>IF(AND($E165=TRUE,$C165="GKP"),AF165,"")</f>
        <v/>
      </c>
      <c r="AJ165">
        <f>IF(AND($E165=TRUE,$C165="DEF"),AF165,"")</f>
        <v/>
      </c>
      <c r="AK165">
        <f>IF(AND($E165=TRUE,$C165="MID"),AF165,"")</f>
        <v/>
      </c>
      <c r="AL165">
        <f>IF(AND($E165=TRUE,$C165="FWD"),AF165,"")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b">
        <v>1</v>
      </c>
      <c r="F166" s="2" t="n">
        <v>5.5</v>
      </c>
      <c r="G166" t="inlineStr">
        <is>
          <t>a</t>
        </is>
      </c>
      <c r="I166" s="2" t="n">
        <v>1923</v>
      </c>
      <c r="J166" t="n">
        <v>81</v>
      </c>
      <c r="K166" s="3" t="n">
        <v>697</v>
      </c>
      <c r="L166" t="inlineStr">
        <is>
          <t>fade (losing his place)</t>
        </is>
      </c>
      <c r="M166" s="4" t="n">
        <v>1923</v>
      </c>
      <c r="N166" s="4" t="n">
        <v>0.263</v>
      </c>
      <c r="O166" s="3" t="n">
        <v>0.1026</v>
      </c>
      <c r="P166" t="inlineStr">
        <is>
          <t>adjusted xGOT</t>
        </is>
      </c>
      <c r="Q166" s="3" t="n">
        <v>0.992</v>
      </c>
      <c r="R166" s="3" t="n">
        <v>10.4</v>
      </c>
      <c r="S166" s="3" t="n">
        <v>0.1311</v>
      </c>
      <c r="T166" s="3" t="n">
        <v>10.407</v>
      </c>
      <c r="U166" s="4" t="n">
        <v>106.8</v>
      </c>
      <c r="V166" s="3">
        <f>IF(OR(N(T166)=0,N(U166)=0),0,1-POISSON(IFERROR(VLOOKUP($C166,Assumptions!$A$4:$G$7,7,FALSE),99)-1,N(T166)*N(U166)/90,TRUE))</f>
        <v/>
      </c>
      <c r="W166" s="3" t="n">
        <v>0.2808</v>
      </c>
      <c r="X166" s="3" t="n">
        <v>2.434</v>
      </c>
      <c r="Y166" s="3">
        <f>IF(X166="",IFERROR(VLOOKUP($C166,Assumptions!$A$4:$G$7,6,FALSE),0),X166)</f>
        <v/>
      </c>
      <c r="Z166" s="3">
        <f>N(O166)*IFERROR(VLOOKUP($C166,Assumptions!$A$4:$G$7,2,FALSE),0)</f>
        <v/>
      </c>
      <c r="AA166" s="3">
        <f>N(S166)*IFERROR(VLOOKUP($C166,Assumptions!$A$4:$G$7,3,FALSE),0)*Assumptions!$B$11</f>
        <v/>
      </c>
      <c r="AB166" s="3">
        <f>N(N166)*IFERROR(VLOOKUP($C166,Assumptions!$A$4:$G$7,4,FALSE),0)</f>
        <v/>
      </c>
      <c r="AC166" s="3">
        <f>IF(N(U166)=0,0,V166*IFERROR(VLOOKUP($C166,Assumptions!$A$4:$G$7,5,FALSE),0)*90/N(U166))</f>
        <v/>
      </c>
      <c r="AD166" s="3">
        <f>N(W166)</f>
        <v/>
      </c>
      <c r="AE166" s="3">
        <f>SUM(Y166:AD166)</f>
        <v/>
      </c>
      <c r="AF166" s="3">
        <f>N(AE166)*N(M166)/90</f>
        <v/>
      </c>
      <c r="AG166" s="3">
        <f>IFERROR(AF166-VLOOKUP($C166,Assumptions!$A$29:$C$32,3,FALSE),"")</f>
        <v/>
      </c>
      <c r="AH166" s="3">
        <f>IFERROR(AG166/F166,"")</f>
        <v/>
      </c>
      <c r="AI166">
        <f>IF(AND($E166=TRUE,$C166="GKP"),AF166,"")</f>
        <v/>
      </c>
      <c r="AJ166">
        <f>IF(AND($E166=TRUE,$C166="DEF"),AF166,"")</f>
        <v/>
      </c>
      <c r="AK166">
        <f>IF(AND($E166=TRUE,$C166="MID"),AF166,"")</f>
        <v/>
      </c>
      <c r="AL166">
        <f>IF(AND($E166=TRUE,$C166="FWD"),AF166,"")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b">
        <v>1</v>
      </c>
      <c r="F167" s="2" t="n">
        <v>5</v>
      </c>
      <c r="G167" t="inlineStr">
        <is>
          <t>a</t>
        </is>
      </c>
      <c r="I167" s="2" t="n">
        <v>2891</v>
      </c>
      <c r="J167" t="n">
        <v>80</v>
      </c>
      <c r="K167" s="3" t="n">
        <v>2842</v>
      </c>
      <c r="L167" t="inlineStr">
        <is>
          <t>flat</t>
        </is>
      </c>
      <c r="M167" s="4" t="n">
        <v>2891</v>
      </c>
      <c r="N167" s="4" t="n">
        <v>0.29</v>
      </c>
      <c r="O167" s="3" t="n">
        <v>0.0411</v>
      </c>
      <c r="P167" t="inlineStr">
        <is>
          <t>adjusted xGOT</t>
        </is>
      </c>
      <c r="Q167" s="3" t="n">
        <v>0.923</v>
      </c>
      <c r="R167" s="3" t="n">
        <v>1.4</v>
      </c>
      <c r="S167" s="3" t="n">
        <v>0.0372</v>
      </c>
      <c r="T167" s="3" t="n">
        <v>7.891</v>
      </c>
      <c r="U167" s="4" t="n">
        <v>87.59999999999999</v>
      </c>
      <c r="V167" s="3">
        <f>IF(OR(N(T167)=0,N(U167)=0),0,1-POISSON(IFERROR(VLOOKUP($C167,Assumptions!$A$4:$G$7,7,FALSE),99)-1,N(T167)*N(U167)/90,TRUE))</f>
        <v/>
      </c>
      <c r="W167" s="3" t="n">
        <v>0</v>
      </c>
      <c r="X167" s="3" t="n">
        <v>2.055</v>
      </c>
      <c r="Y167" s="3">
        <f>IF(X167="",IFERROR(VLOOKUP($C167,Assumptions!$A$4:$G$7,6,FALSE),0),X167)</f>
        <v/>
      </c>
      <c r="Z167" s="3">
        <f>N(O167)*IFERROR(VLOOKUP($C167,Assumptions!$A$4:$G$7,2,FALSE),0)</f>
        <v/>
      </c>
      <c r="AA167" s="3">
        <f>N(S167)*IFERROR(VLOOKUP($C167,Assumptions!$A$4:$G$7,3,FALSE),0)*Assumptions!$B$11</f>
        <v/>
      </c>
      <c r="AB167" s="3">
        <f>N(N167)*IFERROR(VLOOKUP($C167,Assumptions!$A$4:$G$7,4,FALSE),0)</f>
        <v/>
      </c>
      <c r="AC167" s="3">
        <f>IF(N(U167)=0,0,V167*IFERROR(VLOOKUP($C167,Assumptions!$A$4:$G$7,5,FALSE),0)*90/N(U167))</f>
        <v/>
      </c>
      <c r="AD167" s="3">
        <f>N(W167)</f>
        <v/>
      </c>
      <c r="AE167" s="3">
        <f>SUM(Y167:AD167)</f>
        <v/>
      </c>
      <c r="AF167" s="3">
        <f>N(AE167)*N(M167)/90</f>
        <v/>
      </c>
      <c r="AG167" s="3">
        <f>IFERROR(AF167-VLOOKUP($C167,Assumptions!$A$29:$C$32,3,FALSE),"")</f>
        <v/>
      </c>
      <c r="AH167" s="3">
        <f>IFERROR(AG167/F167,"")</f>
        <v/>
      </c>
      <c r="AI167">
        <f>IF(AND($E167=TRUE,$C167="GKP"),AF167,"")</f>
        <v/>
      </c>
      <c r="AJ167">
        <f>IF(AND($E167=TRUE,$C167="DEF"),AF167,"")</f>
        <v/>
      </c>
      <c r="AK167">
        <f>IF(AND($E167=TRUE,$C167="MID"),AF167,"")</f>
        <v/>
      </c>
      <c r="AL167">
        <f>IF(AND($E167=TRUE,$C167="FWD"),AF167,"")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b">
        <v>1</v>
      </c>
      <c r="F168" s="2" t="n">
        <v>6</v>
      </c>
      <c r="G168" t="inlineStr">
        <is>
          <t>i</t>
        </is>
      </c>
      <c r="H168" t="inlineStr">
        <is>
          <t>Knee injury - Unknown return date</t>
        </is>
      </c>
      <c r="I168" s="2" t="n">
        <v>1747</v>
      </c>
      <c r="J168" t="n">
        <v>80</v>
      </c>
      <c r="K168" s="3" t="n">
        <v>2160</v>
      </c>
      <c r="L168" t="inlineStr">
        <is>
          <t>ramp-up (injury / late WC return)</t>
        </is>
      </c>
      <c r="M168" s="4" t="n">
        <v>1747</v>
      </c>
      <c r="N168" s="4" t="n">
        <v>0.237</v>
      </c>
      <c r="O168" s="3" t="n">
        <v>0.1625</v>
      </c>
      <c r="P168" t="inlineStr">
        <is>
          <t>adjusted xGOT</t>
        </is>
      </c>
      <c r="Q168" s="3" t="n">
        <v>1.031</v>
      </c>
      <c r="R168" s="3" t="n">
        <v>3.1</v>
      </c>
      <c r="S168" s="3" t="n">
        <v>0.219</v>
      </c>
      <c r="T168" s="3" t="n">
        <v>7.939</v>
      </c>
      <c r="U168" s="4" t="n">
        <v>91.90000000000001</v>
      </c>
      <c r="V168" s="3">
        <f>IF(OR(N(T168)=0,N(U168)=0),0,1-POISSON(IFERROR(VLOOKUP($C168,Assumptions!$A$4:$G$7,7,FALSE),99)-1,N(T168)*N(U168)/90,TRUE))</f>
        <v/>
      </c>
      <c r="W168" s="3" t="n">
        <v>0.3606</v>
      </c>
      <c r="X168" s="3" t="n">
        <v>2.37</v>
      </c>
      <c r="Y168" s="3">
        <f>IF(X168="",IFERROR(VLOOKUP($C168,Assumptions!$A$4:$G$7,6,FALSE),0),X168)</f>
        <v/>
      </c>
      <c r="Z168" s="3">
        <f>N(O168)*IFERROR(VLOOKUP($C168,Assumptions!$A$4:$G$7,2,FALSE),0)</f>
        <v/>
      </c>
      <c r="AA168" s="3">
        <f>N(S168)*IFERROR(VLOOKUP($C168,Assumptions!$A$4:$G$7,3,FALSE),0)*Assumptions!$B$11</f>
        <v/>
      </c>
      <c r="AB168" s="3">
        <f>N(N168)*IFERROR(VLOOKUP($C168,Assumptions!$A$4:$G$7,4,FALSE),0)</f>
        <v/>
      </c>
      <c r="AC168" s="3">
        <f>IF(N(U168)=0,0,V168*IFERROR(VLOOKUP($C168,Assumptions!$A$4:$G$7,5,FALSE),0)*90/N(U168))</f>
        <v/>
      </c>
      <c r="AD168" s="3">
        <f>N(W168)</f>
        <v/>
      </c>
      <c r="AE168" s="3">
        <f>SUM(Y168:AD168)</f>
        <v/>
      </c>
      <c r="AF168" s="3">
        <f>N(AE168)*N(M168)/90</f>
        <v/>
      </c>
      <c r="AG168" s="3">
        <f>IFERROR(AF168-VLOOKUP($C168,Assumptions!$A$29:$C$32,3,FALSE),"")</f>
        <v/>
      </c>
      <c r="AH168" s="3">
        <f>IFERROR(AG168/F168,"")</f>
        <v/>
      </c>
      <c r="AI168">
        <f>IF(AND($E168=TRUE,$C168="GKP"),AF168,"")</f>
        <v/>
      </c>
      <c r="AJ168">
        <f>IF(AND($E168=TRUE,$C168="DEF"),AF168,"")</f>
        <v/>
      </c>
      <c r="AK168">
        <f>IF(AND($E168=TRUE,$C168="MID"),AF168,"")</f>
        <v/>
      </c>
      <c r="AL168">
        <f>IF(AND($E168=TRUE,$C168="FWD"),AF168,"")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b">
        <v>1</v>
      </c>
      <c r="F169" s="2" t="n">
        <v>5.5</v>
      </c>
      <c r="G169" t="inlineStr">
        <is>
          <t>a</t>
        </is>
      </c>
      <c r="I169" s="2" t="n">
        <v>1909</v>
      </c>
      <c r="J169" t="n">
        <v>80</v>
      </c>
      <c r="K169" s="3" t="n">
        <v>1744</v>
      </c>
      <c r="L169" t="inlineStr">
        <is>
          <t>flat</t>
        </is>
      </c>
      <c r="M169" s="4" t="n">
        <v>1909</v>
      </c>
      <c r="N169" s="4" t="n">
        <v>0.237</v>
      </c>
      <c r="O169" s="3" t="n">
        <v>0.2074</v>
      </c>
      <c r="P169" t="inlineStr">
        <is>
          <t>adjusted xGOT</t>
        </is>
      </c>
      <c r="Q169" s="3" t="n">
        <v>0.9340000000000001</v>
      </c>
      <c r="R169" s="3" t="n">
        <v>11.3</v>
      </c>
      <c r="S169" s="3" t="n">
        <v>0.0598</v>
      </c>
      <c r="T169" s="3" t="n">
        <v>7.416</v>
      </c>
      <c r="U169" s="4" t="n">
        <v>86.8</v>
      </c>
      <c r="V169" s="3">
        <f>IF(OR(N(T169)=0,N(U169)=0),0,1-POISSON(IFERROR(VLOOKUP($C169,Assumptions!$A$4:$G$7,7,FALSE),99)-1,N(T169)*N(U169)/90,TRUE))</f>
        <v/>
      </c>
      <c r="W169" s="3" t="n">
        <v>0.09429999999999999</v>
      </c>
      <c r="X169" s="3" t="n">
        <v>2.64</v>
      </c>
      <c r="Y169" s="3">
        <f>IF(X169="",IFERROR(VLOOKUP($C169,Assumptions!$A$4:$G$7,6,FALSE),0),X169)</f>
        <v/>
      </c>
      <c r="Z169" s="3">
        <f>N(O169)*IFERROR(VLOOKUP($C169,Assumptions!$A$4:$G$7,2,FALSE),0)</f>
        <v/>
      </c>
      <c r="AA169" s="3">
        <f>N(S169)*IFERROR(VLOOKUP($C169,Assumptions!$A$4:$G$7,3,FALSE),0)*Assumptions!$B$11</f>
        <v/>
      </c>
      <c r="AB169" s="3">
        <f>N(N169)*IFERROR(VLOOKUP($C169,Assumptions!$A$4:$G$7,4,FALSE),0)</f>
        <v/>
      </c>
      <c r="AC169" s="3">
        <f>IF(N(U169)=0,0,V169*IFERROR(VLOOKUP($C169,Assumptions!$A$4:$G$7,5,FALSE),0)*90/N(U169))</f>
        <v/>
      </c>
      <c r="AD169" s="3">
        <f>N(W169)</f>
        <v/>
      </c>
      <c r="AE169" s="3">
        <f>SUM(Y169:AD169)</f>
        <v/>
      </c>
      <c r="AF169" s="3">
        <f>N(AE169)*N(M169)/90</f>
        <v/>
      </c>
      <c r="AG169" s="3">
        <f>IFERROR(AF169-VLOOKUP($C169,Assumptions!$A$29:$C$32,3,FALSE),"")</f>
        <v/>
      </c>
      <c r="AH169" s="3">
        <f>IFERROR(AG169/F169,"")</f>
        <v/>
      </c>
      <c r="AI169">
        <f>IF(AND($E169=TRUE,$C169="GKP"),AF169,"")</f>
        <v/>
      </c>
      <c r="AJ169">
        <f>IF(AND($E169=TRUE,$C169="DEF"),AF169,"")</f>
        <v/>
      </c>
      <c r="AK169">
        <f>IF(AND($E169=TRUE,$C169="MID"),AF169,"")</f>
        <v/>
      </c>
      <c r="AL169">
        <f>IF(AND($E169=TRUE,$C169="FWD"),AF169,"")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b">
        <v>1</v>
      </c>
      <c r="F170" s="2" t="n">
        <v>5.5</v>
      </c>
      <c r="G170" t="inlineStr">
        <is>
          <t>a</t>
        </is>
      </c>
      <c r="I170" s="2" t="n">
        <v>1234</v>
      </c>
      <c r="J170" t="n">
        <v>80</v>
      </c>
      <c r="K170" s="3" t="n">
        <v>258</v>
      </c>
      <c r="L170" t="inlineStr">
        <is>
          <t>flat</t>
        </is>
      </c>
      <c r="M170" s="4" t="n">
        <v>1234</v>
      </c>
      <c r="N170" s="4" t="n">
        <v>0.263</v>
      </c>
      <c r="O170" s="3" t="n">
        <v>0.5348000000000001</v>
      </c>
      <c r="P170" t="inlineStr">
        <is>
          <t>adjusted xGOT</t>
        </is>
      </c>
      <c r="Q170" s="3" t="n">
        <v>0.965</v>
      </c>
      <c r="R170" s="3" t="n">
        <v>33.4</v>
      </c>
      <c r="S170" s="3" t="n">
        <v>0.0571</v>
      </c>
      <c r="T170" s="3" t="n">
        <v>3.655</v>
      </c>
      <c r="U170" s="4" t="n">
        <v>112.2</v>
      </c>
      <c r="V170" s="3">
        <f>IF(OR(N(T170)=0,N(U170)=0),0,1-POISSON(IFERROR(VLOOKUP($C170,Assumptions!$A$4:$G$7,7,FALSE),99)-1,N(T170)*N(U170)/90,TRUE))</f>
        <v/>
      </c>
      <c r="W170" s="3" t="n">
        <v>0.6564</v>
      </c>
      <c r="X170" s="3" t="n">
        <v>2.917</v>
      </c>
      <c r="Y170" s="3">
        <f>IF(X170="",IFERROR(VLOOKUP($C170,Assumptions!$A$4:$G$7,6,FALSE),0),X170)</f>
        <v/>
      </c>
      <c r="Z170" s="3">
        <f>N(O170)*IFERROR(VLOOKUP($C170,Assumptions!$A$4:$G$7,2,FALSE),0)</f>
        <v/>
      </c>
      <c r="AA170" s="3">
        <f>N(S170)*IFERROR(VLOOKUP($C170,Assumptions!$A$4:$G$7,3,FALSE),0)*Assumptions!$B$11</f>
        <v/>
      </c>
      <c r="AB170" s="3">
        <f>N(N170)*IFERROR(VLOOKUP($C170,Assumptions!$A$4:$G$7,4,FALSE),0)</f>
        <v/>
      </c>
      <c r="AC170" s="3">
        <f>IF(N(U170)=0,0,V170*IFERROR(VLOOKUP($C170,Assumptions!$A$4:$G$7,5,FALSE),0)*90/N(U170))</f>
        <v/>
      </c>
      <c r="AD170" s="3">
        <f>N(W170)</f>
        <v/>
      </c>
      <c r="AE170" s="3">
        <f>SUM(Y170:AD170)</f>
        <v/>
      </c>
      <c r="AF170" s="3">
        <f>N(AE170)*N(M170)/90</f>
        <v/>
      </c>
      <c r="AG170" s="3">
        <f>IFERROR(AF170-VLOOKUP($C170,Assumptions!$A$29:$C$32,3,FALSE),"")</f>
        <v/>
      </c>
      <c r="AH170" s="3">
        <f>IFERROR(AG170/F170,"")</f>
        <v/>
      </c>
      <c r="AI170">
        <f>IF(AND($E170=TRUE,$C170="GKP"),AF170,"")</f>
        <v/>
      </c>
      <c r="AJ170">
        <f>IF(AND($E170=TRUE,$C170="DEF"),AF170,"")</f>
        <v/>
      </c>
      <c r="AK170">
        <f>IF(AND($E170=TRUE,$C170="MID"),AF170,"")</f>
        <v/>
      </c>
      <c r="AL170">
        <f>IF(AND($E170=TRUE,$C170="FWD"),AF170,"")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b">
        <v>1</v>
      </c>
      <c r="F171" s="2" t="n">
        <v>5</v>
      </c>
      <c r="G171" t="inlineStr">
        <is>
          <t>a</t>
        </is>
      </c>
      <c r="I171" s="2" t="n">
        <v>2176</v>
      </c>
      <c r="J171" t="n">
        <v>79</v>
      </c>
      <c r="K171" s="3" t="n">
        <v>2702</v>
      </c>
      <c r="L171" t="inlineStr">
        <is>
          <t>flat</t>
        </is>
      </c>
      <c r="M171" s="4" t="n">
        <v>2176</v>
      </c>
      <c r="N171" s="4" t="n">
        <v>0.21</v>
      </c>
      <c r="O171" s="3" t="n">
        <v>0.0413</v>
      </c>
      <c r="P171" t="inlineStr">
        <is>
          <t>adjusted xGOT</t>
        </is>
      </c>
      <c r="Q171" s="3" t="n">
        <v>0.989</v>
      </c>
      <c r="R171" s="3" t="n">
        <v>2.6</v>
      </c>
      <c r="S171" s="3" t="n">
        <v>0.1099</v>
      </c>
      <c r="T171" s="3" t="n">
        <v>7.287</v>
      </c>
      <c r="U171" s="4" t="n">
        <v>90.7</v>
      </c>
      <c r="V171" s="3">
        <f>IF(OR(N(T171)=0,N(U171)=0),0,1-POISSON(IFERROR(VLOOKUP($C171,Assumptions!$A$4:$G$7,7,FALSE),99)-1,N(T171)*N(U171)/90,TRUE))</f>
        <v/>
      </c>
      <c r="W171" s="3" t="n">
        <v>0.2068</v>
      </c>
      <c r="X171" s="3" t="n">
        <v>2.192</v>
      </c>
      <c r="Y171" s="3">
        <f>IF(X171="",IFERROR(VLOOKUP($C171,Assumptions!$A$4:$G$7,6,FALSE),0),X171)</f>
        <v/>
      </c>
      <c r="Z171" s="3">
        <f>N(O171)*IFERROR(VLOOKUP($C171,Assumptions!$A$4:$G$7,2,FALSE),0)</f>
        <v/>
      </c>
      <c r="AA171" s="3">
        <f>N(S171)*IFERROR(VLOOKUP($C171,Assumptions!$A$4:$G$7,3,FALSE),0)*Assumptions!$B$11</f>
        <v/>
      </c>
      <c r="AB171" s="3">
        <f>N(N171)*IFERROR(VLOOKUP($C171,Assumptions!$A$4:$G$7,4,FALSE),0)</f>
        <v/>
      </c>
      <c r="AC171" s="3">
        <f>IF(N(U171)=0,0,V171*IFERROR(VLOOKUP($C171,Assumptions!$A$4:$G$7,5,FALSE),0)*90/N(U171))</f>
        <v/>
      </c>
      <c r="AD171" s="3">
        <f>N(W171)</f>
        <v/>
      </c>
      <c r="AE171" s="3">
        <f>SUM(Y171:AD171)</f>
        <v/>
      </c>
      <c r="AF171" s="3">
        <f>N(AE171)*N(M171)/90</f>
        <v/>
      </c>
      <c r="AG171" s="3">
        <f>IFERROR(AF171-VLOOKUP($C171,Assumptions!$A$29:$C$32,3,FALSE),"")</f>
        <v/>
      </c>
      <c r="AH171" s="3">
        <f>IFERROR(AG171/F171,"")</f>
        <v/>
      </c>
      <c r="AI171">
        <f>IF(AND($E171=TRUE,$C171="GKP"),AF171,"")</f>
        <v/>
      </c>
      <c r="AJ171">
        <f>IF(AND($E171=TRUE,$C171="DEF"),AF171,"")</f>
        <v/>
      </c>
      <c r="AK171">
        <f>IF(AND($E171=TRUE,$C171="MID"),AF171,"")</f>
        <v/>
      </c>
      <c r="AL171">
        <f>IF(AND($E171=TRUE,$C171="FWD"),AF171,"")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b">
        <v>1</v>
      </c>
      <c r="F172" s="2" t="n">
        <v>6.5</v>
      </c>
      <c r="G172" t="inlineStr">
        <is>
          <t>d</t>
        </is>
      </c>
      <c r="H172" t="inlineStr">
        <is>
          <t>Foot injury - 75% chance of playing</t>
        </is>
      </c>
      <c r="I172" s="2" t="n">
        <v>1627</v>
      </c>
      <c r="J172" t="n">
        <v>79</v>
      </c>
      <c r="K172" s="3" t="n">
        <v>27</v>
      </c>
      <c r="L172" t="inlineStr">
        <is>
          <t>flat</t>
        </is>
      </c>
      <c r="M172" s="4" t="n">
        <v>1627</v>
      </c>
      <c r="N172" s="4" t="n">
        <v>0.421</v>
      </c>
      <c r="O172" s="3" t="n">
        <v>0.1214</v>
      </c>
      <c r="P172" t="inlineStr">
        <is>
          <t>adjusted xGOT</t>
        </is>
      </c>
      <c r="Q172" s="3" t="n">
        <v>1.07</v>
      </c>
      <c r="R172" s="3" t="n">
        <v>9.800000000000001</v>
      </c>
      <c r="S172" s="3" t="n">
        <v>0.2193</v>
      </c>
      <c r="T172" s="3" t="n">
        <v>7.808</v>
      </c>
      <c r="U172" s="4" t="n">
        <v>90.40000000000001</v>
      </c>
      <c r="V172" s="3">
        <f>IF(OR(N(T172)=0,N(U172)=0),0,1-POISSON(IFERROR(VLOOKUP($C172,Assumptions!$A$4:$G$7,7,FALSE),99)-1,N(T172)*N(U172)/90,TRUE))</f>
        <v/>
      </c>
      <c r="W172" s="3" t="n">
        <v>0.6637999999999999</v>
      </c>
      <c r="X172" s="3" t="n">
        <v>2.102</v>
      </c>
      <c r="Y172" s="3">
        <f>IF(X172="",IFERROR(VLOOKUP($C172,Assumptions!$A$4:$G$7,6,FALSE),0),X172)</f>
        <v/>
      </c>
      <c r="Z172" s="3">
        <f>N(O172)*IFERROR(VLOOKUP($C172,Assumptions!$A$4:$G$7,2,FALSE),0)</f>
        <v/>
      </c>
      <c r="AA172" s="3">
        <f>N(S172)*IFERROR(VLOOKUP($C172,Assumptions!$A$4:$G$7,3,FALSE),0)*Assumptions!$B$11</f>
        <v/>
      </c>
      <c r="AB172" s="3">
        <f>N(N172)*IFERROR(VLOOKUP($C172,Assumptions!$A$4:$G$7,4,FALSE),0)</f>
        <v/>
      </c>
      <c r="AC172" s="3">
        <f>IF(N(U172)=0,0,V172*IFERROR(VLOOKUP($C172,Assumptions!$A$4:$G$7,5,FALSE),0)*90/N(U172))</f>
        <v/>
      </c>
      <c r="AD172" s="3">
        <f>N(W172)</f>
        <v/>
      </c>
      <c r="AE172" s="3">
        <f>SUM(Y172:AD172)</f>
        <v/>
      </c>
      <c r="AF172" s="3">
        <f>N(AE172)*N(M172)/90</f>
        <v/>
      </c>
      <c r="AG172" s="3">
        <f>IFERROR(AF172-VLOOKUP($C172,Assumptions!$A$29:$C$32,3,FALSE),"")</f>
        <v/>
      </c>
      <c r="AH172" s="3">
        <f>IFERROR(AG172/F172,"")</f>
        <v/>
      </c>
      <c r="AI172">
        <f>IF(AND($E172=TRUE,$C172="GKP"),AF172,"")</f>
        <v/>
      </c>
      <c r="AJ172">
        <f>IF(AND($E172=TRUE,$C172="DEF"),AF172,"")</f>
        <v/>
      </c>
      <c r="AK172">
        <f>IF(AND($E172=TRUE,$C172="MID"),AF172,"")</f>
        <v/>
      </c>
      <c r="AL172">
        <f>IF(AND($E172=TRUE,$C172="FWD"),AF172,"")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b">
        <v>1</v>
      </c>
      <c r="F173" s="2" t="n">
        <v>5.5</v>
      </c>
      <c r="G173" t="inlineStr">
        <is>
          <t>a</t>
        </is>
      </c>
      <c r="I173" s="2" t="n">
        <v>1370</v>
      </c>
      <c r="J173" t="n">
        <v>79</v>
      </c>
      <c r="K173" s="3" t="n">
        <v>3038</v>
      </c>
      <c r="L173" t="inlineStr">
        <is>
          <t>flat</t>
        </is>
      </c>
      <c r="M173" s="4" t="n">
        <v>1370</v>
      </c>
      <c r="N173" s="4" t="n">
        <v>0.421</v>
      </c>
      <c r="O173" s="3" t="n">
        <v>0.1364</v>
      </c>
      <c r="P173" t="inlineStr">
        <is>
          <t>adjusted xGOT</t>
        </is>
      </c>
      <c r="Q173" s="3" t="n">
        <v>0.923</v>
      </c>
      <c r="R173" s="3" t="n">
        <v>10</v>
      </c>
      <c r="S173" s="3" t="n">
        <v>0.0374</v>
      </c>
      <c r="T173" s="3" t="n">
        <v>7.083</v>
      </c>
      <c r="U173" s="4" t="n">
        <v>85.59999999999999</v>
      </c>
      <c r="V173" s="3">
        <f>IF(OR(N(T173)=0,N(U173)=0),0,1-POISSON(IFERROR(VLOOKUP($C173,Assumptions!$A$4:$G$7,7,FALSE),99)-1,N(T173)*N(U173)/90,TRUE))</f>
        <v/>
      </c>
      <c r="W173" s="3" t="n">
        <v>0.1971</v>
      </c>
      <c r="X173" s="3" t="n">
        <v>2.102</v>
      </c>
      <c r="Y173" s="3">
        <f>IF(X173="",IFERROR(VLOOKUP($C173,Assumptions!$A$4:$G$7,6,FALSE),0),X173)</f>
        <v/>
      </c>
      <c r="Z173" s="3">
        <f>N(O173)*IFERROR(VLOOKUP($C173,Assumptions!$A$4:$G$7,2,FALSE),0)</f>
        <v/>
      </c>
      <c r="AA173" s="3">
        <f>N(S173)*IFERROR(VLOOKUP($C173,Assumptions!$A$4:$G$7,3,FALSE),0)*Assumptions!$B$11</f>
        <v/>
      </c>
      <c r="AB173" s="3">
        <f>N(N173)*IFERROR(VLOOKUP($C173,Assumptions!$A$4:$G$7,4,FALSE),0)</f>
        <v/>
      </c>
      <c r="AC173" s="3">
        <f>IF(N(U173)=0,0,V173*IFERROR(VLOOKUP($C173,Assumptions!$A$4:$G$7,5,FALSE),0)*90/N(U173))</f>
        <v/>
      </c>
      <c r="AD173" s="3">
        <f>N(W173)</f>
        <v/>
      </c>
      <c r="AE173" s="3">
        <f>SUM(Y173:AD173)</f>
        <v/>
      </c>
      <c r="AF173" s="3">
        <f>N(AE173)*N(M173)/90</f>
        <v/>
      </c>
      <c r="AG173" s="3">
        <f>IFERROR(AF173-VLOOKUP($C173,Assumptions!$A$29:$C$32,3,FALSE),"")</f>
        <v/>
      </c>
      <c r="AH173" s="3">
        <f>IFERROR(AG173/F173,"")</f>
        <v/>
      </c>
      <c r="AI173">
        <f>IF(AND($E173=TRUE,$C173="GKP"),AF173,"")</f>
        <v/>
      </c>
      <c r="AJ173">
        <f>IF(AND($E173=TRUE,$C173="DEF"),AF173,"")</f>
        <v/>
      </c>
      <c r="AK173">
        <f>IF(AND($E173=TRUE,$C173="MID"),AF173,"")</f>
        <v/>
      </c>
      <c r="AL173">
        <f>IF(AND($E173=TRUE,$C173="FWD"),AF173,"")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b">
        <v>1</v>
      </c>
      <c r="F174" s="2" t="n">
        <v>5.5</v>
      </c>
      <c r="G174" t="inlineStr">
        <is>
          <t>a</t>
        </is>
      </c>
      <c r="I174" s="2" t="n">
        <v>1636</v>
      </c>
      <c r="J174" t="n">
        <v>78</v>
      </c>
      <c r="K174" s="3" t="n">
        <v>3164</v>
      </c>
      <c r="L174" t="inlineStr">
        <is>
          <t>flat</t>
        </is>
      </c>
      <c r="M174" s="4" t="n">
        <v>1636</v>
      </c>
      <c r="N174" s="4" t="n">
        <v>0.263</v>
      </c>
      <c r="O174" s="3" t="n">
        <v>0.0791</v>
      </c>
      <c r="P174" t="inlineStr">
        <is>
          <t>adjusted xGOT</t>
        </is>
      </c>
      <c r="Q174" s="3" t="n">
        <v>1.034</v>
      </c>
      <c r="R174" s="3" t="n">
        <v>13</v>
      </c>
      <c r="S174" s="3" t="n">
        <v>0.1993</v>
      </c>
      <c r="T174" s="3" t="n">
        <v>8.16</v>
      </c>
      <c r="U174" s="4" t="n">
        <v>90.90000000000001</v>
      </c>
      <c r="V174" s="3">
        <f>IF(OR(N(T174)=0,N(U174)=0),0,1-POISSON(IFERROR(VLOOKUP($C174,Assumptions!$A$4:$G$7,7,FALSE),99)-1,N(T174)*N(U174)/90,TRUE))</f>
        <v/>
      </c>
      <c r="W174" s="3" t="n">
        <v>0.5501</v>
      </c>
      <c r="X174" s="3" t="n">
        <v>2.035</v>
      </c>
      <c r="Y174" s="3">
        <f>IF(X174="",IFERROR(VLOOKUP($C174,Assumptions!$A$4:$G$7,6,FALSE),0),X174)</f>
        <v/>
      </c>
      <c r="Z174" s="3">
        <f>N(O174)*IFERROR(VLOOKUP($C174,Assumptions!$A$4:$G$7,2,FALSE),0)</f>
        <v/>
      </c>
      <c r="AA174" s="3">
        <f>N(S174)*IFERROR(VLOOKUP($C174,Assumptions!$A$4:$G$7,3,FALSE),0)*Assumptions!$B$11</f>
        <v/>
      </c>
      <c r="AB174" s="3">
        <f>N(N174)*IFERROR(VLOOKUP($C174,Assumptions!$A$4:$G$7,4,FALSE),0)</f>
        <v/>
      </c>
      <c r="AC174" s="3">
        <f>IF(N(U174)=0,0,V174*IFERROR(VLOOKUP($C174,Assumptions!$A$4:$G$7,5,FALSE),0)*90/N(U174))</f>
        <v/>
      </c>
      <c r="AD174" s="3">
        <f>N(W174)</f>
        <v/>
      </c>
      <c r="AE174" s="3">
        <f>SUM(Y174:AD174)</f>
        <v/>
      </c>
      <c r="AF174" s="3">
        <f>N(AE174)*N(M174)/90</f>
        <v/>
      </c>
      <c r="AG174" s="3">
        <f>IFERROR(AF174-VLOOKUP($C174,Assumptions!$A$29:$C$32,3,FALSE),"")</f>
        <v/>
      </c>
      <c r="AH174" s="3">
        <f>IFERROR(AG174/F174,"")</f>
        <v/>
      </c>
      <c r="AI174">
        <f>IF(AND($E174=TRUE,$C174="GKP"),AF174,"")</f>
        <v/>
      </c>
      <c r="AJ174">
        <f>IF(AND($E174=TRUE,$C174="DEF"),AF174,"")</f>
        <v/>
      </c>
      <c r="AK174">
        <f>IF(AND($E174=TRUE,$C174="MID"),AF174,"")</f>
        <v/>
      </c>
      <c r="AL174">
        <f>IF(AND($E174=TRUE,$C174="FWD"),AF174,"")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b">
        <v>1</v>
      </c>
      <c r="F175" s="2" t="n">
        <v>6</v>
      </c>
      <c r="G175" t="inlineStr">
        <is>
          <t>a</t>
        </is>
      </c>
      <c r="I175" s="2" t="n">
        <v>1334</v>
      </c>
      <c r="J175" t="n">
        <v>78</v>
      </c>
      <c r="K175" s="3" t="n">
        <v>1097</v>
      </c>
      <c r="L175" t="inlineStr">
        <is>
          <t>fade (losing his place)</t>
        </is>
      </c>
      <c r="M175" s="4" t="n">
        <v>1334</v>
      </c>
      <c r="N175" s="4" t="n">
        <v>0.237</v>
      </c>
      <c r="O175" s="3" t="n">
        <v>0.1737</v>
      </c>
      <c r="P175" t="inlineStr">
        <is>
          <t>adjusted xGOT</t>
        </is>
      </c>
      <c r="Q175" s="3" t="n">
        <v>1.042</v>
      </c>
      <c r="R175" s="3" t="n">
        <v>5.4</v>
      </c>
      <c r="S175" s="3" t="n">
        <v>0.1971</v>
      </c>
      <c r="T175" s="3" t="n">
        <v>7.87</v>
      </c>
      <c r="U175" s="4" t="n">
        <v>102.6</v>
      </c>
      <c r="V175" s="3">
        <f>IF(OR(N(T175)=0,N(U175)=0),0,1-POISSON(IFERROR(VLOOKUP($C175,Assumptions!$A$4:$G$7,7,FALSE),99)-1,N(T175)*N(U175)/90,TRUE))</f>
        <v/>
      </c>
      <c r="W175" s="3" t="n">
        <v>0.4048</v>
      </c>
      <c r="X175" s="3" t="n">
        <v>2.901</v>
      </c>
      <c r="Y175" s="3">
        <f>IF(X175="",IFERROR(VLOOKUP($C175,Assumptions!$A$4:$G$7,6,FALSE),0),X175)</f>
        <v/>
      </c>
      <c r="Z175" s="3">
        <f>N(O175)*IFERROR(VLOOKUP($C175,Assumptions!$A$4:$G$7,2,FALSE),0)</f>
        <v/>
      </c>
      <c r="AA175" s="3">
        <f>N(S175)*IFERROR(VLOOKUP($C175,Assumptions!$A$4:$G$7,3,FALSE),0)*Assumptions!$B$11</f>
        <v/>
      </c>
      <c r="AB175" s="3">
        <f>N(N175)*IFERROR(VLOOKUP($C175,Assumptions!$A$4:$G$7,4,FALSE),0)</f>
        <v/>
      </c>
      <c r="AC175" s="3">
        <f>IF(N(U175)=0,0,V175*IFERROR(VLOOKUP($C175,Assumptions!$A$4:$G$7,5,FALSE),0)*90/N(U175))</f>
        <v/>
      </c>
      <c r="AD175" s="3">
        <f>N(W175)</f>
        <v/>
      </c>
      <c r="AE175" s="3">
        <f>SUM(Y175:AD175)</f>
        <v/>
      </c>
      <c r="AF175" s="3">
        <f>N(AE175)*N(M175)/90</f>
        <v/>
      </c>
      <c r="AG175" s="3">
        <f>IFERROR(AF175-VLOOKUP($C175,Assumptions!$A$29:$C$32,3,FALSE),"")</f>
        <v/>
      </c>
      <c r="AH175" s="3">
        <f>IFERROR(AG175/F175,"")</f>
        <v/>
      </c>
      <c r="AI175">
        <f>IF(AND($E175=TRUE,$C175="GKP"),AF175,"")</f>
        <v/>
      </c>
      <c r="AJ175">
        <f>IF(AND($E175=TRUE,$C175="DEF"),AF175,"")</f>
        <v/>
      </c>
      <c r="AK175">
        <f>IF(AND($E175=TRUE,$C175="MID"),AF175,"")</f>
        <v/>
      </c>
      <c r="AL175">
        <f>IF(AND($E175=TRUE,$C175="FWD"),AF175,"")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b">
        <v>1</v>
      </c>
      <c r="F176" s="2" t="n">
        <v>4.5</v>
      </c>
      <c r="G176" t="inlineStr">
        <is>
          <t>a</t>
        </is>
      </c>
      <c r="I176" s="2" t="n">
        <v>2049</v>
      </c>
      <c r="J176" t="n">
        <v>78</v>
      </c>
      <c r="K176" s="3" t="n">
        <v>1955</v>
      </c>
      <c r="L176" t="inlineStr">
        <is>
          <t>flat</t>
        </is>
      </c>
      <c r="M176" s="4" t="n">
        <v>2049</v>
      </c>
      <c r="N176" s="4" t="n">
        <v>0.237</v>
      </c>
      <c r="O176" s="3" t="n">
        <v>0.041</v>
      </c>
      <c r="P176" t="inlineStr">
        <is>
          <t>adjusted xGOT</t>
        </is>
      </c>
      <c r="Q176" s="3" t="n">
        <v>1.038</v>
      </c>
      <c r="R176" s="3" t="n">
        <v>1.5</v>
      </c>
      <c r="S176" s="3" t="n">
        <v>0.07969999999999999</v>
      </c>
      <c r="T176" s="3" t="n">
        <v>5.769</v>
      </c>
      <c r="U176" s="4" t="n">
        <v>89.09999999999999</v>
      </c>
      <c r="V176" s="3">
        <f>IF(OR(N(T176)=0,N(U176)=0),0,1-POISSON(IFERROR(VLOOKUP($C176,Assumptions!$A$4:$G$7,7,FALSE),99)-1,N(T176)*N(U176)/90,TRUE))</f>
        <v/>
      </c>
      <c r="W176" s="3" t="n">
        <v>0.1318</v>
      </c>
      <c r="X176" s="3" t="n">
        <v>2.284</v>
      </c>
      <c r="Y176" s="3">
        <f>IF(X176="",IFERROR(VLOOKUP($C176,Assumptions!$A$4:$G$7,6,FALSE),0),X176)</f>
        <v/>
      </c>
      <c r="Z176" s="3">
        <f>N(O176)*IFERROR(VLOOKUP($C176,Assumptions!$A$4:$G$7,2,FALSE),0)</f>
        <v/>
      </c>
      <c r="AA176" s="3">
        <f>N(S176)*IFERROR(VLOOKUP($C176,Assumptions!$A$4:$G$7,3,FALSE),0)*Assumptions!$B$11</f>
        <v/>
      </c>
      <c r="AB176" s="3">
        <f>N(N176)*IFERROR(VLOOKUP($C176,Assumptions!$A$4:$G$7,4,FALSE),0)</f>
        <v/>
      </c>
      <c r="AC176" s="3">
        <f>IF(N(U176)=0,0,V176*IFERROR(VLOOKUP($C176,Assumptions!$A$4:$G$7,5,FALSE),0)*90/N(U176))</f>
        <v/>
      </c>
      <c r="AD176" s="3">
        <f>N(W176)</f>
        <v/>
      </c>
      <c r="AE176" s="3">
        <f>SUM(Y176:AD176)</f>
        <v/>
      </c>
      <c r="AF176" s="3">
        <f>N(AE176)*N(M176)/90</f>
        <v/>
      </c>
      <c r="AG176" s="3">
        <f>IFERROR(AF176-VLOOKUP($C176,Assumptions!$A$29:$C$32,3,FALSE),"")</f>
        <v/>
      </c>
      <c r="AH176" s="3">
        <f>IFERROR(AG176/F176,"")</f>
        <v/>
      </c>
      <c r="AI176">
        <f>IF(AND($E176=TRUE,$C176="GKP"),AF176,"")</f>
        <v/>
      </c>
      <c r="AJ176">
        <f>IF(AND($E176=TRUE,$C176="DEF"),AF176,"")</f>
        <v/>
      </c>
      <c r="AK176">
        <f>IF(AND($E176=TRUE,$C176="MID"),AF176,"")</f>
        <v/>
      </c>
      <c r="AL176">
        <f>IF(AND($E176=TRUE,$C176="FWD"),AF176,"")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b">
        <v>1</v>
      </c>
      <c r="F177" s="2" t="n">
        <v>5</v>
      </c>
      <c r="G177" t="inlineStr">
        <is>
          <t>a</t>
        </is>
      </c>
      <c r="I177" s="2" t="n">
        <v>1769</v>
      </c>
      <c r="J177" t="n">
        <v>77</v>
      </c>
      <c r="K177" s="3" t="n">
        <v>2633</v>
      </c>
      <c r="L177" t="inlineStr">
        <is>
          <t>flat</t>
        </is>
      </c>
      <c r="M177" s="4" t="n">
        <v>1769</v>
      </c>
      <c r="N177" s="4" t="n">
        <v>0.29</v>
      </c>
      <c r="O177" s="3" t="n">
        <v>0.034</v>
      </c>
      <c r="P177" t="inlineStr">
        <is>
          <t>adjusted xGOT</t>
        </is>
      </c>
      <c r="Q177" s="3" t="n">
        <v>1.063</v>
      </c>
      <c r="R177" s="3" t="n">
        <v>2.1</v>
      </c>
      <c r="S177" s="3" t="n">
        <v>0.0473</v>
      </c>
      <c r="T177" s="3" t="n">
        <v>10.87</v>
      </c>
      <c r="U177" s="4" t="n">
        <v>84.2</v>
      </c>
      <c r="V177" s="3">
        <f>IF(OR(N(T177)=0,N(U177)=0),0,1-POISSON(IFERROR(VLOOKUP($C177,Assumptions!$A$4:$G$7,7,FALSE),99)-1,N(T177)*N(U177)/90,TRUE))</f>
        <v/>
      </c>
      <c r="W177" s="3" t="n">
        <v>0.1526</v>
      </c>
      <c r="X177" s="3" t="n">
        <v>2.289</v>
      </c>
      <c r="Y177" s="3">
        <f>IF(X177="",IFERROR(VLOOKUP($C177,Assumptions!$A$4:$G$7,6,FALSE),0),X177)</f>
        <v/>
      </c>
      <c r="Z177" s="3">
        <f>N(O177)*IFERROR(VLOOKUP($C177,Assumptions!$A$4:$G$7,2,FALSE),0)</f>
        <v/>
      </c>
      <c r="AA177" s="3">
        <f>N(S177)*IFERROR(VLOOKUP($C177,Assumptions!$A$4:$G$7,3,FALSE),0)*Assumptions!$B$11</f>
        <v/>
      </c>
      <c r="AB177" s="3">
        <f>N(N177)*IFERROR(VLOOKUP($C177,Assumptions!$A$4:$G$7,4,FALSE),0)</f>
        <v/>
      </c>
      <c r="AC177" s="3">
        <f>IF(N(U177)=0,0,V177*IFERROR(VLOOKUP($C177,Assumptions!$A$4:$G$7,5,FALSE),0)*90/N(U177))</f>
        <v/>
      </c>
      <c r="AD177" s="3">
        <f>N(W177)</f>
        <v/>
      </c>
      <c r="AE177" s="3">
        <f>SUM(Y177:AD177)</f>
        <v/>
      </c>
      <c r="AF177" s="3">
        <f>N(AE177)*N(M177)/90</f>
        <v/>
      </c>
      <c r="AG177" s="3">
        <f>IFERROR(AF177-VLOOKUP($C177,Assumptions!$A$29:$C$32,3,FALSE),"")</f>
        <v/>
      </c>
      <c r="AH177" s="3">
        <f>IFERROR(AG177/F177,"")</f>
        <v/>
      </c>
      <c r="AI177">
        <f>IF(AND($E177=TRUE,$C177="GKP"),AF177,"")</f>
        <v/>
      </c>
      <c r="AJ177">
        <f>IF(AND($E177=TRUE,$C177="DEF"),AF177,"")</f>
        <v/>
      </c>
      <c r="AK177">
        <f>IF(AND($E177=TRUE,$C177="MID"),AF177,"")</f>
        <v/>
      </c>
      <c r="AL177">
        <f>IF(AND($E177=TRUE,$C177="FWD"),AF177,"")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b">
        <v>1</v>
      </c>
      <c r="F178" s="2" t="n">
        <v>5.5</v>
      </c>
      <c r="G178" t="inlineStr">
        <is>
          <t>a</t>
        </is>
      </c>
      <c r="I178" s="2" t="n">
        <v>2074</v>
      </c>
      <c r="J178" t="n">
        <v>77</v>
      </c>
      <c r="K178" s="3" t="n">
        <v>2371</v>
      </c>
      <c r="L178" t="inlineStr">
        <is>
          <t>flat</t>
        </is>
      </c>
      <c r="M178" s="4" t="n">
        <v>2074</v>
      </c>
      <c r="N178" s="4" t="n">
        <v>0.316</v>
      </c>
      <c r="O178" s="3" t="n">
        <v>0.1914</v>
      </c>
      <c r="P178" t="inlineStr">
        <is>
          <t>adjusted xGOT</t>
        </is>
      </c>
      <c r="Q178" s="3" t="n">
        <v>0.974</v>
      </c>
      <c r="R178" s="3" t="n">
        <v>4.5</v>
      </c>
      <c r="S178" s="3" t="n">
        <v>0.3173</v>
      </c>
      <c r="T178" s="3" t="n">
        <v>7.59</v>
      </c>
      <c r="U178" s="4" t="n">
        <v>79.8</v>
      </c>
      <c r="V178" s="3">
        <f>IF(OR(N(T178)=0,N(U178)=0),0,1-POISSON(IFERROR(VLOOKUP($C178,Assumptions!$A$4:$G$7,7,FALSE),99)-1,N(T178)*N(U178)/90,TRUE))</f>
        <v/>
      </c>
      <c r="W178" s="3" t="n">
        <v>0.1302</v>
      </c>
      <c r="X178" s="3" t="n">
        <v>2.3</v>
      </c>
      <c r="Y178" s="3">
        <f>IF(X178="",IFERROR(VLOOKUP($C178,Assumptions!$A$4:$G$7,6,FALSE),0),X178)</f>
        <v/>
      </c>
      <c r="Z178" s="3">
        <f>N(O178)*IFERROR(VLOOKUP($C178,Assumptions!$A$4:$G$7,2,FALSE),0)</f>
        <v/>
      </c>
      <c r="AA178" s="3">
        <f>N(S178)*IFERROR(VLOOKUP($C178,Assumptions!$A$4:$G$7,3,FALSE),0)*Assumptions!$B$11</f>
        <v/>
      </c>
      <c r="AB178" s="3">
        <f>N(N178)*IFERROR(VLOOKUP($C178,Assumptions!$A$4:$G$7,4,FALSE),0)</f>
        <v/>
      </c>
      <c r="AC178" s="3">
        <f>IF(N(U178)=0,0,V178*IFERROR(VLOOKUP($C178,Assumptions!$A$4:$G$7,5,FALSE),0)*90/N(U178))</f>
        <v/>
      </c>
      <c r="AD178" s="3">
        <f>N(W178)</f>
        <v/>
      </c>
      <c r="AE178" s="3">
        <f>SUM(Y178:AD178)</f>
        <v/>
      </c>
      <c r="AF178" s="3">
        <f>N(AE178)*N(M178)/90</f>
        <v/>
      </c>
      <c r="AG178" s="3">
        <f>IFERROR(AF178-VLOOKUP($C178,Assumptions!$A$29:$C$32,3,FALSE),"")</f>
        <v/>
      </c>
      <c r="AH178" s="3">
        <f>IFERROR(AG178/F178,"")</f>
        <v/>
      </c>
      <c r="AI178">
        <f>IF(AND($E178=TRUE,$C178="GKP"),AF178,"")</f>
        <v/>
      </c>
      <c r="AJ178">
        <f>IF(AND($E178=TRUE,$C178="DEF"),AF178,"")</f>
        <v/>
      </c>
      <c r="AK178">
        <f>IF(AND($E178=TRUE,$C178="MID"),AF178,"")</f>
        <v/>
      </c>
      <c r="AL178">
        <f>IF(AND($E178=TRUE,$C178="FWD"),AF178,"")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b">
        <v>1</v>
      </c>
      <c r="F179" s="2" t="n">
        <v>5</v>
      </c>
      <c r="G179" t="inlineStr">
        <is>
          <t>d</t>
        </is>
      </c>
      <c r="H179" t="inlineStr">
        <is>
          <t>Wrist injury - 75% chance of playing</t>
        </is>
      </c>
      <c r="I179" s="2" t="n">
        <v>1911</v>
      </c>
      <c r="J179" t="n">
        <v>76</v>
      </c>
      <c r="K179" s="3" t="n">
        <v>137</v>
      </c>
      <c r="L179" t="inlineStr">
        <is>
          <t>flat</t>
        </is>
      </c>
      <c r="M179" s="4" t="n">
        <v>1911</v>
      </c>
      <c r="N179" s="4" t="n">
        <v>0.237</v>
      </c>
      <c r="O179" s="3" t="n">
        <v>0.0143</v>
      </c>
      <c r="P179" t="inlineStr">
        <is>
          <t>adjusted xGOT</t>
        </is>
      </c>
      <c r="Q179" s="3" t="n">
        <v>0.919</v>
      </c>
      <c r="R179" s="3" t="n">
        <v>1.7</v>
      </c>
      <c r="S179" s="3" t="n">
        <v>0.1326</v>
      </c>
      <c r="T179" s="3" t="n">
        <v>8.606999999999999</v>
      </c>
      <c r="U179" s="4" t="n">
        <v>86.90000000000001</v>
      </c>
      <c r="V179" s="3">
        <f>IF(OR(N(T179)=0,N(U179)=0),0,1-POISSON(IFERROR(VLOOKUP($C179,Assumptions!$A$4:$G$7,7,FALSE),99)-1,N(T179)*N(U179)/90,TRUE))</f>
        <v/>
      </c>
      <c r="W179" s="3" t="n">
        <v>0.2355</v>
      </c>
      <c r="X179" s="3" t="n">
        <v>2.402</v>
      </c>
      <c r="Y179" s="3">
        <f>IF(X179="",IFERROR(VLOOKUP($C179,Assumptions!$A$4:$G$7,6,FALSE),0),X179)</f>
        <v/>
      </c>
      <c r="Z179" s="3">
        <f>N(O179)*IFERROR(VLOOKUP($C179,Assumptions!$A$4:$G$7,2,FALSE),0)</f>
        <v/>
      </c>
      <c r="AA179" s="3">
        <f>N(S179)*IFERROR(VLOOKUP($C179,Assumptions!$A$4:$G$7,3,FALSE),0)*Assumptions!$B$11</f>
        <v/>
      </c>
      <c r="AB179" s="3">
        <f>N(N179)*IFERROR(VLOOKUP($C179,Assumptions!$A$4:$G$7,4,FALSE),0)</f>
        <v/>
      </c>
      <c r="AC179" s="3">
        <f>IF(N(U179)=0,0,V179*IFERROR(VLOOKUP($C179,Assumptions!$A$4:$G$7,5,FALSE),0)*90/N(U179))</f>
        <v/>
      </c>
      <c r="AD179" s="3">
        <f>N(W179)</f>
        <v/>
      </c>
      <c r="AE179" s="3">
        <f>SUM(Y179:AD179)</f>
        <v/>
      </c>
      <c r="AF179" s="3">
        <f>N(AE179)*N(M179)/90</f>
        <v/>
      </c>
      <c r="AG179" s="3">
        <f>IFERROR(AF179-VLOOKUP($C179,Assumptions!$A$29:$C$32,3,FALSE),"")</f>
        <v/>
      </c>
      <c r="AH179" s="3">
        <f>IFERROR(AG179/F179,"")</f>
        <v/>
      </c>
      <c r="AI179">
        <f>IF(AND($E179=TRUE,$C179="GKP"),AF179,"")</f>
        <v/>
      </c>
      <c r="AJ179">
        <f>IF(AND($E179=TRUE,$C179="DEF"),AF179,"")</f>
        <v/>
      </c>
      <c r="AK179">
        <f>IF(AND($E179=TRUE,$C179="MID"),AF179,"")</f>
        <v/>
      </c>
      <c r="AL179">
        <f>IF(AND($E179=TRUE,$C179="FWD"),AF179,"")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b">
        <v>1</v>
      </c>
      <c r="F180" s="2" t="n">
        <v>5</v>
      </c>
      <c r="G180" t="inlineStr">
        <is>
          <t>i</t>
        </is>
      </c>
      <c r="H180" t="inlineStr">
        <is>
          <t>Knee injury - Unknown return date</t>
        </is>
      </c>
      <c r="I180" s="2" t="n">
        <v>1755</v>
      </c>
      <c r="J180" t="n">
        <v>76</v>
      </c>
      <c r="K180" s="3" t="n">
        <v>1285</v>
      </c>
      <c r="L180" t="inlineStr">
        <is>
          <t>ramp-up (injury / late WC return)</t>
        </is>
      </c>
      <c r="M180" s="4" t="n">
        <v>1755</v>
      </c>
      <c r="N180" s="4" t="n">
        <v>0.237</v>
      </c>
      <c r="O180" s="3" t="n">
        <v>0.0853</v>
      </c>
      <c r="P180" t="inlineStr">
        <is>
          <t>adjusted xGOT</t>
        </is>
      </c>
      <c r="Q180" s="3" t="n">
        <v>0.99</v>
      </c>
      <c r="R180" s="3" t="n">
        <v>9</v>
      </c>
      <c r="S180" s="3" t="n">
        <v>0.0306</v>
      </c>
      <c r="T180" s="3" t="n">
        <v>10.459</v>
      </c>
      <c r="U180" s="4" t="n">
        <v>83.59999999999999</v>
      </c>
      <c r="V180" s="3">
        <f>IF(OR(N(T180)=0,N(U180)=0),0,1-POISSON(IFERROR(VLOOKUP($C180,Assumptions!$A$4:$G$7,7,FALSE),99)-1,N(T180)*N(U180)/90,TRUE))</f>
        <v/>
      </c>
      <c r="W180" s="3" t="n">
        <v>0.2051</v>
      </c>
      <c r="X180" s="3" t="n">
        <v>2.308</v>
      </c>
      <c r="Y180" s="3">
        <f>IF(X180="",IFERROR(VLOOKUP($C180,Assumptions!$A$4:$G$7,6,FALSE),0),X180)</f>
        <v/>
      </c>
      <c r="Z180" s="3">
        <f>N(O180)*IFERROR(VLOOKUP($C180,Assumptions!$A$4:$G$7,2,FALSE),0)</f>
        <v/>
      </c>
      <c r="AA180" s="3">
        <f>N(S180)*IFERROR(VLOOKUP($C180,Assumptions!$A$4:$G$7,3,FALSE),0)*Assumptions!$B$11</f>
        <v/>
      </c>
      <c r="AB180" s="3">
        <f>N(N180)*IFERROR(VLOOKUP($C180,Assumptions!$A$4:$G$7,4,FALSE),0)</f>
        <v/>
      </c>
      <c r="AC180" s="3">
        <f>IF(N(U180)=0,0,V180*IFERROR(VLOOKUP($C180,Assumptions!$A$4:$G$7,5,FALSE),0)*90/N(U180))</f>
        <v/>
      </c>
      <c r="AD180" s="3">
        <f>N(W180)</f>
        <v/>
      </c>
      <c r="AE180" s="3">
        <f>SUM(Y180:AD180)</f>
        <v/>
      </c>
      <c r="AF180" s="3">
        <f>N(AE180)*N(M180)/90</f>
        <v/>
      </c>
      <c r="AG180" s="3">
        <f>IFERROR(AF180-VLOOKUP($C180,Assumptions!$A$29:$C$32,3,FALSE),"")</f>
        <v/>
      </c>
      <c r="AH180" s="3">
        <f>IFERROR(AG180/F180,"")</f>
        <v/>
      </c>
      <c r="AI180">
        <f>IF(AND($E180=TRUE,$C180="GKP"),AF180,"")</f>
        <v/>
      </c>
      <c r="AJ180">
        <f>IF(AND($E180=TRUE,$C180="DEF"),AF180,"")</f>
        <v/>
      </c>
      <c r="AK180">
        <f>IF(AND($E180=TRUE,$C180="MID"),AF180,"")</f>
        <v/>
      </c>
      <c r="AL180">
        <f>IF(AND($E180=TRUE,$C180="FWD"),AF180,"")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b">
        <v>1</v>
      </c>
      <c r="F181" s="2" t="n">
        <v>6</v>
      </c>
      <c r="G181" t="inlineStr">
        <is>
          <t>a</t>
        </is>
      </c>
      <c r="I181" s="2" t="n">
        <v>805</v>
      </c>
      <c r="J181" t="n">
        <v>76</v>
      </c>
      <c r="K181" s="3" t="n">
        <v>2069</v>
      </c>
      <c r="L181" t="inlineStr">
        <is>
          <t>flat</t>
        </is>
      </c>
      <c r="M181" s="4" t="n">
        <v>805</v>
      </c>
      <c r="N181" s="4" t="n">
        <v>0.21</v>
      </c>
      <c r="O181" s="3" t="n">
        <v>0.5302</v>
      </c>
      <c r="P181" t="inlineStr">
        <is>
          <t>adjusted xGOT</t>
        </is>
      </c>
      <c r="Q181" s="3" t="n">
        <v>1.108</v>
      </c>
      <c r="R181" s="3" t="n">
        <v>6.1</v>
      </c>
      <c r="S181" s="3" t="n">
        <v>0.0596</v>
      </c>
      <c r="T181" s="3" t="n">
        <v>4.092</v>
      </c>
      <c r="U181" s="4" t="n">
        <v>100.6</v>
      </c>
      <c r="V181" s="3">
        <f>IF(OR(N(T181)=0,N(U181)=0),0,1-POISSON(IFERROR(VLOOKUP($C181,Assumptions!$A$4:$G$7,7,FALSE),99)-1,N(T181)*N(U181)/90,TRUE))</f>
        <v/>
      </c>
      <c r="W181" s="3" t="n">
        <v>1.4534</v>
      </c>
      <c r="X181" s="3" t="n">
        <v>3.578</v>
      </c>
      <c r="Y181" s="3">
        <f>IF(X181="",IFERROR(VLOOKUP($C181,Assumptions!$A$4:$G$7,6,FALSE),0),X181)</f>
        <v/>
      </c>
      <c r="Z181" s="3">
        <f>N(O181)*IFERROR(VLOOKUP($C181,Assumptions!$A$4:$G$7,2,FALSE),0)</f>
        <v/>
      </c>
      <c r="AA181" s="3">
        <f>N(S181)*IFERROR(VLOOKUP($C181,Assumptions!$A$4:$G$7,3,FALSE),0)*Assumptions!$B$11</f>
        <v/>
      </c>
      <c r="AB181" s="3">
        <f>N(N181)*IFERROR(VLOOKUP($C181,Assumptions!$A$4:$G$7,4,FALSE),0)</f>
        <v/>
      </c>
      <c r="AC181" s="3">
        <f>IF(N(U181)=0,0,V181*IFERROR(VLOOKUP($C181,Assumptions!$A$4:$G$7,5,FALSE),0)*90/N(U181))</f>
        <v/>
      </c>
      <c r="AD181" s="3">
        <f>N(W181)</f>
        <v/>
      </c>
      <c r="AE181" s="3">
        <f>SUM(Y181:AD181)</f>
        <v/>
      </c>
      <c r="AF181" s="3">
        <f>N(AE181)*N(M181)/90</f>
        <v/>
      </c>
      <c r="AG181" s="3">
        <f>IFERROR(AF181-VLOOKUP($C181,Assumptions!$A$29:$C$32,3,FALSE),"")</f>
        <v/>
      </c>
      <c r="AH181" s="3">
        <f>IFERROR(AG181/F181,"")</f>
        <v/>
      </c>
      <c r="AI181">
        <f>IF(AND($E181=TRUE,$C181="GKP"),AF181,"")</f>
        <v/>
      </c>
      <c r="AJ181">
        <f>IF(AND($E181=TRUE,$C181="DEF"),AF181,"")</f>
        <v/>
      </c>
      <c r="AK181">
        <f>IF(AND($E181=TRUE,$C181="MID"),AF181,"")</f>
        <v/>
      </c>
      <c r="AL181">
        <f>IF(AND($E181=TRUE,$C181="FWD"),AF181,"")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b">
        <v>1</v>
      </c>
      <c r="F182" s="2" t="n">
        <v>4.5</v>
      </c>
      <c r="G182" t="inlineStr">
        <is>
          <t>a</t>
        </is>
      </c>
      <c r="I182" s="2" t="n">
        <v>1805</v>
      </c>
      <c r="J182" t="n">
        <v>76</v>
      </c>
      <c r="K182" s="3" t="n">
        <v>1619</v>
      </c>
      <c r="L182" t="inlineStr">
        <is>
          <t>fade (losing his place)</t>
        </is>
      </c>
      <c r="M182" s="4" t="n">
        <v>1805</v>
      </c>
      <c r="N182" s="4" t="n">
        <v>0.263</v>
      </c>
      <c r="O182" s="3" t="n">
        <v>0.0362</v>
      </c>
      <c r="P182" t="inlineStr">
        <is>
          <t>adjusted xGOT</t>
        </is>
      </c>
      <c r="Q182" s="3" t="n">
        <v>1.053</v>
      </c>
      <c r="R182" s="3" t="n">
        <v>2.9</v>
      </c>
      <c r="S182" s="3" t="n">
        <v>0.0407</v>
      </c>
      <c r="T182" s="3" t="n">
        <v>9.035</v>
      </c>
      <c r="U182" s="4" t="n">
        <v>90.2</v>
      </c>
      <c r="V182" s="3">
        <f>IF(OR(N(T182)=0,N(U182)=0),0,1-POISSON(IFERROR(VLOOKUP($C182,Assumptions!$A$4:$G$7,7,FALSE),99)-1,N(T182)*N(U182)/90,TRUE))</f>
        <v/>
      </c>
      <c r="W182" s="3" t="n">
        <v>0.0499</v>
      </c>
      <c r="X182" s="3" t="n">
        <v>2.294</v>
      </c>
      <c r="Y182" s="3">
        <f>IF(X182="",IFERROR(VLOOKUP($C182,Assumptions!$A$4:$G$7,6,FALSE),0),X182)</f>
        <v/>
      </c>
      <c r="Z182" s="3">
        <f>N(O182)*IFERROR(VLOOKUP($C182,Assumptions!$A$4:$G$7,2,FALSE),0)</f>
        <v/>
      </c>
      <c r="AA182" s="3">
        <f>N(S182)*IFERROR(VLOOKUP($C182,Assumptions!$A$4:$G$7,3,FALSE),0)*Assumptions!$B$11</f>
        <v/>
      </c>
      <c r="AB182" s="3">
        <f>N(N182)*IFERROR(VLOOKUP($C182,Assumptions!$A$4:$G$7,4,FALSE),0)</f>
        <v/>
      </c>
      <c r="AC182" s="3">
        <f>IF(N(U182)=0,0,V182*IFERROR(VLOOKUP($C182,Assumptions!$A$4:$G$7,5,FALSE),0)*90/N(U182))</f>
        <v/>
      </c>
      <c r="AD182" s="3">
        <f>N(W182)</f>
        <v/>
      </c>
      <c r="AE182" s="3">
        <f>SUM(Y182:AD182)</f>
        <v/>
      </c>
      <c r="AF182" s="3">
        <f>N(AE182)*N(M182)/90</f>
        <v/>
      </c>
      <c r="AG182" s="3">
        <f>IFERROR(AF182-VLOOKUP($C182,Assumptions!$A$29:$C$32,3,FALSE),"")</f>
        <v/>
      </c>
      <c r="AH182" s="3">
        <f>IFERROR(AG182/F182,"")</f>
        <v/>
      </c>
      <c r="AI182">
        <f>IF(AND($E182=TRUE,$C182="GKP"),AF182,"")</f>
        <v/>
      </c>
      <c r="AJ182">
        <f>IF(AND($E182=TRUE,$C182="DEF"),AF182,"")</f>
        <v/>
      </c>
      <c r="AK182">
        <f>IF(AND($E182=TRUE,$C182="MID"),AF182,"")</f>
        <v/>
      </c>
      <c r="AL182">
        <f>IF(AND($E182=TRUE,$C182="FWD"),AF182,"")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b">
        <v>1</v>
      </c>
      <c r="F183" s="2" t="n">
        <v>6</v>
      </c>
      <c r="G183" t="inlineStr">
        <is>
          <t>a</t>
        </is>
      </c>
      <c r="I183" s="2" t="n">
        <v>2301</v>
      </c>
      <c r="J183" t="n">
        <v>75</v>
      </c>
      <c r="K183" s="3" t="n">
        <v>953</v>
      </c>
      <c r="L183" t="inlineStr">
        <is>
          <t>flat</t>
        </is>
      </c>
      <c r="M183" s="4" t="n">
        <v>2301</v>
      </c>
      <c r="N183" s="4" t="n">
        <v>0.316</v>
      </c>
      <c r="O183" s="3" t="n">
        <v>0.2317</v>
      </c>
      <c r="P183" t="inlineStr">
        <is>
          <t>adjusted xGOT</t>
        </is>
      </c>
      <c r="Q183" s="3" t="n">
        <v>1.118</v>
      </c>
      <c r="R183" s="3" t="n">
        <v>15.4</v>
      </c>
      <c r="S183" s="3" t="n">
        <v>0.0353</v>
      </c>
      <c r="T183" s="3" t="n">
        <v>3.973</v>
      </c>
      <c r="U183" s="4" t="n">
        <v>88.5</v>
      </c>
      <c r="V183" s="3">
        <f>IF(OR(N(T183)=0,N(U183)=0),0,1-POISSON(IFERROR(VLOOKUP($C183,Assumptions!$A$4:$G$7,7,FALSE),99)-1,N(T183)*N(U183)/90,TRUE))</f>
        <v/>
      </c>
      <c r="W183" s="3" t="n">
        <v>0.1173</v>
      </c>
      <c r="X183" s="3" t="n">
        <v>2.308</v>
      </c>
      <c r="Y183" s="3">
        <f>IF(X183="",IFERROR(VLOOKUP($C183,Assumptions!$A$4:$G$7,6,FALSE),0),X183)</f>
        <v/>
      </c>
      <c r="Z183" s="3">
        <f>N(O183)*IFERROR(VLOOKUP($C183,Assumptions!$A$4:$G$7,2,FALSE),0)</f>
        <v/>
      </c>
      <c r="AA183" s="3">
        <f>N(S183)*IFERROR(VLOOKUP($C183,Assumptions!$A$4:$G$7,3,FALSE),0)*Assumptions!$B$11</f>
        <v/>
      </c>
      <c r="AB183" s="3">
        <f>N(N183)*IFERROR(VLOOKUP($C183,Assumptions!$A$4:$G$7,4,FALSE),0)</f>
        <v/>
      </c>
      <c r="AC183" s="3">
        <f>IF(N(U183)=0,0,V183*IFERROR(VLOOKUP($C183,Assumptions!$A$4:$G$7,5,FALSE),0)*90/N(U183))</f>
        <v/>
      </c>
      <c r="AD183" s="3">
        <f>N(W183)</f>
        <v/>
      </c>
      <c r="AE183" s="3">
        <f>SUM(Y183:AD183)</f>
        <v/>
      </c>
      <c r="AF183" s="3">
        <f>N(AE183)*N(M183)/90</f>
        <v/>
      </c>
      <c r="AG183" s="3">
        <f>IFERROR(AF183-VLOOKUP($C183,Assumptions!$A$29:$C$32,3,FALSE),"")</f>
        <v/>
      </c>
      <c r="AH183" s="3">
        <f>IFERROR(AG183/F183,"")</f>
        <v/>
      </c>
      <c r="AI183">
        <f>IF(AND($E183=TRUE,$C183="GKP"),AF183,"")</f>
        <v/>
      </c>
      <c r="AJ183">
        <f>IF(AND($E183=TRUE,$C183="DEF"),AF183,"")</f>
        <v/>
      </c>
      <c r="AK183">
        <f>IF(AND($E183=TRUE,$C183="MID"),AF183,"")</f>
        <v/>
      </c>
      <c r="AL183">
        <f>IF(AND($E183=TRUE,$C183="FWD"),AF183,"")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b">
        <v>1</v>
      </c>
      <c r="F184" s="2" t="n">
        <v>6.5</v>
      </c>
      <c r="G184" t="inlineStr">
        <is>
          <t>d</t>
        </is>
      </c>
      <c r="H184" t="inlineStr">
        <is>
          <t>Thigh injury - 75% chance of playing</t>
        </is>
      </c>
      <c r="I184" s="2" t="n">
        <v>1535</v>
      </c>
      <c r="J184" t="n">
        <v>75</v>
      </c>
      <c r="K184" s="3" t="n">
        <v>1858</v>
      </c>
      <c r="L184" t="inlineStr">
        <is>
          <t>flat</t>
        </is>
      </c>
      <c r="M184" s="4" t="n">
        <v>1535</v>
      </c>
      <c r="N184" s="4" t="n">
        <v>0.237</v>
      </c>
      <c r="O184" s="3" t="n">
        <v>0.1118</v>
      </c>
      <c r="P184" t="inlineStr">
        <is>
          <t>adjusted xGOT</t>
        </is>
      </c>
      <c r="Q184" s="3" t="n">
        <v>0.993</v>
      </c>
      <c r="R184" s="3" t="n">
        <v>14</v>
      </c>
      <c r="S184" s="3" t="n">
        <v>0.1461</v>
      </c>
      <c r="T184" s="3" t="n">
        <v>8.047000000000001</v>
      </c>
      <c r="U184" s="4" t="n">
        <v>80.8</v>
      </c>
      <c r="V184" s="3">
        <f>IF(OR(N(T184)=0,N(U184)=0),0,1-POISSON(IFERROR(VLOOKUP($C184,Assumptions!$A$4:$G$7,7,FALSE),99)-1,N(T184)*N(U184)/90,TRUE))</f>
        <v/>
      </c>
      <c r="W184" s="3" t="n">
        <v>0.4691</v>
      </c>
      <c r="X184" s="3" t="n">
        <v>2.111</v>
      </c>
      <c r="Y184" s="3">
        <f>IF(X184="",IFERROR(VLOOKUP($C184,Assumptions!$A$4:$G$7,6,FALSE),0),X184)</f>
        <v/>
      </c>
      <c r="Z184" s="3">
        <f>N(O184)*IFERROR(VLOOKUP($C184,Assumptions!$A$4:$G$7,2,FALSE),0)</f>
        <v/>
      </c>
      <c r="AA184" s="3">
        <f>N(S184)*IFERROR(VLOOKUP($C184,Assumptions!$A$4:$G$7,3,FALSE),0)*Assumptions!$B$11</f>
        <v/>
      </c>
      <c r="AB184" s="3">
        <f>N(N184)*IFERROR(VLOOKUP($C184,Assumptions!$A$4:$G$7,4,FALSE),0)</f>
        <v/>
      </c>
      <c r="AC184" s="3">
        <f>IF(N(U184)=0,0,V184*IFERROR(VLOOKUP($C184,Assumptions!$A$4:$G$7,5,FALSE),0)*90/N(U184))</f>
        <v/>
      </c>
      <c r="AD184" s="3">
        <f>N(W184)</f>
        <v/>
      </c>
      <c r="AE184" s="3">
        <f>SUM(Y184:AD184)</f>
        <v/>
      </c>
      <c r="AF184" s="3">
        <f>N(AE184)*N(M184)/90</f>
        <v/>
      </c>
      <c r="AG184" s="3">
        <f>IFERROR(AF184-VLOOKUP($C184,Assumptions!$A$29:$C$32,3,FALSE),"")</f>
        <v/>
      </c>
      <c r="AH184" s="3">
        <f>IFERROR(AG184/F184,"")</f>
        <v/>
      </c>
      <c r="AI184">
        <f>IF(AND($E184=TRUE,$C184="GKP"),AF184,"")</f>
        <v/>
      </c>
      <c r="AJ184">
        <f>IF(AND($E184=TRUE,$C184="DEF"),AF184,"")</f>
        <v/>
      </c>
      <c r="AK184">
        <f>IF(AND($E184=TRUE,$C184="MID"),AF184,"")</f>
        <v/>
      </c>
      <c r="AL184">
        <f>IF(AND($E184=TRUE,$C184="FWD"),AF184,"")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b">
        <v>1</v>
      </c>
      <c r="F185" s="2" t="n">
        <v>6.5</v>
      </c>
      <c r="G185" t="inlineStr">
        <is>
          <t>a</t>
        </is>
      </c>
      <c r="I185" s="2" t="n">
        <v>1363</v>
      </c>
      <c r="J185" t="n">
        <v>74</v>
      </c>
      <c r="K185" s="3" t="n">
        <v>1864</v>
      </c>
      <c r="L185" t="inlineStr">
        <is>
          <t>flat</t>
        </is>
      </c>
      <c r="M185" s="4" t="n">
        <v>1363</v>
      </c>
      <c r="N185" s="4" t="n">
        <v>0.5</v>
      </c>
      <c r="O185" s="3" t="n">
        <v>0.0789</v>
      </c>
      <c r="P185" t="inlineStr">
        <is>
          <t>adjusted xGOT</t>
        </is>
      </c>
      <c r="Q185" s="3" t="n">
        <v>0.956</v>
      </c>
      <c r="R185" s="3" t="n">
        <v>23.4</v>
      </c>
      <c r="S185" s="3" t="n">
        <v>0.2849</v>
      </c>
      <c r="T185" s="3" t="n">
        <v>7.372</v>
      </c>
      <c r="U185" s="4" t="n">
        <v>85.2</v>
      </c>
      <c r="V185" s="3">
        <f>IF(OR(N(T185)=0,N(U185)=0),0,1-POISSON(IFERROR(VLOOKUP($C185,Assumptions!$A$4:$G$7,7,FALSE),99)-1,N(T185)*N(U185)/90,TRUE))</f>
        <v/>
      </c>
      <c r="W185" s="3" t="n">
        <v>0.3302</v>
      </c>
      <c r="X185" s="3" t="n">
        <v>2.311</v>
      </c>
      <c r="Y185" s="3">
        <f>IF(X185="",IFERROR(VLOOKUP($C185,Assumptions!$A$4:$G$7,6,FALSE),0),X185)</f>
        <v/>
      </c>
      <c r="Z185" s="3">
        <f>N(O185)*IFERROR(VLOOKUP($C185,Assumptions!$A$4:$G$7,2,FALSE),0)</f>
        <v/>
      </c>
      <c r="AA185" s="3">
        <f>N(S185)*IFERROR(VLOOKUP($C185,Assumptions!$A$4:$G$7,3,FALSE),0)*Assumptions!$B$11</f>
        <v/>
      </c>
      <c r="AB185" s="3">
        <f>N(N185)*IFERROR(VLOOKUP($C185,Assumptions!$A$4:$G$7,4,FALSE),0)</f>
        <v/>
      </c>
      <c r="AC185" s="3">
        <f>IF(N(U185)=0,0,V185*IFERROR(VLOOKUP($C185,Assumptions!$A$4:$G$7,5,FALSE),0)*90/N(U185))</f>
        <v/>
      </c>
      <c r="AD185" s="3">
        <f>N(W185)</f>
        <v/>
      </c>
      <c r="AE185" s="3">
        <f>SUM(Y185:AD185)</f>
        <v/>
      </c>
      <c r="AF185" s="3">
        <f>N(AE185)*N(M185)/90</f>
        <v/>
      </c>
      <c r="AG185" s="3">
        <f>IFERROR(AF185-VLOOKUP($C185,Assumptions!$A$29:$C$32,3,FALSE),"")</f>
        <v/>
      </c>
      <c r="AH185" s="3">
        <f>IFERROR(AG185/F185,"")</f>
        <v/>
      </c>
      <c r="AI185">
        <f>IF(AND($E185=TRUE,$C185="GKP"),AF185,"")</f>
        <v/>
      </c>
      <c r="AJ185">
        <f>IF(AND($E185=TRUE,$C185="DEF"),AF185,"")</f>
        <v/>
      </c>
      <c r="AK185">
        <f>IF(AND($E185=TRUE,$C185="MID"),AF185,"")</f>
        <v/>
      </c>
      <c r="AL185">
        <f>IF(AND($E185=TRUE,$C185="FWD"),AF185,"")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b">
        <v>1</v>
      </c>
      <c r="F186" s="2" t="n">
        <v>5.5</v>
      </c>
      <c r="G186" t="inlineStr">
        <is>
          <t>a</t>
        </is>
      </c>
      <c r="I186" s="2" t="n">
        <v>1148</v>
      </c>
      <c r="J186" t="n">
        <v>74</v>
      </c>
      <c r="K186" s="3" t="n">
        <v>481</v>
      </c>
      <c r="L186" t="inlineStr">
        <is>
          <t>flat</t>
        </is>
      </c>
      <c r="M186" s="4" t="n">
        <v>1148</v>
      </c>
      <c r="N186" s="4" t="n">
        <v>0.29</v>
      </c>
      <c r="O186" s="3" t="n">
        <v>0.383</v>
      </c>
      <c r="P186" t="inlineStr">
        <is>
          <t>adjusted xGOT</t>
        </is>
      </c>
      <c r="Q186" s="3" t="n">
        <v>1.039</v>
      </c>
      <c r="R186" s="3" t="n">
        <v>4.7</v>
      </c>
      <c r="S186" s="3" t="n">
        <v>0.0149</v>
      </c>
      <c r="T186" s="3" t="n">
        <v>4.305</v>
      </c>
      <c r="U186" s="4" t="n">
        <v>104.4</v>
      </c>
      <c r="V186" s="3">
        <f>IF(OR(N(T186)=0,N(U186)=0),0,1-POISSON(IFERROR(VLOOKUP($C186,Assumptions!$A$4:$G$7,7,FALSE),99)-1,N(T186)*N(U186)/90,TRUE))</f>
        <v/>
      </c>
      <c r="W186" s="3" t="n">
        <v>0.6272</v>
      </c>
      <c r="X186" s="3" t="n">
        <v>3.214</v>
      </c>
      <c r="Y186" s="3">
        <f>IF(X186="",IFERROR(VLOOKUP($C186,Assumptions!$A$4:$G$7,6,FALSE),0),X186)</f>
        <v/>
      </c>
      <c r="Z186" s="3">
        <f>N(O186)*IFERROR(VLOOKUP($C186,Assumptions!$A$4:$G$7,2,FALSE),0)</f>
        <v/>
      </c>
      <c r="AA186" s="3">
        <f>N(S186)*IFERROR(VLOOKUP($C186,Assumptions!$A$4:$G$7,3,FALSE),0)*Assumptions!$B$11</f>
        <v/>
      </c>
      <c r="AB186" s="3">
        <f>N(N186)*IFERROR(VLOOKUP($C186,Assumptions!$A$4:$G$7,4,FALSE),0)</f>
        <v/>
      </c>
      <c r="AC186" s="3">
        <f>IF(N(U186)=0,0,V186*IFERROR(VLOOKUP($C186,Assumptions!$A$4:$G$7,5,FALSE),0)*90/N(U186))</f>
        <v/>
      </c>
      <c r="AD186" s="3">
        <f>N(W186)</f>
        <v/>
      </c>
      <c r="AE186" s="3">
        <f>SUM(Y186:AD186)</f>
        <v/>
      </c>
      <c r="AF186" s="3">
        <f>N(AE186)*N(M186)/90</f>
        <v/>
      </c>
      <c r="AG186" s="3">
        <f>IFERROR(AF186-VLOOKUP($C186,Assumptions!$A$29:$C$32,3,FALSE),"")</f>
        <v/>
      </c>
      <c r="AH186" s="3">
        <f>IFERROR(AG186/F186,"")</f>
        <v/>
      </c>
      <c r="AI186">
        <f>IF(AND($E186=TRUE,$C186="GKP"),AF186,"")</f>
        <v/>
      </c>
      <c r="AJ186">
        <f>IF(AND($E186=TRUE,$C186="DEF"),AF186,"")</f>
        <v/>
      </c>
      <c r="AK186">
        <f>IF(AND($E186=TRUE,$C186="MID"),AF186,"")</f>
        <v/>
      </c>
      <c r="AL186">
        <f>IF(AND($E186=TRUE,$C186="FWD"),AF186,"")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b">
        <v>1</v>
      </c>
      <c r="F187" s="2" t="n">
        <v>4.5</v>
      </c>
      <c r="G187" t="inlineStr">
        <is>
          <t>a</t>
        </is>
      </c>
      <c r="I187" s="2" t="n">
        <v>1966</v>
      </c>
      <c r="J187" t="n">
        <v>74</v>
      </c>
      <c r="K187" s="3" t="n">
        <v>3067</v>
      </c>
      <c r="L187" t="inlineStr">
        <is>
          <t>flat</t>
        </is>
      </c>
      <c r="M187" s="4" t="n">
        <v>1966</v>
      </c>
      <c r="N187" s="4" t="n">
        <v>0.29</v>
      </c>
      <c r="O187" s="3" t="n">
        <v>0.0059</v>
      </c>
      <c r="P187" t="inlineStr">
        <is>
          <t>adjusted xGOT</t>
        </is>
      </c>
      <c r="Q187" s="3" t="n">
        <v>0.984</v>
      </c>
      <c r="R187" s="3" t="n">
        <v>0.1</v>
      </c>
      <c r="S187" s="3" t="n">
        <v>0.021</v>
      </c>
      <c r="T187" s="3" t="n">
        <v>7.555</v>
      </c>
      <c r="U187" s="4" t="n">
        <v>85.5</v>
      </c>
      <c r="V187" s="3">
        <f>IF(OR(N(T187)=0,N(U187)=0),0,1-POISSON(IFERROR(VLOOKUP($C187,Assumptions!$A$4:$G$7,7,FALSE),99)-1,N(T187)*N(U187)/90,TRUE))</f>
        <v/>
      </c>
      <c r="W187" s="3" t="n">
        <v>0.2289</v>
      </c>
      <c r="X187" s="3" t="n">
        <v>2.106</v>
      </c>
      <c r="Y187" s="3">
        <f>IF(X187="",IFERROR(VLOOKUP($C187,Assumptions!$A$4:$G$7,6,FALSE),0),X187)</f>
        <v/>
      </c>
      <c r="Z187" s="3">
        <f>N(O187)*IFERROR(VLOOKUP($C187,Assumptions!$A$4:$G$7,2,FALSE),0)</f>
        <v/>
      </c>
      <c r="AA187" s="3">
        <f>N(S187)*IFERROR(VLOOKUP($C187,Assumptions!$A$4:$G$7,3,FALSE),0)*Assumptions!$B$11</f>
        <v/>
      </c>
      <c r="AB187" s="3">
        <f>N(N187)*IFERROR(VLOOKUP($C187,Assumptions!$A$4:$G$7,4,FALSE),0)</f>
        <v/>
      </c>
      <c r="AC187" s="3">
        <f>IF(N(U187)=0,0,V187*IFERROR(VLOOKUP($C187,Assumptions!$A$4:$G$7,5,FALSE),0)*90/N(U187))</f>
        <v/>
      </c>
      <c r="AD187" s="3">
        <f>N(W187)</f>
        <v/>
      </c>
      <c r="AE187" s="3">
        <f>SUM(Y187:AD187)</f>
        <v/>
      </c>
      <c r="AF187" s="3">
        <f>N(AE187)*N(M187)/90</f>
        <v/>
      </c>
      <c r="AG187" s="3">
        <f>IFERROR(AF187-VLOOKUP($C187,Assumptions!$A$29:$C$32,3,FALSE),"")</f>
        <v/>
      </c>
      <c r="AH187" s="3">
        <f>IFERROR(AG187/F187,"")</f>
        <v/>
      </c>
      <c r="AI187">
        <f>IF(AND($E187=TRUE,$C187="GKP"),AF187,"")</f>
        <v/>
      </c>
      <c r="AJ187">
        <f>IF(AND($E187=TRUE,$C187="DEF"),AF187,"")</f>
        <v/>
      </c>
      <c r="AK187">
        <f>IF(AND($E187=TRUE,$C187="MID"),AF187,"")</f>
        <v/>
      </c>
      <c r="AL187">
        <f>IF(AND($E187=TRUE,$C187="FWD"),AF187,"")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b">
        <v>1</v>
      </c>
      <c r="F188" s="2" t="n">
        <v>5</v>
      </c>
      <c r="G188" t="inlineStr">
        <is>
          <t>a</t>
        </is>
      </c>
      <c r="I188" s="2" t="n">
        <v>1434</v>
      </c>
      <c r="J188" t="n">
        <v>74</v>
      </c>
      <c r="K188" s="3" t="n">
        <v>780</v>
      </c>
      <c r="L188" t="inlineStr">
        <is>
          <t>fade (losing his place)</t>
        </is>
      </c>
      <c r="M188" s="4" t="n">
        <v>1434</v>
      </c>
      <c r="N188" s="4" t="n">
        <v>0.263</v>
      </c>
      <c r="O188" s="3" t="n">
        <v>0.0522</v>
      </c>
      <c r="P188" t="inlineStr">
        <is>
          <t>adjusted xGOT</t>
        </is>
      </c>
      <c r="Q188" s="3" t="n">
        <v>1.014</v>
      </c>
      <c r="R188" s="3" t="n">
        <v>5.8</v>
      </c>
      <c r="S188" s="3" t="n">
        <v>0.1908</v>
      </c>
      <c r="T188" s="3" t="n">
        <v>10.513</v>
      </c>
      <c r="U188" s="4" t="n">
        <v>95.59999999999999</v>
      </c>
      <c r="V188" s="3">
        <f>IF(OR(N(T188)=0,N(U188)=0),0,1-POISSON(IFERROR(VLOOKUP($C188,Assumptions!$A$4:$G$7,7,FALSE),99)-1,N(T188)*N(U188)/90,TRUE))</f>
        <v/>
      </c>
      <c r="W188" s="3" t="n">
        <v>0.3766</v>
      </c>
      <c r="X188" s="3" t="n">
        <v>2.51</v>
      </c>
      <c r="Y188" s="3">
        <f>IF(X188="",IFERROR(VLOOKUP($C188,Assumptions!$A$4:$G$7,6,FALSE),0),X188)</f>
        <v/>
      </c>
      <c r="Z188" s="3">
        <f>N(O188)*IFERROR(VLOOKUP($C188,Assumptions!$A$4:$G$7,2,FALSE),0)</f>
        <v/>
      </c>
      <c r="AA188" s="3">
        <f>N(S188)*IFERROR(VLOOKUP($C188,Assumptions!$A$4:$G$7,3,FALSE),0)*Assumptions!$B$11</f>
        <v/>
      </c>
      <c r="AB188" s="3">
        <f>N(N188)*IFERROR(VLOOKUP($C188,Assumptions!$A$4:$G$7,4,FALSE),0)</f>
        <v/>
      </c>
      <c r="AC188" s="3">
        <f>IF(N(U188)=0,0,V188*IFERROR(VLOOKUP($C188,Assumptions!$A$4:$G$7,5,FALSE),0)*90/N(U188))</f>
        <v/>
      </c>
      <c r="AD188" s="3">
        <f>N(W188)</f>
        <v/>
      </c>
      <c r="AE188" s="3">
        <f>SUM(Y188:AD188)</f>
        <v/>
      </c>
      <c r="AF188" s="3">
        <f>N(AE188)*N(M188)/90</f>
        <v/>
      </c>
      <c r="AG188" s="3">
        <f>IFERROR(AF188-VLOOKUP($C188,Assumptions!$A$29:$C$32,3,FALSE),"")</f>
        <v/>
      </c>
      <c r="AH188" s="3">
        <f>IFERROR(AG188/F188,"")</f>
        <v/>
      </c>
      <c r="AI188">
        <f>IF(AND($E188=TRUE,$C188="GKP"),AF188,"")</f>
        <v/>
      </c>
      <c r="AJ188">
        <f>IF(AND($E188=TRUE,$C188="DEF"),AF188,"")</f>
        <v/>
      </c>
      <c r="AK188">
        <f>IF(AND($E188=TRUE,$C188="MID"),AF188,"")</f>
        <v/>
      </c>
      <c r="AL188">
        <f>IF(AND($E188=TRUE,$C188="FWD"),AF188,"")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b">
        <v>1</v>
      </c>
      <c r="F189" s="2" t="n">
        <v>5.5</v>
      </c>
      <c r="G189" t="inlineStr">
        <is>
          <t>a</t>
        </is>
      </c>
      <c r="I189" s="2" t="n">
        <v>1950</v>
      </c>
      <c r="J189" t="n">
        <v>73</v>
      </c>
      <c r="K189" s="3" t="n">
        <v>1448</v>
      </c>
      <c r="L189" t="inlineStr">
        <is>
          <t>flat</t>
        </is>
      </c>
      <c r="M189" s="4" t="n">
        <v>1950</v>
      </c>
      <c r="N189" s="4" t="n">
        <v>0.21</v>
      </c>
      <c r="O189" s="3" t="n">
        <v>0.1074</v>
      </c>
      <c r="P189" t="inlineStr">
        <is>
          <t>adjusted xGOT</t>
        </is>
      </c>
      <c r="Q189" s="3" t="n">
        <v>0.986</v>
      </c>
      <c r="R189" s="3" t="n">
        <v>16</v>
      </c>
      <c r="S189" s="3" t="n">
        <v>0.0741</v>
      </c>
      <c r="T189" s="3" t="n">
        <v>10.335</v>
      </c>
      <c r="U189" s="4" t="n">
        <v>84.8</v>
      </c>
      <c r="V189" s="3">
        <f>IF(OR(N(T189)=0,N(U189)=0),0,1-POISSON(IFERROR(VLOOKUP($C189,Assumptions!$A$4:$G$7,7,FALSE),99)-1,N(T189)*N(U189)/90,TRUE))</f>
        <v/>
      </c>
      <c r="W189" s="3" t="n">
        <v>0.09229999999999999</v>
      </c>
      <c r="X189" s="3" t="n">
        <v>2.169</v>
      </c>
      <c r="Y189" s="3">
        <f>IF(X189="",IFERROR(VLOOKUP($C189,Assumptions!$A$4:$G$7,6,FALSE),0),X189)</f>
        <v/>
      </c>
      <c r="Z189" s="3">
        <f>N(O189)*IFERROR(VLOOKUP($C189,Assumptions!$A$4:$G$7,2,FALSE),0)</f>
        <v/>
      </c>
      <c r="AA189" s="3">
        <f>N(S189)*IFERROR(VLOOKUP($C189,Assumptions!$A$4:$G$7,3,FALSE),0)*Assumptions!$B$11</f>
        <v/>
      </c>
      <c r="AB189" s="3">
        <f>N(N189)*IFERROR(VLOOKUP($C189,Assumptions!$A$4:$G$7,4,FALSE),0)</f>
        <v/>
      </c>
      <c r="AC189" s="3">
        <f>IF(N(U189)=0,0,V189*IFERROR(VLOOKUP($C189,Assumptions!$A$4:$G$7,5,FALSE),0)*90/N(U189))</f>
        <v/>
      </c>
      <c r="AD189" s="3">
        <f>N(W189)</f>
        <v/>
      </c>
      <c r="AE189" s="3">
        <f>SUM(Y189:AD189)</f>
        <v/>
      </c>
      <c r="AF189" s="3">
        <f>N(AE189)*N(M189)/90</f>
        <v/>
      </c>
      <c r="AG189" s="3">
        <f>IFERROR(AF189-VLOOKUP($C189,Assumptions!$A$29:$C$32,3,FALSE),"")</f>
        <v/>
      </c>
      <c r="AH189" s="3">
        <f>IFERROR(AG189/F189,"")</f>
        <v/>
      </c>
      <c r="AI189">
        <f>IF(AND($E189=TRUE,$C189="GKP"),AF189,"")</f>
        <v/>
      </c>
      <c r="AJ189">
        <f>IF(AND($E189=TRUE,$C189="DEF"),AF189,"")</f>
        <v/>
      </c>
      <c r="AK189">
        <f>IF(AND($E189=TRUE,$C189="MID"),AF189,"")</f>
        <v/>
      </c>
      <c r="AL189">
        <f>IF(AND($E189=TRUE,$C189="FWD"),AF189,"")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b">
        <v>1</v>
      </c>
      <c r="F190" s="2" t="n">
        <v>5.5</v>
      </c>
      <c r="G190" t="inlineStr">
        <is>
          <t>a</t>
        </is>
      </c>
      <c r="I190" s="2" t="n">
        <v>1653</v>
      </c>
      <c r="J190" t="n">
        <v>73</v>
      </c>
      <c r="K190" s="3" t="n">
        <v>691</v>
      </c>
      <c r="L190" t="inlineStr">
        <is>
          <t>flat</t>
        </is>
      </c>
      <c r="M190" s="4" t="n">
        <v>1653</v>
      </c>
      <c r="N190" s="4" t="n">
        <v>0.21</v>
      </c>
      <c r="O190" s="3" t="n">
        <v>0.0256</v>
      </c>
      <c r="P190" t="inlineStr">
        <is>
          <t>adjusted xGOT</t>
        </is>
      </c>
      <c r="Q190" s="3" t="n">
        <v>0.981</v>
      </c>
      <c r="R190" s="3" t="n">
        <v>2.2</v>
      </c>
      <c r="S190" s="3" t="n">
        <v>0.067</v>
      </c>
      <c r="T190" s="3" t="n">
        <v>9.695</v>
      </c>
      <c r="U190" s="4" t="n">
        <v>103.3</v>
      </c>
      <c r="V190" s="3">
        <f>IF(OR(N(T190)=0,N(U190)=0),0,1-POISSON(IFERROR(VLOOKUP($C190,Assumptions!$A$4:$G$7,7,FALSE),99)-1,N(T190)*N(U190)/90,TRUE))</f>
        <v/>
      </c>
      <c r="W190" s="3" t="n">
        <v>0.1089</v>
      </c>
      <c r="X190" s="3" t="n">
        <v>2.396</v>
      </c>
      <c r="Y190" s="3">
        <f>IF(X190="",IFERROR(VLOOKUP($C190,Assumptions!$A$4:$G$7,6,FALSE),0),X190)</f>
        <v/>
      </c>
      <c r="Z190" s="3">
        <f>N(O190)*IFERROR(VLOOKUP($C190,Assumptions!$A$4:$G$7,2,FALSE),0)</f>
        <v/>
      </c>
      <c r="AA190" s="3">
        <f>N(S190)*IFERROR(VLOOKUP($C190,Assumptions!$A$4:$G$7,3,FALSE),0)*Assumptions!$B$11</f>
        <v/>
      </c>
      <c r="AB190" s="3">
        <f>N(N190)*IFERROR(VLOOKUP($C190,Assumptions!$A$4:$G$7,4,FALSE),0)</f>
        <v/>
      </c>
      <c r="AC190" s="3">
        <f>IF(N(U190)=0,0,V190*IFERROR(VLOOKUP($C190,Assumptions!$A$4:$G$7,5,FALSE),0)*90/N(U190))</f>
        <v/>
      </c>
      <c r="AD190" s="3">
        <f>N(W190)</f>
        <v/>
      </c>
      <c r="AE190" s="3">
        <f>SUM(Y190:AD190)</f>
        <v/>
      </c>
      <c r="AF190" s="3">
        <f>N(AE190)*N(M190)/90</f>
        <v/>
      </c>
      <c r="AG190" s="3">
        <f>IFERROR(AF190-VLOOKUP($C190,Assumptions!$A$29:$C$32,3,FALSE),"")</f>
        <v/>
      </c>
      <c r="AH190" s="3">
        <f>IFERROR(AG190/F190,"")</f>
        <v/>
      </c>
      <c r="AI190">
        <f>IF(AND($E190=TRUE,$C190="GKP"),AF190,"")</f>
        <v/>
      </c>
      <c r="AJ190">
        <f>IF(AND($E190=TRUE,$C190="DEF"),AF190,"")</f>
        <v/>
      </c>
      <c r="AK190">
        <f>IF(AND($E190=TRUE,$C190="MID"),AF190,"")</f>
        <v/>
      </c>
      <c r="AL190">
        <f>IF(AND($E190=TRUE,$C190="FWD"),AF190,"")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b">
        <v>1</v>
      </c>
      <c r="F191" s="2" t="n">
        <v>5.5</v>
      </c>
      <c r="G191" t="inlineStr">
        <is>
          <t>a</t>
        </is>
      </c>
      <c r="I191" s="2" t="n">
        <v>1065</v>
      </c>
      <c r="J191" t="n">
        <v>73</v>
      </c>
      <c r="K191" s="3" t="n">
        <v>268</v>
      </c>
      <c r="L191" t="inlineStr">
        <is>
          <t>flat</t>
        </is>
      </c>
      <c r="M191" s="4" t="n">
        <v>1065</v>
      </c>
      <c r="N191" s="4" t="n">
        <v>0.21</v>
      </c>
      <c r="O191" s="3" t="n">
        <v>0.6428</v>
      </c>
      <c r="P191" t="inlineStr">
        <is>
          <t>adjusted xGOT</t>
        </is>
      </c>
      <c r="Q191" s="3" t="n">
        <v>1.049</v>
      </c>
      <c r="R191" s="3" t="n">
        <v>7.2</v>
      </c>
      <c r="S191" s="3" t="n">
        <v>0.1379</v>
      </c>
      <c r="T191" s="3" t="n">
        <v>4.807</v>
      </c>
      <c r="U191" s="4" t="n">
        <v>106.5</v>
      </c>
      <c r="V191" s="3">
        <f>IF(OR(N(T191)=0,N(U191)=0),0,1-POISSON(IFERROR(VLOOKUP($C191,Assumptions!$A$4:$G$7,7,FALSE),99)-1,N(T191)*N(U191)/90,TRUE))</f>
        <v/>
      </c>
      <c r="W191" s="3" t="n">
        <v>0.6761</v>
      </c>
      <c r="X191" s="3" t="n">
        <v>3.38</v>
      </c>
      <c r="Y191" s="3">
        <f>IF(X191="",IFERROR(VLOOKUP($C191,Assumptions!$A$4:$G$7,6,FALSE),0),X191)</f>
        <v/>
      </c>
      <c r="Z191" s="3">
        <f>N(O191)*IFERROR(VLOOKUP($C191,Assumptions!$A$4:$G$7,2,FALSE),0)</f>
        <v/>
      </c>
      <c r="AA191" s="3">
        <f>N(S191)*IFERROR(VLOOKUP($C191,Assumptions!$A$4:$G$7,3,FALSE),0)*Assumptions!$B$11</f>
        <v/>
      </c>
      <c r="AB191" s="3">
        <f>N(N191)*IFERROR(VLOOKUP($C191,Assumptions!$A$4:$G$7,4,FALSE),0)</f>
        <v/>
      </c>
      <c r="AC191" s="3">
        <f>IF(N(U191)=0,0,V191*IFERROR(VLOOKUP($C191,Assumptions!$A$4:$G$7,5,FALSE),0)*90/N(U191))</f>
        <v/>
      </c>
      <c r="AD191" s="3">
        <f>N(W191)</f>
        <v/>
      </c>
      <c r="AE191" s="3">
        <f>SUM(Y191:AD191)</f>
        <v/>
      </c>
      <c r="AF191" s="3">
        <f>N(AE191)*N(M191)/90</f>
        <v/>
      </c>
      <c r="AG191" s="3">
        <f>IFERROR(AF191-VLOOKUP($C191,Assumptions!$A$29:$C$32,3,FALSE),"")</f>
        <v/>
      </c>
      <c r="AH191" s="3">
        <f>IFERROR(AG191/F191,"")</f>
        <v/>
      </c>
      <c r="AI191">
        <f>IF(AND($E191=TRUE,$C191="GKP"),AF191,"")</f>
        <v/>
      </c>
      <c r="AJ191">
        <f>IF(AND($E191=TRUE,$C191="DEF"),AF191,"")</f>
        <v/>
      </c>
      <c r="AK191">
        <f>IF(AND($E191=TRUE,$C191="MID"),AF191,"")</f>
        <v/>
      </c>
      <c r="AL191">
        <f>IF(AND($E191=TRUE,$C191="FWD"),AF191,"")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b">
        <v>1</v>
      </c>
      <c r="F192" s="2" t="n">
        <v>6.5</v>
      </c>
      <c r="G192" t="inlineStr">
        <is>
          <t>a</t>
        </is>
      </c>
      <c r="I192" s="2" t="n">
        <v>1205</v>
      </c>
      <c r="J192" t="n">
        <v>72</v>
      </c>
      <c r="K192" s="3" t="n">
        <v>600</v>
      </c>
      <c r="L192" t="inlineStr">
        <is>
          <t>fade (losing his place)</t>
        </is>
      </c>
      <c r="M192" s="4" t="n">
        <v>1205</v>
      </c>
      <c r="N192" s="4" t="n">
        <v>0.5</v>
      </c>
      <c r="O192" s="3" t="n">
        <v>0.0982</v>
      </c>
      <c r="P192" t="inlineStr">
        <is>
          <t>adjusted xGOT</t>
        </is>
      </c>
      <c r="Q192" s="3" t="n">
        <v>1.069</v>
      </c>
      <c r="R192" s="3" t="n">
        <v>14.3</v>
      </c>
      <c r="S192" s="3" t="n">
        <v>0.2566</v>
      </c>
      <c r="T192" s="3" t="n">
        <v>6.481</v>
      </c>
      <c r="U192" s="4" t="n">
        <v>75.3</v>
      </c>
      <c r="V192" s="3">
        <f>IF(OR(N(T192)=0,N(U192)=0),0,1-POISSON(IFERROR(VLOOKUP($C192,Assumptions!$A$4:$G$7,7,FALSE),99)-1,N(T192)*N(U192)/90,TRUE))</f>
        <v/>
      </c>
      <c r="W192" s="3" t="n">
        <v>0.6722</v>
      </c>
      <c r="X192" s="3" t="n">
        <v>2.763</v>
      </c>
      <c r="Y192" s="3">
        <f>IF(X192="",IFERROR(VLOOKUP($C192,Assumptions!$A$4:$G$7,6,FALSE),0),X192)</f>
        <v/>
      </c>
      <c r="Z192" s="3">
        <f>N(O192)*IFERROR(VLOOKUP($C192,Assumptions!$A$4:$G$7,2,FALSE),0)</f>
        <v/>
      </c>
      <c r="AA192" s="3">
        <f>N(S192)*IFERROR(VLOOKUP($C192,Assumptions!$A$4:$G$7,3,FALSE),0)*Assumptions!$B$11</f>
        <v/>
      </c>
      <c r="AB192" s="3">
        <f>N(N192)*IFERROR(VLOOKUP($C192,Assumptions!$A$4:$G$7,4,FALSE),0)</f>
        <v/>
      </c>
      <c r="AC192" s="3">
        <f>IF(N(U192)=0,0,V192*IFERROR(VLOOKUP($C192,Assumptions!$A$4:$G$7,5,FALSE),0)*90/N(U192))</f>
        <v/>
      </c>
      <c r="AD192" s="3">
        <f>N(W192)</f>
        <v/>
      </c>
      <c r="AE192" s="3">
        <f>SUM(Y192:AD192)</f>
        <v/>
      </c>
      <c r="AF192" s="3">
        <f>N(AE192)*N(M192)/90</f>
        <v/>
      </c>
      <c r="AG192" s="3">
        <f>IFERROR(AF192-VLOOKUP($C192,Assumptions!$A$29:$C$32,3,FALSE),"")</f>
        <v/>
      </c>
      <c r="AH192" s="3">
        <f>IFERROR(AG192/F192,"")</f>
        <v/>
      </c>
      <c r="AI192">
        <f>IF(AND($E192=TRUE,$C192="GKP"),AF192,"")</f>
        <v/>
      </c>
      <c r="AJ192">
        <f>IF(AND($E192=TRUE,$C192="DEF"),AF192,"")</f>
        <v/>
      </c>
      <c r="AK192">
        <f>IF(AND($E192=TRUE,$C192="MID"),AF192,"")</f>
        <v/>
      </c>
      <c r="AL192">
        <f>IF(AND($E192=TRUE,$C192="FWD"),AF192,"")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b">
        <v>1</v>
      </c>
      <c r="F193" s="2" t="n">
        <v>5</v>
      </c>
      <c r="G193" t="inlineStr">
        <is>
          <t>a</t>
        </is>
      </c>
      <c r="I193" s="2" t="n">
        <v>1331</v>
      </c>
      <c r="J193" t="n">
        <v>72</v>
      </c>
      <c r="K193" s="3" t="n">
        <v>3249</v>
      </c>
      <c r="L193" t="inlineStr">
        <is>
          <t>flat</t>
        </is>
      </c>
      <c r="M193" s="4" t="n">
        <v>1331</v>
      </c>
      <c r="N193" s="4" t="n">
        <v>0.316</v>
      </c>
      <c r="O193" s="3" t="n">
        <v>0.0876</v>
      </c>
      <c r="P193" t="inlineStr">
        <is>
          <t>adjusted xGOT</t>
        </is>
      </c>
      <c r="Q193" s="3" t="n">
        <v>0.876</v>
      </c>
      <c r="R193" s="3" t="n">
        <v>1.5</v>
      </c>
      <c r="S193" s="3" t="n">
        <v>0.0139</v>
      </c>
      <c r="T193" s="3" t="n">
        <v>10.114</v>
      </c>
      <c r="U193" s="4" t="n">
        <v>95.09999999999999</v>
      </c>
      <c r="V193" s="3">
        <f>IF(OR(N(T193)=0,N(U193)=0),0,1-POISSON(IFERROR(VLOOKUP($C193,Assumptions!$A$4:$G$7,7,FALSE),99)-1,N(T193)*N(U193)/90,TRUE))</f>
        <v/>
      </c>
      <c r="W193" s="3" t="n">
        <v>0.4733</v>
      </c>
      <c r="X193" s="3" t="n">
        <v>2.299</v>
      </c>
      <c r="Y193" s="3">
        <f>IF(X193="",IFERROR(VLOOKUP($C193,Assumptions!$A$4:$G$7,6,FALSE),0),X193)</f>
        <v/>
      </c>
      <c r="Z193" s="3">
        <f>N(O193)*IFERROR(VLOOKUP($C193,Assumptions!$A$4:$G$7,2,FALSE),0)</f>
        <v/>
      </c>
      <c r="AA193" s="3">
        <f>N(S193)*IFERROR(VLOOKUP($C193,Assumptions!$A$4:$G$7,3,FALSE),0)*Assumptions!$B$11</f>
        <v/>
      </c>
      <c r="AB193" s="3">
        <f>N(N193)*IFERROR(VLOOKUP($C193,Assumptions!$A$4:$G$7,4,FALSE),0)</f>
        <v/>
      </c>
      <c r="AC193" s="3">
        <f>IF(N(U193)=0,0,V193*IFERROR(VLOOKUP($C193,Assumptions!$A$4:$G$7,5,FALSE),0)*90/N(U193))</f>
        <v/>
      </c>
      <c r="AD193" s="3">
        <f>N(W193)</f>
        <v/>
      </c>
      <c r="AE193" s="3">
        <f>SUM(Y193:AD193)</f>
        <v/>
      </c>
      <c r="AF193" s="3">
        <f>N(AE193)*N(M193)/90</f>
        <v/>
      </c>
      <c r="AG193" s="3">
        <f>IFERROR(AF193-VLOOKUP($C193,Assumptions!$A$29:$C$32,3,FALSE),"")</f>
        <v/>
      </c>
      <c r="AH193" s="3">
        <f>IFERROR(AG193/F193,"")</f>
        <v/>
      </c>
      <c r="AI193">
        <f>IF(AND($E193=TRUE,$C193="GKP"),AF193,"")</f>
        <v/>
      </c>
      <c r="AJ193">
        <f>IF(AND($E193=TRUE,$C193="DEF"),AF193,"")</f>
        <v/>
      </c>
      <c r="AK193">
        <f>IF(AND($E193=TRUE,$C193="MID"),AF193,"")</f>
        <v/>
      </c>
      <c r="AL193">
        <f>IF(AND($E193=TRUE,$C193="FWD"),AF193,"")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b">
        <v>1</v>
      </c>
      <c r="F194" s="2" t="n">
        <v>5.5</v>
      </c>
      <c r="G194" t="inlineStr">
        <is>
          <t>i</t>
        </is>
      </c>
      <c r="H194" t="inlineStr">
        <is>
          <t>Leg injury - Expected back 30 Aug</t>
        </is>
      </c>
      <c r="I194" s="2" t="n">
        <v>1493</v>
      </c>
      <c r="J194" t="n">
        <v>72</v>
      </c>
      <c r="K194" s="3" t="n">
        <v>1790</v>
      </c>
      <c r="L194" t="inlineStr">
        <is>
          <t>flat</t>
        </is>
      </c>
      <c r="M194" s="4" t="n">
        <v>1493</v>
      </c>
      <c r="N194" s="4" t="n">
        <v>0.21</v>
      </c>
      <c r="O194" s="3" t="n">
        <v>0.0788</v>
      </c>
      <c r="P194" t="inlineStr">
        <is>
          <t>adjusted xGOT</t>
        </is>
      </c>
      <c r="Q194" s="3" t="n">
        <v>0.962</v>
      </c>
      <c r="R194" s="3" t="n">
        <v>3.2</v>
      </c>
      <c r="S194" s="3" t="n">
        <v>0.1333</v>
      </c>
      <c r="T194" s="3" t="n">
        <v>9.093999999999999</v>
      </c>
      <c r="U194" s="4" t="n">
        <v>99.5</v>
      </c>
      <c r="V194" s="3">
        <f>IF(OR(N(T194)=0,N(U194)=0),0,1-POISSON(IFERROR(VLOOKUP($C194,Assumptions!$A$4:$G$7,7,FALSE),99)-1,N(T194)*N(U194)/90,TRUE))</f>
        <v/>
      </c>
      <c r="W194" s="3" t="n">
        <v>0.3014</v>
      </c>
      <c r="X194" s="3" t="n">
        <v>2.291</v>
      </c>
      <c r="Y194" s="3">
        <f>IF(X194="",IFERROR(VLOOKUP($C194,Assumptions!$A$4:$G$7,6,FALSE),0),X194)</f>
        <v/>
      </c>
      <c r="Z194" s="3">
        <f>N(O194)*IFERROR(VLOOKUP($C194,Assumptions!$A$4:$G$7,2,FALSE),0)</f>
        <v/>
      </c>
      <c r="AA194" s="3">
        <f>N(S194)*IFERROR(VLOOKUP($C194,Assumptions!$A$4:$G$7,3,FALSE),0)*Assumptions!$B$11</f>
        <v/>
      </c>
      <c r="AB194" s="3">
        <f>N(N194)*IFERROR(VLOOKUP($C194,Assumptions!$A$4:$G$7,4,FALSE),0)</f>
        <v/>
      </c>
      <c r="AC194" s="3">
        <f>IF(N(U194)=0,0,V194*IFERROR(VLOOKUP($C194,Assumptions!$A$4:$G$7,5,FALSE),0)*90/N(U194))</f>
        <v/>
      </c>
      <c r="AD194" s="3">
        <f>N(W194)</f>
        <v/>
      </c>
      <c r="AE194" s="3">
        <f>SUM(Y194:AD194)</f>
        <v/>
      </c>
      <c r="AF194" s="3">
        <f>N(AE194)*N(M194)/90</f>
        <v/>
      </c>
      <c r="AG194" s="3">
        <f>IFERROR(AF194-VLOOKUP($C194,Assumptions!$A$29:$C$32,3,FALSE),"")</f>
        <v/>
      </c>
      <c r="AH194" s="3">
        <f>IFERROR(AG194/F194,"")</f>
        <v/>
      </c>
      <c r="AI194">
        <f>IF(AND($E194=TRUE,$C194="GKP"),AF194,"")</f>
        <v/>
      </c>
      <c r="AJ194">
        <f>IF(AND($E194=TRUE,$C194="DEF"),AF194,"")</f>
        <v/>
      </c>
      <c r="AK194">
        <f>IF(AND($E194=TRUE,$C194="MID"),AF194,"")</f>
        <v/>
      </c>
      <c r="AL194">
        <f>IF(AND($E194=TRUE,$C194="FWD"),AF194,"")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b">
        <v>1</v>
      </c>
      <c r="F195" s="2" t="n">
        <v>4.5</v>
      </c>
      <c r="G195" t="inlineStr">
        <is>
          <t>d</t>
        </is>
      </c>
      <c r="H195" t="inlineStr">
        <is>
          <t>Unspecified injury - 75% chance of playing</t>
        </is>
      </c>
      <c r="I195" s="2" t="n">
        <v>1980</v>
      </c>
      <c r="J195" t="n">
        <v>71</v>
      </c>
      <c r="K195" s="3" t="n">
        <v>35</v>
      </c>
      <c r="L195" t="inlineStr">
        <is>
          <t>flat</t>
        </is>
      </c>
      <c r="M195" s="4" t="n">
        <v>1980</v>
      </c>
      <c r="N195" s="4" t="n">
        <v>0.21</v>
      </c>
      <c r="O195" s="3" t="n">
        <v>0</v>
      </c>
      <c r="P195" t="inlineStr">
        <is>
          <t>blended xG</t>
        </is>
      </c>
      <c r="Q195" s="3" t="n">
        <v>1</v>
      </c>
      <c r="R195" s="3" t="n">
        <v>0</v>
      </c>
      <c r="S195" s="3" t="n">
        <v>0.0011</v>
      </c>
      <c r="T195" s="3" t="n">
        <v>0</v>
      </c>
      <c r="U195" s="4" t="n">
        <v>90</v>
      </c>
      <c r="V195" s="3">
        <f>IF(OR(N(T195)=0,N(U195)=0),0,1-POISSON(IFERROR(VLOOKUP($C195,Assumptions!$A$4:$G$7,7,FALSE),99)-1,N(T195)*N(U195)/90,TRUE))</f>
        <v/>
      </c>
      <c r="W195" s="3" t="n">
        <v>0.2273</v>
      </c>
      <c r="X195" s="3" t="n">
        <v>2</v>
      </c>
      <c r="Y195" s="3">
        <f>IF(X195="",IFERROR(VLOOKUP($C195,Assumptions!$A$4:$G$7,6,FALSE),0),X195)</f>
        <v/>
      </c>
      <c r="Z195" s="3">
        <f>N(O195)*IFERROR(VLOOKUP($C195,Assumptions!$A$4:$G$7,2,FALSE),0)</f>
        <v/>
      </c>
      <c r="AA195" s="3">
        <f>N(S195)*IFERROR(VLOOKUP($C195,Assumptions!$A$4:$G$7,3,FALSE),0)*Assumptions!$B$11</f>
        <v/>
      </c>
      <c r="AB195" s="3">
        <f>N(N195)*IFERROR(VLOOKUP($C195,Assumptions!$A$4:$G$7,4,FALSE),0)</f>
        <v/>
      </c>
      <c r="AC195" s="3">
        <f>IF(N(U195)=0,0,V195*IFERROR(VLOOKUP($C195,Assumptions!$A$4:$G$7,5,FALSE),0)*90/N(U195))</f>
        <v/>
      </c>
      <c r="AD195" s="3">
        <f>N(W195)</f>
        <v/>
      </c>
      <c r="AE195" s="3">
        <f>SUM(Y195:AD195)</f>
        <v/>
      </c>
      <c r="AF195" s="3">
        <f>N(AE195)*N(M195)/90</f>
        <v/>
      </c>
      <c r="AG195" s="3">
        <f>IFERROR(AF195-VLOOKUP($C195,Assumptions!$A$29:$C$32,3,FALSE),"")</f>
        <v/>
      </c>
      <c r="AH195" s="3">
        <f>IFERROR(AG195/F195,"")</f>
        <v/>
      </c>
      <c r="AI195">
        <f>IF(AND($E195=TRUE,$C195="GKP"),AF195,"")</f>
        <v/>
      </c>
      <c r="AJ195">
        <f>IF(AND($E195=TRUE,$C195="DEF"),AF195,"")</f>
        <v/>
      </c>
      <c r="AK195">
        <f>IF(AND($E195=TRUE,$C195="MID"),AF195,"")</f>
        <v/>
      </c>
      <c r="AL195">
        <f>IF(AND($E195=TRUE,$C195="FWD"),AF195,"")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b">
        <v>1</v>
      </c>
      <c r="F196" s="2" t="n">
        <v>5</v>
      </c>
      <c r="G196" t="inlineStr">
        <is>
          <t>a</t>
        </is>
      </c>
      <c r="I196" s="2" t="n">
        <v>1388</v>
      </c>
      <c r="J196" t="n">
        <v>71</v>
      </c>
      <c r="K196" s="3" t="n">
        <v>174</v>
      </c>
      <c r="L196" t="inlineStr">
        <is>
          <t>flat</t>
        </is>
      </c>
      <c r="M196" s="4" t="n">
        <v>1388</v>
      </c>
      <c r="N196" s="4" t="n">
        <v>0.237</v>
      </c>
      <c r="O196" s="3" t="n">
        <v>0.1013</v>
      </c>
      <c r="P196" t="inlineStr">
        <is>
          <t>adjusted xGOT</t>
        </is>
      </c>
      <c r="Q196" s="3" t="n">
        <v>0.959</v>
      </c>
      <c r="R196" s="3" t="n">
        <v>8.6</v>
      </c>
      <c r="S196" s="3" t="n">
        <v>0.1149</v>
      </c>
      <c r="T196" s="3" t="n">
        <v>10.743</v>
      </c>
      <c r="U196" s="4" t="n">
        <v>106.8</v>
      </c>
      <c r="V196" s="3">
        <f>IF(OR(N(T196)=0,N(U196)=0),0,1-POISSON(IFERROR(VLOOKUP($C196,Assumptions!$A$4:$G$7,7,FALSE),99)-1,N(T196)*N(U196)/90,TRUE))</f>
        <v/>
      </c>
      <c r="W196" s="3" t="n">
        <v>0.1297</v>
      </c>
      <c r="X196" s="3" t="n">
        <v>2.529</v>
      </c>
      <c r="Y196" s="3">
        <f>IF(X196="",IFERROR(VLOOKUP($C196,Assumptions!$A$4:$G$7,6,FALSE),0),X196)</f>
        <v/>
      </c>
      <c r="Z196" s="3">
        <f>N(O196)*IFERROR(VLOOKUP($C196,Assumptions!$A$4:$G$7,2,FALSE),0)</f>
        <v/>
      </c>
      <c r="AA196" s="3">
        <f>N(S196)*IFERROR(VLOOKUP($C196,Assumptions!$A$4:$G$7,3,FALSE),0)*Assumptions!$B$11</f>
        <v/>
      </c>
      <c r="AB196" s="3">
        <f>N(N196)*IFERROR(VLOOKUP($C196,Assumptions!$A$4:$G$7,4,FALSE),0)</f>
        <v/>
      </c>
      <c r="AC196" s="3">
        <f>IF(N(U196)=0,0,V196*IFERROR(VLOOKUP($C196,Assumptions!$A$4:$G$7,5,FALSE),0)*90/N(U196))</f>
        <v/>
      </c>
      <c r="AD196" s="3">
        <f>N(W196)</f>
        <v/>
      </c>
      <c r="AE196" s="3">
        <f>SUM(Y196:AD196)</f>
        <v/>
      </c>
      <c r="AF196" s="3">
        <f>N(AE196)*N(M196)/90</f>
        <v/>
      </c>
      <c r="AG196" s="3">
        <f>IFERROR(AF196-VLOOKUP($C196,Assumptions!$A$29:$C$32,3,FALSE),"")</f>
        <v/>
      </c>
      <c r="AH196" s="3">
        <f>IFERROR(AG196/F196,"")</f>
        <v/>
      </c>
      <c r="AI196">
        <f>IF(AND($E196=TRUE,$C196="GKP"),AF196,"")</f>
        <v/>
      </c>
      <c r="AJ196">
        <f>IF(AND($E196=TRUE,$C196="DEF"),AF196,"")</f>
        <v/>
      </c>
      <c r="AK196">
        <f>IF(AND($E196=TRUE,$C196="MID"),AF196,"")</f>
        <v/>
      </c>
      <c r="AL196">
        <f>IF(AND($E196=TRUE,$C196="FWD"),AF196,"")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b">
        <v>1</v>
      </c>
      <c r="F197" s="2" t="n">
        <v>5</v>
      </c>
      <c r="G197" t="inlineStr">
        <is>
          <t>a</t>
        </is>
      </c>
      <c r="I197" s="2" t="n">
        <v>1722</v>
      </c>
      <c r="J197" t="n">
        <v>69</v>
      </c>
      <c r="K197" s="3" t="n">
        <v>528</v>
      </c>
      <c r="L197" t="inlineStr">
        <is>
          <t>flat</t>
        </is>
      </c>
      <c r="M197" s="4" t="n">
        <v>1722</v>
      </c>
      <c r="N197" s="4" t="n">
        <v>0.316</v>
      </c>
      <c r="O197" s="3" t="n">
        <v>0.083</v>
      </c>
      <c r="P197" t="inlineStr">
        <is>
          <t>adjusted xGOT</t>
        </is>
      </c>
      <c r="Q197" s="3" t="n">
        <v>0.863</v>
      </c>
      <c r="R197" s="3" t="n">
        <v>8.1</v>
      </c>
      <c r="S197" s="3" t="n">
        <v>0.0853</v>
      </c>
      <c r="T197" s="3" t="n">
        <v>10.637</v>
      </c>
      <c r="U197" s="4" t="n">
        <v>95.7</v>
      </c>
      <c r="V197" s="3">
        <f>IF(OR(N(T197)=0,N(U197)=0),0,1-POISSON(IFERROR(VLOOKUP($C197,Assumptions!$A$4:$G$7,7,FALSE),99)-1,N(T197)*N(U197)/90,TRUE))</f>
        <v/>
      </c>
      <c r="W197" s="3" t="n">
        <v>0.1568</v>
      </c>
      <c r="X197" s="3" t="n">
        <v>2.456</v>
      </c>
      <c r="Y197" s="3">
        <f>IF(X197="",IFERROR(VLOOKUP($C197,Assumptions!$A$4:$G$7,6,FALSE),0),X197)</f>
        <v/>
      </c>
      <c r="Z197" s="3">
        <f>N(O197)*IFERROR(VLOOKUP($C197,Assumptions!$A$4:$G$7,2,FALSE),0)</f>
        <v/>
      </c>
      <c r="AA197" s="3">
        <f>N(S197)*IFERROR(VLOOKUP($C197,Assumptions!$A$4:$G$7,3,FALSE),0)*Assumptions!$B$11</f>
        <v/>
      </c>
      <c r="AB197" s="3">
        <f>N(N197)*IFERROR(VLOOKUP($C197,Assumptions!$A$4:$G$7,4,FALSE),0)</f>
        <v/>
      </c>
      <c r="AC197" s="3">
        <f>IF(N(U197)=0,0,V197*IFERROR(VLOOKUP($C197,Assumptions!$A$4:$G$7,5,FALSE),0)*90/N(U197))</f>
        <v/>
      </c>
      <c r="AD197" s="3">
        <f>N(W197)</f>
        <v/>
      </c>
      <c r="AE197" s="3">
        <f>SUM(Y197:AD197)</f>
        <v/>
      </c>
      <c r="AF197" s="3">
        <f>N(AE197)*N(M197)/90</f>
        <v/>
      </c>
      <c r="AG197" s="3">
        <f>IFERROR(AF197-VLOOKUP($C197,Assumptions!$A$29:$C$32,3,FALSE),"")</f>
        <v/>
      </c>
      <c r="AH197" s="3">
        <f>IFERROR(AG197/F197,"")</f>
        <v/>
      </c>
      <c r="AI197">
        <f>IF(AND($E197=TRUE,$C197="GKP"),AF197,"")</f>
        <v/>
      </c>
      <c r="AJ197">
        <f>IF(AND($E197=TRUE,$C197="DEF"),AF197,"")</f>
        <v/>
      </c>
      <c r="AK197">
        <f>IF(AND($E197=TRUE,$C197="MID"),AF197,"")</f>
        <v/>
      </c>
      <c r="AL197">
        <f>IF(AND($E197=TRUE,$C197="FWD"),AF197,"")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b">
        <v>1</v>
      </c>
      <c r="F198" s="2" t="n">
        <v>6.5</v>
      </c>
      <c r="G198" t="inlineStr">
        <is>
          <t>i</t>
        </is>
      </c>
      <c r="H198" t="inlineStr">
        <is>
          <t>Back injury - Unknown return date</t>
        </is>
      </c>
      <c r="I198" s="2" t="n">
        <v>1510</v>
      </c>
      <c r="J198" t="n">
        <v>69</v>
      </c>
      <c r="K198" s="3" t="n">
        <v>2804</v>
      </c>
      <c r="L198" t="inlineStr">
        <is>
          <t>ramp-up (injury / late WC return)</t>
        </is>
      </c>
      <c r="M198" s="4" t="n">
        <v>1510</v>
      </c>
      <c r="N198" s="4" t="n">
        <v>0.421</v>
      </c>
      <c r="O198" s="3" t="n">
        <v>0.0659</v>
      </c>
      <c r="P198" t="inlineStr">
        <is>
          <t>adjusted xGOT</t>
        </is>
      </c>
      <c r="Q198" s="3" t="n">
        <v>0.962</v>
      </c>
      <c r="R198" s="3" t="n">
        <v>9.699999999999999</v>
      </c>
      <c r="S198" s="3" t="n">
        <v>0.1408</v>
      </c>
      <c r="T198" s="3" t="n">
        <v>11.083</v>
      </c>
      <c r="U198" s="4" t="n">
        <v>88.8</v>
      </c>
      <c r="V198" s="3">
        <f>IF(OR(N(T198)=0,N(U198)=0),0,1-POISSON(IFERROR(VLOOKUP($C198,Assumptions!$A$4:$G$7,7,FALSE),99)-1,N(T198)*N(U198)/90,TRUE))</f>
        <v/>
      </c>
      <c r="W198" s="3" t="n">
        <v>0.3576</v>
      </c>
      <c r="X198" s="3" t="n">
        <v>2.205</v>
      </c>
      <c r="Y198" s="3">
        <f>IF(X198="",IFERROR(VLOOKUP($C198,Assumptions!$A$4:$G$7,6,FALSE),0),X198)</f>
        <v/>
      </c>
      <c r="Z198" s="3">
        <f>N(O198)*IFERROR(VLOOKUP($C198,Assumptions!$A$4:$G$7,2,FALSE),0)</f>
        <v/>
      </c>
      <c r="AA198" s="3">
        <f>N(S198)*IFERROR(VLOOKUP($C198,Assumptions!$A$4:$G$7,3,FALSE),0)*Assumptions!$B$11</f>
        <v/>
      </c>
      <c r="AB198" s="3">
        <f>N(N198)*IFERROR(VLOOKUP($C198,Assumptions!$A$4:$G$7,4,FALSE),0)</f>
        <v/>
      </c>
      <c r="AC198" s="3">
        <f>IF(N(U198)=0,0,V198*IFERROR(VLOOKUP($C198,Assumptions!$A$4:$G$7,5,FALSE),0)*90/N(U198))</f>
        <v/>
      </c>
      <c r="AD198" s="3">
        <f>N(W198)</f>
        <v/>
      </c>
      <c r="AE198" s="3">
        <f>SUM(Y198:AD198)</f>
        <v/>
      </c>
      <c r="AF198" s="3">
        <f>N(AE198)*N(M198)/90</f>
        <v/>
      </c>
      <c r="AG198" s="3">
        <f>IFERROR(AF198-VLOOKUP($C198,Assumptions!$A$29:$C$32,3,FALSE),"")</f>
        <v/>
      </c>
      <c r="AH198" s="3">
        <f>IFERROR(AG198/F198,"")</f>
        <v/>
      </c>
      <c r="AI198">
        <f>IF(AND($E198=TRUE,$C198="GKP"),AF198,"")</f>
        <v/>
      </c>
      <c r="AJ198">
        <f>IF(AND($E198=TRUE,$C198="DEF"),AF198,"")</f>
        <v/>
      </c>
      <c r="AK198">
        <f>IF(AND($E198=TRUE,$C198="MID"),AF198,"")</f>
        <v/>
      </c>
      <c r="AL198">
        <f>IF(AND($E198=TRUE,$C198="FWD"),AF198,"")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b">
        <v>1</v>
      </c>
      <c r="F199" s="2" t="n">
        <v>4.5</v>
      </c>
      <c r="G199" t="inlineStr">
        <is>
          <t>i</t>
        </is>
      </c>
      <c r="H199" t="inlineStr">
        <is>
          <t>Hamstring injury - Expected back 30 Aug</t>
        </is>
      </c>
      <c r="I199" s="2" t="n">
        <v>2637</v>
      </c>
      <c r="J199" t="n">
        <v>68</v>
      </c>
      <c r="K199" s="3" t="n">
        <v>2770</v>
      </c>
      <c r="L199" t="inlineStr">
        <is>
          <t>flat</t>
        </is>
      </c>
      <c r="M199" s="4" t="n">
        <v>2637</v>
      </c>
      <c r="N199" s="4" t="n">
        <v>0.21</v>
      </c>
      <c r="O199" s="3" t="n">
        <v>0.0334</v>
      </c>
      <c r="P199" t="inlineStr">
        <is>
          <t>adjusted xGOT</t>
        </is>
      </c>
      <c r="Q199" s="3" t="n">
        <v>0.89</v>
      </c>
      <c r="R199" s="3" t="n">
        <v>1.1</v>
      </c>
      <c r="S199" s="3" t="n">
        <v>0.1022</v>
      </c>
      <c r="T199" s="3" t="n">
        <v>6.581</v>
      </c>
      <c r="U199" s="4" t="n">
        <v>85.09999999999999</v>
      </c>
      <c r="V199" s="3">
        <f>IF(OR(N(T199)=0,N(U199)=0),0,1-POISSON(IFERROR(VLOOKUP($C199,Assumptions!$A$4:$G$7,7,FALSE),99)-1,N(T199)*N(U199)/90,TRUE))</f>
        <v/>
      </c>
      <c r="W199" s="3" t="n">
        <v>0.273</v>
      </c>
      <c r="X199" s="3" t="n">
        <v>2.048</v>
      </c>
      <c r="Y199" s="3">
        <f>IF(X199="",IFERROR(VLOOKUP($C199,Assumptions!$A$4:$G$7,6,FALSE),0),X199)</f>
        <v/>
      </c>
      <c r="Z199" s="3">
        <f>N(O199)*IFERROR(VLOOKUP($C199,Assumptions!$A$4:$G$7,2,FALSE),0)</f>
        <v/>
      </c>
      <c r="AA199" s="3">
        <f>N(S199)*IFERROR(VLOOKUP($C199,Assumptions!$A$4:$G$7,3,FALSE),0)*Assumptions!$B$11</f>
        <v/>
      </c>
      <c r="AB199" s="3">
        <f>N(N199)*IFERROR(VLOOKUP($C199,Assumptions!$A$4:$G$7,4,FALSE),0)</f>
        <v/>
      </c>
      <c r="AC199" s="3">
        <f>IF(N(U199)=0,0,V199*IFERROR(VLOOKUP($C199,Assumptions!$A$4:$G$7,5,FALSE),0)*90/N(U199))</f>
        <v/>
      </c>
      <c r="AD199" s="3">
        <f>N(W199)</f>
        <v/>
      </c>
      <c r="AE199" s="3">
        <f>SUM(Y199:AD199)</f>
        <v/>
      </c>
      <c r="AF199" s="3">
        <f>N(AE199)*N(M199)/90</f>
        <v/>
      </c>
      <c r="AG199" s="3">
        <f>IFERROR(AF199-VLOOKUP($C199,Assumptions!$A$29:$C$32,3,FALSE),"")</f>
        <v/>
      </c>
      <c r="AH199" s="3">
        <f>IFERROR(AG199/F199,"")</f>
        <v/>
      </c>
      <c r="AI199">
        <f>IF(AND($E199=TRUE,$C199="GKP"),AF199,"")</f>
        <v/>
      </c>
      <c r="AJ199">
        <f>IF(AND($E199=TRUE,$C199="DEF"),AF199,"")</f>
        <v/>
      </c>
      <c r="AK199">
        <f>IF(AND($E199=TRUE,$C199="MID"),AF199,"")</f>
        <v/>
      </c>
      <c r="AL199">
        <f>IF(AND($E199=TRUE,$C199="FWD"),AF199,"")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b">
        <v>1</v>
      </c>
      <c r="F200" s="2" t="n">
        <v>5</v>
      </c>
      <c r="G200" t="inlineStr">
        <is>
          <t>a</t>
        </is>
      </c>
      <c r="I200" s="2" t="n">
        <v>1477</v>
      </c>
      <c r="J200" t="n">
        <v>68</v>
      </c>
      <c r="K200" s="3" t="n">
        <v>328</v>
      </c>
      <c r="L200" t="inlineStr">
        <is>
          <t>fade (losing his place)</t>
        </is>
      </c>
      <c r="M200" s="4" t="n">
        <v>1477</v>
      </c>
      <c r="N200" s="4" t="n">
        <v>0.29</v>
      </c>
      <c r="O200" s="3" t="n">
        <v>0.0304</v>
      </c>
      <c r="P200" t="inlineStr">
        <is>
          <t>adjusted xGOT</t>
        </is>
      </c>
      <c r="Q200" s="3" t="n">
        <v>0.924</v>
      </c>
      <c r="R200" s="3" t="n">
        <v>0.8</v>
      </c>
      <c r="S200" s="3" t="n">
        <v>0.0779</v>
      </c>
      <c r="T200" s="3" t="n">
        <v>10.553</v>
      </c>
      <c r="U200" s="4" t="n">
        <v>86.90000000000001</v>
      </c>
      <c r="V200" s="3">
        <f>IF(OR(N(T200)=0,N(U200)=0),0,1-POISSON(IFERROR(VLOOKUP($C200,Assumptions!$A$4:$G$7,7,FALSE),99)-1,N(T200)*N(U200)/90,TRUE))</f>
        <v/>
      </c>
      <c r="W200" s="3" t="n">
        <v>0.0609</v>
      </c>
      <c r="X200" s="3" t="n">
        <v>2.742</v>
      </c>
      <c r="Y200" s="3">
        <f>IF(X200="",IFERROR(VLOOKUP($C200,Assumptions!$A$4:$G$7,6,FALSE),0),X200)</f>
        <v/>
      </c>
      <c r="Z200" s="3">
        <f>N(O200)*IFERROR(VLOOKUP($C200,Assumptions!$A$4:$G$7,2,FALSE),0)</f>
        <v/>
      </c>
      <c r="AA200" s="3">
        <f>N(S200)*IFERROR(VLOOKUP($C200,Assumptions!$A$4:$G$7,3,FALSE),0)*Assumptions!$B$11</f>
        <v/>
      </c>
      <c r="AB200" s="3">
        <f>N(N200)*IFERROR(VLOOKUP($C200,Assumptions!$A$4:$G$7,4,FALSE),0)</f>
        <v/>
      </c>
      <c r="AC200" s="3">
        <f>IF(N(U200)=0,0,V200*IFERROR(VLOOKUP($C200,Assumptions!$A$4:$G$7,5,FALSE),0)*90/N(U200))</f>
        <v/>
      </c>
      <c r="AD200" s="3">
        <f>N(W200)</f>
        <v/>
      </c>
      <c r="AE200" s="3">
        <f>SUM(Y200:AD200)</f>
        <v/>
      </c>
      <c r="AF200" s="3">
        <f>N(AE200)*N(M200)/90</f>
        <v/>
      </c>
      <c r="AG200" s="3">
        <f>IFERROR(AF200-VLOOKUP($C200,Assumptions!$A$29:$C$32,3,FALSE),"")</f>
        <v/>
      </c>
      <c r="AH200" s="3">
        <f>IFERROR(AG200/F200,"")</f>
        <v/>
      </c>
      <c r="AI200">
        <f>IF(AND($E200=TRUE,$C200="GKP"),AF200,"")</f>
        <v/>
      </c>
      <c r="AJ200">
        <f>IF(AND($E200=TRUE,$C200="DEF"),AF200,"")</f>
        <v/>
      </c>
      <c r="AK200">
        <f>IF(AND($E200=TRUE,$C200="MID"),AF200,"")</f>
        <v/>
      </c>
      <c r="AL200">
        <f>IF(AND($E200=TRUE,$C200="FWD"),AF200,"")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b">
        <v>1</v>
      </c>
      <c r="F201" s="2" t="n">
        <v>6</v>
      </c>
      <c r="G201" t="inlineStr">
        <is>
          <t>a</t>
        </is>
      </c>
      <c r="I201" s="2" t="n">
        <v>1857</v>
      </c>
      <c r="J201" t="n">
        <v>68</v>
      </c>
      <c r="K201" s="3" t="n">
        <v>2764</v>
      </c>
      <c r="L201" t="inlineStr">
        <is>
          <t>flat</t>
        </is>
      </c>
      <c r="M201" s="4" t="n">
        <v>1857</v>
      </c>
      <c r="N201" s="4" t="n">
        <v>0.21</v>
      </c>
      <c r="O201" s="3" t="n">
        <v>0.0594</v>
      </c>
      <c r="P201" t="inlineStr">
        <is>
          <t>adjusted xGOT</t>
        </is>
      </c>
      <c r="Q201" s="3" t="n">
        <v>1.075</v>
      </c>
      <c r="R201" s="3" t="n">
        <v>8.199999999999999</v>
      </c>
      <c r="S201" s="3" t="n">
        <v>0.1513</v>
      </c>
      <c r="T201" s="3" t="n">
        <v>9.486000000000001</v>
      </c>
      <c r="U201" s="4" t="n">
        <v>88.40000000000001</v>
      </c>
      <c r="V201" s="3">
        <f>IF(OR(N(T201)=0,N(U201)=0),0,1-POISSON(IFERROR(VLOOKUP($C201,Assumptions!$A$4:$G$7,7,FALSE),99)-1,N(T201)*N(U201)/90,TRUE))</f>
        <v/>
      </c>
      <c r="W201" s="3" t="n">
        <v>0.1454</v>
      </c>
      <c r="X201" s="3" t="n">
        <v>2.181</v>
      </c>
      <c r="Y201" s="3">
        <f>IF(X201="",IFERROR(VLOOKUP($C201,Assumptions!$A$4:$G$7,6,FALSE),0),X201)</f>
        <v/>
      </c>
      <c r="Z201" s="3">
        <f>N(O201)*IFERROR(VLOOKUP($C201,Assumptions!$A$4:$G$7,2,FALSE),0)</f>
        <v/>
      </c>
      <c r="AA201" s="3">
        <f>N(S201)*IFERROR(VLOOKUP($C201,Assumptions!$A$4:$G$7,3,FALSE),0)*Assumptions!$B$11</f>
        <v/>
      </c>
      <c r="AB201" s="3">
        <f>N(N201)*IFERROR(VLOOKUP($C201,Assumptions!$A$4:$G$7,4,FALSE),0)</f>
        <v/>
      </c>
      <c r="AC201" s="3">
        <f>IF(N(U201)=0,0,V201*IFERROR(VLOOKUP($C201,Assumptions!$A$4:$G$7,5,FALSE),0)*90/N(U201))</f>
        <v/>
      </c>
      <c r="AD201" s="3">
        <f>N(W201)</f>
        <v/>
      </c>
      <c r="AE201" s="3">
        <f>SUM(Y201:AD201)</f>
        <v/>
      </c>
      <c r="AF201" s="3">
        <f>N(AE201)*N(M201)/90</f>
        <v/>
      </c>
      <c r="AG201" s="3">
        <f>IFERROR(AF201-VLOOKUP($C201,Assumptions!$A$29:$C$32,3,FALSE),"")</f>
        <v/>
      </c>
      <c r="AH201" s="3">
        <f>IFERROR(AG201/F201,"")</f>
        <v/>
      </c>
      <c r="AI201">
        <f>IF(AND($E201=TRUE,$C201="GKP"),AF201,"")</f>
        <v/>
      </c>
      <c r="AJ201">
        <f>IF(AND($E201=TRUE,$C201="DEF"),AF201,"")</f>
        <v/>
      </c>
      <c r="AK201">
        <f>IF(AND($E201=TRUE,$C201="MID"),AF201,"")</f>
        <v/>
      </c>
      <c r="AL201">
        <f>IF(AND($E201=TRUE,$C201="FWD"),AF201,"")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b">
        <v>1</v>
      </c>
      <c r="F202" s="2" t="n">
        <v>5</v>
      </c>
      <c r="G202" t="inlineStr">
        <is>
          <t>a</t>
        </is>
      </c>
      <c r="I202" s="2" t="n">
        <v>1074</v>
      </c>
      <c r="J202" t="n">
        <v>67</v>
      </c>
      <c r="K202" s="3" t="n">
        <v>390</v>
      </c>
      <c r="L202" t="inlineStr">
        <is>
          <t>flat</t>
        </is>
      </c>
      <c r="M202" s="4" t="n">
        <v>1074</v>
      </c>
      <c r="N202" s="4" t="n">
        <v>0.29</v>
      </c>
      <c r="O202" s="3" t="n">
        <v>0.2302</v>
      </c>
      <c r="P202" t="inlineStr">
        <is>
          <t>adjusted xGOT</t>
        </is>
      </c>
      <c r="Q202" s="3" t="n">
        <v>1.057</v>
      </c>
      <c r="R202" s="3" t="n">
        <v>2.6</v>
      </c>
      <c r="S202" s="3" t="n">
        <v>0.1214</v>
      </c>
      <c r="T202" s="3" t="n">
        <v>9.613</v>
      </c>
      <c r="U202" s="4" t="n">
        <v>107.4</v>
      </c>
      <c r="V202" s="3">
        <f>IF(OR(N(T202)=0,N(U202)=0),0,1-POISSON(IFERROR(VLOOKUP($C202,Assumptions!$A$4:$G$7,7,FALSE),99)-1,N(T202)*N(U202)/90,TRUE))</f>
        <v/>
      </c>
      <c r="W202" s="3" t="n">
        <v>0.3352</v>
      </c>
      <c r="X202" s="3" t="n">
        <v>3.268</v>
      </c>
      <c r="Y202" s="3">
        <f>IF(X202="",IFERROR(VLOOKUP($C202,Assumptions!$A$4:$G$7,6,FALSE),0),X202)</f>
        <v/>
      </c>
      <c r="Z202" s="3">
        <f>N(O202)*IFERROR(VLOOKUP($C202,Assumptions!$A$4:$G$7,2,FALSE),0)</f>
        <v/>
      </c>
      <c r="AA202" s="3">
        <f>N(S202)*IFERROR(VLOOKUP($C202,Assumptions!$A$4:$G$7,3,FALSE),0)*Assumptions!$B$11</f>
        <v/>
      </c>
      <c r="AB202" s="3">
        <f>N(N202)*IFERROR(VLOOKUP($C202,Assumptions!$A$4:$G$7,4,FALSE),0)</f>
        <v/>
      </c>
      <c r="AC202" s="3">
        <f>IF(N(U202)=0,0,V202*IFERROR(VLOOKUP($C202,Assumptions!$A$4:$G$7,5,FALSE),0)*90/N(U202))</f>
        <v/>
      </c>
      <c r="AD202" s="3">
        <f>N(W202)</f>
        <v/>
      </c>
      <c r="AE202" s="3">
        <f>SUM(Y202:AD202)</f>
        <v/>
      </c>
      <c r="AF202" s="3">
        <f>N(AE202)*N(M202)/90</f>
        <v/>
      </c>
      <c r="AG202" s="3">
        <f>IFERROR(AF202-VLOOKUP($C202,Assumptions!$A$29:$C$32,3,FALSE),"")</f>
        <v/>
      </c>
      <c r="AH202" s="3">
        <f>IFERROR(AG202/F202,"")</f>
        <v/>
      </c>
      <c r="AI202">
        <f>IF(AND($E202=TRUE,$C202="GKP"),AF202,"")</f>
        <v/>
      </c>
      <c r="AJ202">
        <f>IF(AND($E202=TRUE,$C202="DEF"),AF202,"")</f>
        <v/>
      </c>
      <c r="AK202">
        <f>IF(AND($E202=TRUE,$C202="MID"),AF202,"")</f>
        <v/>
      </c>
      <c r="AL202">
        <f>IF(AND($E202=TRUE,$C202="FWD"),AF202,"")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b">
        <v>1</v>
      </c>
      <c r="F203" s="2" t="n">
        <v>5.5</v>
      </c>
      <c r="G203" t="inlineStr">
        <is>
          <t>a</t>
        </is>
      </c>
      <c r="I203" s="2" t="n">
        <v>1427</v>
      </c>
      <c r="J203" t="n">
        <v>67</v>
      </c>
      <c r="K203" s="3" t="n">
        <v>690</v>
      </c>
      <c r="L203" t="inlineStr">
        <is>
          <t>flat</t>
        </is>
      </c>
      <c r="M203" s="4" t="n">
        <v>1427</v>
      </c>
      <c r="N203" s="4" t="n">
        <v>0.421</v>
      </c>
      <c r="O203" s="3" t="n">
        <v>0.0378</v>
      </c>
      <c r="P203" t="inlineStr">
        <is>
          <t>adjusted xGOT</t>
        </is>
      </c>
      <c r="Q203" s="3" t="n">
        <v>0.923</v>
      </c>
      <c r="R203" s="3" t="n">
        <v>0.7</v>
      </c>
      <c r="S203" s="3" t="n">
        <v>0.0562</v>
      </c>
      <c r="T203" s="3" t="n">
        <v>7.733</v>
      </c>
      <c r="U203" s="4" t="n">
        <v>95.09999999999999</v>
      </c>
      <c r="V203" s="3">
        <f>IF(OR(N(T203)=0,N(U203)=0),0,1-POISSON(IFERROR(VLOOKUP($C203,Assumptions!$A$4:$G$7,7,FALSE),99)-1,N(T203)*N(U203)/90,TRUE))</f>
        <v/>
      </c>
      <c r="W203" s="3" t="n">
        <v>0.1892</v>
      </c>
      <c r="X203" s="3" t="n">
        <v>2.207</v>
      </c>
      <c r="Y203" s="3">
        <f>IF(X203="",IFERROR(VLOOKUP($C203,Assumptions!$A$4:$G$7,6,FALSE),0),X203)</f>
        <v/>
      </c>
      <c r="Z203" s="3">
        <f>N(O203)*IFERROR(VLOOKUP($C203,Assumptions!$A$4:$G$7,2,FALSE),0)</f>
        <v/>
      </c>
      <c r="AA203" s="3">
        <f>N(S203)*IFERROR(VLOOKUP($C203,Assumptions!$A$4:$G$7,3,FALSE),0)*Assumptions!$B$11</f>
        <v/>
      </c>
      <c r="AB203" s="3">
        <f>N(N203)*IFERROR(VLOOKUP($C203,Assumptions!$A$4:$G$7,4,FALSE),0)</f>
        <v/>
      </c>
      <c r="AC203" s="3">
        <f>IF(N(U203)=0,0,V203*IFERROR(VLOOKUP($C203,Assumptions!$A$4:$G$7,5,FALSE),0)*90/N(U203))</f>
        <v/>
      </c>
      <c r="AD203" s="3">
        <f>N(W203)</f>
        <v/>
      </c>
      <c r="AE203" s="3">
        <f>SUM(Y203:AD203)</f>
        <v/>
      </c>
      <c r="AF203" s="3">
        <f>N(AE203)*N(M203)/90</f>
        <v/>
      </c>
      <c r="AG203" s="3">
        <f>IFERROR(AF203-VLOOKUP($C203,Assumptions!$A$29:$C$32,3,FALSE),"")</f>
        <v/>
      </c>
      <c r="AH203" s="3">
        <f>IFERROR(AG203/F203,"")</f>
        <v/>
      </c>
      <c r="AI203">
        <f>IF(AND($E203=TRUE,$C203="GKP"),AF203,"")</f>
        <v/>
      </c>
      <c r="AJ203">
        <f>IF(AND($E203=TRUE,$C203="DEF"),AF203,"")</f>
        <v/>
      </c>
      <c r="AK203">
        <f>IF(AND($E203=TRUE,$C203="MID"),AF203,"")</f>
        <v/>
      </c>
      <c r="AL203">
        <f>IF(AND($E203=TRUE,$C203="FWD"),AF203,"")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b">
        <v>1</v>
      </c>
      <c r="F204" s="2" t="n">
        <v>5</v>
      </c>
      <c r="G204" t="inlineStr">
        <is>
          <t>a</t>
        </is>
      </c>
      <c r="I204" s="2" t="n">
        <v>1307</v>
      </c>
      <c r="J204" t="n">
        <v>67</v>
      </c>
      <c r="K204" s="3" t="n">
        <v>662</v>
      </c>
      <c r="L204" t="inlineStr">
        <is>
          <t>flat</t>
        </is>
      </c>
      <c r="M204" s="4" t="n">
        <v>1307</v>
      </c>
      <c r="N204" s="4" t="n">
        <v>0.21</v>
      </c>
      <c r="O204" s="3" t="n">
        <v>0.0977</v>
      </c>
      <c r="P204" t="inlineStr">
        <is>
          <t>adjusted xGOT</t>
        </is>
      </c>
      <c r="Q204" s="3" t="n">
        <v>0.985</v>
      </c>
      <c r="R204" s="3" t="n">
        <v>1.4</v>
      </c>
      <c r="S204" s="3" t="n">
        <v>0.0946</v>
      </c>
      <c r="T204" s="3" t="n">
        <v>9.573</v>
      </c>
      <c r="U204" s="4" t="n">
        <v>93.40000000000001</v>
      </c>
      <c r="V204" s="3">
        <f>IF(OR(N(T204)=0,N(U204)=0),0,1-POISSON(IFERROR(VLOOKUP($C204,Assumptions!$A$4:$G$7,7,FALSE),99)-1,N(T204)*N(U204)/90,TRUE))</f>
        <v/>
      </c>
      <c r="W204" s="3" t="n">
        <v>0.2066</v>
      </c>
      <c r="X204" s="3" t="n">
        <v>2.754</v>
      </c>
      <c r="Y204" s="3">
        <f>IF(X204="",IFERROR(VLOOKUP($C204,Assumptions!$A$4:$G$7,6,FALSE),0),X204)</f>
        <v/>
      </c>
      <c r="Z204" s="3">
        <f>N(O204)*IFERROR(VLOOKUP($C204,Assumptions!$A$4:$G$7,2,FALSE),0)</f>
        <v/>
      </c>
      <c r="AA204" s="3">
        <f>N(S204)*IFERROR(VLOOKUP($C204,Assumptions!$A$4:$G$7,3,FALSE),0)*Assumptions!$B$11</f>
        <v/>
      </c>
      <c r="AB204" s="3">
        <f>N(N204)*IFERROR(VLOOKUP($C204,Assumptions!$A$4:$G$7,4,FALSE),0)</f>
        <v/>
      </c>
      <c r="AC204" s="3">
        <f>IF(N(U204)=0,0,V204*IFERROR(VLOOKUP($C204,Assumptions!$A$4:$G$7,5,FALSE),0)*90/N(U204))</f>
        <v/>
      </c>
      <c r="AD204" s="3">
        <f>N(W204)</f>
        <v/>
      </c>
      <c r="AE204" s="3">
        <f>SUM(Y204:AD204)</f>
        <v/>
      </c>
      <c r="AF204" s="3">
        <f>N(AE204)*N(M204)/90</f>
        <v/>
      </c>
      <c r="AG204" s="3">
        <f>IFERROR(AF204-VLOOKUP($C204,Assumptions!$A$29:$C$32,3,FALSE),"")</f>
        <v/>
      </c>
      <c r="AH204" s="3">
        <f>IFERROR(AG204/F204,"")</f>
        <v/>
      </c>
      <c r="AI204">
        <f>IF(AND($E204=TRUE,$C204="GKP"),AF204,"")</f>
        <v/>
      </c>
      <c r="AJ204">
        <f>IF(AND($E204=TRUE,$C204="DEF"),AF204,"")</f>
        <v/>
      </c>
      <c r="AK204">
        <f>IF(AND($E204=TRUE,$C204="MID"),AF204,"")</f>
        <v/>
      </c>
      <c r="AL204">
        <f>IF(AND($E204=TRUE,$C204="FWD"),AF204,"")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b">
        <v>1</v>
      </c>
      <c r="F205" s="2" t="n">
        <v>6.5</v>
      </c>
      <c r="G205" t="inlineStr">
        <is>
          <t>a</t>
        </is>
      </c>
      <c r="I205" s="2" t="n">
        <v>1110</v>
      </c>
      <c r="J205" t="n">
        <v>67</v>
      </c>
      <c r="K205" s="3" t="n">
        <v>2861</v>
      </c>
      <c r="L205" t="inlineStr">
        <is>
          <t>flat</t>
        </is>
      </c>
      <c r="M205" s="4" t="n">
        <v>1110</v>
      </c>
      <c r="N205" s="4" t="n">
        <v>0.29</v>
      </c>
      <c r="O205" s="3" t="n">
        <v>0.2313</v>
      </c>
      <c r="P205" t="inlineStr">
        <is>
          <t>adjusted xGOT</t>
        </is>
      </c>
      <c r="Q205" s="3" t="n">
        <v>1.068</v>
      </c>
      <c r="R205" s="3" t="n">
        <v>2.7</v>
      </c>
      <c r="S205" s="3" t="n">
        <v>0.1873</v>
      </c>
      <c r="T205" s="3" t="n">
        <v>7.407</v>
      </c>
      <c r="U205" s="4" t="n">
        <v>85.40000000000001</v>
      </c>
      <c r="V205" s="3">
        <f>IF(OR(N(T205)=0,N(U205)=0),0,1-POISSON(IFERROR(VLOOKUP($C205,Assumptions!$A$4:$G$7,7,FALSE),99)-1,N(T205)*N(U205)/90,TRUE))</f>
        <v/>
      </c>
      <c r="W205" s="3" t="n">
        <v>0.2432</v>
      </c>
      <c r="X205" s="3" t="n">
        <v>2.27</v>
      </c>
      <c r="Y205" s="3">
        <f>IF(X205="",IFERROR(VLOOKUP($C205,Assumptions!$A$4:$G$7,6,FALSE),0),X205)</f>
        <v/>
      </c>
      <c r="Z205" s="3">
        <f>N(O205)*IFERROR(VLOOKUP($C205,Assumptions!$A$4:$G$7,2,FALSE),0)</f>
        <v/>
      </c>
      <c r="AA205" s="3">
        <f>N(S205)*IFERROR(VLOOKUP($C205,Assumptions!$A$4:$G$7,3,FALSE),0)*Assumptions!$B$11</f>
        <v/>
      </c>
      <c r="AB205" s="3">
        <f>N(N205)*IFERROR(VLOOKUP($C205,Assumptions!$A$4:$G$7,4,FALSE),0)</f>
        <v/>
      </c>
      <c r="AC205" s="3">
        <f>IF(N(U205)=0,0,V205*IFERROR(VLOOKUP($C205,Assumptions!$A$4:$G$7,5,FALSE),0)*90/N(U205))</f>
        <v/>
      </c>
      <c r="AD205" s="3">
        <f>N(W205)</f>
        <v/>
      </c>
      <c r="AE205" s="3">
        <f>SUM(Y205:AD205)</f>
        <v/>
      </c>
      <c r="AF205" s="3">
        <f>N(AE205)*N(M205)/90</f>
        <v/>
      </c>
      <c r="AG205" s="3">
        <f>IFERROR(AF205-VLOOKUP($C205,Assumptions!$A$29:$C$32,3,FALSE),"")</f>
        <v/>
      </c>
      <c r="AH205" s="3">
        <f>IFERROR(AG205/F205,"")</f>
        <v/>
      </c>
      <c r="AI205">
        <f>IF(AND($E205=TRUE,$C205="GKP"),AF205,"")</f>
        <v/>
      </c>
      <c r="AJ205">
        <f>IF(AND($E205=TRUE,$C205="DEF"),AF205,"")</f>
        <v/>
      </c>
      <c r="AK205">
        <f>IF(AND($E205=TRUE,$C205="MID"),AF205,"")</f>
        <v/>
      </c>
      <c r="AL205">
        <f>IF(AND($E205=TRUE,$C205="FWD"),AF205,"")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b">
        <v>1</v>
      </c>
      <c r="F206" s="2" t="n">
        <v>6</v>
      </c>
      <c r="G206" t="inlineStr">
        <is>
          <t>a</t>
        </is>
      </c>
      <c r="I206" s="2" t="n">
        <v>1024</v>
      </c>
      <c r="J206" t="n">
        <v>67</v>
      </c>
      <c r="K206" s="3" t="n">
        <v>173</v>
      </c>
      <c r="L206" t="inlineStr">
        <is>
          <t>flat</t>
        </is>
      </c>
      <c r="M206" s="4" t="n">
        <v>1024</v>
      </c>
      <c r="N206" s="4" t="n">
        <v>0.5</v>
      </c>
      <c r="O206" s="3" t="n">
        <v>0.3227</v>
      </c>
      <c r="P206" t="inlineStr">
        <is>
          <t>adjusted xGOT</t>
        </is>
      </c>
      <c r="Q206" s="3" t="n">
        <v>1.093</v>
      </c>
      <c r="R206" s="3" t="n">
        <v>9.1</v>
      </c>
      <c r="S206" s="3" t="n">
        <v>0.1644</v>
      </c>
      <c r="T206" s="3" t="n">
        <v>9.372</v>
      </c>
      <c r="U206" s="4" t="n">
        <v>102.4</v>
      </c>
      <c r="V206" s="3">
        <f>IF(OR(N(T206)=0,N(U206)=0),0,1-POISSON(IFERROR(VLOOKUP($C206,Assumptions!$A$4:$G$7,7,FALSE),99)-1,N(T206)*N(U206)/90,TRUE))</f>
        <v/>
      </c>
      <c r="W206" s="3" t="n">
        <v>0.4395</v>
      </c>
      <c r="X206" s="3" t="n">
        <v>2.637</v>
      </c>
      <c r="Y206" s="3">
        <f>IF(X206="",IFERROR(VLOOKUP($C206,Assumptions!$A$4:$G$7,6,FALSE),0),X206)</f>
        <v/>
      </c>
      <c r="Z206" s="3">
        <f>N(O206)*IFERROR(VLOOKUP($C206,Assumptions!$A$4:$G$7,2,FALSE),0)</f>
        <v/>
      </c>
      <c r="AA206" s="3">
        <f>N(S206)*IFERROR(VLOOKUP($C206,Assumptions!$A$4:$G$7,3,FALSE),0)*Assumptions!$B$11</f>
        <v/>
      </c>
      <c r="AB206" s="3">
        <f>N(N206)*IFERROR(VLOOKUP($C206,Assumptions!$A$4:$G$7,4,FALSE),0)</f>
        <v/>
      </c>
      <c r="AC206" s="3">
        <f>IF(N(U206)=0,0,V206*IFERROR(VLOOKUP($C206,Assumptions!$A$4:$G$7,5,FALSE),0)*90/N(U206))</f>
        <v/>
      </c>
      <c r="AD206" s="3">
        <f>N(W206)</f>
        <v/>
      </c>
      <c r="AE206" s="3">
        <f>SUM(Y206:AD206)</f>
        <v/>
      </c>
      <c r="AF206" s="3">
        <f>N(AE206)*N(M206)/90</f>
        <v/>
      </c>
      <c r="AG206" s="3">
        <f>IFERROR(AF206-VLOOKUP($C206,Assumptions!$A$29:$C$32,3,FALSE),"")</f>
        <v/>
      </c>
      <c r="AH206" s="3">
        <f>IFERROR(AG206/F206,"")</f>
        <v/>
      </c>
      <c r="AI206">
        <f>IF(AND($E206=TRUE,$C206="GKP"),AF206,"")</f>
        <v/>
      </c>
      <c r="AJ206">
        <f>IF(AND($E206=TRUE,$C206="DEF"),AF206,"")</f>
        <v/>
      </c>
      <c r="AK206">
        <f>IF(AND($E206=TRUE,$C206="MID"),AF206,"")</f>
        <v/>
      </c>
      <c r="AL206">
        <f>IF(AND($E206=TRUE,$C206="FWD"),AF206,"")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b">
        <v>1</v>
      </c>
      <c r="F207" s="2" t="n">
        <v>5</v>
      </c>
      <c r="G207" t="inlineStr">
        <is>
          <t>a</t>
        </is>
      </c>
      <c r="I207" s="2" t="n">
        <v>1899</v>
      </c>
      <c r="J207" t="n">
        <v>67</v>
      </c>
      <c r="K207" s="3" t="n">
        <v>1932</v>
      </c>
      <c r="L207" t="inlineStr">
        <is>
          <t>flat</t>
        </is>
      </c>
      <c r="M207" s="4" t="n">
        <v>1899</v>
      </c>
      <c r="N207" s="4" t="n">
        <v>0.316</v>
      </c>
      <c r="O207" s="3" t="n">
        <v>0.0708</v>
      </c>
      <c r="P207" t="inlineStr">
        <is>
          <t>adjusted xGOT</t>
        </is>
      </c>
      <c r="Q207" s="3" t="n">
        <v>0.911</v>
      </c>
      <c r="R207" s="3" t="n">
        <v>2.8</v>
      </c>
      <c r="S207" s="3" t="n">
        <v>0.1381</v>
      </c>
      <c r="T207" s="3" t="n">
        <v>9.506</v>
      </c>
      <c r="U207" s="4" t="n">
        <v>86.3</v>
      </c>
      <c r="V207" s="3">
        <f>IF(OR(N(T207)=0,N(U207)=0),0,1-POISSON(IFERROR(VLOOKUP($C207,Assumptions!$A$4:$G$7,7,FALSE),99)-1,N(T207)*N(U207)/90,TRUE))</f>
        <v/>
      </c>
      <c r="W207" s="3" t="n">
        <v>0</v>
      </c>
      <c r="X207" s="3" t="n">
        <v>2.275</v>
      </c>
      <c r="Y207" s="3">
        <f>IF(X207="",IFERROR(VLOOKUP($C207,Assumptions!$A$4:$G$7,6,FALSE),0),X207)</f>
        <v/>
      </c>
      <c r="Z207" s="3">
        <f>N(O207)*IFERROR(VLOOKUP($C207,Assumptions!$A$4:$G$7,2,FALSE),0)</f>
        <v/>
      </c>
      <c r="AA207" s="3">
        <f>N(S207)*IFERROR(VLOOKUP($C207,Assumptions!$A$4:$G$7,3,FALSE),0)*Assumptions!$B$11</f>
        <v/>
      </c>
      <c r="AB207" s="3">
        <f>N(N207)*IFERROR(VLOOKUP($C207,Assumptions!$A$4:$G$7,4,FALSE),0)</f>
        <v/>
      </c>
      <c r="AC207" s="3">
        <f>IF(N(U207)=0,0,V207*IFERROR(VLOOKUP($C207,Assumptions!$A$4:$G$7,5,FALSE),0)*90/N(U207))</f>
        <v/>
      </c>
      <c r="AD207" s="3">
        <f>N(W207)</f>
        <v/>
      </c>
      <c r="AE207" s="3">
        <f>SUM(Y207:AD207)</f>
        <v/>
      </c>
      <c r="AF207" s="3">
        <f>N(AE207)*N(M207)/90</f>
        <v/>
      </c>
      <c r="AG207" s="3">
        <f>IFERROR(AF207-VLOOKUP($C207,Assumptions!$A$29:$C$32,3,FALSE),"")</f>
        <v/>
      </c>
      <c r="AH207" s="3">
        <f>IFERROR(AG207/F207,"")</f>
        <v/>
      </c>
      <c r="AI207">
        <f>IF(AND($E207=TRUE,$C207="GKP"),AF207,"")</f>
        <v/>
      </c>
      <c r="AJ207">
        <f>IF(AND($E207=TRUE,$C207="DEF"),AF207,"")</f>
        <v/>
      </c>
      <c r="AK207">
        <f>IF(AND($E207=TRUE,$C207="MID"),AF207,"")</f>
        <v/>
      </c>
      <c r="AL207">
        <f>IF(AND($E207=TRUE,$C207="FWD"),AF207,"")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b">
        <v>1</v>
      </c>
      <c r="F208" s="2" t="n">
        <v>5</v>
      </c>
      <c r="G208" t="inlineStr">
        <is>
          <t>a</t>
        </is>
      </c>
      <c r="I208" s="2" t="n">
        <v>1730</v>
      </c>
      <c r="J208" t="n">
        <v>67</v>
      </c>
      <c r="K208" s="3" t="n">
        <v>2217</v>
      </c>
      <c r="L208" t="inlineStr">
        <is>
          <t>flat</t>
        </is>
      </c>
      <c r="M208" s="4" t="n">
        <v>1730</v>
      </c>
      <c r="N208" s="4" t="n"/>
      <c r="O208" s="3" t="n">
        <v>0.1034</v>
      </c>
      <c r="P208" t="inlineStr">
        <is>
          <t>adjusted xGOT</t>
        </is>
      </c>
      <c r="Q208" s="3" t="n">
        <v>0.892</v>
      </c>
      <c r="R208" s="3" t="n">
        <v>5</v>
      </c>
      <c r="S208" s="3" t="n">
        <v>0.106</v>
      </c>
      <c r="T208" s="3" t="n">
        <v>9.243</v>
      </c>
      <c r="U208" s="4" t="n">
        <v>86.5</v>
      </c>
      <c r="V208" s="3">
        <f>IF(OR(N(T208)=0,N(U208)=0),0,1-POISSON(IFERROR(VLOOKUP($C208,Assumptions!$A$4:$G$7,7,FALSE),99)-1,N(T208)*N(U208)/90,TRUE))</f>
        <v/>
      </c>
      <c r="W208" s="3" t="n">
        <v>0.2081</v>
      </c>
      <c r="X208" s="3" t="n">
        <v>2.237</v>
      </c>
      <c r="Y208" s="3">
        <f>IF(X208="",IFERROR(VLOOKUP($C208,Assumptions!$A$4:$G$7,6,FALSE),0),X208)</f>
        <v/>
      </c>
      <c r="Z208" s="3">
        <f>N(O208)*IFERROR(VLOOKUP($C208,Assumptions!$A$4:$G$7,2,FALSE),0)</f>
        <v/>
      </c>
      <c r="AA208" s="3">
        <f>N(S208)*IFERROR(VLOOKUP($C208,Assumptions!$A$4:$G$7,3,FALSE),0)*Assumptions!$B$11</f>
        <v/>
      </c>
      <c r="AB208" s="3">
        <f>N(N208)*IFERROR(VLOOKUP($C208,Assumptions!$A$4:$G$7,4,FALSE),0)</f>
        <v/>
      </c>
      <c r="AC208" s="3">
        <f>IF(N(U208)=0,0,V208*IFERROR(VLOOKUP($C208,Assumptions!$A$4:$G$7,5,FALSE),0)*90/N(U208))</f>
        <v/>
      </c>
      <c r="AD208" s="3">
        <f>N(W208)</f>
        <v/>
      </c>
      <c r="AE208" s="3">
        <f>SUM(Y208:AD208)</f>
        <v/>
      </c>
      <c r="AF208" s="3">
        <f>N(AE208)*N(M208)/90</f>
        <v/>
      </c>
      <c r="AG208" s="3">
        <f>IFERROR(AF208-VLOOKUP($C208,Assumptions!$A$29:$C$32,3,FALSE),"")</f>
        <v/>
      </c>
      <c r="AH208" s="3">
        <f>IFERROR(AG208/F208,"")</f>
        <v/>
      </c>
      <c r="AI208">
        <f>IF(AND($E208=TRUE,$C208="GKP"),AF208,"")</f>
        <v/>
      </c>
      <c r="AJ208">
        <f>IF(AND($E208=TRUE,$C208="DEF"),AF208,"")</f>
        <v/>
      </c>
      <c r="AK208">
        <f>IF(AND($E208=TRUE,$C208="MID"),AF208,"")</f>
        <v/>
      </c>
      <c r="AL208">
        <f>IF(AND($E208=TRUE,$C208="FWD"),AF208,"")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b">
        <v>1</v>
      </c>
      <c r="F209" s="2" t="n">
        <v>4.5</v>
      </c>
      <c r="G209" t="inlineStr">
        <is>
          <t>a</t>
        </is>
      </c>
      <c r="I209" s="2" t="n">
        <v>1587</v>
      </c>
      <c r="J209" t="n">
        <v>67</v>
      </c>
      <c r="K209" s="3" t="n">
        <v>2953</v>
      </c>
      <c r="L209" t="inlineStr">
        <is>
          <t>flat</t>
        </is>
      </c>
      <c r="M209" s="4" t="n">
        <v>1587</v>
      </c>
      <c r="N209" s="4" t="n">
        <v>0.237</v>
      </c>
      <c r="O209" s="3" t="n">
        <v>0.0226</v>
      </c>
      <c r="P209" t="inlineStr">
        <is>
          <t>adjusted xGOT</t>
        </is>
      </c>
      <c r="Q209" s="3" t="n">
        <v>0.97</v>
      </c>
      <c r="R209" s="3" t="n">
        <v>1.4</v>
      </c>
      <c r="S209" s="3" t="n">
        <v>0.0335</v>
      </c>
      <c r="T209" s="3" t="n">
        <v>7.47</v>
      </c>
      <c r="U209" s="4" t="n">
        <v>88.2</v>
      </c>
      <c r="V209" s="3">
        <f>IF(OR(N(T209)=0,N(U209)=0),0,1-POISSON(IFERROR(VLOOKUP($C209,Assumptions!$A$4:$G$7,7,FALSE),99)-1,N(T209)*N(U209)/90,TRUE))</f>
        <v/>
      </c>
      <c r="W209" s="3" t="n">
        <v>0.2836</v>
      </c>
      <c r="X209" s="3" t="n">
        <v>2.042</v>
      </c>
      <c r="Y209" s="3">
        <f>IF(X209="",IFERROR(VLOOKUP($C209,Assumptions!$A$4:$G$7,6,FALSE),0),X209)</f>
        <v/>
      </c>
      <c r="Z209" s="3">
        <f>N(O209)*IFERROR(VLOOKUP($C209,Assumptions!$A$4:$G$7,2,FALSE),0)</f>
        <v/>
      </c>
      <c r="AA209" s="3">
        <f>N(S209)*IFERROR(VLOOKUP($C209,Assumptions!$A$4:$G$7,3,FALSE),0)*Assumptions!$B$11</f>
        <v/>
      </c>
      <c r="AB209" s="3">
        <f>N(N209)*IFERROR(VLOOKUP($C209,Assumptions!$A$4:$G$7,4,FALSE),0)</f>
        <v/>
      </c>
      <c r="AC209" s="3">
        <f>IF(N(U209)=0,0,V209*IFERROR(VLOOKUP($C209,Assumptions!$A$4:$G$7,5,FALSE),0)*90/N(U209))</f>
        <v/>
      </c>
      <c r="AD209" s="3">
        <f>N(W209)</f>
        <v/>
      </c>
      <c r="AE209" s="3">
        <f>SUM(Y209:AD209)</f>
        <v/>
      </c>
      <c r="AF209" s="3">
        <f>N(AE209)*N(M209)/90</f>
        <v/>
      </c>
      <c r="AG209" s="3">
        <f>IFERROR(AF209-VLOOKUP($C209,Assumptions!$A$29:$C$32,3,FALSE),"")</f>
        <v/>
      </c>
      <c r="AH209" s="3">
        <f>IFERROR(AG209/F209,"")</f>
        <v/>
      </c>
      <c r="AI209">
        <f>IF(AND($E209=TRUE,$C209="GKP"),AF209,"")</f>
        <v/>
      </c>
      <c r="AJ209">
        <f>IF(AND($E209=TRUE,$C209="DEF"),AF209,"")</f>
        <v/>
      </c>
      <c r="AK209">
        <f>IF(AND($E209=TRUE,$C209="MID"),AF209,"")</f>
        <v/>
      </c>
      <c r="AL209">
        <f>IF(AND($E209=TRUE,$C209="FWD"),AF209,"")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b">
        <v>1</v>
      </c>
      <c r="F210" s="2" t="n">
        <v>5.5</v>
      </c>
      <c r="G210" t="inlineStr">
        <is>
          <t>a</t>
        </is>
      </c>
      <c r="I210" s="2" t="n">
        <v>1403</v>
      </c>
      <c r="J210" t="n">
        <v>65</v>
      </c>
      <c r="K210" s="3" t="n">
        <v>1602</v>
      </c>
      <c r="L210" t="inlineStr">
        <is>
          <t>flat</t>
        </is>
      </c>
      <c r="M210" s="4" t="n">
        <v>1403</v>
      </c>
      <c r="N210" s="4" t="n">
        <v>0.29</v>
      </c>
      <c r="O210" s="3" t="n">
        <v>0.1955</v>
      </c>
      <c r="P210" t="inlineStr">
        <is>
          <t>adjusted xGOT</t>
        </is>
      </c>
      <c r="Q210" s="3" t="n">
        <v>0.9320000000000001</v>
      </c>
      <c r="R210" s="3" t="n">
        <v>3.3</v>
      </c>
      <c r="S210" s="3" t="n">
        <v>0.0479</v>
      </c>
      <c r="T210" s="3" t="n">
        <v>6.258</v>
      </c>
      <c r="U210" s="4" t="n">
        <v>93.5</v>
      </c>
      <c r="V210" s="3">
        <f>IF(OR(N(T210)=0,N(U210)=0),0,1-POISSON(IFERROR(VLOOKUP($C210,Assumptions!$A$4:$G$7,7,FALSE),99)-1,N(T210)*N(U210)/90,TRUE))</f>
        <v/>
      </c>
      <c r="W210" s="3" t="n">
        <v>0.2566</v>
      </c>
      <c r="X210" s="3" t="n">
        <v>2.245</v>
      </c>
      <c r="Y210" s="3">
        <f>IF(X210="",IFERROR(VLOOKUP($C210,Assumptions!$A$4:$G$7,6,FALSE),0),X210)</f>
        <v/>
      </c>
      <c r="Z210" s="3">
        <f>N(O210)*IFERROR(VLOOKUP($C210,Assumptions!$A$4:$G$7,2,FALSE),0)</f>
        <v/>
      </c>
      <c r="AA210" s="3">
        <f>N(S210)*IFERROR(VLOOKUP($C210,Assumptions!$A$4:$G$7,3,FALSE),0)*Assumptions!$B$11</f>
        <v/>
      </c>
      <c r="AB210" s="3">
        <f>N(N210)*IFERROR(VLOOKUP($C210,Assumptions!$A$4:$G$7,4,FALSE),0)</f>
        <v/>
      </c>
      <c r="AC210" s="3">
        <f>IF(N(U210)=0,0,V210*IFERROR(VLOOKUP($C210,Assumptions!$A$4:$G$7,5,FALSE),0)*90/N(U210))</f>
        <v/>
      </c>
      <c r="AD210" s="3">
        <f>N(W210)</f>
        <v/>
      </c>
      <c r="AE210" s="3">
        <f>SUM(Y210:AD210)</f>
        <v/>
      </c>
      <c r="AF210" s="3">
        <f>N(AE210)*N(M210)/90</f>
        <v/>
      </c>
      <c r="AG210" s="3">
        <f>IFERROR(AF210-VLOOKUP($C210,Assumptions!$A$29:$C$32,3,FALSE),"")</f>
        <v/>
      </c>
      <c r="AH210" s="3">
        <f>IFERROR(AG210/F210,"")</f>
        <v/>
      </c>
      <c r="AI210">
        <f>IF(AND($E210=TRUE,$C210="GKP"),AF210,"")</f>
        <v/>
      </c>
      <c r="AJ210">
        <f>IF(AND($E210=TRUE,$C210="DEF"),AF210,"")</f>
        <v/>
      </c>
      <c r="AK210">
        <f>IF(AND($E210=TRUE,$C210="MID"),AF210,"")</f>
        <v/>
      </c>
      <c r="AL210">
        <f>IF(AND($E210=TRUE,$C210="FWD"),AF210,"")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b">
        <v>1</v>
      </c>
      <c r="F211" s="2" t="n">
        <v>6</v>
      </c>
      <c r="G211" t="inlineStr">
        <is>
          <t>a</t>
        </is>
      </c>
      <c r="I211" s="2" t="n">
        <v>1710</v>
      </c>
      <c r="J211" t="n">
        <v>65</v>
      </c>
      <c r="K211" s="3" t="n">
        <v>1082</v>
      </c>
      <c r="L211" t="inlineStr">
        <is>
          <t>flat</t>
        </is>
      </c>
      <c r="M211" s="4" t="n">
        <v>1710</v>
      </c>
      <c r="N211" s="4" t="n">
        <v>0.29</v>
      </c>
      <c r="O211" s="3" t="n">
        <v>0.1194</v>
      </c>
      <c r="P211" t="inlineStr">
        <is>
          <t>adjusted xGOT</t>
        </is>
      </c>
      <c r="Q211" s="3" t="n">
        <v>0.926</v>
      </c>
      <c r="R211" s="3" t="n">
        <v>32</v>
      </c>
      <c r="S211" s="3" t="n">
        <v>0.0682</v>
      </c>
      <c r="T211" s="3" t="n">
        <v>7.023</v>
      </c>
      <c r="U211" s="4" t="n">
        <v>90</v>
      </c>
      <c r="V211" s="3">
        <f>IF(OR(N(T211)=0,N(U211)=0),0,1-POISSON(IFERROR(VLOOKUP($C211,Assumptions!$A$4:$G$7,7,FALSE),99)-1,N(T211)*N(U211)/90,TRUE))</f>
        <v/>
      </c>
      <c r="W211" s="3" t="n">
        <v>0.1053</v>
      </c>
      <c r="X211" s="3" t="n">
        <v>2.632</v>
      </c>
      <c r="Y211" s="3">
        <f>IF(X211="",IFERROR(VLOOKUP($C211,Assumptions!$A$4:$G$7,6,FALSE),0),X211)</f>
        <v/>
      </c>
      <c r="Z211" s="3">
        <f>N(O211)*IFERROR(VLOOKUP($C211,Assumptions!$A$4:$G$7,2,FALSE),0)</f>
        <v/>
      </c>
      <c r="AA211" s="3">
        <f>N(S211)*IFERROR(VLOOKUP($C211,Assumptions!$A$4:$G$7,3,FALSE),0)*Assumptions!$B$11</f>
        <v/>
      </c>
      <c r="AB211" s="3">
        <f>N(N211)*IFERROR(VLOOKUP($C211,Assumptions!$A$4:$G$7,4,FALSE),0)</f>
        <v/>
      </c>
      <c r="AC211" s="3">
        <f>IF(N(U211)=0,0,V211*IFERROR(VLOOKUP($C211,Assumptions!$A$4:$G$7,5,FALSE),0)*90/N(U211))</f>
        <v/>
      </c>
      <c r="AD211" s="3">
        <f>N(W211)</f>
        <v/>
      </c>
      <c r="AE211" s="3">
        <f>SUM(Y211:AD211)</f>
        <v/>
      </c>
      <c r="AF211" s="3">
        <f>N(AE211)*N(M211)/90</f>
        <v/>
      </c>
      <c r="AG211" s="3">
        <f>IFERROR(AF211-VLOOKUP($C211,Assumptions!$A$29:$C$32,3,FALSE),"")</f>
        <v/>
      </c>
      <c r="AH211" s="3">
        <f>IFERROR(AG211/F211,"")</f>
        <v/>
      </c>
      <c r="AI211">
        <f>IF(AND($E211=TRUE,$C211="GKP"),AF211,"")</f>
        <v/>
      </c>
      <c r="AJ211">
        <f>IF(AND($E211=TRUE,$C211="DEF"),AF211,"")</f>
        <v/>
      </c>
      <c r="AK211">
        <f>IF(AND($E211=TRUE,$C211="MID"),AF211,"")</f>
        <v/>
      </c>
      <c r="AL211">
        <f>IF(AND($E211=TRUE,$C211="FWD"),AF211,"")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b">
        <v>1</v>
      </c>
      <c r="F212" s="2" t="n">
        <v>5</v>
      </c>
      <c r="G212" t="inlineStr">
        <is>
          <t>s</t>
        </is>
      </c>
      <c r="H212" t="inlineStr">
        <is>
          <t>Suspended until 6 Sep</t>
        </is>
      </c>
      <c r="I212" s="2" t="n">
        <v>1718</v>
      </c>
      <c r="J212" t="n">
        <v>65</v>
      </c>
      <c r="K212" s="3" t="n">
        <v>1693</v>
      </c>
      <c r="L212" t="inlineStr">
        <is>
          <t>flat</t>
        </is>
      </c>
      <c r="M212" s="4" t="n">
        <v>1718</v>
      </c>
      <c r="N212" s="4" t="n">
        <v>0.237</v>
      </c>
      <c r="O212" s="3" t="n">
        <v>0.0335</v>
      </c>
      <c r="P212" t="inlineStr">
        <is>
          <t>adjusted xGOT</t>
        </is>
      </c>
      <c r="Q212" s="3" t="n">
        <v>0.889</v>
      </c>
      <c r="R212" s="3" t="n">
        <v>1.9</v>
      </c>
      <c r="S212" s="3" t="n">
        <v>0.033</v>
      </c>
      <c r="T212" s="3" t="n">
        <v>9.874000000000001</v>
      </c>
      <c r="U212" s="4" t="n">
        <v>85.90000000000001</v>
      </c>
      <c r="V212" s="3">
        <f>IF(OR(N(T212)=0,N(U212)=0),0,1-POISSON(IFERROR(VLOOKUP($C212,Assumptions!$A$4:$G$7,7,FALSE),99)-1,N(T212)*N(U212)/90,TRUE))</f>
        <v/>
      </c>
      <c r="W212" s="3" t="n">
        <v>0.1048</v>
      </c>
      <c r="X212" s="3" t="n">
        <v>2.253</v>
      </c>
      <c r="Y212" s="3">
        <f>IF(X212="",IFERROR(VLOOKUP($C212,Assumptions!$A$4:$G$7,6,FALSE),0),X212)</f>
        <v/>
      </c>
      <c r="Z212" s="3">
        <f>N(O212)*IFERROR(VLOOKUP($C212,Assumptions!$A$4:$G$7,2,FALSE),0)</f>
        <v/>
      </c>
      <c r="AA212" s="3">
        <f>N(S212)*IFERROR(VLOOKUP($C212,Assumptions!$A$4:$G$7,3,FALSE),0)*Assumptions!$B$11</f>
        <v/>
      </c>
      <c r="AB212" s="3">
        <f>N(N212)*IFERROR(VLOOKUP($C212,Assumptions!$A$4:$G$7,4,FALSE),0)</f>
        <v/>
      </c>
      <c r="AC212" s="3">
        <f>IF(N(U212)=0,0,V212*IFERROR(VLOOKUP($C212,Assumptions!$A$4:$G$7,5,FALSE),0)*90/N(U212))</f>
        <v/>
      </c>
      <c r="AD212" s="3">
        <f>N(W212)</f>
        <v/>
      </c>
      <c r="AE212" s="3">
        <f>SUM(Y212:AD212)</f>
        <v/>
      </c>
      <c r="AF212" s="3">
        <f>N(AE212)*N(M212)/90</f>
        <v/>
      </c>
      <c r="AG212" s="3">
        <f>IFERROR(AF212-VLOOKUP($C212,Assumptions!$A$29:$C$32,3,FALSE),"")</f>
        <v/>
      </c>
      <c r="AH212" s="3">
        <f>IFERROR(AG212/F212,"")</f>
        <v/>
      </c>
      <c r="AI212">
        <f>IF(AND($E212=TRUE,$C212="GKP"),AF212,"")</f>
        <v/>
      </c>
      <c r="AJ212">
        <f>IF(AND($E212=TRUE,$C212="DEF"),AF212,"")</f>
        <v/>
      </c>
      <c r="AK212">
        <f>IF(AND($E212=TRUE,$C212="MID"),AF212,"")</f>
        <v/>
      </c>
      <c r="AL212">
        <f>IF(AND($E212=TRUE,$C212="FWD"),AF212,"")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b">
        <v>1</v>
      </c>
      <c r="F213" s="2" t="n">
        <v>4.5</v>
      </c>
      <c r="G213" t="inlineStr">
        <is>
          <t>a</t>
        </is>
      </c>
      <c r="I213" s="2" t="n">
        <v>1487</v>
      </c>
      <c r="J213" t="n">
        <v>65</v>
      </c>
      <c r="K213" s="3" t="n">
        <v>1887</v>
      </c>
      <c r="L213" t="inlineStr">
        <is>
          <t>flat</t>
        </is>
      </c>
      <c r="M213" s="4" t="n">
        <v>1487</v>
      </c>
      <c r="N213" s="4" t="n">
        <v>0.237</v>
      </c>
      <c r="O213" s="3" t="n">
        <v>0.06519999999999999</v>
      </c>
      <c r="P213" t="inlineStr">
        <is>
          <t>adjusted xGOT</t>
        </is>
      </c>
      <c r="Q213" s="3" t="n">
        <v>1.008</v>
      </c>
      <c r="R213" s="3" t="n">
        <v>2.5</v>
      </c>
      <c r="S213" s="3" t="n">
        <v>0.0808</v>
      </c>
      <c r="T213" s="3" t="n">
        <v>8.053000000000001</v>
      </c>
      <c r="U213" s="4" t="n">
        <v>87.5</v>
      </c>
      <c r="V213" s="3">
        <f>IF(OR(N(T213)=0,N(U213)=0),0,1-POISSON(IFERROR(VLOOKUP($C213,Assumptions!$A$4:$G$7,7,FALSE),99)-1,N(T213)*N(U213)/90,TRUE))</f>
        <v/>
      </c>
      <c r="W213" s="3" t="n">
        <v>0.4237</v>
      </c>
      <c r="X213" s="3" t="n">
        <v>2.3</v>
      </c>
      <c r="Y213" s="3">
        <f>IF(X213="",IFERROR(VLOOKUP($C213,Assumptions!$A$4:$G$7,6,FALSE),0),X213)</f>
        <v/>
      </c>
      <c r="Z213" s="3">
        <f>N(O213)*IFERROR(VLOOKUP($C213,Assumptions!$A$4:$G$7,2,FALSE),0)</f>
        <v/>
      </c>
      <c r="AA213" s="3">
        <f>N(S213)*IFERROR(VLOOKUP($C213,Assumptions!$A$4:$G$7,3,FALSE),0)*Assumptions!$B$11</f>
        <v/>
      </c>
      <c r="AB213" s="3">
        <f>N(N213)*IFERROR(VLOOKUP($C213,Assumptions!$A$4:$G$7,4,FALSE),0)</f>
        <v/>
      </c>
      <c r="AC213" s="3">
        <f>IF(N(U213)=0,0,V213*IFERROR(VLOOKUP($C213,Assumptions!$A$4:$G$7,5,FALSE),0)*90/N(U213))</f>
        <v/>
      </c>
      <c r="AD213" s="3">
        <f>N(W213)</f>
        <v/>
      </c>
      <c r="AE213" s="3">
        <f>SUM(Y213:AD213)</f>
        <v/>
      </c>
      <c r="AF213" s="3">
        <f>N(AE213)*N(M213)/90</f>
        <v/>
      </c>
      <c r="AG213" s="3">
        <f>IFERROR(AF213-VLOOKUP($C213,Assumptions!$A$29:$C$32,3,FALSE),"")</f>
        <v/>
      </c>
      <c r="AH213" s="3">
        <f>IFERROR(AG213/F213,"")</f>
        <v/>
      </c>
      <c r="AI213">
        <f>IF(AND($E213=TRUE,$C213="GKP"),AF213,"")</f>
        <v/>
      </c>
      <c r="AJ213">
        <f>IF(AND($E213=TRUE,$C213="DEF"),AF213,"")</f>
        <v/>
      </c>
      <c r="AK213">
        <f>IF(AND($E213=TRUE,$C213="MID"),AF213,"")</f>
        <v/>
      </c>
      <c r="AL213">
        <f>IF(AND($E213=TRUE,$C213="FWD"),AF213,"")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b">
        <v>1</v>
      </c>
      <c r="F214" s="2" t="n">
        <v>4.5</v>
      </c>
      <c r="G214" t="inlineStr">
        <is>
          <t>a</t>
        </is>
      </c>
      <c r="I214" s="2" t="n">
        <v>1673</v>
      </c>
      <c r="J214" t="n">
        <v>64</v>
      </c>
      <c r="K214" s="3" t="n">
        <v>1955</v>
      </c>
      <c r="L214" t="inlineStr">
        <is>
          <t>flat</t>
        </is>
      </c>
      <c r="M214" s="4" t="n">
        <v>1673</v>
      </c>
      <c r="N214" s="4" t="n">
        <v>0.237</v>
      </c>
      <c r="O214" s="3" t="n">
        <v>0.0669</v>
      </c>
      <c r="P214" t="inlineStr">
        <is>
          <t>adjusted xGOT</t>
        </is>
      </c>
      <c r="Q214" s="3" t="n">
        <v>0.9350000000000001</v>
      </c>
      <c r="R214" s="3" t="n">
        <v>2.8</v>
      </c>
      <c r="S214" s="3" t="n">
        <v>0.0107</v>
      </c>
      <c r="T214" s="3" t="n">
        <v>6.525</v>
      </c>
      <c r="U214" s="4" t="n">
        <v>92.90000000000001</v>
      </c>
      <c r="V214" s="3">
        <f>IF(OR(N(T214)=0,N(U214)=0),0,1-POISSON(IFERROR(VLOOKUP($C214,Assumptions!$A$4:$G$7,7,FALSE),99)-1,N(T214)*N(U214)/90,TRUE))</f>
        <v/>
      </c>
      <c r="W214" s="3" t="n">
        <v>0.1076</v>
      </c>
      <c r="X214" s="3" t="n">
        <v>2.098</v>
      </c>
      <c r="Y214" s="3">
        <f>IF(X214="",IFERROR(VLOOKUP($C214,Assumptions!$A$4:$G$7,6,FALSE),0),X214)</f>
        <v/>
      </c>
      <c r="Z214" s="3">
        <f>N(O214)*IFERROR(VLOOKUP($C214,Assumptions!$A$4:$G$7,2,FALSE),0)</f>
        <v/>
      </c>
      <c r="AA214" s="3">
        <f>N(S214)*IFERROR(VLOOKUP($C214,Assumptions!$A$4:$G$7,3,FALSE),0)*Assumptions!$B$11</f>
        <v/>
      </c>
      <c r="AB214" s="3">
        <f>N(N214)*IFERROR(VLOOKUP($C214,Assumptions!$A$4:$G$7,4,FALSE),0)</f>
        <v/>
      </c>
      <c r="AC214" s="3">
        <f>IF(N(U214)=0,0,V214*IFERROR(VLOOKUP($C214,Assumptions!$A$4:$G$7,5,FALSE),0)*90/N(U214))</f>
        <v/>
      </c>
      <c r="AD214" s="3">
        <f>N(W214)</f>
        <v/>
      </c>
      <c r="AE214" s="3">
        <f>SUM(Y214:AD214)</f>
        <v/>
      </c>
      <c r="AF214" s="3">
        <f>N(AE214)*N(M214)/90</f>
        <v/>
      </c>
      <c r="AG214" s="3">
        <f>IFERROR(AF214-VLOOKUP($C214,Assumptions!$A$29:$C$32,3,FALSE),"")</f>
        <v/>
      </c>
      <c r="AH214" s="3">
        <f>IFERROR(AG214/F214,"")</f>
        <v/>
      </c>
      <c r="AI214">
        <f>IF(AND($E214=TRUE,$C214="GKP"),AF214,"")</f>
        <v/>
      </c>
      <c r="AJ214">
        <f>IF(AND($E214=TRUE,$C214="DEF"),AF214,"")</f>
        <v/>
      </c>
      <c r="AK214">
        <f>IF(AND($E214=TRUE,$C214="MID"),AF214,"")</f>
        <v/>
      </c>
      <c r="AL214">
        <f>IF(AND($E214=TRUE,$C214="FWD"),AF214,"")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b">
        <v>1</v>
      </c>
      <c r="F215" s="2" t="n">
        <v>5.5</v>
      </c>
      <c r="G215" t="inlineStr">
        <is>
          <t>a</t>
        </is>
      </c>
      <c r="I215" s="2" t="n">
        <v>1561</v>
      </c>
      <c r="J215" t="n">
        <v>63</v>
      </c>
      <c r="K215" s="3" t="n">
        <v>722</v>
      </c>
      <c r="L215" t="inlineStr">
        <is>
          <t>fade (losing his place)</t>
        </is>
      </c>
      <c r="M215" s="4" t="n">
        <v>1561</v>
      </c>
      <c r="N215" s="4" t="n">
        <v>0.421</v>
      </c>
      <c r="O215" s="3" t="n">
        <v>0.0382</v>
      </c>
      <c r="P215" t="inlineStr">
        <is>
          <t>adjusted xGOT</t>
        </is>
      </c>
      <c r="Q215" s="3" t="n">
        <v>0.975</v>
      </c>
      <c r="R215" s="3" t="n">
        <v>1.1</v>
      </c>
      <c r="S215" s="3" t="n">
        <v>0.0579</v>
      </c>
      <c r="T215" s="3" t="n">
        <v>10.835</v>
      </c>
      <c r="U215" s="4" t="n">
        <v>91.8</v>
      </c>
      <c r="V215" s="3">
        <f>IF(OR(N(T215)=0,N(U215)=0),0,1-POISSON(IFERROR(VLOOKUP($C215,Assumptions!$A$4:$G$7,7,FALSE),99)-1,N(T215)*N(U215)/90,TRUE))</f>
        <v/>
      </c>
      <c r="W215" s="3" t="n">
        <v>0.0577</v>
      </c>
      <c r="X215" s="3" t="n">
        <v>2.422</v>
      </c>
      <c r="Y215" s="3">
        <f>IF(X215="",IFERROR(VLOOKUP($C215,Assumptions!$A$4:$G$7,6,FALSE),0),X215)</f>
        <v/>
      </c>
      <c r="Z215" s="3">
        <f>N(O215)*IFERROR(VLOOKUP($C215,Assumptions!$A$4:$G$7,2,FALSE),0)</f>
        <v/>
      </c>
      <c r="AA215" s="3">
        <f>N(S215)*IFERROR(VLOOKUP($C215,Assumptions!$A$4:$G$7,3,FALSE),0)*Assumptions!$B$11</f>
        <v/>
      </c>
      <c r="AB215" s="3">
        <f>N(N215)*IFERROR(VLOOKUP($C215,Assumptions!$A$4:$G$7,4,FALSE),0)</f>
        <v/>
      </c>
      <c r="AC215" s="3">
        <f>IF(N(U215)=0,0,V215*IFERROR(VLOOKUP($C215,Assumptions!$A$4:$G$7,5,FALSE),0)*90/N(U215))</f>
        <v/>
      </c>
      <c r="AD215" s="3">
        <f>N(W215)</f>
        <v/>
      </c>
      <c r="AE215" s="3">
        <f>SUM(Y215:AD215)</f>
        <v/>
      </c>
      <c r="AF215" s="3">
        <f>N(AE215)*N(M215)/90</f>
        <v/>
      </c>
      <c r="AG215" s="3">
        <f>IFERROR(AF215-VLOOKUP($C215,Assumptions!$A$29:$C$32,3,FALSE),"")</f>
        <v/>
      </c>
      <c r="AH215" s="3">
        <f>IFERROR(AG215/F215,"")</f>
        <v/>
      </c>
      <c r="AI215">
        <f>IF(AND($E215=TRUE,$C215="GKP"),AF215,"")</f>
        <v/>
      </c>
      <c r="AJ215">
        <f>IF(AND($E215=TRUE,$C215="DEF"),AF215,"")</f>
        <v/>
      </c>
      <c r="AK215">
        <f>IF(AND($E215=TRUE,$C215="MID"),AF215,"")</f>
        <v/>
      </c>
      <c r="AL215">
        <f>IF(AND($E215=TRUE,$C215="FWD"),AF215,"")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b">
        <v>1</v>
      </c>
      <c r="F216" s="2" t="n">
        <v>5.5</v>
      </c>
      <c r="G216" t="inlineStr">
        <is>
          <t>a</t>
        </is>
      </c>
      <c r="I216" s="2" t="n">
        <v>1032</v>
      </c>
      <c r="J216" t="n">
        <v>63</v>
      </c>
      <c r="K216" s="3" t="n">
        <v>1699</v>
      </c>
      <c r="L216" t="inlineStr">
        <is>
          <t>flat</t>
        </is>
      </c>
      <c r="M216" s="4" t="n">
        <v>1032</v>
      </c>
      <c r="N216" s="4" t="n">
        <v>0.263</v>
      </c>
      <c r="O216" s="3" t="n">
        <v>0.042</v>
      </c>
      <c r="P216" t="inlineStr">
        <is>
          <t>adjusted xGOT</t>
        </is>
      </c>
      <c r="Q216" s="3" t="n">
        <v>0.965</v>
      </c>
      <c r="R216" s="3" t="n">
        <v>0.5</v>
      </c>
      <c r="S216" s="3" t="n">
        <v>0.1849</v>
      </c>
      <c r="T216" s="3" t="n">
        <v>4.699</v>
      </c>
      <c r="U216" s="4" t="n">
        <v>86</v>
      </c>
      <c r="V216" s="3">
        <f>IF(OR(N(T216)=0,N(U216)=0),0,1-POISSON(IFERROR(VLOOKUP($C216,Assumptions!$A$4:$G$7,7,FALSE),99)-1,N(T216)*N(U216)/90,TRUE))</f>
        <v/>
      </c>
      <c r="W216" s="3" t="n">
        <v>0.0872</v>
      </c>
      <c r="X216" s="3" t="n">
        <v>2.703</v>
      </c>
      <c r="Y216" s="3">
        <f>IF(X216="",IFERROR(VLOOKUP($C216,Assumptions!$A$4:$G$7,6,FALSE),0),X216)</f>
        <v/>
      </c>
      <c r="Z216" s="3">
        <f>N(O216)*IFERROR(VLOOKUP($C216,Assumptions!$A$4:$G$7,2,FALSE),0)</f>
        <v/>
      </c>
      <c r="AA216" s="3">
        <f>N(S216)*IFERROR(VLOOKUP($C216,Assumptions!$A$4:$G$7,3,FALSE),0)*Assumptions!$B$11</f>
        <v/>
      </c>
      <c r="AB216" s="3">
        <f>N(N216)*IFERROR(VLOOKUP($C216,Assumptions!$A$4:$G$7,4,FALSE),0)</f>
        <v/>
      </c>
      <c r="AC216" s="3">
        <f>IF(N(U216)=0,0,V216*IFERROR(VLOOKUP($C216,Assumptions!$A$4:$G$7,5,FALSE),0)*90/N(U216))</f>
        <v/>
      </c>
      <c r="AD216" s="3">
        <f>N(W216)</f>
        <v/>
      </c>
      <c r="AE216" s="3">
        <f>SUM(Y216:AD216)</f>
        <v/>
      </c>
      <c r="AF216" s="3">
        <f>N(AE216)*N(M216)/90</f>
        <v/>
      </c>
      <c r="AG216" s="3">
        <f>IFERROR(AF216-VLOOKUP($C216,Assumptions!$A$29:$C$32,3,FALSE),"")</f>
        <v/>
      </c>
      <c r="AH216" s="3">
        <f>IFERROR(AG216/F216,"")</f>
        <v/>
      </c>
      <c r="AI216">
        <f>IF(AND($E216=TRUE,$C216="GKP"),AF216,"")</f>
        <v/>
      </c>
      <c r="AJ216">
        <f>IF(AND($E216=TRUE,$C216="DEF"),AF216,"")</f>
        <v/>
      </c>
      <c r="AK216">
        <f>IF(AND($E216=TRUE,$C216="MID"),AF216,"")</f>
        <v/>
      </c>
      <c r="AL216">
        <f>IF(AND($E216=TRUE,$C216="FWD"),AF216,"")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b">
        <v>1</v>
      </c>
      <c r="F217" s="2" t="n">
        <v>5</v>
      </c>
      <c r="G217" t="inlineStr">
        <is>
          <t>a</t>
        </is>
      </c>
      <c r="I217" s="2" t="n">
        <v>1489</v>
      </c>
      <c r="J217" t="n">
        <v>63</v>
      </c>
      <c r="K217" s="3" t="n">
        <v>304</v>
      </c>
      <c r="L217" t="inlineStr">
        <is>
          <t>flat</t>
        </is>
      </c>
      <c r="M217" s="4" t="n">
        <v>1489</v>
      </c>
      <c r="N217" s="4" t="n">
        <v>0.237</v>
      </c>
      <c r="O217" s="3" t="n">
        <v>0.0337</v>
      </c>
      <c r="P217" t="inlineStr">
        <is>
          <t>adjusted xGOT</t>
        </is>
      </c>
      <c r="Q217" s="3" t="n">
        <v>0.898</v>
      </c>
      <c r="R217" s="3" t="n">
        <v>1</v>
      </c>
      <c r="S217" s="3" t="n">
        <v>0.0133</v>
      </c>
      <c r="T217" s="3" t="n">
        <v>10.327</v>
      </c>
      <c r="U217" s="4" t="n">
        <v>87.59999999999999</v>
      </c>
      <c r="V217" s="3">
        <f>IF(OR(N(T217)=0,N(U217)=0),0,1-POISSON(IFERROR(VLOOKUP($C217,Assumptions!$A$4:$G$7,7,FALSE),99)-1,N(T217)*N(U217)/90,TRUE))</f>
        <v/>
      </c>
      <c r="W217" s="3" t="n">
        <v>0.0604</v>
      </c>
      <c r="X217" s="3" t="n">
        <v>2.357</v>
      </c>
      <c r="Y217" s="3">
        <f>IF(X217="",IFERROR(VLOOKUP($C217,Assumptions!$A$4:$G$7,6,FALSE),0),X217)</f>
        <v/>
      </c>
      <c r="Z217" s="3">
        <f>N(O217)*IFERROR(VLOOKUP($C217,Assumptions!$A$4:$G$7,2,FALSE),0)</f>
        <v/>
      </c>
      <c r="AA217" s="3">
        <f>N(S217)*IFERROR(VLOOKUP($C217,Assumptions!$A$4:$G$7,3,FALSE),0)*Assumptions!$B$11</f>
        <v/>
      </c>
      <c r="AB217" s="3">
        <f>N(N217)*IFERROR(VLOOKUP($C217,Assumptions!$A$4:$G$7,4,FALSE),0)</f>
        <v/>
      </c>
      <c r="AC217" s="3">
        <f>IF(N(U217)=0,0,V217*IFERROR(VLOOKUP($C217,Assumptions!$A$4:$G$7,5,FALSE),0)*90/N(U217))</f>
        <v/>
      </c>
      <c r="AD217" s="3">
        <f>N(W217)</f>
        <v/>
      </c>
      <c r="AE217" s="3">
        <f>SUM(Y217:AD217)</f>
        <v/>
      </c>
      <c r="AF217" s="3">
        <f>N(AE217)*N(M217)/90</f>
        <v/>
      </c>
      <c r="AG217" s="3">
        <f>IFERROR(AF217-VLOOKUP($C217,Assumptions!$A$29:$C$32,3,FALSE),"")</f>
        <v/>
      </c>
      <c r="AH217" s="3">
        <f>IFERROR(AG217/F217,"")</f>
        <v/>
      </c>
      <c r="AI217">
        <f>IF(AND($E217=TRUE,$C217="GKP"),AF217,"")</f>
        <v/>
      </c>
      <c r="AJ217">
        <f>IF(AND($E217=TRUE,$C217="DEF"),AF217,"")</f>
        <v/>
      </c>
      <c r="AK217">
        <f>IF(AND($E217=TRUE,$C217="MID"),AF217,"")</f>
        <v/>
      </c>
      <c r="AL217">
        <f>IF(AND($E217=TRUE,$C217="FWD"),AF217,"")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b">
        <v>1</v>
      </c>
      <c r="F218" s="2" t="n">
        <v>5.5</v>
      </c>
      <c r="G218" t="inlineStr">
        <is>
          <t>a</t>
        </is>
      </c>
      <c r="I218" s="2" t="n">
        <v>1290</v>
      </c>
      <c r="J218" t="n">
        <v>63</v>
      </c>
      <c r="K218" s="3" t="n">
        <v>1693</v>
      </c>
      <c r="L218" t="inlineStr">
        <is>
          <t>flat</t>
        </is>
      </c>
      <c r="M218" s="4" t="n">
        <v>1290</v>
      </c>
      <c r="N218" s="4" t="n">
        <v>0.237</v>
      </c>
      <c r="O218" s="3" t="n">
        <v>0.1716</v>
      </c>
      <c r="P218" t="inlineStr">
        <is>
          <t>adjusted xGOT</t>
        </is>
      </c>
      <c r="Q218" s="3" t="n">
        <v>0.995</v>
      </c>
      <c r="R218" s="3" t="n">
        <v>2.8</v>
      </c>
      <c r="S218" s="3" t="n">
        <v>0.0593</v>
      </c>
      <c r="T218" s="3" t="n">
        <v>7.863</v>
      </c>
      <c r="U218" s="4" t="n">
        <v>86</v>
      </c>
      <c r="V218" s="3">
        <f>IF(OR(N(T218)=0,N(U218)=0),0,1-POISSON(IFERROR(VLOOKUP($C218,Assumptions!$A$4:$G$7,7,FALSE),99)-1,N(T218)*N(U218)/90,TRUE))</f>
        <v/>
      </c>
      <c r="W218" s="3" t="n">
        <v>0.2093</v>
      </c>
      <c r="X218" s="3" t="n">
        <v>3.14</v>
      </c>
      <c r="Y218" s="3">
        <f>IF(X218="",IFERROR(VLOOKUP($C218,Assumptions!$A$4:$G$7,6,FALSE),0),X218)</f>
        <v/>
      </c>
      <c r="Z218" s="3">
        <f>N(O218)*IFERROR(VLOOKUP($C218,Assumptions!$A$4:$G$7,2,FALSE),0)</f>
        <v/>
      </c>
      <c r="AA218" s="3">
        <f>N(S218)*IFERROR(VLOOKUP($C218,Assumptions!$A$4:$G$7,3,FALSE),0)*Assumptions!$B$11</f>
        <v/>
      </c>
      <c r="AB218" s="3">
        <f>N(N218)*IFERROR(VLOOKUP($C218,Assumptions!$A$4:$G$7,4,FALSE),0)</f>
        <v/>
      </c>
      <c r="AC218" s="3">
        <f>IF(N(U218)=0,0,V218*IFERROR(VLOOKUP($C218,Assumptions!$A$4:$G$7,5,FALSE),0)*90/N(U218))</f>
        <v/>
      </c>
      <c r="AD218" s="3">
        <f>N(W218)</f>
        <v/>
      </c>
      <c r="AE218" s="3">
        <f>SUM(Y218:AD218)</f>
        <v/>
      </c>
      <c r="AF218" s="3">
        <f>N(AE218)*N(M218)/90</f>
        <v/>
      </c>
      <c r="AG218" s="3">
        <f>IFERROR(AF218-VLOOKUP($C218,Assumptions!$A$29:$C$32,3,FALSE),"")</f>
        <v/>
      </c>
      <c r="AH218" s="3">
        <f>IFERROR(AG218/F218,"")</f>
        <v/>
      </c>
      <c r="AI218">
        <f>IF(AND($E218=TRUE,$C218="GKP"),AF218,"")</f>
        <v/>
      </c>
      <c r="AJ218">
        <f>IF(AND($E218=TRUE,$C218="DEF"),AF218,"")</f>
        <v/>
      </c>
      <c r="AK218">
        <f>IF(AND($E218=TRUE,$C218="MID"),AF218,"")</f>
        <v/>
      </c>
      <c r="AL218">
        <f>IF(AND($E218=TRUE,$C218="FWD"),AF218,"")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b">
        <v>1</v>
      </c>
      <c r="F219" s="2" t="n">
        <v>6</v>
      </c>
      <c r="G219" t="inlineStr">
        <is>
          <t>i</t>
        </is>
      </c>
      <c r="H219" t="inlineStr">
        <is>
          <t>Hamstring injury - Unknown return date</t>
        </is>
      </c>
      <c r="I219" s="2" t="n">
        <v>1714</v>
      </c>
      <c r="J219" t="n">
        <v>62</v>
      </c>
      <c r="K219" s="3" t="n">
        <v>1353</v>
      </c>
      <c r="L219" t="inlineStr">
        <is>
          <t>fade (losing his place)</t>
        </is>
      </c>
      <c r="M219" s="4" t="n">
        <v>1714</v>
      </c>
      <c r="N219" s="4" t="n">
        <v>0.263</v>
      </c>
      <c r="O219" s="3" t="n">
        <v>0.2198</v>
      </c>
      <c r="P219" t="inlineStr">
        <is>
          <t>adjusted xGOT</t>
        </is>
      </c>
      <c r="Q219" s="3" t="n">
        <v>1.036</v>
      </c>
      <c r="R219" s="3" t="n">
        <v>25</v>
      </c>
      <c r="S219" s="3" t="n">
        <v>0.165</v>
      </c>
      <c r="T219" s="3" t="n">
        <v>6.494</v>
      </c>
      <c r="U219" s="4" t="n">
        <v>90.2</v>
      </c>
      <c r="V219" s="3">
        <f>IF(OR(N(T219)=0,N(U219)=0),0,1-POISSON(IFERROR(VLOOKUP($C219,Assumptions!$A$4:$G$7,7,FALSE),99)-1,N(T219)*N(U219)/90,TRUE))</f>
        <v/>
      </c>
      <c r="W219" s="3" t="n">
        <v>0.105</v>
      </c>
      <c r="X219" s="3" t="n">
        <v>2.205</v>
      </c>
      <c r="Y219" s="3">
        <f>IF(X219="",IFERROR(VLOOKUP($C219,Assumptions!$A$4:$G$7,6,FALSE),0),X219)</f>
        <v/>
      </c>
      <c r="Z219" s="3">
        <f>N(O219)*IFERROR(VLOOKUP($C219,Assumptions!$A$4:$G$7,2,FALSE),0)</f>
        <v/>
      </c>
      <c r="AA219" s="3">
        <f>N(S219)*IFERROR(VLOOKUP($C219,Assumptions!$A$4:$G$7,3,FALSE),0)*Assumptions!$B$11</f>
        <v/>
      </c>
      <c r="AB219" s="3">
        <f>N(N219)*IFERROR(VLOOKUP($C219,Assumptions!$A$4:$G$7,4,FALSE),0)</f>
        <v/>
      </c>
      <c r="AC219" s="3">
        <f>IF(N(U219)=0,0,V219*IFERROR(VLOOKUP($C219,Assumptions!$A$4:$G$7,5,FALSE),0)*90/N(U219))</f>
        <v/>
      </c>
      <c r="AD219" s="3">
        <f>N(W219)</f>
        <v/>
      </c>
      <c r="AE219" s="3">
        <f>SUM(Y219:AD219)</f>
        <v/>
      </c>
      <c r="AF219" s="3">
        <f>N(AE219)*N(M219)/90</f>
        <v/>
      </c>
      <c r="AG219" s="3">
        <f>IFERROR(AF219-VLOOKUP($C219,Assumptions!$A$29:$C$32,3,FALSE),"")</f>
        <v/>
      </c>
      <c r="AH219" s="3">
        <f>IFERROR(AG219/F219,"")</f>
        <v/>
      </c>
      <c r="AI219">
        <f>IF(AND($E219=TRUE,$C219="GKP"),AF219,"")</f>
        <v/>
      </c>
      <c r="AJ219">
        <f>IF(AND($E219=TRUE,$C219="DEF"),AF219,"")</f>
        <v/>
      </c>
      <c r="AK219">
        <f>IF(AND($E219=TRUE,$C219="MID"),AF219,"")</f>
        <v/>
      </c>
      <c r="AL219">
        <f>IF(AND($E219=TRUE,$C219="FWD"),AF219,"")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b">
        <v>1</v>
      </c>
      <c r="F220" s="2" t="n">
        <v>5</v>
      </c>
      <c r="G220" t="inlineStr">
        <is>
          <t>a</t>
        </is>
      </c>
      <c r="I220" s="2" t="n">
        <v>1441</v>
      </c>
      <c r="J220" t="n">
        <v>62</v>
      </c>
      <c r="K220" s="3" t="n">
        <v>889</v>
      </c>
      <c r="L220" t="inlineStr">
        <is>
          <t>flat</t>
        </is>
      </c>
      <c r="M220" s="4" t="n">
        <v>1441</v>
      </c>
      <c r="N220" s="4" t="n">
        <v>0.21</v>
      </c>
      <c r="O220" s="3" t="n">
        <v>0.06510000000000001</v>
      </c>
      <c r="P220" t="inlineStr">
        <is>
          <t>adjusted xGOT</t>
        </is>
      </c>
      <c r="Q220" s="3" t="n">
        <v>0.869</v>
      </c>
      <c r="R220" s="3" t="n">
        <v>10</v>
      </c>
      <c r="S220" s="3" t="n">
        <v>0.09420000000000001</v>
      </c>
      <c r="T220" s="3" t="n">
        <v>9.063000000000001</v>
      </c>
      <c r="U220" s="4" t="n">
        <v>96.09999999999999</v>
      </c>
      <c r="V220" s="3">
        <f>IF(OR(N(T220)=0,N(U220)=0),0,1-POISSON(IFERROR(VLOOKUP($C220,Assumptions!$A$4:$G$7,7,FALSE),99)-1,N(T220)*N(U220)/90,TRUE))</f>
        <v/>
      </c>
      <c r="W220" s="3" t="n">
        <v>0.1874</v>
      </c>
      <c r="X220" s="3" t="n">
        <v>2.561</v>
      </c>
      <c r="Y220" s="3">
        <f>IF(X220="",IFERROR(VLOOKUP($C220,Assumptions!$A$4:$G$7,6,FALSE),0),X220)</f>
        <v/>
      </c>
      <c r="Z220" s="3">
        <f>N(O220)*IFERROR(VLOOKUP($C220,Assumptions!$A$4:$G$7,2,FALSE),0)</f>
        <v/>
      </c>
      <c r="AA220" s="3">
        <f>N(S220)*IFERROR(VLOOKUP($C220,Assumptions!$A$4:$G$7,3,FALSE),0)*Assumptions!$B$11</f>
        <v/>
      </c>
      <c r="AB220" s="3">
        <f>N(N220)*IFERROR(VLOOKUP($C220,Assumptions!$A$4:$G$7,4,FALSE),0)</f>
        <v/>
      </c>
      <c r="AC220" s="3">
        <f>IF(N(U220)=0,0,V220*IFERROR(VLOOKUP($C220,Assumptions!$A$4:$G$7,5,FALSE),0)*90/N(U220))</f>
        <v/>
      </c>
      <c r="AD220" s="3">
        <f>N(W220)</f>
        <v/>
      </c>
      <c r="AE220" s="3">
        <f>SUM(Y220:AD220)</f>
        <v/>
      </c>
      <c r="AF220" s="3">
        <f>N(AE220)*N(M220)/90</f>
        <v/>
      </c>
      <c r="AG220" s="3">
        <f>IFERROR(AF220-VLOOKUP($C220,Assumptions!$A$29:$C$32,3,FALSE),"")</f>
        <v/>
      </c>
      <c r="AH220" s="3">
        <f>IFERROR(AG220/F220,"")</f>
        <v/>
      </c>
      <c r="AI220">
        <f>IF(AND($E220=TRUE,$C220="GKP"),AF220,"")</f>
        <v/>
      </c>
      <c r="AJ220">
        <f>IF(AND($E220=TRUE,$C220="DEF"),AF220,"")</f>
        <v/>
      </c>
      <c r="AK220">
        <f>IF(AND($E220=TRUE,$C220="MID"),AF220,"")</f>
        <v/>
      </c>
      <c r="AL220">
        <f>IF(AND($E220=TRUE,$C220="FWD"),AF220,"")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b">
        <v>1</v>
      </c>
      <c r="F221" s="2" t="n">
        <v>5</v>
      </c>
      <c r="G221" t="inlineStr">
        <is>
          <t>a</t>
        </is>
      </c>
      <c r="I221" s="2" t="n">
        <v>1410</v>
      </c>
      <c r="J221" t="n">
        <v>61</v>
      </c>
      <c r="K221" s="3" t="n">
        <v>1761</v>
      </c>
      <c r="L221" t="inlineStr">
        <is>
          <t>fade (losing his place)</t>
        </is>
      </c>
      <c r="M221" s="4" t="n">
        <v>1410</v>
      </c>
      <c r="N221" s="4" t="n">
        <v>0.237</v>
      </c>
      <c r="O221" s="3" t="n">
        <v>0.0327</v>
      </c>
      <c r="P221" t="inlineStr">
        <is>
          <t>adjusted xGOT</t>
        </is>
      </c>
      <c r="Q221" s="3" t="n">
        <v>0.966</v>
      </c>
      <c r="R221" s="3" t="n">
        <v>1.6</v>
      </c>
      <c r="S221" s="3" t="n">
        <v>0.0501</v>
      </c>
      <c r="T221" s="3" t="n">
        <v>9.195</v>
      </c>
      <c r="U221" s="4" t="n">
        <v>82.90000000000001</v>
      </c>
      <c r="V221" s="3">
        <f>IF(OR(N(T221)=0,N(U221)=0),0,1-POISSON(IFERROR(VLOOKUP($C221,Assumptions!$A$4:$G$7,7,FALSE),99)-1,N(T221)*N(U221)/90,TRUE))</f>
        <v/>
      </c>
      <c r="W221" s="3" t="n">
        <v>0.4468</v>
      </c>
      <c r="X221" s="3" t="n">
        <v>2.17</v>
      </c>
      <c r="Y221" s="3">
        <f>IF(X221="",IFERROR(VLOOKUP($C221,Assumptions!$A$4:$G$7,6,FALSE),0),X221)</f>
        <v/>
      </c>
      <c r="Z221" s="3">
        <f>N(O221)*IFERROR(VLOOKUP($C221,Assumptions!$A$4:$G$7,2,FALSE),0)</f>
        <v/>
      </c>
      <c r="AA221" s="3">
        <f>N(S221)*IFERROR(VLOOKUP($C221,Assumptions!$A$4:$G$7,3,FALSE),0)*Assumptions!$B$11</f>
        <v/>
      </c>
      <c r="AB221" s="3">
        <f>N(N221)*IFERROR(VLOOKUP($C221,Assumptions!$A$4:$G$7,4,FALSE),0)</f>
        <v/>
      </c>
      <c r="AC221" s="3">
        <f>IF(N(U221)=0,0,V221*IFERROR(VLOOKUP($C221,Assumptions!$A$4:$G$7,5,FALSE),0)*90/N(U221))</f>
        <v/>
      </c>
      <c r="AD221" s="3">
        <f>N(W221)</f>
        <v/>
      </c>
      <c r="AE221" s="3">
        <f>SUM(Y221:AD221)</f>
        <v/>
      </c>
      <c r="AF221" s="3">
        <f>N(AE221)*N(M221)/90</f>
        <v/>
      </c>
      <c r="AG221" s="3">
        <f>IFERROR(AF221-VLOOKUP($C221,Assumptions!$A$29:$C$32,3,FALSE),"")</f>
        <v/>
      </c>
      <c r="AH221" s="3">
        <f>IFERROR(AG221/F221,"")</f>
        <v/>
      </c>
      <c r="AI221">
        <f>IF(AND($E221=TRUE,$C221="GKP"),AF221,"")</f>
        <v/>
      </c>
      <c r="AJ221">
        <f>IF(AND($E221=TRUE,$C221="DEF"),AF221,"")</f>
        <v/>
      </c>
      <c r="AK221">
        <f>IF(AND($E221=TRUE,$C221="MID"),AF221,"")</f>
        <v/>
      </c>
      <c r="AL221">
        <f>IF(AND($E221=TRUE,$C221="FWD"),AF221,"")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b">
        <v>1</v>
      </c>
      <c r="F222" s="2" t="n">
        <v>4.5</v>
      </c>
      <c r="G222" t="inlineStr">
        <is>
          <t>a</t>
        </is>
      </c>
      <c r="I222" s="2" t="n">
        <v>1838</v>
      </c>
      <c r="J222" t="n">
        <v>61</v>
      </c>
      <c r="K222" s="3" t="n">
        <v>2035</v>
      </c>
      <c r="L222" t="inlineStr">
        <is>
          <t>flat</t>
        </is>
      </c>
      <c r="M222" s="4" t="n">
        <v>1838</v>
      </c>
      <c r="N222" s="4" t="n">
        <v>0.237</v>
      </c>
      <c r="O222" s="3" t="n">
        <v>0.0595</v>
      </c>
      <c r="P222" t="inlineStr">
        <is>
          <t>adjusted xGOT</t>
        </is>
      </c>
      <c r="Q222" s="3" t="n">
        <v>0.8100000000000001</v>
      </c>
      <c r="R222" s="3" t="n">
        <v>5.3</v>
      </c>
      <c r="S222" s="3" t="n">
        <v>0.07870000000000001</v>
      </c>
      <c r="T222" s="3" t="n">
        <v>7.3</v>
      </c>
      <c r="U222" s="4" t="n">
        <v>91.90000000000001</v>
      </c>
      <c r="V222" s="3">
        <f>IF(OR(N(T222)=0,N(U222)=0),0,1-POISSON(IFERROR(VLOOKUP($C222,Assumptions!$A$4:$G$7,7,FALSE),99)-1,N(T222)*N(U222)/90,TRUE))</f>
        <v/>
      </c>
      <c r="W222" s="3" t="n">
        <v>0.1959</v>
      </c>
      <c r="X222" s="3" t="n">
        <v>2.399</v>
      </c>
      <c r="Y222" s="3">
        <f>IF(X222="",IFERROR(VLOOKUP($C222,Assumptions!$A$4:$G$7,6,FALSE),0),X222)</f>
        <v/>
      </c>
      <c r="Z222" s="3">
        <f>N(O222)*IFERROR(VLOOKUP($C222,Assumptions!$A$4:$G$7,2,FALSE),0)</f>
        <v/>
      </c>
      <c r="AA222" s="3">
        <f>N(S222)*IFERROR(VLOOKUP($C222,Assumptions!$A$4:$G$7,3,FALSE),0)*Assumptions!$B$11</f>
        <v/>
      </c>
      <c r="AB222" s="3">
        <f>N(N222)*IFERROR(VLOOKUP($C222,Assumptions!$A$4:$G$7,4,FALSE),0)</f>
        <v/>
      </c>
      <c r="AC222" s="3">
        <f>IF(N(U222)=0,0,V222*IFERROR(VLOOKUP($C222,Assumptions!$A$4:$G$7,5,FALSE),0)*90/N(U222))</f>
        <v/>
      </c>
      <c r="AD222" s="3">
        <f>N(W222)</f>
        <v/>
      </c>
      <c r="AE222" s="3">
        <f>SUM(Y222:AD222)</f>
        <v/>
      </c>
      <c r="AF222" s="3">
        <f>N(AE222)*N(M222)/90</f>
        <v/>
      </c>
      <c r="AG222" s="3">
        <f>IFERROR(AF222-VLOOKUP($C222,Assumptions!$A$29:$C$32,3,FALSE),"")</f>
        <v/>
      </c>
      <c r="AH222" s="3">
        <f>IFERROR(AG222/F222,"")</f>
        <v/>
      </c>
      <c r="AI222">
        <f>IF(AND($E222=TRUE,$C222="GKP"),AF222,"")</f>
        <v/>
      </c>
      <c r="AJ222">
        <f>IF(AND($E222=TRUE,$C222="DEF"),AF222,"")</f>
        <v/>
      </c>
      <c r="AK222">
        <f>IF(AND($E222=TRUE,$C222="MID"),AF222,"")</f>
        <v/>
      </c>
      <c r="AL222">
        <f>IF(AND($E222=TRUE,$C222="FWD"),AF222,"")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b">
        <v>1</v>
      </c>
      <c r="F223" s="2" t="n">
        <v>5</v>
      </c>
      <c r="G223" t="inlineStr">
        <is>
          <t>a</t>
        </is>
      </c>
      <c r="I223" s="2" t="n">
        <v>1471</v>
      </c>
      <c r="J223" t="n">
        <v>61</v>
      </c>
      <c r="K223" s="3" t="n">
        <v>285</v>
      </c>
      <c r="L223" t="inlineStr">
        <is>
          <t>flat</t>
        </is>
      </c>
      <c r="M223" s="4" t="n">
        <v>1471</v>
      </c>
      <c r="N223" s="4" t="n">
        <v>0.237</v>
      </c>
      <c r="O223" s="3" t="n">
        <v>0.0982</v>
      </c>
      <c r="P223" t="inlineStr">
        <is>
          <t>adjusted xGOT</t>
        </is>
      </c>
      <c r="Q223" s="3" t="n">
        <v>1.07</v>
      </c>
      <c r="R223" s="3" t="n">
        <v>1.5</v>
      </c>
      <c r="S223" s="3" t="n">
        <v>0.0902</v>
      </c>
      <c r="T223" s="3" t="n">
        <v>8.241</v>
      </c>
      <c r="U223" s="4" t="n">
        <v>81.7</v>
      </c>
      <c r="V223" s="3">
        <f>IF(OR(N(T223)=0,N(U223)=0),0,1-POISSON(IFERROR(VLOOKUP($C223,Assumptions!$A$4:$G$7,7,FALSE),99)-1,N(T223)*N(U223)/90,TRUE))</f>
        <v/>
      </c>
      <c r="W223" s="3" t="n">
        <v>0.3671</v>
      </c>
      <c r="X223" s="3" t="n">
        <v>2.386</v>
      </c>
      <c r="Y223" s="3">
        <f>IF(X223="",IFERROR(VLOOKUP($C223,Assumptions!$A$4:$G$7,6,FALSE),0),X223)</f>
        <v/>
      </c>
      <c r="Z223" s="3">
        <f>N(O223)*IFERROR(VLOOKUP($C223,Assumptions!$A$4:$G$7,2,FALSE),0)</f>
        <v/>
      </c>
      <c r="AA223" s="3">
        <f>N(S223)*IFERROR(VLOOKUP($C223,Assumptions!$A$4:$G$7,3,FALSE),0)*Assumptions!$B$11</f>
        <v/>
      </c>
      <c r="AB223" s="3">
        <f>N(N223)*IFERROR(VLOOKUP($C223,Assumptions!$A$4:$G$7,4,FALSE),0)</f>
        <v/>
      </c>
      <c r="AC223" s="3">
        <f>IF(N(U223)=0,0,V223*IFERROR(VLOOKUP($C223,Assumptions!$A$4:$G$7,5,FALSE),0)*90/N(U223))</f>
        <v/>
      </c>
      <c r="AD223" s="3">
        <f>N(W223)</f>
        <v/>
      </c>
      <c r="AE223" s="3">
        <f>SUM(Y223:AD223)</f>
        <v/>
      </c>
      <c r="AF223" s="3">
        <f>N(AE223)*N(M223)/90</f>
        <v/>
      </c>
      <c r="AG223" s="3">
        <f>IFERROR(AF223-VLOOKUP($C223,Assumptions!$A$29:$C$32,3,FALSE),"")</f>
        <v/>
      </c>
      <c r="AH223" s="3">
        <f>IFERROR(AG223/F223,"")</f>
        <v/>
      </c>
      <c r="AI223">
        <f>IF(AND($E223=TRUE,$C223="GKP"),AF223,"")</f>
        <v/>
      </c>
      <c r="AJ223">
        <f>IF(AND($E223=TRUE,$C223="DEF"),AF223,"")</f>
        <v/>
      </c>
      <c r="AK223">
        <f>IF(AND($E223=TRUE,$C223="MID"),AF223,"")</f>
        <v/>
      </c>
      <c r="AL223">
        <f>IF(AND($E223=TRUE,$C223="FWD"),AF223,"")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b">
        <v>1</v>
      </c>
      <c r="F224" s="2" t="n">
        <v>5.5</v>
      </c>
      <c r="G224" t="inlineStr">
        <is>
          <t>a</t>
        </is>
      </c>
      <c r="I224" s="2" t="n">
        <v>971</v>
      </c>
      <c r="J224" t="n">
        <v>60</v>
      </c>
      <c r="K224" s="3" t="n">
        <v>975</v>
      </c>
      <c r="L224" t="inlineStr">
        <is>
          <t>flat</t>
        </is>
      </c>
      <c r="M224" s="4" t="n">
        <v>971</v>
      </c>
      <c r="N224" s="4" t="n">
        <v>0.421</v>
      </c>
      <c r="O224" s="3" t="n">
        <v>0.0466</v>
      </c>
      <c r="P224" t="inlineStr">
        <is>
          <t>adjusted xGOT</t>
        </is>
      </c>
      <c r="Q224" s="3" t="n">
        <v>0.949</v>
      </c>
      <c r="R224" s="3" t="n">
        <v>7.6</v>
      </c>
      <c r="S224" s="3" t="n">
        <v>0.1735</v>
      </c>
      <c r="T224" s="3" t="n">
        <v>6.838</v>
      </c>
      <c r="U224" s="4" t="n">
        <v>80.90000000000001</v>
      </c>
      <c r="V224" s="3">
        <f>IF(OR(N(T224)=0,N(U224)=0),0,1-POISSON(IFERROR(VLOOKUP($C224,Assumptions!$A$4:$G$7,7,FALSE),99)-1,N(T224)*N(U224)/90,TRUE))</f>
        <v/>
      </c>
      <c r="W224" s="3" t="n">
        <v>0.9268999999999999</v>
      </c>
      <c r="X224" s="3" t="n">
        <v>2.503</v>
      </c>
      <c r="Y224" s="3">
        <f>IF(X224="",IFERROR(VLOOKUP($C224,Assumptions!$A$4:$G$7,6,FALSE),0),X224)</f>
        <v/>
      </c>
      <c r="Z224" s="3">
        <f>N(O224)*IFERROR(VLOOKUP($C224,Assumptions!$A$4:$G$7,2,FALSE),0)</f>
        <v/>
      </c>
      <c r="AA224" s="3">
        <f>N(S224)*IFERROR(VLOOKUP($C224,Assumptions!$A$4:$G$7,3,FALSE),0)*Assumptions!$B$11</f>
        <v/>
      </c>
      <c r="AB224" s="3">
        <f>N(N224)*IFERROR(VLOOKUP($C224,Assumptions!$A$4:$G$7,4,FALSE),0)</f>
        <v/>
      </c>
      <c r="AC224" s="3">
        <f>IF(N(U224)=0,0,V224*IFERROR(VLOOKUP($C224,Assumptions!$A$4:$G$7,5,FALSE),0)*90/N(U224))</f>
        <v/>
      </c>
      <c r="AD224" s="3">
        <f>N(W224)</f>
        <v/>
      </c>
      <c r="AE224" s="3">
        <f>SUM(Y224:AD224)</f>
        <v/>
      </c>
      <c r="AF224" s="3">
        <f>N(AE224)*N(M224)/90</f>
        <v/>
      </c>
      <c r="AG224" s="3">
        <f>IFERROR(AF224-VLOOKUP($C224,Assumptions!$A$29:$C$32,3,FALSE),"")</f>
        <v/>
      </c>
      <c r="AH224" s="3">
        <f>IFERROR(AG224/F224,"")</f>
        <v/>
      </c>
      <c r="AI224">
        <f>IF(AND($E224=TRUE,$C224="GKP"),AF224,"")</f>
        <v/>
      </c>
      <c r="AJ224">
        <f>IF(AND($E224=TRUE,$C224="DEF"),AF224,"")</f>
        <v/>
      </c>
      <c r="AK224">
        <f>IF(AND($E224=TRUE,$C224="MID"),AF224,"")</f>
        <v/>
      </c>
      <c r="AL224">
        <f>IF(AND($E224=TRUE,$C224="FWD"),AF224,"")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b">
        <v>1</v>
      </c>
      <c r="F225" s="2" t="n">
        <v>5.5</v>
      </c>
      <c r="G225" t="inlineStr">
        <is>
          <t>a</t>
        </is>
      </c>
      <c r="I225" s="2" t="n">
        <v>1259</v>
      </c>
      <c r="J225" t="n">
        <v>59</v>
      </c>
      <c r="K225" s="3" t="n">
        <v>2212</v>
      </c>
      <c r="L225" t="inlineStr">
        <is>
          <t>flat</t>
        </is>
      </c>
      <c r="M225" s="4" t="n">
        <v>1259</v>
      </c>
      <c r="N225" s="4" t="n"/>
      <c r="O225" s="3" t="n">
        <v>0.0891</v>
      </c>
      <c r="P225" t="inlineStr">
        <is>
          <t>adjusted xGOT</t>
        </is>
      </c>
      <c r="Q225" s="3" t="n">
        <v>0.982</v>
      </c>
      <c r="R225" s="3" t="n">
        <v>1.3</v>
      </c>
      <c r="S225" s="3" t="n">
        <v>0.07539999999999999</v>
      </c>
      <c r="T225" s="3" t="n">
        <v>6.258</v>
      </c>
      <c r="U225" s="4" t="n">
        <v>89.90000000000001</v>
      </c>
      <c r="V225" s="3">
        <f>IF(OR(N(T225)=0,N(U225)=0),0,1-POISSON(IFERROR(VLOOKUP($C225,Assumptions!$A$4:$G$7,7,FALSE),99)-1,N(T225)*N(U225)/90,TRUE))</f>
        <v/>
      </c>
      <c r="W225" s="3" t="n">
        <v>0</v>
      </c>
      <c r="X225" s="3" t="n">
        <v>2.931</v>
      </c>
      <c r="Y225" s="3">
        <f>IF(X225="",IFERROR(VLOOKUP($C225,Assumptions!$A$4:$G$7,6,FALSE),0),X225)</f>
        <v/>
      </c>
      <c r="Z225" s="3">
        <f>N(O225)*IFERROR(VLOOKUP($C225,Assumptions!$A$4:$G$7,2,FALSE),0)</f>
        <v/>
      </c>
      <c r="AA225" s="3">
        <f>N(S225)*IFERROR(VLOOKUP($C225,Assumptions!$A$4:$G$7,3,FALSE),0)*Assumptions!$B$11</f>
        <v/>
      </c>
      <c r="AB225" s="3">
        <f>N(N225)*IFERROR(VLOOKUP($C225,Assumptions!$A$4:$G$7,4,FALSE),0)</f>
        <v/>
      </c>
      <c r="AC225" s="3">
        <f>IF(N(U225)=0,0,V225*IFERROR(VLOOKUP($C225,Assumptions!$A$4:$G$7,5,FALSE),0)*90/N(U225))</f>
        <v/>
      </c>
      <c r="AD225" s="3">
        <f>N(W225)</f>
        <v/>
      </c>
      <c r="AE225" s="3">
        <f>SUM(Y225:AD225)</f>
        <v/>
      </c>
      <c r="AF225" s="3">
        <f>N(AE225)*N(M225)/90</f>
        <v/>
      </c>
      <c r="AG225" s="3">
        <f>IFERROR(AF225-VLOOKUP($C225,Assumptions!$A$29:$C$32,3,FALSE),"")</f>
        <v/>
      </c>
      <c r="AH225" s="3">
        <f>IFERROR(AG225/F225,"")</f>
        <v/>
      </c>
      <c r="AI225">
        <f>IF(AND($E225=TRUE,$C225="GKP"),AF225,"")</f>
        <v/>
      </c>
      <c r="AJ225">
        <f>IF(AND($E225=TRUE,$C225="DEF"),AF225,"")</f>
        <v/>
      </c>
      <c r="AK225">
        <f>IF(AND($E225=TRUE,$C225="MID"),AF225,"")</f>
        <v/>
      </c>
      <c r="AL225">
        <f>IF(AND($E225=TRUE,$C225="FWD"),AF225,"")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b">
        <v>1</v>
      </c>
      <c r="F226" s="2" t="n">
        <v>5</v>
      </c>
      <c r="G226" t="inlineStr">
        <is>
          <t>d</t>
        </is>
      </c>
      <c r="H226" t="inlineStr">
        <is>
          <t>Calf injury - 75% chance of playing</t>
        </is>
      </c>
      <c r="I226" s="2" t="n">
        <v>1326</v>
      </c>
      <c r="J226" t="n">
        <v>59</v>
      </c>
      <c r="K226" s="3" t="n">
        <v>3215</v>
      </c>
      <c r="L226" t="inlineStr">
        <is>
          <t>flat</t>
        </is>
      </c>
      <c r="M226" s="4" t="n">
        <v>1326</v>
      </c>
      <c r="N226" s="4" t="n">
        <v>0.21</v>
      </c>
      <c r="O226" s="3" t="n">
        <v>0.009299999999999999</v>
      </c>
      <c r="P226" t="inlineStr">
        <is>
          <t>adjusted xGOT</t>
        </is>
      </c>
      <c r="Q226" s="3" t="n">
        <v>1.052</v>
      </c>
      <c r="R226" s="3" t="n">
        <v>0.8</v>
      </c>
      <c r="S226" s="3" t="n">
        <v>0.0511</v>
      </c>
      <c r="T226" s="3" t="n">
        <v>5.696</v>
      </c>
      <c r="U226" s="4" t="n">
        <v>94.7</v>
      </c>
      <c r="V226" s="3">
        <f>IF(OR(N(T226)=0,N(U226)=0),0,1-POISSON(IFERROR(VLOOKUP($C226,Assumptions!$A$4:$G$7,7,FALSE),99)-1,N(T226)*N(U226)/90,TRUE))</f>
        <v/>
      </c>
      <c r="W226" s="3" t="n">
        <v>0.2036</v>
      </c>
      <c r="X226" s="3" t="n">
        <v>2.104</v>
      </c>
      <c r="Y226" s="3">
        <f>IF(X226="",IFERROR(VLOOKUP($C226,Assumptions!$A$4:$G$7,6,FALSE),0),X226)</f>
        <v/>
      </c>
      <c r="Z226" s="3">
        <f>N(O226)*IFERROR(VLOOKUP($C226,Assumptions!$A$4:$G$7,2,FALSE),0)</f>
        <v/>
      </c>
      <c r="AA226" s="3">
        <f>N(S226)*IFERROR(VLOOKUP($C226,Assumptions!$A$4:$G$7,3,FALSE),0)*Assumptions!$B$11</f>
        <v/>
      </c>
      <c r="AB226" s="3">
        <f>N(N226)*IFERROR(VLOOKUP($C226,Assumptions!$A$4:$G$7,4,FALSE),0)</f>
        <v/>
      </c>
      <c r="AC226" s="3">
        <f>IF(N(U226)=0,0,V226*IFERROR(VLOOKUP($C226,Assumptions!$A$4:$G$7,5,FALSE),0)*90/N(U226))</f>
        <v/>
      </c>
      <c r="AD226" s="3">
        <f>N(W226)</f>
        <v/>
      </c>
      <c r="AE226" s="3">
        <f>SUM(Y226:AD226)</f>
        <v/>
      </c>
      <c r="AF226" s="3">
        <f>N(AE226)*N(M226)/90</f>
        <v/>
      </c>
      <c r="AG226" s="3">
        <f>IFERROR(AF226-VLOOKUP($C226,Assumptions!$A$29:$C$32,3,FALSE),"")</f>
        <v/>
      </c>
      <c r="AH226" s="3">
        <f>IFERROR(AG226/F226,"")</f>
        <v/>
      </c>
      <c r="AI226">
        <f>IF(AND($E226=TRUE,$C226="GKP"),AF226,"")</f>
        <v/>
      </c>
      <c r="AJ226">
        <f>IF(AND($E226=TRUE,$C226="DEF"),AF226,"")</f>
        <v/>
      </c>
      <c r="AK226">
        <f>IF(AND($E226=TRUE,$C226="MID"),AF226,"")</f>
        <v/>
      </c>
      <c r="AL226">
        <f>IF(AND($E226=TRUE,$C226="FWD"),AF226,"")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b">
        <v>1</v>
      </c>
      <c r="F227" s="2" t="n">
        <v>5</v>
      </c>
      <c r="G227" t="inlineStr">
        <is>
          <t>a</t>
        </is>
      </c>
      <c r="I227" s="2" t="n">
        <v>1188</v>
      </c>
      <c r="J227" t="n">
        <v>59</v>
      </c>
      <c r="K227" s="3" t="n">
        <v>484</v>
      </c>
      <c r="L227" t="inlineStr">
        <is>
          <t>flat</t>
        </is>
      </c>
      <c r="M227" s="4" t="n">
        <v>1188</v>
      </c>
      <c r="N227" s="4" t="n">
        <v>0.29</v>
      </c>
      <c r="O227" s="3" t="n">
        <v>0.3903</v>
      </c>
      <c r="P227" t="inlineStr">
        <is>
          <t>adjusted xGOT</t>
        </is>
      </c>
      <c r="Q227" s="3" t="n">
        <v>0.887</v>
      </c>
      <c r="R227" s="3" t="n">
        <v>11.2</v>
      </c>
      <c r="S227" s="3" t="n">
        <v>0.2878</v>
      </c>
      <c r="T227" s="3" t="n">
        <v>7.671</v>
      </c>
      <c r="U227" s="4" t="n">
        <v>91.40000000000001</v>
      </c>
      <c r="V227" s="3">
        <f>IF(OR(N(T227)=0,N(U227)=0),0,1-POISSON(IFERROR(VLOOKUP($C227,Assumptions!$A$4:$G$7,7,FALSE),99)-1,N(T227)*N(U227)/90,TRUE))</f>
        <v/>
      </c>
      <c r="W227" s="3" t="n">
        <v>0.303</v>
      </c>
      <c r="X227" s="3" t="n">
        <v>3.258</v>
      </c>
      <c r="Y227" s="3">
        <f>IF(X227="",IFERROR(VLOOKUP($C227,Assumptions!$A$4:$G$7,6,FALSE),0),X227)</f>
        <v/>
      </c>
      <c r="Z227" s="3">
        <f>N(O227)*IFERROR(VLOOKUP($C227,Assumptions!$A$4:$G$7,2,FALSE),0)</f>
        <v/>
      </c>
      <c r="AA227" s="3">
        <f>N(S227)*IFERROR(VLOOKUP($C227,Assumptions!$A$4:$G$7,3,FALSE),0)*Assumptions!$B$11</f>
        <v/>
      </c>
      <c r="AB227" s="3">
        <f>N(N227)*IFERROR(VLOOKUP($C227,Assumptions!$A$4:$G$7,4,FALSE),0)</f>
        <v/>
      </c>
      <c r="AC227" s="3">
        <f>IF(N(U227)=0,0,V227*IFERROR(VLOOKUP($C227,Assumptions!$A$4:$G$7,5,FALSE),0)*90/N(U227))</f>
        <v/>
      </c>
      <c r="AD227" s="3">
        <f>N(W227)</f>
        <v/>
      </c>
      <c r="AE227" s="3">
        <f>SUM(Y227:AD227)</f>
        <v/>
      </c>
      <c r="AF227" s="3">
        <f>N(AE227)*N(M227)/90</f>
        <v/>
      </c>
      <c r="AG227" s="3">
        <f>IFERROR(AF227-VLOOKUP($C227,Assumptions!$A$29:$C$32,3,FALSE),"")</f>
        <v/>
      </c>
      <c r="AH227" s="3">
        <f>IFERROR(AG227/F227,"")</f>
        <v/>
      </c>
      <c r="AI227">
        <f>IF(AND($E227=TRUE,$C227="GKP"),AF227,"")</f>
        <v/>
      </c>
      <c r="AJ227">
        <f>IF(AND($E227=TRUE,$C227="DEF"),AF227,"")</f>
        <v/>
      </c>
      <c r="AK227">
        <f>IF(AND($E227=TRUE,$C227="MID"),AF227,"")</f>
        <v/>
      </c>
      <c r="AL227">
        <f>IF(AND($E227=TRUE,$C227="FWD"),AF227,"")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b">
        <v>1</v>
      </c>
      <c r="F228" s="2" t="n">
        <v>4.5</v>
      </c>
      <c r="G228" t="inlineStr">
        <is>
          <t>a</t>
        </is>
      </c>
      <c r="I228" s="2" t="n">
        <v>1073</v>
      </c>
      <c r="J228" t="n">
        <v>58</v>
      </c>
      <c r="K228" s="3" t="n">
        <v>379</v>
      </c>
      <c r="L228" t="inlineStr">
        <is>
          <t>flat</t>
        </is>
      </c>
      <c r="M228" s="4" t="n">
        <v>1073</v>
      </c>
      <c r="N228" s="4" t="n">
        <v>0.29</v>
      </c>
      <c r="O228" s="3" t="n">
        <v>0</v>
      </c>
      <c r="P228" t="inlineStr">
        <is>
          <t>adjusted xGOT</t>
        </is>
      </c>
      <c r="Q228" s="3" t="n">
        <v>0.9350000000000001</v>
      </c>
      <c r="R228" s="3" t="n">
        <v>1.2</v>
      </c>
      <c r="S228" s="3" t="n">
        <v>0.0306</v>
      </c>
      <c r="T228" s="3" t="n">
        <v>6.6</v>
      </c>
      <c r="U228" s="4" t="n">
        <v>76.59999999999999</v>
      </c>
      <c r="V228" s="3">
        <f>IF(OR(N(T228)=0,N(U228)=0),0,1-POISSON(IFERROR(VLOOKUP($C228,Assumptions!$A$4:$G$7,7,FALSE),99)-1,N(T228)*N(U228)/90,TRUE))</f>
        <v/>
      </c>
      <c r="W228" s="3" t="n">
        <v>0.3355</v>
      </c>
      <c r="X228" s="3" t="n">
        <v>2.768</v>
      </c>
      <c r="Y228" s="3">
        <f>IF(X228="",IFERROR(VLOOKUP($C228,Assumptions!$A$4:$G$7,6,FALSE),0),X228)</f>
        <v/>
      </c>
      <c r="Z228" s="3">
        <f>N(O228)*IFERROR(VLOOKUP($C228,Assumptions!$A$4:$G$7,2,FALSE),0)</f>
        <v/>
      </c>
      <c r="AA228" s="3">
        <f>N(S228)*IFERROR(VLOOKUP($C228,Assumptions!$A$4:$G$7,3,FALSE),0)*Assumptions!$B$11</f>
        <v/>
      </c>
      <c r="AB228" s="3">
        <f>N(N228)*IFERROR(VLOOKUP($C228,Assumptions!$A$4:$G$7,4,FALSE),0)</f>
        <v/>
      </c>
      <c r="AC228" s="3">
        <f>IF(N(U228)=0,0,V228*IFERROR(VLOOKUP($C228,Assumptions!$A$4:$G$7,5,FALSE),0)*90/N(U228))</f>
        <v/>
      </c>
      <c r="AD228" s="3">
        <f>N(W228)</f>
        <v/>
      </c>
      <c r="AE228" s="3">
        <f>SUM(Y228:AD228)</f>
        <v/>
      </c>
      <c r="AF228" s="3">
        <f>N(AE228)*N(M228)/90</f>
        <v/>
      </c>
      <c r="AG228" s="3">
        <f>IFERROR(AF228-VLOOKUP($C228,Assumptions!$A$29:$C$32,3,FALSE),"")</f>
        <v/>
      </c>
      <c r="AH228" s="3">
        <f>IFERROR(AG228/F228,"")</f>
        <v/>
      </c>
      <c r="AI228">
        <f>IF(AND($E228=TRUE,$C228="GKP"),AF228,"")</f>
        <v/>
      </c>
      <c r="AJ228">
        <f>IF(AND($E228=TRUE,$C228="DEF"),AF228,"")</f>
        <v/>
      </c>
      <c r="AK228">
        <f>IF(AND($E228=TRUE,$C228="MID"),AF228,"")</f>
        <v/>
      </c>
      <c r="AL228">
        <f>IF(AND($E228=TRUE,$C228="FWD"),AF228,"")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b">
        <v>1</v>
      </c>
      <c r="F229" s="2" t="n">
        <v>5.5</v>
      </c>
      <c r="G229" t="inlineStr">
        <is>
          <t>a</t>
        </is>
      </c>
      <c r="I229" s="2" t="n">
        <v>1010</v>
      </c>
      <c r="J229" t="n">
        <v>58</v>
      </c>
      <c r="K229" s="3" t="n">
        <v>412</v>
      </c>
      <c r="L229" t="inlineStr">
        <is>
          <t>flat</t>
        </is>
      </c>
      <c r="M229" s="4" t="n">
        <v>1010</v>
      </c>
      <c r="N229" s="4" t="n">
        <v>0.21</v>
      </c>
      <c r="O229" s="3" t="n">
        <v>0.122</v>
      </c>
      <c r="P229" t="inlineStr">
        <is>
          <t>adjusted xGOT</t>
        </is>
      </c>
      <c r="Q229" s="3" t="n">
        <v>0.878</v>
      </c>
      <c r="R229" s="3" t="n">
        <v>7.3</v>
      </c>
      <c r="S229" s="3" t="n">
        <v>0.1335</v>
      </c>
      <c r="T229" s="3" t="n">
        <v>8.875999999999999</v>
      </c>
      <c r="U229" s="4" t="n">
        <v>84.2</v>
      </c>
      <c r="V229" s="3">
        <f>IF(OR(N(T229)=0,N(U229)=0),0,1-POISSON(IFERROR(VLOOKUP($C229,Assumptions!$A$4:$G$7,7,FALSE),99)-1,N(T229)*N(U229)/90,TRUE))</f>
        <v/>
      </c>
      <c r="W229" s="3" t="n">
        <v>0.2673</v>
      </c>
      <c r="X229" s="3" t="n">
        <v>2.941</v>
      </c>
      <c r="Y229" s="3">
        <f>IF(X229="",IFERROR(VLOOKUP($C229,Assumptions!$A$4:$G$7,6,FALSE),0),X229)</f>
        <v/>
      </c>
      <c r="Z229" s="3">
        <f>N(O229)*IFERROR(VLOOKUP($C229,Assumptions!$A$4:$G$7,2,FALSE),0)</f>
        <v/>
      </c>
      <c r="AA229" s="3">
        <f>N(S229)*IFERROR(VLOOKUP($C229,Assumptions!$A$4:$G$7,3,FALSE),0)*Assumptions!$B$11</f>
        <v/>
      </c>
      <c r="AB229" s="3">
        <f>N(N229)*IFERROR(VLOOKUP($C229,Assumptions!$A$4:$G$7,4,FALSE),0)</f>
        <v/>
      </c>
      <c r="AC229" s="3">
        <f>IF(N(U229)=0,0,V229*IFERROR(VLOOKUP($C229,Assumptions!$A$4:$G$7,5,FALSE),0)*90/N(U229))</f>
        <v/>
      </c>
      <c r="AD229" s="3">
        <f>N(W229)</f>
        <v/>
      </c>
      <c r="AE229" s="3">
        <f>SUM(Y229:AD229)</f>
        <v/>
      </c>
      <c r="AF229" s="3">
        <f>N(AE229)*N(M229)/90</f>
        <v/>
      </c>
      <c r="AG229" s="3">
        <f>IFERROR(AF229-VLOOKUP($C229,Assumptions!$A$29:$C$32,3,FALSE),"")</f>
        <v/>
      </c>
      <c r="AH229" s="3">
        <f>IFERROR(AG229/F229,"")</f>
        <v/>
      </c>
      <c r="AI229">
        <f>IF(AND($E229=TRUE,$C229="GKP"),AF229,"")</f>
        <v/>
      </c>
      <c r="AJ229">
        <f>IF(AND($E229=TRUE,$C229="DEF"),AF229,"")</f>
        <v/>
      </c>
      <c r="AK229">
        <f>IF(AND($E229=TRUE,$C229="MID"),AF229,"")</f>
        <v/>
      </c>
      <c r="AL229">
        <f>IF(AND($E229=TRUE,$C229="FWD"),AF229,"")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b">
        <v>1</v>
      </c>
      <c r="F230" s="2" t="n">
        <v>6.5</v>
      </c>
      <c r="G230" t="inlineStr">
        <is>
          <t>a</t>
        </is>
      </c>
      <c r="I230" s="2" t="n">
        <v>839</v>
      </c>
      <c r="J230" t="n">
        <v>58</v>
      </c>
      <c r="K230" s="3" t="n">
        <v>684</v>
      </c>
      <c r="L230" t="inlineStr">
        <is>
          <t>flat</t>
        </is>
      </c>
      <c r="M230" s="4" t="n">
        <v>839</v>
      </c>
      <c r="N230" s="4" t="n">
        <v>0.237</v>
      </c>
      <c r="O230" s="3" t="n">
        <v>0.3376</v>
      </c>
      <c r="P230" t="inlineStr">
        <is>
          <t>adjusted xGOT</t>
        </is>
      </c>
      <c r="Q230" s="3" t="n">
        <v>1.082</v>
      </c>
      <c r="R230" s="3" t="n">
        <v>2.9</v>
      </c>
      <c r="S230" s="3" t="n">
        <v>0.2658</v>
      </c>
      <c r="T230" s="3" t="n">
        <v>7.194</v>
      </c>
      <c r="U230" s="4" t="n">
        <v>69.90000000000001</v>
      </c>
      <c r="V230" s="3">
        <f>IF(OR(N(T230)=0,N(U230)=0),0,1-POISSON(IFERROR(VLOOKUP($C230,Assumptions!$A$4:$G$7,7,FALSE),99)-1,N(T230)*N(U230)/90,TRUE))</f>
        <v/>
      </c>
      <c r="W230" s="3" t="n">
        <v>0.4291</v>
      </c>
      <c r="X230" s="3" t="n">
        <v>3.111</v>
      </c>
      <c r="Y230" s="3">
        <f>IF(X230="",IFERROR(VLOOKUP($C230,Assumptions!$A$4:$G$7,6,FALSE),0),X230)</f>
        <v/>
      </c>
      <c r="Z230" s="3">
        <f>N(O230)*IFERROR(VLOOKUP($C230,Assumptions!$A$4:$G$7,2,FALSE),0)</f>
        <v/>
      </c>
      <c r="AA230" s="3">
        <f>N(S230)*IFERROR(VLOOKUP($C230,Assumptions!$A$4:$G$7,3,FALSE),0)*Assumptions!$B$11</f>
        <v/>
      </c>
      <c r="AB230" s="3">
        <f>N(N230)*IFERROR(VLOOKUP($C230,Assumptions!$A$4:$G$7,4,FALSE),0)</f>
        <v/>
      </c>
      <c r="AC230" s="3">
        <f>IF(N(U230)=0,0,V230*IFERROR(VLOOKUP($C230,Assumptions!$A$4:$G$7,5,FALSE),0)*90/N(U230))</f>
        <v/>
      </c>
      <c r="AD230" s="3">
        <f>N(W230)</f>
        <v/>
      </c>
      <c r="AE230" s="3">
        <f>SUM(Y230:AD230)</f>
        <v/>
      </c>
      <c r="AF230" s="3">
        <f>N(AE230)*N(M230)/90</f>
        <v/>
      </c>
      <c r="AG230" s="3">
        <f>IFERROR(AF230-VLOOKUP($C230,Assumptions!$A$29:$C$32,3,FALSE),"")</f>
        <v/>
      </c>
      <c r="AH230" s="3">
        <f>IFERROR(AG230/F230,"")</f>
        <v/>
      </c>
      <c r="AI230">
        <f>IF(AND($E230=TRUE,$C230="GKP"),AF230,"")</f>
        <v/>
      </c>
      <c r="AJ230">
        <f>IF(AND($E230=TRUE,$C230="DEF"),AF230,"")</f>
        <v/>
      </c>
      <c r="AK230">
        <f>IF(AND($E230=TRUE,$C230="MID"),AF230,"")</f>
        <v/>
      </c>
      <c r="AL230">
        <f>IF(AND($E230=TRUE,$C230="FWD"),AF230,"")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b">
        <v>1</v>
      </c>
      <c r="F231" s="2" t="n">
        <v>6.5</v>
      </c>
      <c r="G231" t="inlineStr">
        <is>
          <t>a</t>
        </is>
      </c>
      <c r="I231" s="2" t="n">
        <v>1065</v>
      </c>
      <c r="J231" t="n">
        <v>57</v>
      </c>
      <c r="K231" s="3" t="n">
        <v>507</v>
      </c>
      <c r="L231" t="inlineStr">
        <is>
          <t>flat</t>
        </is>
      </c>
      <c r="M231" s="4" t="n">
        <v>1065</v>
      </c>
      <c r="N231" s="4" t="n">
        <v>0.5</v>
      </c>
      <c r="O231" s="3" t="n">
        <v>0.3586</v>
      </c>
      <c r="P231" t="inlineStr">
        <is>
          <t>adjusted xGOT</t>
        </is>
      </c>
      <c r="Q231" s="3" t="n">
        <v>1.03</v>
      </c>
      <c r="R231" s="3" t="n">
        <v>26.8</v>
      </c>
      <c r="S231" s="3" t="n">
        <v>0.1622</v>
      </c>
      <c r="T231" s="3" t="n">
        <v>7.342</v>
      </c>
      <c r="U231" s="4" t="n">
        <v>96.8</v>
      </c>
      <c r="V231" s="3">
        <f>IF(OR(N(T231)=0,N(U231)=0),0,1-POISSON(IFERROR(VLOOKUP($C231,Assumptions!$A$4:$G$7,7,FALSE),99)-1,N(T231)*N(U231)/90,TRUE))</f>
        <v/>
      </c>
      <c r="W231" s="3" t="n">
        <v>0.2535</v>
      </c>
      <c r="X231" s="3" t="n">
        <v>2.958</v>
      </c>
      <c r="Y231" s="3">
        <f>IF(X231="",IFERROR(VLOOKUP($C231,Assumptions!$A$4:$G$7,6,FALSE),0),X231)</f>
        <v/>
      </c>
      <c r="Z231" s="3">
        <f>N(O231)*IFERROR(VLOOKUP($C231,Assumptions!$A$4:$G$7,2,FALSE),0)</f>
        <v/>
      </c>
      <c r="AA231" s="3">
        <f>N(S231)*IFERROR(VLOOKUP($C231,Assumptions!$A$4:$G$7,3,FALSE),0)*Assumptions!$B$11</f>
        <v/>
      </c>
      <c r="AB231" s="3">
        <f>N(N231)*IFERROR(VLOOKUP($C231,Assumptions!$A$4:$G$7,4,FALSE),0)</f>
        <v/>
      </c>
      <c r="AC231" s="3">
        <f>IF(N(U231)=0,0,V231*IFERROR(VLOOKUP($C231,Assumptions!$A$4:$G$7,5,FALSE),0)*90/N(U231))</f>
        <v/>
      </c>
      <c r="AD231" s="3">
        <f>N(W231)</f>
        <v/>
      </c>
      <c r="AE231" s="3">
        <f>SUM(Y231:AD231)</f>
        <v/>
      </c>
      <c r="AF231" s="3">
        <f>N(AE231)*N(M231)/90</f>
        <v/>
      </c>
      <c r="AG231" s="3">
        <f>IFERROR(AF231-VLOOKUP($C231,Assumptions!$A$29:$C$32,3,FALSE),"")</f>
        <v/>
      </c>
      <c r="AH231" s="3">
        <f>IFERROR(AG231/F231,"")</f>
        <v/>
      </c>
      <c r="AI231">
        <f>IF(AND($E231=TRUE,$C231="GKP"),AF231,"")</f>
        <v/>
      </c>
      <c r="AJ231">
        <f>IF(AND($E231=TRUE,$C231="DEF"),AF231,"")</f>
        <v/>
      </c>
      <c r="AK231">
        <f>IF(AND($E231=TRUE,$C231="MID"),AF231,"")</f>
        <v/>
      </c>
      <c r="AL231">
        <f>IF(AND($E231=TRUE,$C231="FWD"),AF231,"")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b">
        <v>1</v>
      </c>
      <c r="F232" s="2" t="n">
        <v>5</v>
      </c>
      <c r="G232" t="inlineStr">
        <is>
          <t>a</t>
        </is>
      </c>
      <c r="I232" s="2" t="n">
        <v>1730</v>
      </c>
      <c r="J232" t="n">
        <v>56</v>
      </c>
      <c r="K232" s="3" t="n">
        <v>807</v>
      </c>
      <c r="L232" t="inlineStr">
        <is>
          <t>fade (losing his place)</t>
        </is>
      </c>
      <c r="M232" s="4" t="n">
        <v>1730</v>
      </c>
      <c r="N232" s="4" t="n">
        <v>0.21</v>
      </c>
      <c r="O232" s="3" t="n">
        <v>0.0674</v>
      </c>
      <c r="P232" t="inlineStr">
        <is>
          <t>adjusted xGOT</t>
        </is>
      </c>
      <c r="Q232" s="3" t="n">
        <v>0.966</v>
      </c>
      <c r="R232" s="3" t="n">
        <v>2</v>
      </c>
      <c r="S232" s="3" t="n">
        <v>0.0211</v>
      </c>
      <c r="T232" s="3" t="n">
        <v>7.989</v>
      </c>
      <c r="U232" s="4" t="n">
        <v>96.09999999999999</v>
      </c>
      <c r="V232" s="3">
        <f>IF(OR(N(T232)=0,N(U232)=0),0,1-POISSON(IFERROR(VLOOKUP($C232,Assumptions!$A$4:$G$7,7,FALSE),99)-1,N(T232)*N(U232)/90,TRUE))</f>
        <v/>
      </c>
      <c r="W232" s="3" t="n">
        <v>0.052</v>
      </c>
      <c r="X232" s="3" t="n">
        <v>2.549</v>
      </c>
      <c r="Y232" s="3">
        <f>IF(X232="",IFERROR(VLOOKUP($C232,Assumptions!$A$4:$G$7,6,FALSE),0),X232)</f>
        <v/>
      </c>
      <c r="Z232" s="3">
        <f>N(O232)*IFERROR(VLOOKUP($C232,Assumptions!$A$4:$G$7,2,FALSE),0)</f>
        <v/>
      </c>
      <c r="AA232" s="3">
        <f>N(S232)*IFERROR(VLOOKUP($C232,Assumptions!$A$4:$G$7,3,FALSE),0)*Assumptions!$B$11</f>
        <v/>
      </c>
      <c r="AB232" s="3">
        <f>N(N232)*IFERROR(VLOOKUP($C232,Assumptions!$A$4:$G$7,4,FALSE),0)</f>
        <v/>
      </c>
      <c r="AC232" s="3">
        <f>IF(N(U232)=0,0,V232*IFERROR(VLOOKUP($C232,Assumptions!$A$4:$G$7,5,FALSE),0)*90/N(U232))</f>
        <v/>
      </c>
      <c r="AD232" s="3">
        <f>N(W232)</f>
        <v/>
      </c>
      <c r="AE232" s="3">
        <f>SUM(Y232:AD232)</f>
        <v/>
      </c>
      <c r="AF232" s="3">
        <f>N(AE232)*N(M232)/90</f>
        <v/>
      </c>
      <c r="AG232" s="3">
        <f>IFERROR(AF232-VLOOKUP($C232,Assumptions!$A$29:$C$32,3,FALSE),"")</f>
        <v/>
      </c>
      <c r="AH232" s="3">
        <f>IFERROR(AG232/F232,"")</f>
        <v/>
      </c>
      <c r="AI232">
        <f>IF(AND($E232=TRUE,$C232="GKP"),AF232,"")</f>
        <v/>
      </c>
      <c r="AJ232">
        <f>IF(AND($E232=TRUE,$C232="DEF"),AF232,"")</f>
        <v/>
      </c>
      <c r="AK232">
        <f>IF(AND($E232=TRUE,$C232="MID"),AF232,"")</f>
        <v/>
      </c>
      <c r="AL232">
        <f>IF(AND($E232=TRUE,$C232="FWD"),AF232,"")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b">
        <v>1</v>
      </c>
      <c r="F233" s="2" t="n">
        <v>5</v>
      </c>
      <c r="G233" t="inlineStr">
        <is>
          <t>i</t>
        </is>
      </c>
      <c r="H233" t="inlineStr">
        <is>
          <t>Ankle injury - Expected back 23 Aug</t>
        </is>
      </c>
      <c r="I233" s="2" t="n">
        <v>1646</v>
      </c>
      <c r="J233" t="n">
        <v>56</v>
      </c>
      <c r="K233" s="3" t="n">
        <v>1989</v>
      </c>
      <c r="L233" t="inlineStr">
        <is>
          <t>flat</t>
        </is>
      </c>
      <c r="M233" s="4" t="n">
        <v>1646</v>
      </c>
      <c r="N233" s="4" t="n">
        <v>0.263</v>
      </c>
      <c r="O233" s="3" t="n">
        <v>0.0429</v>
      </c>
      <c r="P233" t="inlineStr">
        <is>
          <t>adjusted xGOT</t>
        </is>
      </c>
      <c r="Q233" s="3" t="n">
        <v>1.006</v>
      </c>
      <c r="R233" s="3" t="n">
        <v>4.7</v>
      </c>
      <c r="S233" s="3" t="n">
        <v>0.0419</v>
      </c>
      <c r="T233" s="3" t="n">
        <v>10.56</v>
      </c>
      <c r="U233" s="4" t="n">
        <v>71.59999999999999</v>
      </c>
      <c r="V233" s="3">
        <f>IF(OR(N(T233)=0,N(U233)=0),0,1-POISSON(IFERROR(VLOOKUP($C233,Assumptions!$A$4:$G$7,7,FALSE),99)-1,N(T233)*N(U233)/90,TRUE))</f>
        <v/>
      </c>
      <c r="W233" s="3" t="n">
        <v>0</v>
      </c>
      <c r="X233" s="3" t="n">
        <v>2.515</v>
      </c>
      <c r="Y233" s="3">
        <f>IF(X233="",IFERROR(VLOOKUP($C233,Assumptions!$A$4:$G$7,6,FALSE),0),X233)</f>
        <v/>
      </c>
      <c r="Z233" s="3">
        <f>N(O233)*IFERROR(VLOOKUP($C233,Assumptions!$A$4:$G$7,2,FALSE),0)</f>
        <v/>
      </c>
      <c r="AA233" s="3">
        <f>N(S233)*IFERROR(VLOOKUP($C233,Assumptions!$A$4:$G$7,3,FALSE),0)*Assumptions!$B$11</f>
        <v/>
      </c>
      <c r="AB233" s="3">
        <f>N(N233)*IFERROR(VLOOKUP($C233,Assumptions!$A$4:$G$7,4,FALSE),0)</f>
        <v/>
      </c>
      <c r="AC233" s="3">
        <f>IF(N(U233)=0,0,V233*IFERROR(VLOOKUP($C233,Assumptions!$A$4:$G$7,5,FALSE),0)*90/N(U233))</f>
        <v/>
      </c>
      <c r="AD233" s="3">
        <f>N(W233)</f>
        <v/>
      </c>
      <c r="AE233" s="3">
        <f>SUM(Y233:AD233)</f>
        <v/>
      </c>
      <c r="AF233" s="3">
        <f>N(AE233)*N(M233)/90</f>
        <v/>
      </c>
      <c r="AG233" s="3">
        <f>IFERROR(AF233-VLOOKUP($C233,Assumptions!$A$29:$C$32,3,FALSE),"")</f>
        <v/>
      </c>
      <c r="AH233" s="3">
        <f>IFERROR(AG233/F233,"")</f>
        <v/>
      </c>
      <c r="AI233">
        <f>IF(AND($E233=TRUE,$C233="GKP"),AF233,"")</f>
        <v/>
      </c>
      <c r="AJ233">
        <f>IF(AND($E233=TRUE,$C233="DEF"),AF233,"")</f>
        <v/>
      </c>
      <c r="AK233">
        <f>IF(AND($E233=TRUE,$C233="MID"),AF233,"")</f>
        <v/>
      </c>
      <c r="AL233">
        <f>IF(AND($E233=TRUE,$C233="FWD"),AF233,"")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b">
        <v>1</v>
      </c>
      <c r="F234" s="2" t="n">
        <v>5</v>
      </c>
      <c r="G234" t="inlineStr">
        <is>
          <t>a</t>
        </is>
      </c>
      <c r="I234" s="2" t="n">
        <v>1003</v>
      </c>
      <c r="J234" t="n">
        <v>56</v>
      </c>
      <c r="K234" s="3" t="n">
        <v>452</v>
      </c>
      <c r="L234" t="inlineStr">
        <is>
          <t>flat</t>
        </is>
      </c>
      <c r="M234" s="4" t="n">
        <v>1003</v>
      </c>
      <c r="N234" s="4" t="n">
        <v>0.21</v>
      </c>
      <c r="O234" s="3" t="n">
        <v>0.1032</v>
      </c>
      <c r="P234" t="inlineStr">
        <is>
          <t>adjusted xGOT</t>
        </is>
      </c>
      <c r="Q234" s="3" t="n">
        <v>0.9350000000000001</v>
      </c>
      <c r="R234" s="3" t="n">
        <v>11.9</v>
      </c>
      <c r="S234" s="3" t="n">
        <v>0.2081</v>
      </c>
      <c r="T234" s="3" t="n">
        <v>9.33</v>
      </c>
      <c r="U234" s="4" t="n">
        <v>100.3</v>
      </c>
      <c r="V234" s="3">
        <f>IF(OR(N(T234)=0,N(U234)=0),0,1-POISSON(IFERROR(VLOOKUP($C234,Assumptions!$A$4:$G$7,7,FALSE),99)-1,N(T234)*N(U234)/90,TRUE))</f>
        <v/>
      </c>
      <c r="W234" s="3" t="n">
        <v>0.4487</v>
      </c>
      <c r="X234" s="3" t="n">
        <v>2.871</v>
      </c>
      <c r="Y234" s="3">
        <f>IF(X234="",IFERROR(VLOOKUP($C234,Assumptions!$A$4:$G$7,6,FALSE),0),X234)</f>
        <v/>
      </c>
      <c r="Z234" s="3">
        <f>N(O234)*IFERROR(VLOOKUP($C234,Assumptions!$A$4:$G$7,2,FALSE),0)</f>
        <v/>
      </c>
      <c r="AA234" s="3">
        <f>N(S234)*IFERROR(VLOOKUP($C234,Assumptions!$A$4:$G$7,3,FALSE),0)*Assumptions!$B$11</f>
        <v/>
      </c>
      <c r="AB234" s="3">
        <f>N(N234)*IFERROR(VLOOKUP($C234,Assumptions!$A$4:$G$7,4,FALSE),0)</f>
        <v/>
      </c>
      <c r="AC234" s="3">
        <f>IF(N(U234)=0,0,V234*IFERROR(VLOOKUP($C234,Assumptions!$A$4:$G$7,5,FALSE),0)*90/N(U234))</f>
        <v/>
      </c>
      <c r="AD234" s="3">
        <f>N(W234)</f>
        <v/>
      </c>
      <c r="AE234" s="3">
        <f>SUM(Y234:AD234)</f>
        <v/>
      </c>
      <c r="AF234" s="3">
        <f>N(AE234)*N(M234)/90</f>
        <v/>
      </c>
      <c r="AG234" s="3">
        <f>IFERROR(AF234-VLOOKUP($C234,Assumptions!$A$29:$C$32,3,FALSE),"")</f>
        <v/>
      </c>
      <c r="AH234" s="3">
        <f>IFERROR(AG234/F234,"")</f>
        <v/>
      </c>
      <c r="AI234">
        <f>IF(AND($E234=TRUE,$C234="GKP"),AF234,"")</f>
        <v/>
      </c>
      <c r="AJ234">
        <f>IF(AND($E234=TRUE,$C234="DEF"),AF234,"")</f>
        <v/>
      </c>
      <c r="AK234">
        <f>IF(AND($E234=TRUE,$C234="MID"),AF234,"")</f>
        <v/>
      </c>
      <c r="AL234">
        <f>IF(AND($E234=TRUE,$C234="FWD"),AF234,"")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b">
        <v>1</v>
      </c>
      <c r="F235" s="2" t="n">
        <v>7</v>
      </c>
      <c r="G235" t="inlineStr">
        <is>
          <t>a</t>
        </is>
      </c>
      <c r="I235" s="2" t="n">
        <v>691</v>
      </c>
      <c r="J235" t="n">
        <v>56</v>
      </c>
      <c r="K235" s="3" t="n">
        <v>349</v>
      </c>
      <c r="L235" t="inlineStr">
        <is>
          <t>flat</t>
        </is>
      </c>
      <c r="M235" s="4" t="n">
        <v>691</v>
      </c>
      <c r="N235" s="4" t="n">
        <v>0.421</v>
      </c>
      <c r="O235" s="3" t="n">
        <v>0.3489</v>
      </c>
      <c r="P235" t="inlineStr">
        <is>
          <t>adjusted xGOT</t>
        </is>
      </c>
      <c r="Q235" s="3" t="n">
        <v>0.964</v>
      </c>
      <c r="R235" s="3" t="n">
        <v>8.199999999999999</v>
      </c>
      <c r="S235" s="3" t="n">
        <v>0.1887</v>
      </c>
      <c r="T235" s="3" t="n">
        <v>6.864</v>
      </c>
      <c r="U235" s="4" t="n">
        <v>86.40000000000001</v>
      </c>
      <c r="V235" s="3">
        <f>IF(OR(N(T235)=0,N(U235)=0),0,1-POISSON(IFERROR(VLOOKUP($C235,Assumptions!$A$4:$G$7,7,FALSE),99)-1,N(T235)*N(U235)/90,TRUE))</f>
        <v/>
      </c>
      <c r="W235" s="3" t="n">
        <v>0.6512</v>
      </c>
      <c r="X235" s="3" t="n">
        <v>3.386</v>
      </c>
      <c r="Y235" s="3">
        <f>IF(X235="",IFERROR(VLOOKUP($C235,Assumptions!$A$4:$G$7,6,FALSE),0),X235)</f>
        <v/>
      </c>
      <c r="Z235" s="3">
        <f>N(O235)*IFERROR(VLOOKUP($C235,Assumptions!$A$4:$G$7,2,FALSE),0)</f>
        <v/>
      </c>
      <c r="AA235" s="3">
        <f>N(S235)*IFERROR(VLOOKUP($C235,Assumptions!$A$4:$G$7,3,FALSE),0)*Assumptions!$B$11</f>
        <v/>
      </c>
      <c r="AB235" s="3">
        <f>N(N235)*IFERROR(VLOOKUP($C235,Assumptions!$A$4:$G$7,4,FALSE),0)</f>
        <v/>
      </c>
      <c r="AC235" s="3">
        <f>IF(N(U235)=0,0,V235*IFERROR(VLOOKUP($C235,Assumptions!$A$4:$G$7,5,FALSE),0)*90/N(U235))</f>
        <v/>
      </c>
      <c r="AD235" s="3">
        <f>N(W235)</f>
        <v/>
      </c>
      <c r="AE235" s="3">
        <f>SUM(Y235:AD235)</f>
        <v/>
      </c>
      <c r="AF235" s="3">
        <f>N(AE235)*N(M235)/90</f>
        <v/>
      </c>
      <c r="AG235" s="3">
        <f>IFERROR(AF235-VLOOKUP($C235,Assumptions!$A$29:$C$32,3,FALSE),"")</f>
        <v/>
      </c>
      <c r="AH235" s="3">
        <f>IFERROR(AG235/F235,"")</f>
        <v/>
      </c>
      <c r="AI235">
        <f>IF(AND($E235=TRUE,$C235="GKP"),AF235,"")</f>
        <v/>
      </c>
      <c r="AJ235">
        <f>IF(AND($E235=TRUE,$C235="DEF"),AF235,"")</f>
        <v/>
      </c>
      <c r="AK235">
        <f>IF(AND($E235=TRUE,$C235="MID"),AF235,"")</f>
        <v/>
      </c>
      <c r="AL235">
        <f>IF(AND($E235=TRUE,$C235="FWD"),AF235,"")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b">
        <v>1</v>
      </c>
      <c r="F236" s="2" t="n">
        <v>6</v>
      </c>
      <c r="G236" t="inlineStr">
        <is>
          <t>a</t>
        </is>
      </c>
      <c r="I236" s="2" t="n">
        <v>1261</v>
      </c>
      <c r="J236" t="n">
        <v>56</v>
      </c>
      <c r="K236" s="3" t="n">
        <v>1949</v>
      </c>
      <c r="L236" t="inlineStr">
        <is>
          <t>flat</t>
        </is>
      </c>
      <c r="M236" s="4" t="n">
        <v>1261</v>
      </c>
      <c r="N236" s="4" t="n">
        <v>0.237</v>
      </c>
      <c r="O236" s="3" t="n">
        <v>0.2183</v>
      </c>
      <c r="P236" t="inlineStr">
        <is>
          <t>adjusted xGOT</t>
        </is>
      </c>
      <c r="Q236" s="3" t="n">
        <v>0.889</v>
      </c>
      <c r="R236" s="3" t="n">
        <v>22</v>
      </c>
      <c r="S236" s="3" t="n">
        <v>0.2819</v>
      </c>
      <c r="T236" s="3" t="n">
        <v>6.343</v>
      </c>
      <c r="U236" s="4" t="n">
        <v>90.09999999999999</v>
      </c>
      <c r="V236" s="3">
        <f>IF(OR(N(T236)=0,N(U236)=0),0,1-POISSON(IFERROR(VLOOKUP($C236,Assumptions!$A$4:$G$7,7,FALSE),99)-1,N(T236)*N(U236)/90,TRUE))</f>
        <v/>
      </c>
      <c r="W236" s="3" t="n">
        <v>0.2141</v>
      </c>
      <c r="X236" s="3" t="n">
        <v>2.427</v>
      </c>
      <c r="Y236" s="3">
        <f>IF(X236="",IFERROR(VLOOKUP($C236,Assumptions!$A$4:$G$7,6,FALSE),0),X236)</f>
        <v/>
      </c>
      <c r="Z236" s="3">
        <f>N(O236)*IFERROR(VLOOKUP($C236,Assumptions!$A$4:$G$7,2,FALSE),0)</f>
        <v/>
      </c>
      <c r="AA236" s="3">
        <f>N(S236)*IFERROR(VLOOKUP($C236,Assumptions!$A$4:$G$7,3,FALSE),0)*Assumptions!$B$11</f>
        <v/>
      </c>
      <c r="AB236" s="3">
        <f>N(N236)*IFERROR(VLOOKUP($C236,Assumptions!$A$4:$G$7,4,FALSE),0)</f>
        <v/>
      </c>
      <c r="AC236" s="3">
        <f>IF(N(U236)=0,0,V236*IFERROR(VLOOKUP($C236,Assumptions!$A$4:$G$7,5,FALSE),0)*90/N(U236))</f>
        <v/>
      </c>
      <c r="AD236" s="3">
        <f>N(W236)</f>
        <v/>
      </c>
      <c r="AE236" s="3">
        <f>SUM(Y236:AD236)</f>
        <v/>
      </c>
      <c r="AF236" s="3">
        <f>N(AE236)*N(M236)/90</f>
        <v/>
      </c>
      <c r="AG236" s="3">
        <f>IFERROR(AF236-VLOOKUP($C236,Assumptions!$A$29:$C$32,3,FALSE),"")</f>
        <v/>
      </c>
      <c r="AH236" s="3">
        <f>IFERROR(AG236/F236,"")</f>
        <v/>
      </c>
      <c r="AI236">
        <f>IF(AND($E236=TRUE,$C236="GKP"),AF236,"")</f>
        <v/>
      </c>
      <c r="AJ236">
        <f>IF(AND($E236=TRUE,$C236="DEF"),AF236,"")</f>
        <v/>
      </c>
      <c r="AK236">
        <f>IF(AND($E236=TRUE,$C236="MID"),AF236,"")</f>
        <v/>
      </c>
      <c r="AL236">
        <f>IF(AND($E236=TRUE,$C236="FWD"),AF236,"")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b">
        <v>1</v>
      </c>
      <c r="F237" s="2" t="n">
        <v>5</v>
      </c>
      <c r="G237" t="inlineStr">
        <is>
          <t>a</t>
        </is>
      </c>
      <c r="I237" s="2" t="n">
        <v>844</v>
      </c>
      <c r="J237" t="n">
        <v>56</v>
      </c>
      <c r="K237" s="3" t="n">
        <v>670</v>
      </c>
      <c r="L237" t="inlineStr">
        <is>
          <t>fade (losing his place)</t>
        </is>
      </c>
      <c r="M237" s="4" t="n">
        <v>844</v>
      </c>
      <c r="N237" s="4" t="n">
        <v>0.237</v>
      </c>
      <c r="O237" s="3" t="n">
        <v>0.183</v>
      </c>
      <c r="P237" t="inlineStr">
        <is>
          <t>adjusted xGOT</t>
        </is>
      </c>
      <c r="Q237" s="3" t="n">
        <v>1.086</v>
      </c>
      <c r="R237" s="3" t="n">
        <v>7.3</v>
      </c>
      <c r="S237" s="3" t="n">
        <v>0.1755</v>
      </c>
      <c r="T237" s="3" t="n">
        <v>8.207000000000001</v>
      </c>
      <c r="U237" s="4" t="n">
        <v>120.6</v>
      </c>
      <c r="V237" s="3">
        <f>IF(OR(N(T237)=0,N(U237)=0),0,1-POISSON(IFERROR(VLOOKUP($C237,Assumptions!$A$4:$G$7,7,FALSE),99)-1,N(T237)*N(U237)/90,TRUE))</f>
        <v/>
      </c>
      <c r="W237" s="3" t="n">
        <v>0.5332</v>
      </c>
      <c r="X237" s="3" t="n">
        <v>2.986</v>
      </c>
      <c r="Y237" s="3">
        <f>IF(X237="",IFERROR(VLOOKUP($C237,Assumptions!$A$4:$G$7,6,FALSE),0),X237)</f>
        <v/>
      </c>
      <c r="Z237" s="3">
        <f>N(O237)*IFERROR(VLOOKUP($C237,Assumptions!$A$4:$G$7,2,FALSE),0)</f>
        <v/>
      </c>
      <c r="AA237" s="3">
        <f>N(S237)*IFERROR(VLOOKUP($C237,Assumptions!$A$4:$G$7,3,FALSE),0)*Assumptions!$B$11</f>
        <v/>
      </c>
      <c r="AB237" s="3">
        <f>N(N237)*IFERROR(VLOOKUP($C237,Assumptions!$A$4:$G$7,4,FALSE),0)</f>
        <v/>
      </c>
      <c r="AC237" s="3">
        <f>IF(N(U237)=0,0,V237*IFERROR(VLOOKUP($C237,Assumptions!$A$4:$G$7,5,FALSE),0)*90/N(U237))</f>
        <v/>
      </c>
      <c r="AD237" s="3">
        <f>N(W237)</f>
        <v/>
      </c>
      <c r="AE237" s="3">
        <f>SUM(Y237:AD237)</f>
        <v/>
      </c>
      <c r="AF237" s="3">
        <f>N(AE237)*N(M237)/90</f>
        <v/>
      </c>
      <c r="AG237" s="3">
        <f>IFERROR(AF237-VLOOKUP($C237,Assumptions!$A$29:$C$32,3,FALSE),"")</f>
        <v/>
      </c>
      <c r="AH237" s="3">
        <f>IFERROR(AG237/F237,"")</f>
        <v/>
      </c>
      <c r="AI237">
        <f>IF(AND($E237=TRUE,$C237="GKP"),AF237,"")</f>
        <v/>
      </c>
      <c r="AJ237">
        <f>IF(AND($E237=TRUE,$C237="DEF"),AF237,"")</f>
        <v/>
      </c>
      <c r="AK237">
        <f>IF(AND($E237=TRUE,$C237="MID"),AF237,"")</f>
        <v/>
      </c>
      <c r="AL237">
        <f>IF(AND($E237=TRUE,$C237="FWD"),AF237,"")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b">
        <v>1</v>
      </c>
      <c r="F238" s="2" t="n">
        <v>5</v>
      </c>
      <c r="G238" t="inlineStr">
        <is>
          <t>a</t>
        </is>
      </c>
      <c r="I238" s="2" t="n">
        <v>1318</v>
      </c>
      <c r="J238" t="n">
        <v>56</v>
      </c>
      <c r="K238" s="3" t="n">
        <v>502</v>
      </c>
      <c r="L238" t="inlineStr">
        <is>
          <t>flat</t>
        </is>
      </c>
      <c r="M238" s="4" t="n">
        <v>1318</v>
      </c>
      <c r="N238" s="4" t="n">
        <v>0.21</v>
      </c>
      <c r="O238" s="3" t="n">
        <v>0.0323</v>
      </c>
      <c r="P238" t="inlineStr">
        <is>
          <t>adjusted xGOT</t>
        </is>
      </c>
      <c r="Q238" s="3" t="n">
        <v>0.966</v>
      </c>
      <c r="R238" s="3" t="n">
        <v>0.5</v>
      </c>
      <c r="S238" s="3" t="n">
        <v>0.0804</v>
      </c>
      <c r="T238" s="3" t="n">
        <v>8.064</v>
      </c>
      <c r="U238" s="4" t="n">
        <v>87.90000000000001</v>
      </c>
      <c r="V238" s="3">
        <f>IF(OR(N(T238)=0,N(U238)=0),0,1-POISSON(IFERROR(VLOOKUP($C238,Assumptions!$A$4:$G$7,7,FALSE),99)-1,N(T238)*N(U238)/90,TRUE))</f>
        <v/>
      </c>
      <c r="W238" s="3" t="n">
        <v>0.2049</v>
      </c>
      <c r="X238" s="3" t="n">
        <v>2.527</v>
      </c>
      <c r="Y238" s="3">
        <f>IF(X238="",IFERROR(VLOOKUP($C238,Assumptions!$A$4:$G$7,6,FALSE),0),X238)</f>
        <v/>
      </c>
      <c r="Z238" s="3">
        <f>N(O238)*IFERROR(VLOOKUP($C238,Assumptions!$A$4:$G$7,2,FALSE),0)</f>
        <v/>
      </c>
      <c r="AA238" s="3">
        <f>N(S238)*IFERROR(VLOOKUP($C238,Assumptions!$A$4:$G$7,3,FALSE),0)*Assumptions!$B$11</f>
        <v/>
      </c>
      <c r="AB238" s="3">
        <f>N(N238)*IFERROR(VLOOKUP($C238,Assumptions!$A$4:$G$7,4,FALSE),0)</f>
        <v/>
      </c>
      <c r="AC238" s="3">
        <f>IF(N(U238)=0,0,V238*IFERROR(VLOOKUP($C238,Assumptions!$A$4:$G$7,5,FALSE),0)*90/N(U238))</f>
        <v/>
      </c>
      <c r="AD238" s="3">
        <f>N(W238)</f>
        <v/>
      </c>
      <c r="AE238" s="3">
        <f>SUM(Y238:AD238)</f>
        <v/>
      </c>
      <c r="AF238" s="3">
        <f>N(AE238)*N(M238)/90</f>
        <v/>
      </c>
      <c r="AG238" s="3">
        <f>IFERROR(AF238-VLOOKUP($C238,Assumptions!$A$29:$C$32,3,FALSE),"")</f>
        <v/>
      </c>
      <c r="AH238" s="3">
        <f>IFERROR(AG238/F238,"")</f>
        <v/>
      </c>
      <c r="AI238">
        <f>IF(AND($E238=TRUE,$C238="GKP"),AF238,"")</f>
        <v/>
      </c>
      <c r="AJ238">
        <f>IF(AND($E238=TRUE,$C238="DEF"),AF238,"")</f>
        <v/>
      </c>
      <c r="AK238">
        <f>IF(AND($E238=TRUE,$C238="MID"),AF238,"")</f>
        <v/>
      </c>
      <c r="AL238">
        <f>IF(AND($E238=TRUE,$C238="FWD"),AF238,"")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b">
        <v>1</v>
      </c>
      <c r="F239" s="2" t="n">
        <v>4.5</v>
      </c>
      <c r="G239" t="inlineStr">
        <is>
          <t>a</t>
        </is>
      </c>
      <c r="I239" s="2" t="n">
        <v>1165</v>
      </c>
      <c r="J239" t="n">
        <v>55</v>
      </c>
      <c r="K239" s="3" t="n">
        <v>718</v>
      </c>
      <c r="L239" t="inlineStr">
        <is>
          <t>flat</t>
        </is>
      </c>
      <c r="M239" s="4" t="n">
        <v>1165</v>
      </c>
      <c r="N239" s="4" t="n">
        <v>0.237</v>
      </c>
      <c r="O239" s="3" t="n">
        <v>0.0814</v>
      </c>
      <c r="P239" t="inlineStr">
        <is>
          <t>adjusted xGOT</t>
        </is>
      </c>
      <c r="Q239" s="3" t="n">
        <v>0.958</v>
      </c>
      <c r="R239" s="3" t="n">
        <v>5.4</v>
      </c>
      <c r="S239" s="3" t="n">
        <v>0.1124</v>
      </c>
      <c r="T239" s="3" t="n">
        <v>5.561</v>
      </c>
      <c r="U239" s="4" t="n">
        <v>105.9</v>
      </c>
      <c r="V239" s="3">
        <f>IF(OR(N(T239)=0,N(U239)=0),0,1-POISSON(IFERROR(VLOOKUP($C239,Assumptions!$A$4:$G$7,7,FALSE),99)-1,N(T239)*N(U239)/90,TRUE))</f>
        <v/>
      </c>
      <c r="W239" s="3" t="n">
        <v>0.309</v>
      </c>
      <c r="X239" s="3" t="n">
        <v>2.549</v>
      </c>
      <c r="Y239" s="3">
        <f>IF(X239="",IFERROR(VLOOKUP($C239,Assumptions!$A$4:$G$7,6,FALSE),0),X239)</f>
        <v/>
      </c>
      <c r="Z239" s="3">
        <f>N(O239)*IFERROR(VLOOKUP($C239,Assumptions!$A$4:$G$7,2,FALSE),0)</f>
        <v/>
      </c>
      <c r="AA239" s="3">
        <f>N(S239)*IFERROR(VLOOKUP($C239,Assumptions!$A$4:$G$7,3,FALSE),0)*Assumptions!$B$11</f>
        <v/>
      </c>
      <c r="AB239" s="3">
        <f>N(N239)*IFERROR(VLOOKUP($C239,Assumptions!$A$4:$G$7,4,FALSE),0)</f>
        <v/>
      </c>
      <c r="AC239" s="3">
        <f>IF(N(U239)=0,0,V239*IFERROR(VLOOKUP($C239,Assumptions!$A$4:$G$7,5,FALSE),0)*90/N(U239))</f>
        <v/>
      </c>
      <c r="AD239" s="3">
        <f>N(W239)</f>
        <v/>
      </c>
      <c r="AE239" s="3">
        <f>SUM(Y239:AD239)</f>
        <v/>
      </c>
      <c r="AF239" s="3">
        <f>N(AE239)*N(M239)/90</f>
        <v/>
      </c>
      <c r="AG239" s="3">
        <f>IFERROR(AF239-VLOOKUP($C239,Assumptions!$A$29:$C$32,3,FALSE),"")</f>
        <v/>
      </c>
      <c r="AH239" s="3">
        <f>IFERROR(AG239/F239,"")</f>
        <v/>
      </c>
      <c r="AI239">
        <f>IF(AND($E239=TRUE,$C239="GKP"),AF239,"")</f>
        <v/>
      </c>
      <c r="AJ239">
        <f>IF(AND($E239=TRUE,$C239="DEF"),AF239,"")</f>
        <v/>
      </c>
      <c r="AK239">
        <f>IF(AND($E239=TRUE,$C239="MID"),AF239,"")</f>
        <v/>
      </c>
      <c r="AL239">
        <f>IF(AND($E239=TRUE,$C239="FWD"),AF239,"")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b">
        <v>1</v>
      </c>
      <c r="F240" s="2" t="n">
        <v>4.5</v>
      </c>
      <c r="G240" t="inlineStr">
        <is>
          <t>a</t>
        </is>
      </c>
      <c r="I240" s="2" t="n">
        <v>1590</v>
      </c>
      <c r="J240" t="n">
        <v>54</v>
      </c>
      <c r="K240" s="3" t="n">
        <v>3004</v>
      </c>
      <c r="L240" t="inlineStr">
        <is>
          <t>flat</t>
        </is>
      </c>
      <c r="M240" s="4" t="n">
        <v>1590</v>
      </c>
      <c r="N240" s="4" t="n">
        <v>0.237</v>
      </c>
      <c r="O240" s="3" t="n">
        <v>0.0643</v>
      </c>
      <c r="P240" t="inlineStr">
        <is>
          <t>adjusted xGOT</t>
        </is>
      </c>
      <c r="Q240" s="3" t="n">
        <v>0.902</v>
      </c>
      <c r="R240" s="3" t="n">
        <v>2.9</v>
      </c>
      <c r="S240" s="3" t="n">
        <v>0.1516</v>
      </c>
      <c r="T240" s="3" t="n">
        <v>7.382</v>
      </c>
      <c r="U240" s="4" t="n">
        <v>93.5</v>
      </c>
      <c r="V240" s="3">
        <f>IF(OR(N(T240)=0,N(U240)=0),0,1-POISSON(IFERROR(VLOOKUP($C240,Assumptions!$A$4:$G$7,7,FALSE),99)-1,N(T240)*N(U240)/90,TRUE))</f>
        <v/>
      </c>
      <c r="W240" s="3" t="n">
        <v>0.0566</v>
      </c>
      <c r="X240" s="3" t="n">
        <v>2.66</v>
      </c>
      <c r="Y240" s="3">
        <f>IF(X240="",IFERROR(VLOOKUP($C240,Assumptions!$A$4:$G$7,6,FALSE),0),X240)</f>
        <v/>
      </c>
      <c r="Z240" s="3">
        <f>N(O240)*IFERROR(VLOOKUP($C240,Assumptions!$A$4:$G$7,2,FALSE),0)</f>
        <v/>
      </c>
      <c r="AA240" s="3">
        <f>N(S240)*IFERROR(VLOOKUP($C240,Assumptions!$A$4:$G$7,3,FALSE),0)*Assumptions!$B$11</f>
        <v/>
      </c>
      <c r="AB240" s="3">
        <f>N(N240)*IFERROR(VLOOKUP($C240,Assumptions!$A$4:$G$7,4,FALSE),0)</f>
        <v/>
      </c>
      <c r="AC240" s="3">
        <f>IF(N(U240)=0,0,V240*IFERROR(VLOOKUP($C240,Assumptions!$A$4:$G$7,5,FALSE),0)*90/N(U240))</f>
        <v/>
      </c>
      <c r="AD240" s="3">
        <f>N(W240)</f>
        <v/>
      </c>
      <c r="AE240" s="3">
        <f>SUM(Y240:AD240)</f>
        <v/>
      </c>
      <c r="AF240" s="3">
        <f>N(AE240)*N(M240)/90</f>
        <v/>
      </c>
      <c r="AG240" s="3">
        <f>IFERROR(AF240-VLOOKUP($C240,Assumptions!$A$29:$C$32,3,FALSE),"")</f>
        <v/>
      </c>
      <c r="AH240" s="3">
        <f>IFERROR(AG240/F240,"")</f>
        <v/>
      </c>
      <c r="AI240">
        <f>IF(AND($E240=TRUE,$C240="GKP"),AF240,"")</f>
        <v/>
      </c>
      <c r="AJ240">
        <f>IF(AND($E240=TRUE,$C240="DEF"),AF240,"")</f>
        <v/>
      </c>
      <c r="AK240">
        <f>IF(AND($E240=TRUE,$C240="MID"),AF240,"")</f>
        <v/>
      </c>
      <c r="AL240">
        <f>IF(AND($E240=TRUE,$C240="FWD"),AF240,"")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b">
        <v>1</v>
      </c>
      <c r="F241" s="2" t="n">
        <v>5.5</v>
      </c>
      <c r="G241" t="inlineStr">
        <is>
          <t>a</t>
        </is>
      </c>
      <c r="I241" s="2" t="n">
        <v>1161</v>
      </c>
      <c r="J241" t="n">
        <v>53</v>
      </c>
      <c r="K241" s="3" t="n">
        <v>445</v>
      </c>
      <c r="L241" t="inlineStr">
        <is>
          <t>flat</t>
        </is>
      </c>
      <c r="M241" s="4" t="n">
        <v>1161</v>
      </c>
      <c r="N241" s="4" t="n">
        <v>0.316</v>
      </c>
      <c r="O241" s="3" t="n">
        <v>0.1112</v>
      </c>
      <c r="P241" t="inlineStr">
        <is>
          <t>adjusted xGOT</t>
        </is>
      </c>
      <c r="Q241" s="3" t="n">
        <v>1.047</v>
      </c>
      <c r="R241" s="3" t="n">
        <v>9.199999999999999</v>
      </c>
      <c r="S241" s="3" t="n">
        <v>0.1414</v>
      </c>
      <c r="T241" s="3" t="n">
        <v>8.593999999999999</v>
      </c>
      <c r="U241" s="4" t="n">
        <v>82.90000000000001</v>
      </c>
      <c r="V241" s="3">
        <f>IF(OR(N(T241)=0,N(U241)=0),0,1-POISSON(IFERROR(VLOOKUP($C241,Assumptions!$A$4:$G$7,7,FALSE),99)-1,N(T241)*N(U241)/90,TRUE))</f>
        <v/>
      </c>
      <c r="W241" s="3" t="n">
        <v>0.0775</v>
      </c>
      <c r="X241" s="3" t="n">
        <v>2.636</v>
      </c>
      <c r="Y241" s="3">
        <f>IF(X241="",IFERROR(VLOOKUP($C241,Assumptions!$A$4:$G$7,6,FALSE),0),X241)</f>
        <v/>
      </c>
      <c r="Z241" s="3">
        <f>N(O241)*IFERROR(VLOOKUP($C241,Assumptions!$A$4:$G$7,2,FALSE),0)</f>
        <v/>
      </c>
      <c r="AA241" s="3">
        <f>N(S241)*IFERROR(VLOOKUP($C241,Assumptions!$A$4:$G$7,3,FALSE),0)*Assumptions!$B$11</f>
        <v/>
      </c>
      <c r="AB241" s="3">
        <f>N(N241)*IFERROR(VLOOKUP($C241,Assumptions!$A$4:$G$7,4,FALSE),0)</f>
        <v/>
      </c>
      <c r="AC241" s="3">
        <f>IF(N(U241)=0,0,V241*IFERROR(VLOOKUP($C241,Assumptions!$A$4:$G$7,5,FALSE),0)*90/N(U241))</f>
        <v/>
      </c>
      <c r="AD241" s="3">
        <f>N(W241)</f>
        <v/>
      </c>
      <c r="AE241" s="3">
        <f>SUM(Y241:AD241)</f>
        <v/>
      </c>
      <c r="AF241" s="3">
        <f>N(AE241)*N(M241)/90</f>
        <v/>
      </c>
      <c r="AG241" s="3">
        <f>IFERROR(AF241-VLOOKUP($C241,Assumptions!$A$29:$C$32,3,FALSE),"")</f>
        <v/>
      </c>
      <c r="AH241" s="3">
        <f>IFERROR(AG241/F241,"")</f>
        <v/>
      </c>
      <c r="AI241">
        <f>IF(AND($E241=TRUE,$C241="GKP"),AF241,"")</f>
        <v/>
      </c>
      <c r="AJ241">
        <f>IF(AND($E241=TRUE,$C241="DEF"),AF241,"")</f>
        <v/>
      </c>
      <c r="AK241">
        <f>IF(AND($E241=TRUE,$C241="MID"),AF241,"")</f>
        <v/>
      </c>
      <c r="AL241">
        <f>IF(AND($E241=TRUE,$C241="FWD"),AF241,"")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b">
        <v>1</v>
      </c>
      <c r="F242" s="2" t="n">
        <v>5</v>
      </c>
      <c r="G242" t="inlineStr">
        <is>
          <t>a</t>
        </is>
      </c>
      <c r="I242" s="2" t="n">
        <v>1340</v>
      </c>
      <c r="J242" t="n">
        <v>53</v>
      </c>
      <c r="K242" s="3" t="n">
        <v>386</v>
      </c>
      <c r="L242" t="inlineStr">
        <is>
          <t>flat</t>
        </is>
      </c>
      <c r="M242" s="4" t="n">
        <v>1340</v>
      </c>
      <c r="N242" s="4" t="n">
        <v>0.237</v>
      </c>
      <c r="O242" s="3" t="n">
        <v>0.0905</v>
      </c>
      <c r="P242" t="inlineStr">
        <is>
          <t>adjusted xGOT</t>
        </is>
      </c>
      <c r="Q242" s="3" t="n">
        <v>1.021</v>
      </c>
      <c r="R242" s="3" t="n">
        <v>1.5</v>
      </c>
      <c r="S242" s="3" t="n">
        <v>0.008200000000000001</v>
      </c>
      <c r="T242" s="3" t="n">
        <v>8.977</v>
      </c>
      <c r="U242" s="4" t="n">
        <v>95.7</v>
      </c>
      <c r="V242" s="3">
        <f>IF(OR(N(T242)=0,N(U242)=0),0,1-POISSON(IFERROR(VLOOKUP($C242,Assumptions!$A$4:$G$7,7,FALSE),99)-1,N(T242)*N(U242)/90,TRUE))</f>
        <v/>
      </c>
      <c r="W242" s="3" t="n">
        <v>0.0672</v>
      </c>
      <c r="X242" s="3" t="n">
        <v>2.351</v>
      </c>
      <c r="Y242" s="3">
        <f>IF(X242="",IFERROR(VLOOKUP($C242,Assumptions!$A$4:$G$7,6,FALSE),0),X242)</f>
        <v/>
      </c>
      <c r="Z242" s="3">
        <f>N(O242)*IFERROR(VLOOKUP($C242,Assumptions!$A$4:$G$7,2,FALSE),0)</f>
        <v/>
      </c>
      <c r="AA242" s="3">
        <f>N(S242)*IFERROR(VLOOKUP($C242,Assumptions!$A$4:$G$7,3,FALSE),0)*Assumptions!$B$11</f>
        <v/>
      </c>
      <c r="AB242" s="3">
        <f>N(N242)*IFERROR(VLOOKUP($C242,Assumptions!$A$4:$G$7,4,FALSE),0)</f>
        <v/>
      </c>
      <c r="AC242" s="3">
        <f>IF(N(U242)=0,0,V242*IFERROR(VLOOKUP($C242,Assumptions!$A$4:$G$7,5,FALSE),0)*90/N(U242))</f>
        <v/>
      </c>
      <c r="AD242" s="3">
        <f>N(W242)</f>
        <v/>
      </c>
      <c r="AE242" s="3">
        <f>SUM(Y242:AD242)</f>
        <v/>
      </c>
      <c r="AF242" s="3">
        <f>N(AE242)*N(M242)/90</f>
        <v/>
      </c>
      <c r="AG242" s="3">
        <f>IFERROR(AF242-VLOOKUP($C242,Assumptions!$A$29:$C$32,3,FALSE),"")</f>
        <v/>
      </c>
      <c r="AH242" s="3">
        <f>IFERROR(AG242/F242,"")</f>
        <v/>
      </c>
      <c r="AI242">
        <f>IF(AND($E242=TRUE,$C242="GKP"),AF242,"")</f>
        <v/>
      </c>
      <c r="AJ242">
        <f>IF(AND($E242=TRUE,$C242="DEF"),AF242,"")</f>
        <v/>
      </c>
      <c r="AK242">
        <f>IF(AND($E242=TRUE,$C242="MID"),AF242,"")</f>
        <v/>
      </c>
      <c r="AL242">
        <f>IF(AND($E242=TRUE,$C242="FWD"),AF242,"")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b">
        <v>1</v>
      </c>
      <c r="F243" s="2" t="n">
        <v>4.5</v>
      </c>
      <c r="G243" t="inlineStr">
        <is>
          <t>a</t>
        </is>
      </c>
      <c r="I243" s="2" t="n">
        <v>977</v>
      </c>
      <c r="J243" t="n">
        <v>53</v>
      </c>
      <c r="K243" s="3" t="n">
        <v>808</v>
      </c>
      <c r="L243" t="inlineStr">
        <is>
          <t>flat</t>
        </is>
      </c>
      <c r="M243" s="4" t="n">
        <v>977</v>
      </c>
      <c r="N243" s="4" t="n">
        <v>0.21</v>
      </c>
      <c r="O243" s="3" t="n">
        <v>0.0164</v>
      </c>
      <c r="P243" t="inlineStr">
        <is>
          <t>adjusted xGOT</t>
        </is>
      </c>
      <c r="Q243" s="3" t="n">
        <v>0.9350000000000001</v>
      </c>
      <c r="R243" s="3" t="n">
        <v>0.9</v>
      </c>
      <c r="S243" s="3" t="n">
        <v>0.0258</v>
      </c>
      <c r="T243" s="3" t="n">
        <v>8.246</v>
      </c>
      <c r="U243" s="4" t="n">
        <v>88.8</v>
      </c>
      <c r="V243" s="3">
        <f>IF(OR(N(T243)=0,N(U243)=0),0,1-POISSON(IFERROR(VLOOKUP($C243,Assumptions!$A$4:$G$7,7,FALSE),99)-1,N(T243)*N(U243)/90,TRUE))</f>
        <v/>
      </c>
      <c r="W243" s="3" t="n">
        <v>0.5527</v>
      </c>
      <c r="X243" s="3" t="n">
        <v>2.764</v>
      </c>
      <c r="Y243" s="3">
        <f>IF(X243="",IFERROR(VLOOKUP($C243,Assumptions!$A$4:$G$7,6,FALSE),0),X243)</f>
        <v/>
      </c>
      <c r="Z243" s="3">
        <f>N(O243)*IFERROR(VLOOKUP($C243,Assumptions!$A$4:$G$7,2,FALSE),0)</f>
        <v/>
      </c>
      <c r="AA243" s="3">
        <f>N(S243)*IFERROR(VLOOKUP($C243,Assumptions!$A$4:$G$7,3,FALSE),0)*Assumptions!$B$11</f>
        <v/>
      </c>
      <c r="AB243" s="3">
        <f>N(N243)*IFERROR(VLOOKUP($C243,Assumptions!$A$4:$G$7,4,FALSE),0)</f>
        <v/>
      </c>
      <c r="AC243" s="3">
        <f>IF(N(U243)=0,0,V243*IFERROR(VLOOKUP($C243,Assumptions!$A$4:$G$7,5,FALSE),0)*90/N(U243))</f>
        <v/>
      </c>
      <c r="AD243" s="3">
        <f>N(W243)</f>
        <v/>
      </c>
      <c r="AE243" s="3">
        <f>SUM(Y243:AD243)</f>
        <v/>
      </c>
      <c r="AF243" s="3">
        <f>N(AE243)*N(M243)/90</f>
        <v/>
      </c>
      <c r="AG243" s="3">
        <f>IFERROR(AF243-VLOOKUP($C243,Assumptions!$A$29:$C$32,3,FALSE),"")</f>
        <v/>
      </c>
      <c r="AH243" s="3">
        <f>IFERROR(AG243/F243,"")</f>
        <v/>
      </c>
      <c r="AI243">
        <f>IF(AND($E243=TRUE,$C243="GKP"),AF243,"")</f>
        <v/>
      </c>
      <c r="AJ243">
        <f>IF(AND($E243=TRUE,$C243="DEF"),AF243,"")</f>
        <v/>
      </c>
      <c r="AK243">
        <f>IF(AND($E243=TRUE,$C243="MID"),AF243,"")</f>
        <v/>
      </c>
      <c r="AL243">
        <f>IF(AND($E243=TRUE,$C243="FWD"),AF243,"")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b">
        <v>1</v>
      </c>
      <c r="F244" s="2" t="n">
        <v>4.5</v>
      </c>
      <c r="G244" t="inlineStr">
        <is>
          <t>a</t>
        </is>
      </c>
      <c r="I244" s="2" t="n">
        <v>1322</v>
      </c>
      <c r="J244" t="n">
        <v>52</v>
      </c>
      <c r="K244" s="3" t="n">
        <v>1236</v>
      </c>
      <c r="L244" t="inlineStr">
        <is>
          <t>flat</t>
        </is>
      </c>
      <c r="M244" s="4" t="n">
        <v>1322</v>
      </c>
      <c r="N244" s="4" t="n">
        <v>0.263</v>
      </c>
      <c r="O244" s="3" t="n">
        <v>0.011</v>
      </c>
      <c r="P244" t="inlineStr">
        <is>
          <t>adjusted xGOT</t>
        </is>
      </c>
      <c r="Q244" s="3" t="n">
        <v>0.896</v>
      </c>
      <c r="R244" s="3" t="n">
        <v>2</v>
      </c>
      <c r="S244" s="3" t="n">
        <v>0.0291</v>
      </c>
      <c r="T244" s="3" t="n">
        <v>5.707</v>
      </c>
      <c r="U244" s="4" t="n">
        <v>94.40000000000001</v>
      </c>
      <c r="V244" s="3">
        <f>IF(OR(N(T244)=0,N(U244)=0),0,1-POISSON(IFERROR(VLOOKUP($C244,Assumptions!$A$4:$G$7,7,FALSE),99)-1,N(T244)*N(U244)/90,TRUE))</f>
        <v/>
      </c>
      <c r="W244" s="3" t="n">
        <v>0</v>
      </c>
      <c r="X244" s="3" t="n">
        <v>2.587</v>
      </c>
      <c r="Y244" s="3">
        <f>IF(X244="",IFERROR(VLOOKUP($C244,Assumptions!$A$4:$G$7,6,FALSE),0),X244)</f>
        <v/>
      </c>
      <c r="Z244" s="3">
        <f>N(O244)*IFERROR(VLOOKUP($C244,Assumptions!$A$4:$G$7,2,FALSE),0)</f>
        <v/>
      </c>
      <c r="AA244" s="3">
        <f>N(S244)*IFERROR(VLOOKUP($C244,Assumptions!$A$4:$G$7,3,FALSE),0)*Assumptions!$B$11</f>
        <v/>
      </c>
      <c r="AB244" s="3">
        <f>N(N244)*IFERROR(VLOOKUP($C244,Assumptions!$A$4:$G$7,4,FALSE),0)</f>
        <v/>
      </c>
      <c r="AC244" s="3">
        <f>IF(N(U244)=0,0,V244*IFERROR(VLOOKUP($C244,Assumptions!$A$4:$G$7,5,FALSE),0)*90/N(U244))</f>
        <v/>
      </c>
      <c r="AD244" s="3">
        <f>N(W244)</f>
        <v/>
      </c>
      <c r="AE244" s="3">
        <f>SUM(Y244:AD244)</f>
        <v/>
      </c>
      <c r="AF244" s="3">
        <f>N(AE244)*N(M244)/90</f>
        <v/>
      </c>
      <c r="AG244" s="3">
        <f>IFERROR(AF244-VLOOKUP($C244,Assumptions!$A$29:$C$32,3,FALSE),"")</f>
        <v/>
      </c>
      <c r="AH244" s="3">
        <f>IFERROR(AG244/F244,"")</f>
        <v/>
      </c>
      <c r="AI244">
        <f>IF(AND($E244=TRUE,$C244="GKP"),AF244,"")</f>
        <v/>
      </c>
      <c r="AJ244">
        <f>IF(AND($E244=TRUE,$C244="DEF"),AF244,"")</f>
        <v/>
      </c>
      <c r="AK244">
        <f>IF(AND($E244=TRUE,$C244="MID"),AF244,"")</f>
        <v/>
      </c>
      <c r="AL244">
        <f>IF(AND($E244=TRUE,$C244="FWD"),AF244,"")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b">
        <v>1</v>
      </c>
      <c r="F245" s="2" t="n">
        <v>5</v>
      </c>
      <c r="G245" t="inlineStr">
        <is>
          <t>d</t>
        </is>
      </c>
      <c r="H245" t="inlineStr">
        <is>
          <t>Thigh injury - 75% chance of playing</t>
        </is>
      </c>
      <c r="I245" s="2" t="n">
        <v>1229</v>
      </c>
      <c r="J245" t="n">
        <v>51</v>
      </c>
      <c r="K245" s="3" t="n">
        <v>3089</v>
      </c>
      <c r="L245" t="inlineStr">
        <is>
          <t>flat</t>
        </is>
      </c>
      <c r="M245" s="4" t="n">
        <v>1229</v>
      </c>
      <c r="N245" s="4" t="n">
        <v>0.21</v>
      </c>
      <c r="O245" s="3" t="n">
        <v>0.01</v>
      </c>
      <c r="P245" t="inlineStr">
        <is>
          <t>adjusted xGOT</t>
        </is>
      </c>
      <c r="Q245" s="3" t="n">
        <v>0.916</v>
      </c>
      <c r="R245" s="3" t="n">
        <v>1.9</v>
      </c>
      <c r="S245" s="3" t="n">
        <v>0.039</v>
      </c>
      <c r="T245" s="3" t="n">
        <v>7.688</v>
      </c>
      <c r="U245" s="4" t="n">
        <v>94.5</v>
      </c>
      <c r="V245" s="3">
        <f>IF(OR(N(T245)=0,N(U245)=0),0,1-POISSON(IFERROR(VLOOKUP($C245,Assumptions!$A$4:$G$7,7,FALSE),99)-1,N(T245)*N(U245)/90,TRUE))</f>
        <v/>
      </c>
      <c r="W245" s="3" t="n">
        <v>0.1465</v>
      </c>
      <c r="X245" s="3" t="n">
        <v>2.197</v>
      </c>
      <c r="Y245" s="3">
        <f>IF(X245="",IFERROR(VLOOKUP($C245,Assumptions!$A$4:$G$7,6,FALSE),0),X245)</f>
        <v/>
      </c>
      <c r="Z245" s="3">
        <f>N(O245)*IFERROR(VLOOKUP($C245,Assumptions!$A$4:$G$7,2,FALSE),0)</f>
        <v/>
      </c>
      <c r="AA245" s="3">
        <f>N(S245)*IFERROR(VLOOKUP($C245,Assumptions!$A$4:$G$7,3,FALSE),0)*Assumptions!$B$11</f>
        <v/>
      </c>
      <c r="AB245" s="3">
        <f>N(N245)*IFERROR(VLOOKUP($C245,Assumptions!$A$4:$G$7,4,FALSE),0)</f>
        <v/>
      </c>
      <c r="AC245" s="3">
        <f>IF(N(U245)=0,0,V245*IFERROR(VLOOKUP($C245,Assumptions!$A$4:$G$7,5,FALSE),0)*90/N(U245))</f>
        <v/>
      </c>
      <c r="AD245" s="3">
        <f>N(W245)</f>
        <v/>
      </c>
      <c r="AE245" s="3">
        <f>SUM(Y245:AD245)</f>
        <v/>
      </c>
      <c r="AF245" s="3">
        <f>N(AE245)*N(M245)/90</f>
        <v/>
      </c>
      <c r="AG245" s="3">
        <f>IFERROR(AF245-VLOOKUP($C245,Assumptions!$A$29:$C$32,3,FALSE),"")</f>
        <v/>
      </c>
      <c r="AH245" s="3">
        <f>IFERROR(AG245/F245,"")</f>
        <v/>
      </c>
      <c r="AI245">
        <f>IF(AND($E245=TRUE,$C245="GKP"),AF245,"")</f>
        <v/>
      </c>
      <c r="AJ245">
        <f>IF(AND($E245=TRUE,$C245="DEF"),AF245,"")</f>
        <v/>
      </c>
      <c r="AK245">
        <f>IF(AND($E245=TRUE,$C245="MID"),AF245,"")</f>
        <v/>
      </c>
      <c r="AL245">
        <f>IF(AND($E245=TRUE,$C245="FWD"),AF245,"")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b">
        <v>1</v>
      </c>
      <c r="F246" s="2" t="n">
        <v>5</v>
      </c>
      <c r="G246" t="inlineStr">
        <is>
          <t>a</t>
        </is>
      </c>
      <c r="I246" s="2" t="n">
        <v>1089</v>
      </c>
      <c r="J246" t="n">
        <v>51</v>
      </c>
      <c r="K246" s="3" t="n">
        <v>317</v>
      </c>
      <c r="L246" t="inlineStr">
        <is>
          <t>flat</t>
        </is>
      </c>
      <c r="M246" s="4" t="n">
        <v>1089</v>
      </c>
      <c r="N246" s="4" t="n">
        <v>0.21</v>
      </c>
      <c r="O246" s="3" t="n">
        <v>0.0693</v>
      </c>
      <c r="P246" t="inlineStr">
        <is>
          <t>adjusted xGOT</t>
        </is>
      </c>
      <c r="Q246" s="3" t="n">
        <v>0.865</v>
      </c>
      <c r="R246" s="3" t="n">
        <v>12</v>
      </c>
      <c r="S246" s="3" t="n">
        <v>0.0315</v>
      </c>
      <c r="T246" s="3" t="n">
        <v>8.779999999999999</v>
      </c>
      <c r="U246" s="4" t="n">
        <v>99</v>
      </c>
      <c r="V246" s="3">
        <f>IF(OR(N(T246)=0,N(U246)=0),0,1-POISSON(IFERROR(VLOOKUP($C246,Assumptions!$A$4:$G$7,7,FALSE),99)-1,N(T246)*N(U246)/90,TRUE))</f>
        <v/>
      </c>
      <c r="W246" s="3" t="n">
        <v>0</v>
      </c>
      <c r="X246" s="3" t="n">
        <v>2.231</v>
      </c>
      <c r="Y246" s="3">
        <f>IF(X246="",IFERROR(VLOOKUP($C246,Assumptions!$A$4:$G$7,6,FALSE),0),X246)</f>
        <v/>
      </c>
      <c r="Z246" s="3">
        <f>N(O246)*IFERROR(VLOOKUP($C246,Assumptions!$A$4:$G$7,2,FALSE),0)</f>
        <v/>
      </c>
      <c r="AA246" s="3">
        <f>N(S246)*IFERROR(VLOOKUP($C246,Assumptions!$A$4:$G$7,3,FALSE),0)*Assumptions!$B$11</f>
        <v/>
      </c>
      <c r="AB246" s="3">
        <f>N(N246)*IFERROR(VLOOKUP($C246,Assumptions!$A$4:$G$7,4,FALSE),0)</f>
        <v/>
      </c>
      <c r="AC246" s="3">
        <f>IF(N(U246)=0,0,V246*IFERROR(VLOOKUP($C246,Assumptions!$A$4:$G$7,5,FALSE),0)*90/N(U246))</f>
        <v/>
      </c>
      <c r="AD246" s="3">
        <f>N(W246)</f>
        <v/>
      </c>
      <c r="AE246" s="3">
        <f>SUM(Y246:AD246)</f>
        <v/>
      </c>
      <c r="AF246" s="3">
        <f>N(AE246)*N(M246)/90</f>
        <v/>
      </c>
      <c r="AG246" s="3">
        <f>IFERROR(AF246-VLOOKUP($C246,Assumptions!$A$29:$C$32,3,FALSE),"")</f>
        <v/>
      </c>
      <c r="AH246" s="3">
        <f>IFERROR(AG246/F246,"")</f>
        <v/>
      </c>
      <c r="AI246">
        <f>IF(AND($E246=TRUE,$C246="GKP"),AF246,"")</f>
        <v/>
      </c>
      <c r="AJ246">
        <f>IF(AND($E246=TRUE,$C246="DEF"),AF246,"")</f>
        <v/>
      </c>
      <c r="AK246">
        <f>IF(AND($E246=TRUE,$C246="MID"),AF246,"")</f>
        <v/>
      </c>
      <c r="AL246">
        <f>IF(AND($E246=TRUE,$C246="FWD"),AF246,"")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b">
        <v>1</v>
      </c>
      <c r="F247" s="2" t="n">
        <v>4.5</v>
      </c>
      <c r="G247" t="inlineStr">
        <is>
          <t>a</t>
        </is>
      </c>
      <c r="I247" s="2" t="n">
        <v>1322</v>
      </c>
      <c r="J247" t="n">
        <v>50</v>
      </c>
      <c r="K247" s="3" t="n">
        <v>1493</v>
      </c>
      <c r="L247" t="inlineStr">
        <is>
          <t>flat</t>
        </is>
      </c>
      <c r="M247" s="4" t="n">
        <v>1322</v>
      </c>
      <c r="N247" s="4" t="n">
        <v>0.237</v>
      </c>
      <c r="O247" s="3" t="n">
        <v>0.073</v>
      </c>
      <c r="P247" t="inlineStr">
        <is>
          <t>adjusted xGOT</t>
        </is>
      </c>
      <c r="Q247" s="3" t="n">
        <v>0.825</v>
      </c>
      <c r="R247" s="3" t="n">
        <v>3.2</v>
      </c>
      <c r="S247" s="3" t="n">
        <v>0.0384</v>
      </c>
      <c r="T247" s="3" t="n">
        <v>7.426</v>
      </c>
      <c r="U247" s="4" t="n">
        <v>88.09999999999999</v>
      </c>
      <c r="V247" s="3">
        <f>IF(OR(N(T247)=0,N(U247)=0),0,1-POISSON(IFERROR(VLOOKUP($C247,Assumptions!$A$4:$G$7,7,FALSE),99)-1,N(T247)*N(U247)/90,TRUE))</f>
        <v/>
      </c>
      <c r="W247" s="3" t="n">
        <v>0.2723</v>
      </c>
      <c r="X247" s="3" t="n">
        <v>2.11</v>
      </c>
      <c r="Y247" s="3">
        <f>IF(X247="",IFERROR(VLOOKUP($C247,Assumptions!$A$4:$G$7,6,FALSE),0),X247)</f>
        <v/>
      </c>
      <c r="Z247" s="3">
        <f>N(O247)*IFERROR(VLOOKUP($C247,Assumptions!$A$4:$G$7,2,FALSE),0)</f>
        <v/>
      </c>
      <c r="AA247" s="3">
        <f>N(S247)*IFERROR(VLOOKUP($C247,Assumptions!$A$4:$G$7,3,FALSE),0)*Assumptions!$B$11</f>
        <v/>
      </c>
      <c r="AB247" s="3">
        <f>N(N247)*IFERROR(VLOOKUP($C247,Assumptions!$A$4:$G$7,4,FALSE),0)</f>
        <v/>
      </c>
      <c r="AC247" s="3">
        <f>IF(N(U247)=0,0,V247*IFERROR(VLOOKUP($C247,Assumptions!$A$4:$G$7,5,FALSE),0)*90/N(U247))</f>
        <v/>
      </c>
      <c r="AD247" s="3">
        <f>N(W247)</f>
        <v/>
      </c>
      <c r="AE247" s="3">
        <f>SUM(Y247:AD247)</f>
        <v/>
      </c>
      <c r="AF247" s="3">
        <f>N(AE247)*N(M247)/90</f>
        <v/>
      </c>
      <c r="AG247" s="3">
        <f>IFERROR(AF247-VLOOKUP($C247,Assumptions!$A$29:$C$32,3,FALSE),"")</f>
        <v/>
      </c>
      <c r="AH247" s="3">
        <f>IFERROR(AG247/F247,"")</f>
        <v/>
      </c>
      <c r="AI247">
        <f>IF(AND($E247=TRUE,$C247="GKP"),AF247,"")</f>
        <v/>
      </c>
      <c r="AJ247">
        <f>IF(AND($E247=TRUE,$C247="DEF"),AF247,"")</f>
        <v/>
      </c>
      <c r="AK247">
        <f>IF(AND($E247=TRUE,$C247="MID"),AF247,"")</f>
        <v/>
      </c>
      <c r="AL247">
        <f>IF(AND($E247=TRUE,$C247="FWD"),AF247,"")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b">
        <v>1</v>
      </c>
      <c r="F248" s="2" t="n">
        <v>5.5</v>
      </c>
      <c r="G248" t="inlineStr">
        <is>
          <t>a</t>
        </is>
      </c>
      <c r="I248" s="2" t="n">
        <v>1167</v>
      </c>
      <c r="J248" t="n">
        <v>50</v>
      </c>
      <c r="K248" s="3" t="n">
        <v>2417</v>
      </c>
      <c r="L248" t="inlineStr">
        <is>
          <t>flat</t>
        </is>
      </c>
      <c r="M248" s="4" t="n">
        <v>1167</v>
      </c>
      <c r="N248" s="4" t="n">
        <v>0.237</v>
      </c>
      <c r="O248" s="3" t="n">
        <v>0.07969999999999999</v>
      </c>
      <c r="P248" t="inlineStr">
        <is>
          <t>adjusted xGOT</t>
        </is>
      </c>
      <c r="Q248" s="3" t="n">
        <v>0.983</v>
      </c>
      <c r="R248" s="3" t="n">
        <v>1</v>
      </c>
      <c r="S248" s="3" t="n">
        <v>0.1181</v>
      </c>
      <c r="T248" s="3" t="n">
        <v>7.851</v>
      </c>
      <c r="U248" s="4" t="n">
        <v>83.40000000000001</v>
      </c>
      <c r="V248" s="3">
        <f>IF(OR(N(T248)=0,N(U248)=0),0,1-POISSON(IFERROR(VLOOKUP($C248,Assumptions!$A$4:$G$7,7,FALSE),99)-1,N(T248)*N(U248)/90,TRUE))</f>
        <v/>
      </c>
      <c r="W248" s="3" t="n">
        <v>0.3085</v>
      </c>
      <c r="X248" s="3" t="n">
        <v>2.622</v>
      </c>
      <c r="Y248" s="3">
        <f>IF(X248="",IFERROR(VLOOKUP($C248,Assumptions!$A$4:$G$7,6,FALSE),0),X248)</f>
        <v/>
      </c>
      <c r="Z248" s="3">
        <f>N(O248)*IFERROR(VLOOKUP($C248,Assumptions!$A$4:$G$7,2,FALSE),0)</f>
        <v/>
      </c>
      <c r="AA248" s="3">
        <f>N(S248)*IFERROR(VLOOKUP($C248,Assumptions!$A$4:$G$7,3,FALSE),0)*Assumptions!$B$11</f>
        <v/>
      </c>
      <c r="AB248" s="3">
        <f>N(N248)*IFERROR(VLOOKUP($C248,Assumptions!$A$4:$G$7,4,FALSE),0)</f>
        <v/>
      </c>
      <c r="AC248" s="3">
        <f>IF(N(U248)=0,0,V248*IFERROR(VLOOKUP($C248,Assumptions!$A$4:$G$7,5,FALSE),0)*90/N(U248))</f>
        <v/>
      </c>
      <c r="AD248" s="3">
        <f>N(W248)</f>
        <v/>
      </c>
      <c r="AE248" s="3">
        <f>SUM(Y248:AD248)</f>
        <v/>
      </c>
      <c r="AF248" s="3">
        <f>N(AE248)*N(M248)/90</f>
        <v/>
      </c>
      <c r="AG248" s="3">
        <f>IFERROR(AF248-VLOOKUP($C248,Assumptions!$A$29:$C$32,3,FALSE),"")</f>
        <v/>
      </c>
      <c r="AH248" s="3">
        <f>IFERROR(AG248/F248,"")</f>
        <v/>
      </c>
      <c r="AI248">
        <f>IF(AND($E248=TRUE,$C248="GKP"),AF248,"")</f>
        <v/>
      </c>
      <c r="AJ248">
        <f>IF(AND($E248=TRUE,$C248="DEF"),AF248,"")</f>
        <v/>
      </c>
      <c r="AK248">
        <f>IF(AND($E248=TRUE,$C248="MID"),AF248,"")</f>
        <v/>
      </c>
      <c r="AL248">
        <f>IF(AND($E248=TRUE,$C248="FWD"),AF248,"")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b">
        <v>1</v>
      </c>
      <c r="F249" s="2" t="n">
        <v>4.5</v>
      </c>
      <c r="G249" t="inlineStr">
        <is>
          <t>a</t>
        </is>
      </c>
      <c r="I249" s="2" t="n">
        <v>1254</v>
      </c>
      <c r="J249" t="n">
        <v>49</v>
      </c>
      <c r="K249" s="3" t="n">
        <v>0</v>
      </c>
      <c r="L249" t="inlineStr">
        <is>
          <t>flat</t>
        </is>
      </c>
      <c r="M249" s="4" t="n">
        <v>1254</v>
      </c>
      <c r="N249" s="4" t="n">
        <v>0.237</v>
      </c>
      <c r="O249" s="3" t="n">
        <v>0.08019999999999999</v>
      </c>
      <c r="P249" t="inlineStr">
        <is>
          <t>adjusted xGOT</t>
        </is>
      </c>
      <c r="Q249" s="3" t="n">
        <v>1.015</v>
      </c>
      <c r="R249" s="3" t="n">
        <v>3.8</v>
      </c>
      <c r="S249" s="3" t="n">
        <v>0.0019</v>
      </c>
      <c r="T249" s="3" t="n">
        <v>6.815</v>
      </c>
      <c r="U249" s="4" t="n">
        <v>89.59999999999999</v>
      </c>
      <c r="V249" s="3">
        <f>IF(OR(N(T249)=0,N(U249)=0),0,1-POISSON(IFERROR(VLOOKUP($C249,Assumptions!$A$4:$G$7,7,FALSE),99)-1,N(T249)*N(U249)/90,TRUE))</f>
        <v/>
      </c>
      <c r="W249" s="3" t="n">
        <v>0</v>
      </c>
      <c r="X249" s="3" t="n">
        <v>2.01</v>
      </c>
      <c r="Y249" s="3">
        <f>IF(X249="",IFERROR(VLOOKUP($C249,Assumptions!$A$4:$G$7,6,FALSE),0),X249)</f>
        <v/>
      </c>
      <c r="Z249" s="3">
        <f>N(O249)*IFERROR(VLOOKUP($C249,Assumptions!$A$4:$G$7,2,FALSE),0)</f>
        <v/>
      </c>
      <c r="AA249" s="3">
        <f>N(S249)*IFERROR(VLOOKUP($C249,Assumptions!$A$4:$G$7,3,FALSE),0)*Assumptions!$B$11</f>
        <v/>
      </c>
      <c r="AB249" s="3">
        <f>N(N249)*IFERROR(VLOOKUP($C249,Assumptions!$A$4:$G$7,4,FALSE),0)</f>
        <v/>
      </c>
      <c r="AC249" s="3">
        <f>IF(N(U249)=0,0,V249*IFERROR(VLOOKUP($C249,Assumptions!$A$4:$G$7,5,FALSE),0)*90/N(U249))</f>
        <v/>
      </c>
      <c r="AD249" s="3">
        <f>N(W249)</f>
        <v/>
      </c>
      <c r="AE249" s="3">
        <f>SUM(Y249:AD249)</f>
        <v/>
      </c>
      <c r="AF249" s="3">
        <f>N(AE249)*N(M249)/90</f>
        <v/>
      </c>
      <c r="AG249" s="3">
        <f>IFERROR(AF249-VLOOKUP($C249,Assumptions!$A$29:$C$32,3,FALSE),"")</f>
        <v/>
      </c>
      <c r="AH249" s="3">
        <f>IFERROR(AG249/F249,"")</f>
        <v/>
      </c>
      <c r="AI249">
        <f>IF(AND($E249=TRUE,$C249="GKP"),AF249,"")</f>
        <v/>
      </c>
      <c r="AJ249">
        <f>IF(AND($E249=TRUE,$C249="DEF"),AF249,"")</f>
        <v/>
      </c>
      <c r="AK249">
        <f>IF(AND($E249=TRUE,$C249="MID"),AF249,"")</f>
        <v/>
      </c>
      <c r="AL249">
        <f>IF(AND($E249=TRUE,$C249="FWD"),AF249,"")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b">
        <v>1</v>
      </c>
      <c r="F250" s="2" t="n">
        <v>5.5</v>
      </c>
      <c r="G250" t="inlineStr">
        <is>
          <t>a</t>
        </is>
      </c>
      <c r="I250" s="2" t="n">
        <v>955</v>
      </c>
      <c r="J250" t="n">
        <v>49</v>
      </c>
      <c r="K250" s="3" t="n">
        <v>277</v>
      </c>
      <c r="L250" t="inlineStr">
        <is>
          <t>flat</t>
        </is>
      </c>
      <c r="M250" s="4" t="n">
        <v>955</v>
      </c>
      <c r="N250" s="4" t="n">
        <v>0.237</v>
      </c>
      <c r="O250" s="3" t="n">
        <v>0.1038</v>
      </c>
      <c r="P250" t="inlineStr">
        <is>
          <t>adjusted xGOT</t>
        </is>
      </c>
      <c r="Q250" s="3" t="n">
        <v>0.895</v>
      </c>
      <c r="R250" s="3" t="n">
        <v>1.9</v>
      </c>
      <c r="S250" s="3" t="n">
        <v>0.034</v>
      </c>
      <c r="T250" s="3" t="n">
        <v>7.932</v>
      </c>
      <c r="U250" s="4" t="n">
        <v>86.8</v>
      </c>
      <c r="V250" s="3">
        <f>IF(OR(N(T250)=0,N(U250)=0),0,1-POISSON(IFERROR(VLOOKUP($C250,Assumptions!$A$4:$G$7,7,FALSE),99)-1,N(T250)*N(U250)/90,TRUE))</f>
        <v/>
      </c>
      <c r="W250" s="3" t="n">
        <v>0.09420000000000001</v>
      </c>
      <c r="X250" s="3" t="n">
        <v>3.016</v>
      </c>
      <c r="Y250" s="3">
        <f>IF(X250="",IFERROR(VLOOKUP($C250,Assumptions!$A$4:$G$7,6,FALSE),0),X250)</f>
        <v/>
      </c>
      <c r="Z250" s="3">
        <f>N(O250)*IFERROR(VLOOKUP($C250,Assumptions!$A$4:$G$7,2,FALSE),0)</f>
        <v/>
      </c>
      <c r="AA250" s="3">
        <f>N(S250)*IFERROR(VLOOKUP($C250,Assumptions!$A$4:$G$7,3,FALSE),0)*Assumptions!$B$11</f>
        <v/>
      </c>
      <c r="AB250" s="3">
        <f>N(N250)*IFERROR(VLOOKUP($C250,Assumptions!$A$4:$G$7,4,FALSE),0)</f>
        <v/>
      </c>
      <c r="AC250" s="3">
        <f>IF(N(U250)=0,0,V250*IFERROR(VLOOKUP($C250,Assumptions!$A$4:$G$7,5,FALSE),0)*90/N(U250))</f>
        <v/>
      </c>
      <c r="AD250" s="3">
        <f>N(W250)</f>
        <v/>
      </c>
      <c r="AE250" s="3">
        <f>SUM(Y250:AD250)</f>
        <v/>
      </c>
      <c r="AF250" s="3">
        <f>N(AE250)*N(M250)/90</f>
        <v/>
      </c>
      <c r="AG250" s="3">
        <f>IFERROR(AF250-VLOOKUP($C250,Assumptions!$A$29:$C$32,3,FALSE),"")</f>
        <v/>
      </c>
      <c r="AH250" s="3">
        <f>IFERROR(AG250/F250,"")</f>
        <v/>
      </c>
      <c r="AI250">
        <f>IF(AND($E250=TRUE,$C250="GKP"),AF250,"")</f>
        <v/>
      </c>
      <c r="AJ250">
        <f>IF(AND($E250=TRUE,$C250="DEF"),AF250,"")</f>
        <v/>
      </c>
      <c r="AK250">
        <f>IF(AND($E250=TRUE,$C250="MID"),AF250,"")</f>
        <v/>
      </c>
      <c r="AL250">
        <f>IF(AND($E250=TRUE,$C250="FWD"),AF250,"")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b">
        <v>1</v>
      </c>
      <c r="F251" s="2" t="n">
        <v>5.5</v>
      </c>
      <c r="G251" t="inlineStr">
        <is>
          <t>a</t>
        </is>
      </c>
      <c r="I251" s="2" t="n">
        <v>1030</v>
      </c>
      <c r="J251" t="n">
        <v>49</v>
      </c>
      <c r="K251" s="3" t="n">
        <v>2519</v>
      </c>
      <c r="L251" t="inlineStr">
        <is>
          <t>flat</t>
        </is>
      </c>
      <c r="M251" s="4" t="n">
        <v>1030</v>
      </c>
      <c r="N251" s="4" t="n">
        <v>0.237</v>
      </c>
      <c r="O251" s="3" t="n">
        <v>0.1148</v>
      </c>
      <c r="P251" t="inlineStr">
        <is>
          <t>adjusted xGOT</t>
        </is>
      </c>
      <c r="Q251" s="3" t="n">
        <v>1.086</v>
      </c>
      <c r="R251" s="3" t="n">
        <v>1.2</v>
      </c>
      <c r="S251" s="3" t="n">
        <v>0.1184</v>
      </c>
      <c r="T251" s="3" t="n">
        <v>7.952</v>
      </c>
      <c r="U251" s="4" t="n">
        <v>114.4</v>
      </c>
      <c r="V251" s="3">
        <f>IF(OR(N(T251)=0,N(U251)=0),0,1-POISSON(IFERROR(VLOOKUP($C251,Assumptions!$A$4:$G$7,7,FALSE),99)-1,N(T251)*N(U251)/90,TRUE))</f>
        <v/>
      </c>
      <c r="W251" s="3" t="n">
        <v>0</v>
      </c>
      <c r="X251" s="3" t="n">
        <v>2.796</v>
      </c>
      <c r="Y251" s="3">
        <f>IF(X251="",IFERROR(VLOOKUP($C251,Assumptions!$A$4:$G$7,6,FALSE),0),X251)</f>
        <v/>
      </c>
      <c r="Z251" s="3">
        <f>N(O251)*IFERROR(VLOOKUP($C251,Assumptions!$A$4:$G$7,2,FALSE),0)</f>
        <v/>
      </c>
      <c r="AA251" s="3">
        <f>N(S251)*IFERROR(VLOOKUP($C251,Assumptions!$A$4:$G$7,3,FALSE),0)*Assumptions!$B$11</f>
        <v/>
      </c>
      <c r="AB251" s="3">
        <f>N(N251)*IFERROR(VLOOKUP($C251,Assumptions!$A$4:$G$7,4,FALSE),0)</f>
        <v/>
      </c>
      <c r="AC251" s="3">
        <f>IF(N(U251)=0,0,V251*IFERROR(VLOOKUP($C251,Assumptions!$A$4:$G$7,5,FALSE),0)*90/N(U251))</f>
        <v/>
      </c>
      <c r="AD251" s="3">
        <f>N(W251)</f>
        <v/>
      </c>
      <c r="AE251" s="3">
        <f>SUM(Y251:AD251)</f>
        <v/>
      </c>
      <c r="AF251" s="3">
        <f>N(AE251)*N(M251)/90</f>
        <v/>
      </c>
      <c r="AG251" s="3">
        <f>IFERROR(AF251-VLOOKUP($C251,Assumptions!$A$29:$C$32,3,FALSE),"")</f>
        <v/>
      </c>
      <c r="AH251" s="3">
        <f>IFERROR(AG251/F251,"")</f>
        <v/>
      </c>
      <c r="AI251">
        <f>IF(AND($E251=TRUE,$C251="GKP"),AF251,"")</f>
        <v/>
      </c>
      <c r="AJ251">
        <f>IF(AND($E251=TRUE,$C251="DEF"),AF251,"")</f>
        <v/>
      </c>
      <c r="AK251">
        <f>IF(AND($E251=TRUE,$C251="MID"),AF251,"")</f>
        <v/>
      </c>
      <c r="AL251">
        <f>IF(AND($E251=TRUE,$C251="FWD"),AF251,"")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b">
        <v>1</v>
      </c>
      <c r="F252" s="2" t="n">
        <v>5</v>
      </c>
      <c r="G252" t="inlineStr">
        <is>
          <t>a</t>
        </is>
      </c>
      <c r="I252" s="2" t="n">
        <v>1168</v>
      </c>
      <c r="J252" t="n">
        <v>48</v>
      </c>
      <c r="K252" s="3" t="n">
        <v>752</v>
      </c>
      <c r="L252" t="inlineStr">
        <is>
          <t>flat</t>
        </is>
      </c>
      <c r="M252" s="4" t="n">
        <v>1168</v>
      </c>
      <c r="N252" s="4" t="n">
        <v>0.237</v>
      </c>
      <c r="O252" s="3" t="n">
        <v>0.1147</v>
      </c>
      <c r="P252" t="inlineStr">
        <is>
          <t>adjusted xGOT</t>
        </is>
      </c>
      <c r="Q252" s="3" t="n">
        <v>1.012</v>
      </c>
      <c r="R252" s="3" t="n">
        <v>4.4</v>
      </c>
      <c r="S252" s="3" t="n">
        <v>0.079</v>
      </c>
      <c r="T252" s="3" t="n">
        <v>10.088</v>
      </c>
      <c r="U252" s="4" t="n">
        <v>68.7</v>
      </c>
      <c r="V252" s="3">
        <f>IF(OR(N(T252)=0,N(U252)=0),0,1-POISSON(IFERROR(VLOOKUP($C252,Assumptions!$A$4:$G$7,7,FALSE),99)-1,N(T252)*N(U252)/90,TRUE))</f>
        <v/>
      </c>
      <c r="W252" s="3" t="n">
        <v>0.2312</v>
      </c>
      <c r="X252" s="3" t="n">
        <v>2.697</v>
      </c>
      <c r="Y252" s="3">
        <f>IF(X252="",IFERROR(VLOOKUP($C252,Assumptions!$A$4:$G$7,6,FALSE),0),X252)</f>
        <v/>
      </c>
      <c r="Z252" s="3">
        <f>N(O252)*IFERROR(VLOOKUP($C252,Assumptions!$A$4:$G$7,2,FALSE),0)</f>
        <v/>
      </c>
      <c r="AA252" s="3">
        <f>N(S252)*IFERROR(VLOOKUP($C252,Assumptions!$A$4:$G$7,3,FALSE),0)*Assumptions!$B$11</f>
        <v/>
      </c>
      <c r="AB252" s="3">
        <f>N(N252)*IFERROR(VLOOKUP($C252,Assumptions!$A$4:$G$7,4,FALSE),0)</f>
        <v/>
      </c>
      <c r="AC252" s="3">
        <f>IF(N(U252)=0,0,V252*IFERROR(VLOOKUP($C252,Assumptions!$A$4:$G$7,5,FALSE),0)*90/N(U252))</f>
        <v/>
      </c>
      <c r="AD252" s="3">
        <f>N(W252)</f>
        <v/>
      </c>
      <c r="AE252" s="3">
        <f>SUM(Y252:AD252)</f>
        <v/>
      </c>
      <c r="AF252" s="3">
        <f>N(AE252)*N(M252)/90</f>
        <v/>
      </c>
      <c r="AG252" s="3">
        <f>IFERROR(AF252-VLOOKUP($C252,Assumptions!$A$29:$C$32,3,FALSE),"")</f>
        <v/>
      </c>
      <c r="AH252" s="3">
        <f>IFERROR(AG252/F252,"")</f>
        <v/>
      </c>
      <c r="AI252">
        <f>IF(AND($E252=TRUE,$C252="GKP"),AF252,"")</f>
        <v/>
      </c>
      <c r="AJ252">
        <f>IF(AND($E252=TRUE,$C252="DEF"),AF252,"")</f>
        <v/>
      </c>
      <c r="AK252">
        <f>IF(AND($E252=TRUE,$C252="MID"),AF252,"")</f>
        <v/>
      </c>
      <c r="AL252">
        <f>IF(AND($E252=TRUE,$C252="FWD"),AF252,"")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b">
        <v>1</v>
      </c>
      <c r="F253" s="2" t="n">
        <v>6</v>
      </c>
      <c r="G253" t="inlineStr">
        <is>
          <t>a</t>
        </is>
      </c>
      <c r="I253" s="2" t="n">
        <v>1302</v>
      </c>
      <c r="J253" t="n">
        <v>48</v>
      </c>
      <c r="K253" s="3" t="n">
        <v>1345</v>
      </c>
      <c r="L253" t="inlineStr">
        <is>
          <t>flat</t>
        </is>
      </c>
      <c r="M253" s="4" t="n">
        <v>1302</v>
      </c>
      <c r="N253" s="4" t="n">
        <v>0.21</v>
      </c>
      <c r="O253" s="3" t="n">
        <v>0.1268</v>
      </c>
      <c r="P253" t="inlineStr">
        <is>
          <t>adjusted xGOT</t>
        </is>
      </c>
      <c r="Q253" s="3" t="n">
        <v>1.112</v>
      </c>
      <c r="R253" s="3" t="n">
        <v>13.3</v>
      </c>
      <c r="S253" s="3" t="n">
        <v>0.1206</v>
      </c>
      <c r="T253" s="3" t="n">
        <v>5.502</v>
      </c>
      <c r="U253" s="4" t="n">
        <v>93</v>
      </c>
      <c r="V253" s="3">
        <f>IF(OR(N(T253)=0,N(U253)=0),0,1-POISSON(IFERROR(VLOOKUP($C253,Assumptions!$A$4:$G$7,7,FALSE),99)-1,N(T253)*N(U253)/90,TRUE))</f>
        <v/>
      </c>
      <c r="W253" s="3" t="n">
        <v>0</v>
      </c>
      <c r="X253" s="3" t="n">
        <v>2.972</v>
      </c>
      <c r="Y253" s="3">
        <f>IF(X253="",IFERROR(VLOOKUP($C253,Assumptions!$A$4:$G$7,6,FALSE),0),X253)</f>
        <v/>
      </c>
      <c r="Z253" s="3">
        <f>N(O253)*IFERROR(VLOOKUP($C253,Assumptions!$A$4:$G$7,2,FALSE),0)</f>
        <v/>
      </c>
      <c r="AA253" s="3">
        <f>N(S253)*IFERROR(VLOOKUP($C253,Assumptions!$A$4:$G$7,3,FALSE),0)*Assumptions!$B$11</f>
        <v/>
      </c>
      <c r="AB253" s="3">
        <f>N(N253)*IFERROR(VLOOKUP($C253,Assumptions!$A$4:$G$7,4,FALSE),0)</f>
        <v/>
      </c>
      <c r="AC253" s="3">
        <f>IF(N(U253)=0,0,V253*IFERROR(VLOOKUP($C253,Assumptions!$A$4:$G$7,5,FALSE),0)*90/N(U253))</f>
        <v/>
      </c>
      <c r="AD253" s="3">
        <f>N(W253)</f>
        <v/>
      </c>
      <c r="AE253" s="3">
        <f>SUM(Y253:AD253)</f>
        <v/>
      </c>
      <c r="AF253" s="3">
        <f>N(AE253)*N(M253)/90</f>
        <v/>
      </c>
      <c r="AG253" s="3">
        <f>IFERROR(AF253-VLOOKUP($C253,Assumptions!$A$29:$C$32,3,FALSE),"")</f>
        <v/>
      </c>
      <c r="AH253" s="3">
        <f>IFERROR(AG253/F253,"")</f>
        <v/>
      </c>
      <c r="AI253">
        <f>IF(AND($E253=TRUE,$C253="GKP"),AF253,"")</f>
        <v/>
      </c>
      <c r="AJ253">
        <f>IF(AND($E253=TRUE,$C253="DEF"),AF253,"")</f>
        <v/>
      </c>
      <c r="AK253">
        <f>IF(AND($E253=TRUE,$C253="MID"),AF253,"")</f>
        <v/>
      </c>
      <c r="AL253">
        <f>IF(AND($E253=TRUE,$C253="FWD"),AF253,"")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b">
        <v>1</v>
      </c>
      <c r="F254" s="2" t="n">
        <v>5</v>
      </c>
      <c r="G254" t="inlineStr">
        <is>
          <t>s</t>
        </is>
      </c>
      <c r="H254" t="inlineStr">
        <is>
          <t>Suspended until 29 Aug</t>
        </is>
      </c>
      <c r="I254" s="2" t="n">
        <v>978</v>
      </c>
      <c r="J254" t="n">
        <v>47</v>
      </c>
      <c r="K254" s="3" t="n">
        <v>406</v>
      </c>
      <c r="L254" t="inlineStr">
        <is>
          <t>flat</t>
        </is>
      </c>
      <c r="M254" s="4" t="n">
        <v>978</v>
      </c>
      <c r="N254" s="4" t="n">
        <v>0.29</v>
      </c>
      <c r="O254" s="3" t="n">
        <v>0.1653</v>
      </c>
      <c r="P254" t="inlineStr">
        <is>
          <t>adjusted xGOT</t>
        </is>
      </c>
      <c r="Q254" s="3" t="n">
        <v>0.992</v>
      </c>
      <c r="R254" s="3" t="n">
        <v>9.300000000000001</v>
      </c>
      <c r="S254" s="3" t="n">
        <v>0.1109</v>
      </c>
      <c r="T254" s="3" t="n">
        <v>10.156</v>
      </c>
      <c r="U254" s="4" t="n">
        <v>108.7</v>
      </c>
      <c r="V254" s="3">
        <f>IF(OR(N(T254)=0,N(U254)=0),0,1-POISSON(IFERROR(VLOOKUP($C254,Assumptions!$A$4:$G$7,7,FALSE),99)-1,N(T254)*N(U254)/90,TRUE))</f>
        <v/>
      </c>
      <c r="W254" s="3" t="n">
        <v>0.184</v>
      </c>
      <c r="X254" s="3" t="n">
        <v>3.037</v>
      </c>
      <c r="Y254" s="3">
        <f>IF(X254="",IFERROR(VLOOKUP($C254,Assumptions!$A$4:$G$7,6,FALSE),0),X254)</f>
        <v/>
      </c>
      <c r="Z254" s="3">
        <f>N(O254)*IFERROR(VLOOKUP($C254,Assumptions!$A$4:$G$7,2,FALSE),0)</f>
        <v/>
      </c>
      <c r="AA254" s="3">
        <f>N(S254)*IFERROR(VLOOKUP($C254,Assumptions!$A$4:$G$7,3,FALSE),0)*Assumptions!$B$11</f>
        <v/>
      </c>
      <c r="AB254" s="3">
        <f>N(N254)*IFERROR(VLOOKUP($C254,Assumptions!$A$4:$G$7,4,FALSE),0)</f>
        <v/>
      </c>
      <c r="AC254" s="3">
        <f>IF(N(U254)=0,0,V254*IFERROR(VLOOKUP($C254,Assumptions!$A$4:$G$7,5,FALSE),0)*90/N(U254))</f>
        <v/>
      </c>
      <c r="AD254" s="3">
        <f>N(W254)</f>
        <v/>
      </c>
      <c r="AE254" s="3">
        <f>SUM(Y254:AD254)</f>
        <v/>
      </c>
      <c r="AF254" s="3">
        <f>N(AE254)*N(M254)/90</f>
        <v/>
      </c>
      <c r="AG254" s="3">
        <f>IFERROR(AF254-VLOOKUP($C254,Assumptions!$A$29:$C$32,3,FALSE),"")</f>
        <v/>
      </c>
      <c r="AH254" s="3">
        <f>IFERROR(AG254/F254,"")</f>
        <v/>
      </c>
      <c r="AI254">
        <f>IF(AND($E254=TRUE,$C254="GKP"),AF254,"")</f>
        <v/>
      </c>
      <c r="AJ254">
        <f>IF(AND($E254=TRUE,$C254="DEF"),AF254,"")</f>
        <v/>
      </c>
      <c r="AK254">
        <f>IF(AND($E254=TRUE,$C254="MID"),AF254,"")</f>
        <v/>
      </c>
      <c r="AL254">
        <f>IF(AND($E254=TRUE,$C254="FWD"),AF254,"")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b">
        <v>1</v>
      </c>
      <c r="F255" s="2" t="n">
        <v>5</v>
      </c>
      <c r="G255" t="inlineStr">
        <is>
          <t>a</t>
        </is>
      </c>
      <c r="I255" s="2" t="n">
        <v>1247</v>
      </c>
      <c r="J255" t="n">
        <v>47</v>
      </c>
      <c r="K255" s="3" t="n">
        <v>2861</v>
      </c>
      <c r="L255" t="inlineStr">
        <is>
          <t>flat</t>
        </is>
      </c>
      <c r="M255" s="4" t="n">
        <v>1247</v>
      </c>
      <c r="N255" s="4" t="n">
        <v>0.21</v>
      </c>
      <c r="O255" s="3" t="n">
        <v>0.1349</v>
      </c>
      <c r="P255" t="inlineStr">
        <is>
          <t>adjusted xGOT</t>
        </is>
      </c>
      <c r="Q255" s="3" t="n">
        <v>0.9340000000000001</v>
      </c>
      <c r="R255" s="3" t="n">
        <v>2.1</v>
      </c>
      <c r="S255" s="3" t="n">
        <v>0.0566</v>
      </c>
      <c r="T255" s="3" t="n">
        <v>9.042</v>
      </c>
      <c r="U255" s="4" t="n">
        <v>95.90000000000001</v>
      </c>
      <c r="V255" s="3">
        <f>IF(OR(N(T255)=0,N(U255)=0),0,1-POISSON(IFERROR(VLOOKUP($C255,Assumptions!$A$4:$G$7,7,FALSE),99)-1,N(T255)*N(U255)/90,TRUE))</f>
        <v/>
      </c>
      <c r="W255" s="3" t="n">
        <v>0.2165</v>
      </c>
      <c r="X255" s="3" t="n">
        <v>2.743</v>
      </c>
      <c r="Y255" s="3">
        <f>IF(X255="",IFERROR(VLOOKUP($C255,Assumptions!$A$4:$G$7,6,FALSE),0),X255)</f>
        <v/>
      </c>
      <c r="Z255" s="3">
        <f>N(O255)*IFERROR(VLOOKUP($C255,Assumptions!$A$4:$G$7,2,FALSE),0)</f>
        <v/>
      </c>
      <c r="AA255" s="3">
        <f>N(S255)*IFERROR(VLOOKUP($C255,Assumptions!$A$4:$G$7,3,FALSE),0)*Assumptions!$B$11</f>
        <v/>
      </c>
      <c r="AB255" s="3">
        <f>N(N255)*IFERROR(VLOOKUP($C255,Assumptions!$A$4:$G$7,4,FALSE),0)</f>
        <v/>
      </c>
      <c r="AC255" s="3">
        <f>IF(N(U255)=0,0,V255*IFERROR(VLOOKUP($C255,Assumptions!$A$4:$G$7,5,FALSE),0)*90/N(U255))</f>
        <v/>
      </c>
      <c r="AD255" s="3">
        <f>N(W255)</f>
        <v/>
      </c>
      <c r="AE255" s="3">
        <f>SUM(Y255:AD255)</f>
        <v/>
      </c>
      <c r="AF255" s="3">
        <f>N(AE255)*N(M255)/90</f>
        <v/>
      </c>
      <c r="AG255" s="3">
        <f>IFERROR(AF255-VLOOKUP($C255,Assumptions!$A$29:$C$32,3,FALSE),"")</f>
        <v/>
      </c>
      <c r="AH255" s="3">
        <f>IFERROR(AG255/F255,"")</f>
        <v/>
      </c>
      <c r="AI255">
        <f>IF(AND($E255=TRUE,$C255="GKP"),AF255,"")</f>
        <v/>
      </c>
      <c r="AJ255">
        <f>IF(AND($E255=TRUE,$C255="DEF"),AF255,"")</f>
        <v/>
      </c>
      <c r="AK255">
        <f>IF(AND($E255=TRUE,$C255="MID"),AF255,"")</f>
        <v/>
      </c>
      <c r="AL255">
        <f>IF(AND($E255=TRUE,$C255="FWD"),AF255,"")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b">
        <v>1</v>
      </c>
      <c r="F256" s="2" t="n">
        <v>5</v>
      </c>
      <c r="G256" t="inlineStr">
        <is>
          <t>a</t>
        </is>
      </c>
      <c r="I256" s="2" t="n">
        <v>1275</v>
      </c>
      <c r="J256" t="n">
        <v>46</v>
      </c>
      <c r="K256" s="3" t="n">
        <v>130</v>
      </c>
      <c r="L256" t="inlineStr">
        <is>
          <t>flat</t>
        </is>
      </c>
      <c r="M256" s="4" t="n">
        <v>1275</v>
      </c>
      <c r="N256" s="4" t="n">
        <v>0.29</v>
      </c>
      <c r="O256" s="3" t="n">
        <v>0.0014</v>
      </c>
      <c r="P256" t="inlineStr">
        <is>
          <t>adjusted xGOT</t>
        </is>
      </c>
      <c r="Q256" s="3" t="n">
        <v>0.998</v>
      </c>
      <c r="R256" s="3" t="n">
        <v>0</v>
      </c>
      <c r="S256" s="3" t="n">
        <v>0.0097</v>
      </c>
      <c r="T256" s="3" t="n">
        <v>8.052</v>
      </c>
      <c r="U256" s="4" t="n">
        <v>85</v>
      </c>
      <c r="V256" s="3">
        <f>IF(OR(N(T256)=0,N(U256)=0),0,1-POISSON(IFERROR(VLOOKUP($C256,Assumptions!$A$4:$G$7,7,FALSE),99)-1,N(T256)*N(U256)/90,TRUE))</f>
        <v/>
      </c>
      <c r="W256" s="3" t="n">
        <v>0.1412</v>
      </c>
      <c r="X256" s="3" t="n">
        <v>2.188</v>
      </c>
      <c r="Y256" s="3">
        <f>IF(X256="",IFERROR(VLOOKUP($C256,Assumptions!$A$4:$G$7,6,FALSE),0),X256)</f>
        <v/>
      </c>
      <c r="Z256" s="3">
        <f>N(O256)*IFERROR(VLOOKUP($C256,Assumptions!$A$4:$G$7,2,FALSE),0)</f>
        <v/>
      </c>
      <c r="AA256" s="3">
        <f>N(S256)*IFERROR(VLOOKUP($C256,Assumptions!$A$4:$G$7,3,FALSE),0)*Assumptions!$B$11</f>
        <v/>
      </c>
      <c r="AB256" s="3">
        <f>N(N256)*IFERROR(VLOOKUP($C256,Assumptions!$A$4:$G$7,4,FALSE),0)</f>
        <v/>
      </c>
      <c r="AC256" s="3">
        <f>IF(N(U256)=0,0,V256*IFERROR(VLOOKUP($C256,Assumptions!$A$4:$G$7,5,FALSE),0)*90/N(U256))</f>
        <v/>
      </c>
      <c r="AD256" s="3">
        <f>N(W256)</f>
        <v/>
      </c>
      <c r="AE256" s="3">
        <f>SUM(Y256:AD256)</f>
        <v/>
      </c>
      <c r="AF256" s="3">
        <f>N(AE256)*N(M256)/90</f>
        <v/>
      </c>
      <c r="AG256" s="3">
        <f>IFERROR(AF256-VLOOKUP($C256,Assumptions!$A$29:$C$32,3,FALSE),"")</f>
        <v/>
      </c>
      <c r="AH256" s="3">
        <f>IFERROR(AG256/F256,"")</f>
        <v/>
      </c>
      <c r="AI256">
        <f>IF(AND($E256=TRUE,$C256="GKP"),AF256,"")</f>
        <v/>
      </c>
      <c r="AJ256">
        <f>IF(AND($E256=TRUE,$C256="DEF"),AF256,"")</f>
        <v/>
      </c>
      <c r="AK256">
        <f>IF(AND($E256=TRUE,$C256="MID"),AF256,"")</f>
        <v/>
      </c>
      <c r="AL256">
        <f>IF(AND($E256=TRUE,$C256="FWD"),AF256,"")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b">
        <v>1</v>
      </c>
      <c r="F257" s="2" t="n">
        <v>5.5</v>
      </c>
      <c r="G257" t="inlineStr">
        <is>
          <t>i</t>
        </is>
      </c>
      <c r="H257" t="inlineStr">
        <is>
          <t>Knee injury - Unknown return date</t>
        </is>
      </c>
      <c r="I257" s="2" t="n">
        <v>972</v>
      </c>
      <c r="J257" t="n">
        <v>46</v>
      </c>
      <c r="K257" s="3" t="n">
        <v>419</v>
      </c>
      <c r="L257" t="inlineStr">
        <is>
          <t>flat</t>
        </is>
      </c>
      <c r="M257" s="4" t="n">
        <v>972</v>
      </c>
      <c r="N257" s="4" t="n">
        <v>0.237</v>
      </c>
      <c r="O257" s="3" t="n">
        <v>0.1604</v>
      </c>
      <c r="P257" t="inlineStr">
        <is>
          <t>adjusted xGOT</t>
        </is>
      </c>
      <c r="Q257" s="3" t="n">
        <v>0.902</v>
      </c>
      <c r="R257" s="3" t="n">
        <v>6.3</v>
      </c>
      <c r="S257" s="3" t="n">
        <v>0.1464</v>
      </c>
      <c r="T257" s="3" t="n">
        <v>7.746</v>
      </c>
      <c r="U257" s="4" t="n">
        <v>97.2</v>
      </c>
      <c r="V257" s="3">
        <f>IF(OR(N(T257)=0,N(U257)=0),0,1-POISSON(IFERROR(VLOOKUP($C257,Assumptions!$A$4:$G$7,7,FALSE),99)-1,N(T257)*N(U257)/90,TRUE))</f>
        <v/>
      </c>
      <c r="W257" s="3" t="n">
        <v>0.5556</v>
      </c>
      <c r="X257" s="3" t="n">
        <v>2.963</v>
      </c>
      <c r="Y257" s="3">
        <f>IF(X257="",IFERROR(VLOOKUP($C257,Assumptions!$A$4:$G$7,6,FALSE),0),X257)</f>
        <v/>
      </c>
      <c r="Z257" s="3">
        <f>N(O257)*IFERROR(VLOOKUP($C257,Assumptions!$A$4:$G$7,2,FALSE),0)</f>
        <v/>
      </c>
      <c r="AA257" s="3">
        <f>N(S257)*IFERROR(VLOOKUP($C257,Assumptions!$A$4:$G$7,3,FALSE),0)*Assumptions!$B$11</f>
        <v/>
      </c>
      <c r="AB257" s="3">
        <f>N(N257)*IFERROR(VLOOKUP($C257,Assumptions!$A$4:$G$7,4,FALSE),0)</f>
        <v/>
      </c>
      <c r="AC257" s="3">
        <f>IF(N(U257)=0,0,V257*IFERROR(VLOOKUP($C257,Assumptions!$A$4:$G$7,5,FALSE),0)*90/N(U257))</f>
        <v/>
      </c>
      <c r="AD257" s="3">
        <f>N(W257)</f>
        <v/>
      </c>
      <c r="AE257" s="3">
        <f>SUM(Y257:AD257)</f>
        <v/>
      </c>
      <c r="AF257" s="3">
        <f>N(AE257)*N(M257)/90</f>
        <v/>
      </c>
      <c r="AG257" s="3">
        <f>IFERROR(AF257-VLOOKUP($C257,Assumptions!$A$29:$C$32,3,FALSE),"")</f>
        <v/>
      </c>
      <c r="AH257" s="3">
        <f>IFERROR(AG257/F257,"")</f>
        <v/>
      </c>
      <c r="AI257">
        <f>IF(AND($E257=TRUE,$C257="GKP"),AF257,"")</f>
        <v/>
      </c>
      <c r="AJ257">
        <f>IF(AND($E257=TRUE,$C257="DEF"),AF257,"")</f>
        <v/>
      </c>
      <c r="AK257">
        <f>IF(AND($E257=TRUE,$C257="MID"),AF257,"")</f>
        <v/>
      </c>
      <c r="AL257">
        <f>IF(AND($E257=TRUE,$C257="FWD"),AF257,"")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b">
        <v>1</v>
      </c>
      <c r="F258" s="2" t="n">
        <v>5.5</v>
      </c>
      <c r="G258" t="inlineStr">
        <is>
          <t>a</t>
        </is>
      </c>
      <c r="I258" s="2" t="n">
        <v>1092</v>
      </c>
      <c r="J258" t="n">
        <v>45</v>
      </c>
      <c r="K258" s="3" t="n">
        <v>21</v>
      </c>
      <c r="L258" t="inlineStr">
        <is>
          <t>flat</t>
        </is>
      </c>
      <c r="M258" s="4" t="n">
        <v>1092</v>
      </c>
      <c r="N258" s="4" t="n">
        <v>0.237</v>
      </c>
      <c r="O258" s="3" t="n">
        <v>0.3711</v>
      </c>
      <c r="P258" t="inlineStr">
        <is>
          <t>adjusted xGOT</t>
        </is>
      </c>
      <c r="Q258" s="3" t="n">
        <v>0.992</v>
      </c>
      <c r="R258" s="3" t="n">
        <v>14</v>
      </c>
      <c r="S258" s="3" t="n">
        <v>0.0165</v>
      </c>
      <c r="T258" s="3" t="n">
        <v>3.991</v>
      </c>
      <c r="U258" s="4" t="n">
        <v>91</v>
      </c>
      <c r="V258" s="3">
        <f>IF(OR(N(T258)=0,N(U258)=0),0,1-POISSON(IFERROR(VLOOKUP($C258,Assumptions!$A$4:$G$7,7,FALSE),99)-1,N(T258)*N(U258)/90,TRUE))</f>
        <v/>
      </c>
      <c r="W258" s="3" t="n">
        <v>0.0824</v>
      </c>
      <c r="X258" s="3" t="n">
        <v>3.132</v>
      </c>
      <c r="Y258" s="3">
        <f>IF(X258="",IFERROR(VLOOKUP($C258,Assumptions!$A$4:$G$7,6,FALSE),0),X258)</f>
        <v/>
      </c>
      <c r="Z258" s="3">
        <f>N(O258)*IFERROR(VLOOKUP($C258,Assumptions!$A$4:$G$7,2,FALSE),0)</f>
        <v/>
      </c>
      <c r="AA258" s="3">
        <f>N(S258)*IFERROR(VLOOKUP($C258,Assumptions!$A$4:$G$7,3,FALSE),0)*Assumptions!$B$11</f>
        <v/>
      </c>
      <c r="AB258" s="3">
        <f>N(N258)*IFERROR(VLOOKUP($C258,Assumptions!$A$4:$G$7,4,FALSE),0)</f>
        <v/>
      </c>
      <c r="AC258" s="3">
        <f>IF(N(U258)=0,0,V258*IFERROR(VLOOKUP($C258,Assumptions!$A$4:$G$7,5,FALSE),0)*90/N(U258))</f>
        <v/>
      </c>
      <c r="AD258" s="3">
        <f>N(W258)</f>
        <v/>
      </c>
      <c r="AE258" s="3">
        <f>SUM(Y258:AD258)</f>
        <v/>
      </c>
      <c r="AF258" s="3">
        <f>N(AE258)*N(M258)/90</f>
        <v/>
      </c>
      <c r="AG258" s="3">
        <f>IFERROR(AF258-VLOOKUP($C258,Assumptions!$A$29:$C$32,3,FALSE),"")</f>
        <v/>
      </c>
      <c r="AH258" s="3">
        <f>IFERROR(AG258/F258,"")</f>
        <v/>
      </c>
      <c r="AI258">
        <f>IF(AND($E258=TRUE,$C258="GKP"),AF258,"")</f>
        <v/>
      </c>
      <c r="AJ258">
        <f>IF(AND($E258=TRUE,$C258="DEF"),AF258,"")</f>
        <v/>
      </c>
      <c r="AK258">
        <f>IF(AND($E258=TRUE,$C258="MID"),AF258,"")</f>
        <v/>
      </c>
      <c r="AL258">
        <f>IF(AND($E258=TRUE,$C258="FWD"),AF258,"")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b">
        <v>1</v>
      </c>
      <c r="F259" s="2" t="n">
        <v>4.5</v>
      </c>
      <c r="G259" t="inlineStr">
        <is>
          <t>a</t>
        </is>
      </c>
      <c r="I259" s="2" t="n">
        <v>1560</v>
      </c>
      <c r="J259" t="n">
        <v>45</v>
      </c>
      <c r="K259" s="3" t="n">
        <v>1510</v>
      </c>
      <c r="L259" t="inlineStr">
        <is>
          <t>flat</t>
        </is>
      </c>
      <c r="M259" s="4" t="n">
        <v>1560</v>
      </c>
      <c r="N259" s="4" t="n">
        <v>0.316</v>
      </c>
      <c r="O259" s="3" t="n">
        <v>0.0549</v>
      </c>
      <c r="P259" t="inlineStr">
        <is>
          <t>adjusted xGOT</t>
        </is>
      </c>
      <c r="Q259" s="3" t="n">
        <v>0.857</v>
      </c>
      <c r="R259" s="3" t="n">
        <v>2.8</v>
      </c>
      <c r="S259" s="3" t="n">
        <v>0.1115</v>
      </c>
      <c r="T259" s="3" t="n">
        <v>8.551</v>
      </c>
      <c r="U259" s="4" t="n">
        <v>82.09999999999999</v>
      </c>
      <c r="V259" s="3">
        <f>IF(OR(N(T259)=0,N(U259)=0),0,1-POISSON(IFERROR(VLOOKUP($C259,Assumptions!$A$4:$G$7,7,FALSE),99)-1,N(T259)*N(U259)/90,TRUE))</f>
        <v/>
      </c>
      <c r="W259" s="3" t="n">
        <v>0</v>
      </c>
      <c r="X259" s="3" t="n">
        <v>2.538</v>
      </c>
      <c r="Y259" s="3">
        <f>IF(X259="",IFERROR(VLOOKUP($C259,Assumptions!$A$4:$G$7,6,FALSE),0),X259)</f>
        <v/>
      </c>
      <c r="Z259" s="3">
        <f>N(O259)*IFERROR(VLOOKUP($C259,Assumptions!$A$4:$G$7,2,FALSE),0)</f>
        <v/>
      </c>
      <c r="AA259" s="3">
        <f>N(S259)*IFERROR(VLOOKUP($C259,Assumptions!$A$4:$G$7,3,FALSE),0)*Assumptions!$B$11</f>
        <v/>
      </c>
      <c r="AB259" s="3">
        <f>N(N259)*IFERROR(VLOOKUP($C259,Assumptions!$A$4:$G$7,4,FALSE),0)</f>
        <v/>
      </c>
      <c r="AC259" s="3">
        <f>IF(N(U259)=0,0,V259*IFERROR(VLOOKUP($C259,Assumptions!$A$4:$G$7,5,FALSE),0)*90/N(U259))</f>
        <v/>
      </c>
      <c r="AD259" s="3">
        <f>N(W259)</f>
        <v/>
      </c>
      <c r="AE259" s="3">
        <f>SUM(Y259:AD259)</f>
        <v/>
      </c>
      <c r="AF259" s="3">
        <f>N(AE259)*N(M259)/90</f>
        <v/>
      </c>
      <c r="AG259" s="3">
        <f>IFERROR(AF259-VLOOKUP($C259,Assumptions!$A$29:$C$32,3,FALSE),"")</f>
        <v/>
      </c>
      <c r="AH259" s="3">
        <f>IFERROR(AG259/F259,"")</f>
        <v/>
      </c>
      <c r="AI259">
        <f>IF(AND($E259=TRUE,$C259="GKP"),AF259,"")</f>
        <v/>
      </c>
      <c r="AJ259">
        <f>IF(AND($E259=TRUE,$C259="DEF"),AF259,"")</f>
        <v/>
      </c>
      <c r="AK259">
        <f>IF(AND($E259=TRUE,$C259="MID"),AF259,"")</f>
        <v/>
      </c>
      <c r="AL259">
        <f>IF(AND($E259=TRUE,$C259="FWD"),AF259,"")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b">
        <v>1</v>
      </c>
      <c r="F260" s="2" t="n">
        <v>5.5</v>
      </c>
      <c r="G260" t="inlineStr">
        <is>
          <t>a</t>
        </is>
      </c>
      <c r="I260" s="2" t="n">
        <v>699</v>
      </c>
      <c r="J260" t="n">
        <v>45</v>
      </c>
      <c r="K260" s="3" t="n">
        <v>287</v>
      </c>
      <c r="L260" t="inlineStr">
        <is>
          <t>fade (losing his place)</t>
        </is>
      </c>
      <c r="M260" s="4" t="n">
        <v>699</v>
      </c>
      <c r="N260" s="4" t="n">
        <v>0.5</v>
      </c>
      <c r="O260" s="3" t="n">
        <v>0.0578</v>
      </c>
      <c r="P260" t="inlineStr">
        <is>
          <t>adjusted xGOT</t>
        </is>
      </c>
      <c r="Q260" s="3" t="n">
        <v>0.997</v>
      </c>
      <c r="R260" s="3" t="n">
        <v>3.4</v>
      </c>
      <c r="S260" s="3" t="n">
        <v>0.1447</v>
      </c>
      <c r="T260" s="3" t="n">
        <v>7.261</v>
      </c>
      <c r="U260" s="4" t="n">
        <v>77.7</v>
      </c>
      <c r="V260" s="3">
        <f>IF(OR(N(T260)=0,N(U260)=0),0,1-POISSON(IFERROR(VLOOKUP($C260,Assumptions!$A$4:$G$7,7,FALSE),99)-1,N(T260)*N(U260)/90,TRUE))</f>
        <v/>
      </c>
      <c r="W260" s="3" t="n">
        <v>0.3863</v>
      </c>
      <c r="X260" s="3" t="n">
        <v>2.446</v>
      </c>
      <c r="Y260" s="3">
        <f>IF(X260="",IFERROR(VLOOKUP($C260,Assumptions!$A$4:$G$7,6,FALSE),0),X260)</f>
        <v/>
      </c>
      <c r="Z260" s="3">
        <f>N(O260)*IFERROR(VLOOKUP($C260,Assumptions!$A$4:$G$7,2,FALSE),0)</f>
        <v/>
      </c>
      <c r="AA260" s="3">
        <f>N(S260)*IFERROR(VLOOKUP($C260,Assumptions!$A$4:$G$7,3,FALSE),0)*Assumptions!$B$11</f>
        <v/>
      </c>
      <c r="AB260" s="3">
        <f>N(N260)*IFERROR(VLOOKUP($C260,Assumptions!$A$4:$G$7,4,FALSE),0)</f>
        <v/>
      </c>
      <c r="AC260" s="3">
        <f>IF(N(U260)=0,0,V260*IFERROR(VLOOKUP($C260,Assumptions!$A$4:$G$7,5,FALSE),0)*90/N(U260))</f>
        <v/>
      </c>
      <c r="AD260" s="3">
        <f>N(W260)</f>
        <v/>
      </c>
      <c r="AE260" s="3">
        <f>SUM(Y260:AD260)</f>
        <v/>
      </c>
      <c r="AF260" s="3">
        <f>N(AE260)*N(M260)/90</f>
        <v/>
      </c>
      <c r="AG260" s="3">
        <f>IFERROR(AF260-VLOOKUP($C260,Assumptions!$A$29:$C$32,3,FALSE),"")</f>
        <v/>
      </c>
      <c r="AH260" s="3">
        <f>IFERROR(AG260/F260,"")</f>
        <v/>
      </c>
      <c r="AI260">
        <f>IF(AND($E260=TRUE,$C260="GKP"),AF260,"")</f>
        <v/>
      </c>
      <c r="AJ260">
        <f>IF(AND($E260=TRUE,$C260="DEF"),AF260,"")</f>
        <v/>
      </c>
      <c r="AK260">
        <f>IF(AND($E260=TRUE,$C260="MID"),AF260,"")</f>
        <v/>
      </c>
      <c r="AL260">
        <f>IF(AND($E260=TRUE,$C260="FWD"),AF260,"")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b">
        <v>1</v>
      </c>
      <c r="F261" s="2" t="n">
        <v>5.5</v>
      </c>
      <c r="G261" t="inlineStr">
        <is>
          <t>a</t>
        </is>
      </c>
      <c r="I261" s="2" t="n">
        <v>1183</v>
      </c>
      <c r="J261" t="n">
        <v>44</v>
      </c>
      <c r="K261" s="3" t="n">
        <v>1858</v>
      </c>
      <c r="L261" t="inlineStr">
        <is>
          <t>fade (losing his place)</t>
        </is>
      </c>
      <c r="M261" s="4" t="n">
        <v>1183</v>
      </c>
      <c r="N261" s="4" t="n">
        <v>0.237</v>
      </c>
      <c r="O261" s="3" t="n">
        <v>0.09180000000000001</v>
      </c>
      <c r="P261" t="inlineStr">
        <is>
          <t>adjusted xGOT</t>
        </is>
      </c>
      <c r="Q261" s="3" t="n">
        <v>0.982</v>
      </c>
      <c r="R261" s="3" t="n">
        <v>7.8</v>
      </c>
      <c r="S261" s="3" t="n">
        <v>0.0592</v>
      </c>
      <c r="T261" s="3" t="n">
        <v>9.109999999999999</v>
      </c>
      <c r="U261" s="4" t="n">
        <v>84.5</v>
      </c>
      <c r="V261" s="3">
        <f>IF(OR(N(T261)=0,N(U261)=0),0,1-POISSON(IFERROR(VLOOKUP($C261,Assumptions!$A$4:$G$7,7,FALSE),99)-1,N(T261)*N(U261)/90,TRUE))</f>
        <v/>
      </c>
      <c r="W261" s="3" t="n">
        <v>0.2282</v>
      </c>
      <c r="X261" s="3" t="n">
        <v>2.206</v>
      </c>
      <c r="Y261" s="3">
        <f>IF(X261="",IFERROR(VLOOKUP($C261,Assumptions!$A$4:$G$7,6,FALSE),0),X261)</f>
        <v/>
      </c>
      <c r="Z261" s="3">
        <f>N(O261)*IFERROR(VLOOKUP($C261,Assumptions!$A$4:$G$7,2,FALSE),0)</f>
        <v/>
      </c>
      <c r="AA261" s="3">
        <f>N(S261)*IFERROR(VLOOKUP($C261,Assumptions!$A$4:$G$7,3,FALSE),0)*Assumptions!$B$11</f>
        <v/>
      </c>
      <c r="AB261" s="3">
        <f>N(N261)*IFERROR(VLOOKUP($C261,Assumptions!$A$4:$G$7,4,FALSE),0)</f>
        <v/>
      </c>
      <c r="AC261" s="3">
        <f>IF(N(U261)=0,0,V261*IFERROR(VLOOKUP($C261,Assumptions!$A$4:$G$7,5,FALSE),0)*90/N(U261))</f>
        <v/>
      </c>
      <c r="AD261" s="3">
        <f>N(W261)</f>
        <v/>
      </c>
      <c r="AE261" s="3">
        <f>SUM(Y261:AD261)</f>
        <v/>
      </c>
      <c r="AF261" s="3">
        <f>N(AE261)*N(M261)/90</f>
        <v/>
      </c>
      <c r="AG261" s="3">
        <f>IFERROR(AF261-VLOOKUP($C261,Assumptions!$A$29:$C$32,3,FALSE),"")</f>
        <v/>
      </c>
      <c r="AH261" s="3">
        <f>IFERROR(AG261/F261,"")</f>
        <v/>
      </c>
      <c r="AI261">
        <f>IF(AND($E261=TRUE,$C261="GKP"),AF261,"")</f>
        <v/>
      </c>
      <c r="AJ261">
        <f>IF(AND($E261=TRUE,$C261="DEF"),AF261,"")</f>
        <v/>
      </c>
      <c r="AK261">
        <f>IF(AND($E261=TRUE,$C261="MID"),AF261,"")</f>
        <v/>
      </c>
      <c r="AL261">
        <f>IF(AND($E261=TRUE,$C261="FWD"),AF261,"")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b">
        <v>1</v>
      </c>
      <c r="F262" s="2" t="n">
        <v>5.5</v>
      </c>
      <c r="G262" t="inlineStr">
        <is>
          <t>a</t>
        </is>
      </c>
      <c r="I262" s="2" t="n">
        <v>909</v>
      </c>
      <c r="J262" t="n">
        <v>44</v>
      </c>
      <c r="K262" s="3" t="n">
        <v>832</v>
      </c>
      <c r="L262" t="inlineStr">
        <is>
          <t>flat</t>
        </is>
      </c>
      <c r="M262" s="4" t="n">
        <v>909</v>
      </c>
      <c r="N262" s="4" t="n">
        <v>0.316</v>
      </c>
      <c r="O262" s="3" t="n">
        <v>0.1551</v>
      </c>
      <c r="P262" t="inlineStr">
        <is>
          <t>adjusted xGOT</t>
        </is>
      </c>
      <c r="Q262" s="3" t="n">
        <v>1.004</v>
      </c>
      <c r="R262" s="3" t="n">
        <v>1.6</v>
      </c>
      <c r="S262" s="3" t="n">
        <v>0.1034</v>
      </c>
      <c r="T262" s="3" t="n">
        <v>8.377000000000001</v>
      </c>
      <c r="U262" s="4" t="n">
        <v>101</v>
      </c>
      <c r="V262" s="3">
        <f>IF(OR(N(T262)=0,N(U262)=0),0,1-POISSON(IFERROR(VLOOKUP($C262,Assumptions!$A$4:$G$7,7,FALSE),99)-1,N(T262)*N(U262)/90,TRUE))</f>
        <v/>
      </c>
      <c r="W262" s="3" t="n">
        <v>0</v>
      </c>
      <c r="X262" s="3" t="n">
        <v>2.772</v>
      </c>
      <c r="Y262" s="3">
        <f>IF(X262="",IFERROR(VLOOKUP($C262,Assumptions!$A$4:$G$7,6,FALSE),0),X262)</f>
        <v/>
      </c>
      <c r="Z262" s="3">
        <f>N(O262)*IFERROR(VLOOKUP($C262,Assumptions!$A$4:$G$7,2,FALSE),0)</f>
        <v/>
      </c>
      <c r="AA262" s="3">
        <f>N(S262)*IFERROR(VLOOKUP($C262,Assumptions!$A$4:$G$7,3,FALSE),0)*Assumptions!$B$11</f>
        <v/>
      </c>
      <c r="AB262" s="3">
        <f>N(N262)*IFERROR(VLOOKUP($C262,Assumptions!$A$4:$G$7,4,FALSE),0)</f>
        <v/>
      </c>
      <c r="AC262" s="3">
        <f>IF(N(U262)=0,0,V262*IFERROR(VLOOKUP($C262,Assumptions!$A$4:$G$7,5,FALSE),0)*90/N(U262))</f>
        <v/>
      </c>
      <c r="AD262" s="3">
        <f>N(W262)</f>
        <v/>
      </c>
      <c r="AE262" s="3">
        <f>SUM(Y262:AD262)</f>
        <v/>
      </c>
      <c r="AF262" s="3">
        <f>N(AE262)*N(M262)/90</f>
        <v/>
      </c>
      <c r="AG262" s="3">
        <f>IFERROR(AF262-VLOOKUP($C262,Assumptions!$A$29:$C$32,3,FALSE),"")</f>
        <v/>
      </c>
      <c r="AH262" s="3">
        <f>IFERROR(AG262/F262,"")</f>
        <v/>
      </c>
      <c r="AI262">
        <f>IF(AND($E262=TRUE,$C262="GKP"),AF262,"")</f>
        <v/>
      </c>
      <c r="AJ262">
        <f>IF(AND($E262=TRUE,$C262="DEF"),AF262,"")</f>
        <v/>
      </c>
      <c r="AK262">
        <f>IF(AND($E262=TRUE,$C262="MID"),AF262,"")</f>
        <v/>
      </c>
      <c r="AL262">
        <f>IF(AND($E262=TRUE,$C262="FWD"),AF262,"")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b">
        <v>1</v>
      </c>
      <c r="F263" s="2" t="n">
        <v>6.5</v>
      </c>
      <c r="G263" t="inlineStr">
        <is>
          <t>a</t>
        </is>
      </c>
      <c r="I263" s="2" t="n">
        <v>817</v>
      </c>
      <c r="J263" t="n">
        <v>43</v>
      </c>
      <c r="K263" s="3" t="n">
        <v>419</v>
      </c>
      <c r="L263" t="inlineStr">
        <is>
          <t>flat</t>
        </is>
      </c>
      <c r="M263" s="4" t="n">
        <v>817</v>
      </c>
      <c r="N263" s="4" t="n">
        <v>0.421</v>
      </c>
      <c r="O263" s="3" t="n">
        <v>0.2644</v>
      </c>
      <c r="P263" t="inlineStr">
        <is>
          <t>adjusted xGOT</t>
        </is>
      </c>
      <c r="Q263" s="3" t="n">
        <v>0.96</v>
      </c>
      <c r="R263" s="3" t="n">
        <v>7.5</v>
      </c>
      <c r="S263" s="3" t="n">
        <v>0.1389</v>
      </c>
      <c r="T263" s="3" t="n">
        <v>7.473</v>
      </c>
      <c r="U263" s="4" t="n">
        <v>116.7</v>
      </c>
      <c r="V263" s="3">
        <f>IF(OR(N(T263)=0,N(U263)=0),0,1-POISSON(IFERROR(VLOOKUP($C263,Assumptions!$A$4:$G$7,7,FALSE),99)-1,N(T263)*N(U263)/90,TRUE))</f>
        <v/>
      </c>
      <c r="W263" s="3" t="n">
        <v>0.1102</v>
      </c>
      <c r="X263" s="3" t="n">
        <v>3.305</v>
      </c>
      <c r="Y263" s="3">
        <f>IF(X263="",IFERROR(VLOOKUP($C263,Assumptions!$A$4:$G$7,6,FALSE),0),X263)</f>
        <v/>
      </c>
      <c r="Z263" s="3">
        <f>N(O263)*IFERROR(VLOOKUP($C263,Assumptions!$A$4:$G$7,2,FALSE),0)</f>
        <v/>
      </c>
      <c r="AA263" s="3">
        <f>N(S263)*IFERROR(VLOOKUP($C263,Assumptions!$A$4:$G$7,3,FALSE),0)*Assumptions!$B$11</f>
        <v/>
      </c>
      <c r="AB263" s="3">
        <f>N(N263)*IFERROR(VLOOKUP($C263,Assumptions!$A$4:$G$7,4,FALSE),0)</f>
        <v/>
      </c>
      <c r="AC263" s="3">
        <f>IF(N(U263)=0,0,V263*IFERROR(VLOOKUP($C263,Assumptions!$A$4:$G$7,5,FALSE),0)*90/N(U263))</f>
        <v/>
      </c>
      <c r="AD263" s="3">
        <f>N(W263)</f>
        <v/>
      </c>
      <c r="AE263" s="3">
        <f>SUM(Y263:AD263)</f>
        <v/>
      </c>
      <c r="AF263" s="3">
        <f>N(AE263)*N(M263)/90</f>
        <v/>
      </c>
      <c r="AG263" s="3">
        <f>IFERROR(AF263-VLOOKUP($C263,Assumptions!$A$29:$C$32,3,FALSE),"")</f>
        <v/>
      </c>
      <c r="AH263" s="3">
        <f>IFERROR(AG263/F263,"")</f>
        <v/>
      </c>
      <c r="AI263">
        <f>IF(AND($E263=TRUE,$C263="GKP"),AF263,"")</f>
        <v/>
      </c>
      <c r="AJ263">
        <f>IF(AND($E263=TRUE,$C263="DEF"),AF263,"")</f>
        <v/>
      </c>
      <c r="AK263">
        <f>IF(AND($E263=TRUE,$C263="MID"),AF263,"")</f>
        <v/>
      </c>
      <c r="AL263">
        <f>IF(AND($E263=TRUE,$C263="FWD"),AF263,"")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b">
        <v>1</v>
      </c>
      <c r="F264" s="2" t="n">
        <v>6</v>
      </c>
      <c r="G264" t="inlineStr">
        <is>
          <t>a</t>
        </is>
      </c>
      <c r="I264" s="2" t="n">
        <v>547</v>
      </c>
      <c r="J264" t="n">
        <v>43</v>
      </c>
      <c r="K264" s="3" t="n">
        <v>2269</v>
      </c>
      <c r="L264" t="inlineStr">
        <is>
          <t>flat</t>
        </is>
      </c>
      <c r="M264" s="4" t="n">
        <v>547</v>
      </c>
      <c r="N264" s="4" t="n">
        <v>0.263</v>
      </c>
      <c r="O264" s="3" t="n">
        <v>0.2336</v>
      </c>
      <c r="P264" t="inlineStr">
        <is>
          <t>adjusted xGOT</t>
        </is>
      </c>
      <c r="Q264" s="3" t="n">
        <v>1.06</v>
      </c>
      <c r="R264" s="3" t="n">
        <v>1.3</v>
      </c>
      <c r="S264" s="3" t="n">
        <v>0.3403</v>
      </c>
      <c r="T264" s="3" t="n">
        <v>7.005</v>
      </c>
      <c r="U264" s="4" t="n">
        <v>109.4</v>
      </c>
      <c r="V264" s="3">
        <f>IF(OR(N(T264)=0,N(U264)=0),0,1-POISSON(IFERROR(VLOOKUP($C264,Assumptions!$A$4:$G$7,7,FALSE),99)-1,N(T264)*N(U264)/90,TRUE))</f>
        <v/>
      </c>
      <c r="W264" s="3" t="n">
        <v>0.6581</v>
      </c>
      <c r="X264" s="3" t="n">
        <v>3.949</v>
      </c>
      <c r="Y264" s="3">
        <f>IF(X264="",IFERROR(VLOOKUP($C264,Assumptions!$A$4:$G$7,6,FALSE),0),X264)</f>
        <v/>
      </c>
      <c r="Z264" s="3">
        <f>N(O264)*IFERROR(VLOOKUP($C264,Assumptions!$A$4:$G$7,2,FALSE),0)</f>
        <v/>
      </c>
      <c r="AA264" s="3">
        <f>N(S264)*IFERROR(VLOOKUP($C264,Assumptions!$A$4:$G$7,3,FALSE),0)*Assumptions!$B$11</f>
        <v/>
      </c>
      <c r="AB264" s="3">
        <f>N(N264)*IFERROR(VLOOKUP($C264,Assumptions!$A$4:$G$7,4,FALSE),0)</f>
        <v/>
      </c>
      <c r="AC264" s="3">
        <f>IF(N(U264)=0,0,V264*IFERROR(VLOOKUP($C264,Assumptions!$A$4:$G$7,5,FALSE),0)*90/N(U264))</f>
        <v/>
      </c>
      <c r="AD264" s="3">
        <f>N(W264)</f>
        <v/>
      </c>
      <c r="AE264" s="3">
        <f>SUM(Y264:AD264)</f>
        <v/>
      </c>
      <c r="AF264" s="3">
        <f>N(AE264)*N(M264)/90</f>
        <v/>
      </c>
      <c r="AG264" s="3">
        <f>IFERROR(AF264-VLOOKUP($C264,Assumptions!$A$29:$C$32,3,FALSE),"")</f>
        <v/>
      </c>
      <c r="AH264" s="3">
        <f>IFERROR(AG264/F264,"")</f>
        <v/>
      </c>
      <c r="AI264">
        <f>IF(AND($E264=TRUE,$C264="GKP"),AF264,"")</f>
        <v/>
      </c>
      <c r="AJ264">
        <f>IF(AND($E264=TRUE,$C264="DEF"),AF264,"")</f>
        <v/>
      </c>
      <c r="AK264">
        <f>IF(AND($E264=TRUE,$C264="MID"),AF264,"")</f>
        <v/>
      </c>
      <c r="AL264">
        <f>IF(AND($E264=TRUE,$C264="FWD"),AF264,"")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b">
        <v>1</v>
      </c>
      <c r="F265" s="2" t="n">
        <v>5.5</v>
      </c>
      <c r="G265" t="inlineStr">
        <is>
          <t>a</t>
        </is>
      </c>
      <c r="I265" s="2" t="n">
        <v>480</v>
      </c>
      <c r="J265" t="n">
        <v>43</v>
      </c>
      <c r="K265" s="3" t="n">
        <v>72</v>
      </c>
      <c r="L265" t="inlineStr">
        <is>
          <t>flat</t>
        </is>
      </c>
      <c r="M265" s="4" t="n">
        <v>480</v>
      </c>
      <c r="N265" s="4" t="n">
        <v>0.237</v>
      </c>
      <c r="O265" s="3" t="n">
        <v>0.5998</v>
      </c>
      <c r="P265" t="inlineStr">
        <is>
          <t>adjusted xGOT</t>
        </is>
      </c>
      <c r="Q265" s="3" t="n">
        <v>0.869</v>
      </c>
      <c r="R265" s="3" t="n">
        <v>17.5</v>
      </c>
      <c r="S265" s="3" t="n">
        <v>0.1959</v>
      </c>
      <c r="T265" s="3" t="n">
        <v>4.826</v>
      </c>
      <c r="U265" s="4" t="n">
        <v>160</v>
      </c>
      <c r="V265" s="3">
        <f>IF(OR(N(T265)=0,N(U265)=0),0,1-POISSON(IFERROR(VLOOKUP($C265,Assumptions!$A$4:$G$7,7,FALSE),99)-1,N(T265)*N(U265)/90,TRUE))</f>
        <v/>
      </c>
      <c r="W265" s="3" t="n">
        <v>0.75</v>
      </c>
      <c r="X265" s="3" t="n">
        <v>3.562</v>
      </c>
      <c r="Y265" s="3">
        <f>IF(X265="",IFERROR(VLOOKUP($C265,Assumptions!$A$4:$G$7,6,FALSE),0),X265)</f>
        <v/>
      </c>
      <c r="Z265" s="3">
        <f>N(O265)*IFERROR(VLOOKUP($C265,Assumptions!$A$4:$G$7,2,FALSE),0)</f>
        <v/>
      </c>
      <c r="AA265" s="3">
        <f>N(S265)*IFERROR(VLOOKUP($C265,Assumptions!$A$4:$G$7,3,FALSE),0)*Assumptions!$B$11</f>
        <v/>
      </c>
      <c r="AB265" s="3">
        <f>N(N265)*IFERROR(VLOOKUP($C265,Assumptions!$A$4:$G$7,4,FALSE),0)</f>
        <v/>
      </c>
      <c r="AC265" s="3">
        <f>IF(N(U265)=0,0,V265*IFERROR(VLOOKUP($C265,Assumptions!$A$4:$G$7,5,FALSE),0)*90/N(U265))</f>
        <v/>
      </c>
      <c r="AD265" s="3">
        <f>N(W265)</f>
        <v/>
      </c>
      <c r="AE265" s="3">
        <f>SUM(Y265:AD265)</f>
        <v/>
      </c>
      <c r="AF265" s="3">
        <f>N(AE265)*N(M265)/90</f>
        <v/>
      </c>
      <c r="AG265" s="3">
        <f>IFERROR(AF265-VLOOKUP($C265,Assumptions!$A$29:$C$32,3,FALSE),"")</f>
        <v/>
      </c>
      <c r="AH265" s="3">
        <f>IFERROR(AG265/F265,"")</f>
        <v/>
      </c>
      <c r="AI265">
        <f>IF(AND($E265=TRUE,$C265="GKP"),AF265,"")</f>
        <v/>
      </c>
      <c r="AJ265">
        <f>IF(AND($E265=TRUE,$C265="DEF"),AF265,"")</f>
        <v/>
      </c>
      <c r="AK265">
        <f>IF(AND($E265=TRUE,$C265="MID"),AF265,"")</f>
        <v/>
      </c>
      <c r="AL265">
        <f>IF(AND($E265=TRUE,$C265="FWD"),AF265,"")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b">
        <v>1</v>
      </c>
      <c r="F266" s="2" t="n">
        <v>5</v>
      </c>
      <c r="G266" t="inlineStr">
        <is>
          <t>i</t>
        </is>
      </c>
      <c r="H266" t="inlineStr">
        <is>
          <t>Back injury - Unknown return date</t>
        </is>
      </c>
      <c r="I266" s="2" t="n">
        <v>1170</v>
      </c>
      <c r="J266" t="n">
        <v>43</v>
      </c>
      <c r="K266" s="3" t="n">
        <v>1026</v>
      </c>
      <c r="L266" t="inlineStr">
        <is>
          <t>flat</t>
        </is>
      </c>
      <c r="M266" s="4" t="n">
        <v>1170</v>
      </c>
      <c r="N266" s="4" t="n">
        <v>0.21</v>
      </c>
      <c r="O266" s="3" t="n">
        <v>0.1164</v>
      </c>
      <c r="P266" t="inlineStr">
        <is>
          <t>adjusted xGOT</t>
        </is>
      </c>
      <c r="Q266" s="3" t="n">
        <v>1.096</v>
      </c>
      <c r="R266" s="3" t="n">
        <v>3.9</v>
      </c>
      <c r="S266" s="3" t="n">
        <v>0.0484</v>
      </c>
      <c r="T266" s="3" t="n">
        <v>8.023</v>
      </c>
      <c r="U266" s="4" t="n">
        <v>90</v>
      </c>
      <c r="V266" s="3">
        <f>IF(OR(N(T266)=0,N(U266)=0),0,1-POISSON(IFERROR(VLOOKUP($C266,Assumptions!$A$4:$G$7,7,FALSE),99)-1,N(T266)*N(U266)/90,TRUE))</f>
        <v/>
      </c>
      <c r="W266" s="3" t="n">
        <v>0.2308</v>
      </c>
      <c r="X266" s="3" t="n">
        <v>2</v>
      </c>
      <c r="Y266" s="3">
        <f>IF(X266="",IFERROR(VLOOKUP($C266,Assumptions!$A$4:$G$7,6,FALSE),0),X266)</f>
        <v/>
      </c>
      <c r="Z266" s="3">
        <f>N(O266)*IFERROR(VLOOKUP($C266,Assumptions!$A$4:$G$7,2,FALSE),0)</f>
        <v/>
      </c>
      <c r="AA266" s="3">
        <f>N(S266)*IFERROR(VLOOKUP($C266,Assumptions!$A$4:$G$7,3,FALSE),0)*Assumptions!$B$11</f>
        <v/>
      </c>
      <c r="AB266" s="3">
        <f>N(N266)*IFERROR(VLOOKUP($C266,Assumptions!$A$4:$G$7,4,FALSE),0)</f>
        <v/>
      </c>
      <c r="AC266" s="3">
        <f>IF(N(U266)=0,0,V266*IFERROR(VLOOKUP($C266,Assumptions!$A$4:$G$7,5,FALSE),0)*90/N(U266))</f>
        <v/>
      </c>
      <c r="AD266" s="3">
        <f>N(W266)</f>
        <v/>
      </c>
      <c r="AE266" s="3">
        <f>SUM(Y266:AD266)</f>
        <v/>
      </c>
      <c r="AF266" s="3">
        <f>N(AE266)*N(M266)/90</f>
        <v/>
      </c>
      <c r="AG266" s="3">
        <f>IFERROR(AF266-VLOOKUP($C266,Assumptions!$A$29:$C$32,3,FALSE),"")</f>
        <v/>
      </c>
      <c r="AH266" s="3">
        <f>IFERROR(AG266/F266,"")</f>
        <v/>
      </c>
      <c r="AI266">
        <f>IF(AND($E266=TRUE,$C266="GKP"),AF266,"")</f>
        <v/>
      </c>
      <c r="AJ266">
        <f>IF(AND($E266=TRUE,$C266="DEF"),AF266,"")</f>
        <v/>
      </c>
      <c r="AK266">
        <f>IF(AND($E266=TRUE,$C266="MID"),AF266,"")</f>
        <v/>
      </c>
      <c r="AL266">
        <f>IF(AND($E266=TRUE,$C266="FWD"),AF266,"")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b">
        <v>1</v>
      </c>
      <c r="F267" s="2" t="n">
        <v>4.5</v>
      </c>
      <c r="G267" t="inlineStr">
        <is>
          <t>a</t>
        </is>
      </c>
      <c r="I267" s="2" t="n">
        <v>1440</v>
      </c>
      <c r="J267" t="n">
        <v>43</v>
      </c>
      <c r="K267" s="3" t="n">
        <v>35</v>
      </c>
      <c r="L267" t="inlineStr">
        <is>
          <t>flat</t>
        </is>
      </c>
      <c r="M267" s="4" t="n">
        <v>1440</v>
      </c>
      <c r="N267" s="4" t="n">
        <v>0.21</v>
      </c>
      <c r="O267" s="3" t="n">
        <v>0</v>
      </c>
      <c r="P267" t="inlineStr">
        <is>
          <t>blended xG</t>
        </is>
      </c>
      <c r="Q267" s="3" t="n">
        <v>1</v>
      </c>
      <c r="R267" s="3" t="n">
        <v>0</v>
      </c>
      <c r="S267" s="3" t="n">
        <v>0</v>
      </c>
      <c r="T267" s="3" t="n">
        <v>0</v>
      </c>
      <c r="U267" s="4" t="n">
        <v>90</v>
      </c>
      <c r="V267" s="3">
        <f>IF(OR(N(T267)=0,N(U267)=0),0,1-POISSON(IFERROR(VLOOKUP($C267,Assumptions!$A$4:$G$7,7,FALSE),99)-1,N(T267)*N(U267)/90,TRUE))</f>
        <v/>
      </c>
      <c r="W267" s="3" t="n">
        <v>0.1875</v>
      </c>
      <c r="X267" s="3" t="n">
        <v>2</v>
      </c>
      <c r="Y267" s="3">
        <f>IF(X267="",IFERROR(VLOOKUP($C267,Assumptions!$A$4:$G$7,6,FALSE),0),X267)</f>
        <v/>
      </c>
      <c r="Z267" s="3">
        <f>N(O267)*IFERROR(VLOOKUP($C267,Assumptions!$A$4:$G$7,2,FALSE),0)</f>
        <v/>
      </c>
      <c r="AA267" s="3">
        <f>N(S267)*IFERROR(VLOOKUP($C267,Assumptions!$A$4:$G$7,3,FALSE),0)*Assumptions!$B$11</f>
        <v/>
      </c>
      <c r="AB267" s="3">
        <f>N(N267)*IFERROR(VLOOKUP($C267,Assumptions!$A$4:$G$7,4,FALSE),0)</f>
        <v/>
      </c>
      <c r="AC267" s="3">
        <f>IF(N(U267)=0,0,V267*IFERROR(VLOOKUP($C267,Assumptions!$A$4:$G$7,5,FALSE),0)*90/N(U267))</f>
        <v/>
      </c>
      <c r="AD267" s="3">
        <f>N(W267)</f>
        <v/>
      </c>
      <c r="AE267" s="3">
        <f>SUM(Y267:AD267)</f>
        <v/>
      </c>
      <c r="AF267" s="3">
        <f>N(AE267)*N(M267)/90</f>
        <v/>
      </c>
      <c r="AG267" s="3">
        <f>IFERROR(AF267-VLOOKUP($C267,Assumptions!$A$29:$C$32,3,FALSE),"")</f>
        <v/>
      </c>
      <c r="AH267" s="3">
        <f>IFERROR(AG267/F267,"")</f>
        <v/>
      </c>
      <c r="AI267">
        <f>IF(AND($E267=TRUE,$C267="GKP"),AF267,"")</f>
        <v/>
      </c>
      <c r="AJ267">
        <f>IF(AND($E267=TRUE,$C267="DEF"),AF267,"")</f>
        <v/>
      </c>
      <c r="AK267">
        <f>IF(AND($E267=TRUE,$C267="MID"),AF267,"")</f>
        <v/>
      </c>
      <c r="AL267">
        <f>IF(AND($E267=TRUE,$C267="FWD"),AF267,"")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b">
        <v>1</v>
      </c>
      <c r="F268" s="2" t="n">
        <v>5.5</v>
      </c>
      <c r="G268" t="inlineStr">
        <is>
          <t>a</t>
        </is>
      </c>
      <c r="I268" s="2" t="n">
        <v>1030</v>
      </c>
      <c r="J268" t="n">
        <v>42</v>
      </c>
      <c r="K268" s="3" t="n">
        <v>2645</v>
      </c>
      <c r="L268" t="inlineStr">
        <is>
          <t>flat</t>
        </is>
      </c>
      <c r="M268" s="4" t="n">
        <v>1030</v>
      </c>
      <c r="N268" s="4" t="n">
        <v>0.237</v>
      </c>
      <c r="O268" s="3" t="n">
        <v>0.1206</v>
      </c>
      <c r="P268" t="inlineStr">
        <is>
          <t>adjusted xGOT</t>
        </is>
      </c>
      <c r="Q268" s="3" t="n">
        <v>0.9389999999999999</v>
      </c>
      <c r="R268" s="3" t="n">
        <v>3</v>
      </c>
      <c r="S268" s="3" t="n">
        <v>0.1799</v>
      </c>
      <c r="T268" s="3" t="n">
        <v>7.437</v>
      </c>
      <c r="U268" s="4" t="n">
        <v>93.59999999999999</v>
      </c>
      <c r="V268" s="3">
        <f>IF(OR(N(T268)=0,N(U268)=0),0,1-POISSON(IFERROR(VLOOKUP($C268,Assumptions!$A$4:$G$7,7,FALSE),99)-1,N(T268)*N(U268)/90,TRUE))</f>
        <v/>
      </c>
      <c r="W268" s="3" t="n">
        <v>0</v>
      </c>
      <c r="X268" s="3" t="n">
        <v>2.883</v>
      </c>
      <c r="Y268" s="3">
        <f>IF(X268="",IFERROR(VLOOKUP($C268,Assumptions!$A$4:$G$7,6,FALSE),0),X268)</f>
        <v/>
      </c>
      <c r="Z268" s="3">
        <f>N(O268)*IFERROR(VLOOKUP($C268,Assumptions!$A$4:$G$7,2,FALSE),0)</f>
        <v/>
      </c>
      <c r="AA268" s="3">
        <f>N(S268)*IFERROR(VLOOKUP($C268,Assumptions!$A$4:$G$7,3,FALSE),0)*Assumptions!$B$11</f>
        <v/>
      </c>
      <c r="AB268" s="3">
        <f>N(N268)*IFERROR(VLOOKUP($C268,Assumptions!$A$4:$G$7,4,FALSE),0)</f>
        <v/>
      </c>
      <c r="AC268" s="3">
        <f>IF(N(U268)=0,0,V268*IFERROR(VLOOKUP($C268,Assumptions!$A$4:$G$7,5,FALSE),0)*90/N(U268))</f>
        <v/>
      </c>
      <c r="AD268" s="3">
        <f>N(W268)</f>
        <v/>
      </c>
      <c r="AE268" s="3">
        <f>SUM(Y268:AD268)</f>
        <v/>
      </c>
      <c r="AF268" s="3">
        <f>N(AE268)*N(M268)/90</f>
        <v/>
      </c>
      <c r="AG268" s="3">
        <f>IFERROR(AF268-VLOOKUP($C268,Assumptions!$A$29:$C$32,3,FALSE),"")</f>
        <v/>
      </c>
      <c r="AH268" s="3">
        <f>IFERROR(AG268/F268,"")</f>
        <v/>
      </c>
      <c r="AI268">
        <f>IF(AND($E268=TRUE,$C268="GKP"),AF268,"")</f>
        <v/>
      </c>
      <c r="AJ268">
        <f>IF(AND($E268=TRUE,$C268="DEF"),AF268,"")</f>
        <v/>
      </c>
      <c r="AK268">
        <f>IF(AND($E268=TRUE,$C268="MID"),AF268,"")</f>
        <v/>
      </c>
      <c r="AL268">
        <f>IF(AND($E268=TRUE,$C268="FWD"),AF268,"")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b">
        <v>1</v>
      </c>
      <c r="F269" s="2" t="n">
        <v>4.5</v>
      </c>
      <c r="G269" t="inlineStr">
        <is>
          <t>a</t>
        </is>
      </c>
      <c r="I269" s="2" t="n">
        <v>920</v>
      </c>
      <c r="J269" t="n">
        <v>42</v>
      </c>
      <c r="K269" s="3" t="n">
        <v>176</v>
      </c>
      <c r="L269" t="inlineStr">
        <is>
          <t>fade (losing his place)</t>
        </is>
      </c>
      <c r="M269" s="4" t="n">
        <v>920</v>
      </c>
      <c r="N269" s="4" t="n">
        <v>0.21</v>
      </c>
      <c r="O269" s="3" t="n">
        <v>0.0315</v>
      </c>
      <c r="P269" t="inlineStr">
        <is>
          <t>adjusted xGOT</t>
        </is>
      </c>
      <c r="Q269" s="3" t="n">
        <v>0.946</v>
      </c>
      <c r="R269" s="3" t="n">
        <v>0.5</v>
      </c>
      <c r="S269" s="3" t="n">
        <v>0.0267</v>
      </c>
      <c r="T269" s="3" t="n">
        <v>8.478</v>
      </c>
      <c r="U269" s="4" t="n">
        <v>83.59999999999999</v>
      </c>
      <c r="V269" s="3">
        <f>IF(OR(N(T269)=0,N(U269)=0),0,1-POISSON(IFERROR(VLOOKUP($C269,Assumptions!$A$4:$G$7,7,FALSE),99)-1,N(T269)*N(U269)/90,TRUE))</f>
        <v/>
      </c>
      <c r="W269" s="3" t="n">
        <v>0</v>
      </c>
      <c r="X269" s="3" t="n">
        <v>2.641</v>
      </c>
      <c r="Y269" s="3">
        <f>IF(X269="",IFERROR(VLOOKUP($C269,Assumptions!$A$4:$G$7,6,FALSE),0),X269)</f>
        <v/>
      </c>
      <c r="Z269" s="3">
        <f>N(O269)*IFERROR(VLOOKUP($C269,Assumptions!$A$4:$G$7,2,FALSE),0)</f>
        <v/>
      </c>
      <c r="AA269" s="3">
        <f>N(S269)*IFERROR(VLOOKUP($C269,Assumptions!$A$4:$G$7,3,FALSE),0)*Assumptions!$B$11</f>
        <v/>
      </c>
      <c r="AB269" s="3">
        <f>N(N269)*IFERROR(VLOOKUP($C269,Assumptions!$A$4:$G$7,4,FALSE),0)</f>
        <v/>
      </c>
      <c r="AC269" s="3">
        <f>IF(N(U269)=0,0,V269*IFERROR(VLOOKUP($C269,Assumptions!$A$4:$G$7,5,FALSE),0)*90/N(U269))</f>
        <v/>
      </c>
      <c r="AD269" s="3">
        <f>N(W269)</f>
        <v/>
      </c>
      <c r="AE269" s="3">
        <f>SUM(Y269:AD269)</f>
        <v/>
      </c>
      <c r="AF269" s="3">
        <f>N(AE269)*N(M269)/90</f>
        <v/>
      </c>
      <c r="AG269" s="3">
        <f>IFERROR(AF269-VLOOKUP($C269,Assumptions!$A$29:$C$32,3,FALSE),"")</f>
        <v/>
      </c>
      <c r="AH269" s="3">
        <f>IFERROR(AG269/F269,"")</f>
        <v/>
      </c>
      <c r="AI269">
        <f>IF(AND($E269=TRUE,$C269="GKP"),AF269,"")</f>
        <v/>
      </c>
      <c r="AJ269">
        <f>IF(AND($E269=TRUE,$C269="DEF"),AF269,"")</f>
        <v/>
      </c>
      <c r="AK269">
        <f>IF(AND($E269=TRUE,$C269="MID"),AF269,"")</f>
        <v/>
      </c>
      <c r="AL269">
        <f>IF(AND($E269=TRUE,$C269="FWD"),AF269,"")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b">
        <v>1</v>
      </c>
      <c r="F270" s="2" t="n">
        <v>5</v>
      </c>
      <c r="G270" t="inlineStr">
        <is>
          <t>i</t>
        </is>
      </c>
      <c r="H270" t="inlineStr">
        <is>
          <t>Knee injury - Unknown return date</t>
        </is>
      </c>
      <c r="I270" s="2" t="n">
        <v>928</v>
      </c>
      <c r="J270" t="n">
        <v>42</v>
      </c>
      <c r="K270" s="3" t="n">
        <v>1328</v>
      </c>
      <c r="L270" t="inlineStr">
        <is>
          <t>ramp-up (injury / late WC return)</t>
        </is>
      </c>
      <c r="M270" s="4" t="n">
        <v>928</v>
      </c>
      <c r="N270" s="4" t="n">
        <v>0.263</v>
      </c>
      <c r="O270" s="3" t="n">
        <v>0.0185</v>
      </c>
      <c r="P270" t="inlineStr">
        <is>
          <t>adjusted xGOT</t>
        </is>
      </c>
      <c r="Q270" s="3" t="n">
        <v>1.062</v>
      </c>
      <c r="R270" s="3" t="n">
        <v>1.8</v>
      </c>
      <c r="S270" s="3" t="n">
        <v>0.09859999999999999</v>
      </c>
      <c r="T270" s="3" t="n">
        <v>6.907</v>
      </c>
      <c r="U270" s="4" t="n">
        <v>77.3</v>
      </c>
      <c r="V270" s="3">
        <f>IF(OR(N(T270)=0,N(U270)=0),0,1-POISSON(IFERROR(VLOOKUP($C270,Assumptions!$A$4:$G$7,7,FALSE),99)-1,N(T270)*N(U270)/90,TRUE))</f>
        <v/>
      </c>
      <c r="W270" s="3" t="n">
        <v>0</v>
      </c>
      <c r="X270" s="3" t="n">
        <v>2.328</v>
      </c>
      <c r="Y270" s="3">
        <f>IF(X270="",IFERROR(VLOOKUP($C270,Assumptions!$A$4:$G$7,6,FALSE),0),X270)</f>
        <v/>
      </c>
      <c r="Z270" s="3">
        <f>N(O270)*IFERROR(VLOOKUP($C270,Assumptions!$A$4:$G$7,2,FALSE),0)</f>
        <v/>
      </c>
      <c r="AA270" s="3">
        <f>N(S270)*IFERROR(VLOOKUP($C270,Assumptions!$A$4:$G$7,3,FALSE),0)*Assumptions!$B$11</f>
        <v/>
      </c>
      <c r="AB270" s="3">
        <f>N(N270)*IFERROR(VLOOKUP($C270,Assumptions!$A$4:$G$7,4,FALSE),0)</f>
        <v/>
      </c>
      <c r="AC270" s="3">
        <f>IF(N(U270)=0,0,V270*IFERROR(VLOOKUP($C270,Assumptions!$A$4:$G$7,5,FALSE),0)*90/N(U270))</f>
        <v/>
      </c>
      <c r="AD270" s="3">
        <f>N(W270)</f>
        <v/>
      </c>
      <c r="AE270" s="3">
        <f>SUM(Y270:AD270)</f>
        <v/>
      </c>
      <c r="AF270" s="3">
        <f>N(AE270)*N(M270)/90</f>
        <v/>
      </c>
      <c r="AG270" s="3">
        <f>IFERROR(AF270-VLOOKUP($C270,Assumptions!$A$29:$C$32,3,FALSE),"")</f>
        <v/>
      </c>
      <c r="AH270" s="3">
        <f>IFERROR(AG270/F270,"")</f>
        <v/>
      </c>
      <c r="AI270">
        <f>IF(AND($E270=TRUE,$C270="GKP"),AF270,"")</f>
        <v/>
      </c>
      <c r="AJ270">
        <f>IF(AND($E270=TRUE,$C270="DEF"),AF270,"")</f>
        <v/>
      </c>
      <c r="AK270">
        <f>IF(AND($E270=TRUE,$C270="MID"),AF270,"")</f>
        <v/>
      </c>
      <c r="AL270">
        <f>IF(AND($E270=TRUE,$C270="FWD"),AF270,"")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b">
        <v>1</v>
      </c>
      <c r="F271" s="2" t="n">
        <v>5.5</v>
      </c>
      <c r="G271" t="inlineStr">
        <is>
          <t>a</t>
        </is>
      </c>
      <c r="I271" s="2" t="n">
        <v>607</v>
      </c>
      <c r="J271" t="n">
        <v>42</v>
      </c>
      <c r="K271" s="3" t="n">
        <v>59</v>
      </c>
      <c r="L271" t="inlineStr">
        <is>
          <t>flat</t>
        </is>
      </c>
      <c r="M271" s="4" t="n">
        <v>607</v>
      </c>
      <c r="N271" s="4" t="n">
        <v>0.21</v>
      </c>
      <c r="O271" s="3" t="n">
        <v>0.4147</v>
      </c>
      <c r="P271" t="inlineStr">
        <is>
          <t>adjusted xGOT</t>
        </is>
      </c>
      <c r="Q271" s="3" t="n">
        <v>1.021</v>
      </c>
      <c r="R271" s="3" t="n">
        <v>7.4</v>
      </c>
      <c r="S271" s="3" t="n">
        <v>0.1154</v>
      </c>
      <c r="T271" s="3" t="n">
        <v>5.585</v>
      </c>
      <c r="U271" s="4" t="n">
        <v>121.4</v>
      </c>
      <c r="V271" s="3">
        <f>IF(OR(N(T271)=0,N(U271)=0),0,1-POISSON(IFERROR(VLOOKUP($C271,Assumptions!$A$4:$G$7,7,FALSE),99)-1,N(T271)*N(U271)/90,TRUE))</f>
        <v/>
      </c>
      <c r="W271" s="3" t="n">
        <v>0.8895999999999999</v>
      </c>
      <c r="X271" s="3" t="n">
        <v>4.152</v>
      </c>
      <c r="Y271" s="3">
        <f>IF(X271="",IFERROR(VLOOKUP($C271,Assumptions!$A$4:$G$7,6,FALSE),0),X271)</f>
        <v/>
      </c>
      <c r="Z271" s="3">
        <f>N(O271)*IFERROR(VLOOKUP($C271,Assumptions!$A$4:$G$7,2,FALSE),0)</f>
        <v/>
      </c>
      <c r="AA271" s="3">
        <f>N(S271)*IFERROR(VLOOKUP($C271,Assumptions!$A$4:$G$7,3,FALSE),0)*Assumptions!$B$11</f>
        <v/>
      </c>
      <c r="AB271" s="3">
        <f>N(N271)*IFERROR(VLOOKUP($C271,Assumptions!$A$4:$G$7,4,FALSE),0)</f>
        <v/>
      </c>
      <c r="AC271" s="3">
        <f>IF(N(U271)=0,0,V271*IFERROR(VLOOKUP($C271,Assumptions!$A$4:$G$7,5,FALSE),0)*90/N(U271))</f>
        <v/>
      </c>
      <c r="AD271" s="3">
        <f>N(W271)</f>
        <v/>
      </c>
      <c r="AE271" s="3">
        <f>SUM(Y271:AD271)</f>
        <v/>
      </c>
      <c r="AF271" s="3">
        <f>N(AE271)*N(M271)/90</f>
        <v/>
      </c>
      <c r="AG271" s="3">
        <f>IFERROR(AF271-VLOOKUP($C271,Assumptions!$A$29:$C$32,3,FALSE),"")</f>
        <v/>
      </c>
      <c r="AH271" s="3">
        <f>IFERROR(AG271/F271,"")</f>
        <v/>
      </c>
      <c r="AI271">
        <f>IF(AND($E271=TRUE,$C271="GKP"),AF271,"")</f>
        <v/>
      </c>
      <c r="AJ271">
        <f>IF(AND($E271=TRUE,$C271="DEF"),AF271,"")</f>
        <v/>
      </c>
      <c r="AK271">
        <f>IF(AND($E271=TRUE,$C271="MID"),AF271,"")</f>
        <v/>
      </c>
      <c r="AL271">
        <f>IF(AND($E271=TRUE,$C271="FWD"),AF271,"")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b">
        <v>1</v>
      </c>
      <c r="F272" s="2" t="n">
        <v>6</v>
      </c>
      <c r="G272" t="inlineStr">
        <is>
          <t>a</t>
        </is>
      </c>
      <c r="I272" s="2" t="n">
        <v>945</v>
      </c>
      <c r="J272" t="n">
        <v>41</v>
      </c>
      <c r="K272" s="3" t="n">
        <v>935</v>
      </c>
      <c r="L272" t="inlineStr">
        <is>
          <t>fade (losing his place)</t>
        </is>
      </c>
      <c r="M272" s="4" t="n">
        <v>945</v>
      </c>
      <c r="N272" s="4" t="n">
        <v>0.29</v>
      </c>
      <c r="O272" s="3" t="n">
        <v>0.2249</v>
      </c>
      <c r="P272" t="inlineStr">
        <is>
          <t>adjusted xGOT</t>
        </is>
      </c>
      <c r="Q272" s="3" t="n">
        <v>1.022</v>
      </c>
      <c r="R272" s="3" t="n">
        <v>18.1</v>
      </c>
      <c r="S272" s="3" t="n">
        <v>0.1831</v>
      </c>
      <c r="T272" s="3" t="n">
        <v>7.222</v>
      </c>
      <c r="U272" s="4" t="n">
        <v>94.5</v>
      </c>
      <c r="V272" s="3">
        <f>IF(OR(N(T272)=0,N(U272)=0),0,1-POISSON(IFERROR(VLOOKUP($C272,Assumptions!$A$4:$G$7,7,FALSE),99)-1,N(T272)*N(U272)/90,TRUE))</f>
        <v/>
      </c>
      <c r="W272" s="3" t="n">
        <v>0.2857</v>
      </c>
      <c r="X272" s="3" t="n">
        <v>2.762</v>
      </c>
      <c r="Y272" s="3">
        <f>IF(X272="",IFERROR(VLOOKUP($C272,Assumptions!$A$4:$G$7,6,FALSE),0),X272)</f>
        <v/>
      </c>
      <c r="Z272" s="3">
        <f>N(O272)*IFERROR(VLOOKUP($C272,Assumptions!$A$4:$G$7,2,FALSE),0)</f>
        <v/>
      </c>
      <c r="AA272" s="3">
        <f>N(S272)*IFERROR(VLOOKUP($C272,Assumptions!$A$4:$G$7,3,FALSE),0)*Assumptions!$B$11</f>
        <v/>
      </c>
      <c r="AB272" s="3">
        <f>N(N272)*IFERROR(VLOOKUP($C272,Assumptions!$A$4:$G$7,4,FALSE),0)</f>
        <v/>
      </c>
      <c r="AC272" s="3">
        <f>IF(N(U272)=0,0,V272*IFERROR(VLOOKUP($C272,Assumptions!$A$4:$G$7,5,FALSE),0)*90/N(U272))</f>
        <v/>
      </c>
      <c r="AD272" s="3">
        <f>N(W272)</f>
        <v/>
      </c>
      <c r="AE272" s="3">
        <f>SUM(Y272:AD272)</f>
        <v/>
      </c>
      <c r="AF272" s="3">
        <f>N(AE272)*N(M272)/90</f>
        <v/>
      </c>
      <c r="AG272" s="3">
        <f>IFERROR(AF272-VLOOKUP($C272,Assumptions!$A$29:$C$32,3,FALSE),"")</f>
        <v/>
      </c>
      <c r="AH272" s="3">
        <f>IFERROR(AG272/F272,"")</f>
        <v/>
      </c>
      <c r="AI272">
        <f>IF(AND($E272=TRUE,$C272="GKP"),AF272,"")</f>
        <v/>
      </c>
      <c r="AJ272">
        <f>IF(AND($E272=TRUE,$C272="DEF"),AF272,"")</f>
        <v/>
      </c>
      <c r="AK272">
        <f>IF(AND($E272=TRUE,$C272="MID"),AF272,"")</f>
        <v/>
      </c>
      <c r="AL272">
        <f>IF(AND($E272=TRUE,$C272="FWD"),AF272,"")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b">
        <v>1</v>
      </c>
      <c r="F273" s="2" t="n">
        <v>5</v>
      </c>
      <c r="G273" t="inlineStr">
        <is>
          <t>i</t>
        </is>
      </c>
      <c r="H273" t="inlineStr">
        <is>
          <t>Knee injury - Expected back 10 Oct</t>
        </is>
      </c>
      <c r="I273" s="2" t="n">
        <v>756</v>
      </c>
      <c r="J273" t="n">
        <v>41</v>
      </c>
      <c r="K273" s="3" t="n">
        <v>324</v>
      </c>
      <c r="L273" t="inlineStr">
        <is>
          <t>flat</t>
        </is>
      </c>
      <c r="M273" s="4" t="n">
        <v>756</v>
      </c>
      <c r="N273" s="4" t="n">
        <v>0.237</v>
      </c>
      <c r="O273" s="3" t="n">
        <v>0.1474</v>
      </c>
      <c r="P273" t="inlineStr">
        <is>
          <t>adjusted xGOT</t>
        </is>
      </c>
      <c r="Q273" s="3" t="n">
        <v>1.023</v>
      </c>
      <c r="R273" s="3" t="n">
        <v>4.4</v>
      </c>
      <c r="S273" s="3" t="n">
        <v>0.0892</v>
      </c>
      <c r="T273" s="3" t="n">
        <v>7.903</v>
      </c>
      <c r="U273" s="4" t="n">
        <v>126</v>
      </c>
      <c r="V273" s="3">
        <f>IF(OR(N(T273)=0,N(U273)=0),0,1-POISSON(IFERROR(VLOOKUP($C273,Assumptions!$A$4:$G$7,7,FALSE),99)-1,N(T273)*N(U273)/90,TRUE))</f>
        <v/>
      </c>
      <c r="W273" s="3" t="n">
        <v>0.119</v>
      </c>
      <c r="X273" s="3" t="n">
        <v>3.69</v>
      </c>
      <c r="Y273" s="3">
        <f>IF(X273="",IFERROR(VLOOKUP($C273,Assumptions!$A$4:$G$7,6,FALSE),0),X273)</f>
        <v/>
      </c>
      <c r="Z273" s="3">
        <f>N(O273)*IFERROR(VLOOKUP($C273,Assumptions!$A$4:$G$7,2,FALSE),0)</f>
        <v/>
      </c>
      <c r="AA273" s="3">
        <f>N(S273)*IFERROR(VLOOKUP($C273,Assumptions!$A$4:$G$7,3,FALSE),0)*Assumptions!$B$11</f>
        <v/>
      </c>
      <c r="AB273" s="3">
        <f>N(N273)*IFERROR(VLOOKUP($C273,Assumptions!$A$4:$G$7,4,FALSE),0)</f>
        <v/>
      </c>
      <c r="AC273" s="3">
        <f>IF(N(U273)=0,0,V273*IFERROR(VLOOKUP($C273,Assumptions!$A$4:$G$7,5,FALSE),0)*90/N(U273))</f>
        <v/>
      </c>
      <c r="AD273" s="3">
        <f>N(W273)</f>
        <v/>
      </c>
      <c r="AE273" s="3">
        <f>SUM(Y273:AD273)</f>
        <v/>
      </c>
      <c r="AF273" s="3">
        <f>N(AE273)*N(M273)/90</f>
        <v/>
      </c>
      <c r="AG273" s="3">
        <f>IFERROR(AF273-VLOOKUP($C273,Assumptions!$A$29:$C$32,3,FALSE),"")</f>
        <v/>
      </c>
      <c r="AH273" s="3">
        <f>IFERROR(AG273/F273,"")</f>
        <v/>
      </c>
      <c r="AI273">
        <f>IF(AND($E273=TRUE,$C273="GKP"),AF273,"")</f>
        <v/>
      </c>
      <c r="AJ273">
        <f>IF(AND($E273=TRUE,$C273="DEF"),AF273,"")</f>
        <v/>
      </c>
      <c r="AK273">
        <f>IF(AND($E273=TRUE,$C273="MID"),AF273,"")</f>
        <v/>
      </c>
      <c r="AL273">
        <f>IF(AND($E273=TRUE,$C273="FWD"),AF273,"")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b">
        <v>1</v>
      </c>
      <c r="F274" s="2" t="n">
        <v>6</v>
      </c>
      <c r="G274" t="inlineStr">
        <is>
          <t>a</t>
        </is>
      </c>
      <c r="I274" s="2" t="n">
        <v>896</v>
      </c>
      <c r="J274" t="n">
        <v>41</v>
      </c>
      <c r="K274" s="3" t="n">
        <v>523</v>
      </c>
      <c r="L274" t="inlineStr">
        <is>
          <t>flat</t>
        </is>
      </c>
      <c r="M274" s="4" t="n">
        <v>896</v>
      </c>
      <c r="N274" s="4" t="n">
        <v>0.237</v>
      </c>
      <c r="O274" s="3" t="n">
        <v>0.4327</v>
      </c>
      <c r="P274" t="inlineStr">
        <is>
          <t>adjusted xGOT</t>
        </is>
      </c>
      <c r="Q274" s="3" t="n">
        <v>1.004</v>
      </c>
      <c r="R274" s="3" t="n">
        <v>32.1</v>
      </c>
      <c r="S274" s="3" t="n">
        <v>0.0322</v>
      </c>
      <c r="T274" s="3" t="n">
        <v>3.751</v>
      </c>
      <c r="U274" s="4" t="n">
        <v>81.5</v>
      </c>
      <c r="V274" s="3">
        <f>IF(OR(N(T274)=0,N(U274)=0),0,1-POISSON(IFERROR(VLOOKUP($C274,Assumptions!$A$4:$G$7,7,FALSE),99)-1,N(T274)*N(U274)/90,TRUE))</f>
        <v/>
      </c>
      <c r="W274" s="3" t="n">
        <v>0.4018</v>
      </c>
      <c r="X274" s="3" t="n">
        <v>2.511</v>
      </c>
      <c r="Y274" s="3">
        <f>IF(X274="",IFERROR(VLOOKUP($C274,Assumptions!$A$4:$G$7,6,FALSE),0),X274)</f>
        <v/>
      </c>
      <c r="Z274" s="3">
        <f>N(O274)*IFERROR(VLOOKUP($C274,Assumptions!$A$4:$G$7,2,FALSE),0)</f>
        <v/>
      </c>
      <c r="AA274" s="3">
        <f>N(S274)*IFERROR(VLOOKUP($C274,Assumptions!$A$4:$G$7,3,FALSE),0)*Assumptions!$B$11</f>
        <v/>
      </c>
      <c r="AB274" s="3">
        <f>N(N274)*IFERROR(VLOOKUP($C274,Assumptions!$A$4:$G$7,4,FALSE),0)</f>
        <v/>
      </c>
      <c r="AC274" s="3">
        <f>IF(N(U274)=0,0,V274*IFERROR(VLOOKUP($C274,Assumptions!$A$4:$G$7,5,FALSE),0)*90/N(U274))</f>
        <v/>
      </c>
      <c r="AD274" s="3">
        <f>N(W274)</f>
        <v/>
      </c>
      <c r="AE274" s="3">
        <f>SUM(Y274:AD274)</f>
        <v/>
      </c>
      <c r="AF274" s="3">
        <f>N(AE274)*N(M274)/90</f>
        <v/>
      </c>
      <c r="AG274" s="3">
        <f>IFERROR(AF274-VLOOKUP($C274,Assumptions!$A$29:$C$32,3,FALSE),"")</f>
        <v/>
      </c>
      <c r="AH274" s="3">
        <f>IFERROR(AG274/F274,"")</f>
        <v/>
      </c>
      <c r="AI274">
        <f>IF(AND($E274=TRUE,$C274="GKP"),AF274,"")</f>
        <v/>
      </c>
      <c r="AJ274">
        <f>IF(AND($E274=TRUE,$C274="DEF"),AF274,"")</f>
        <v/>
      </c>
      <c r="AK274">
        <f>IF(AND($E274=TRUE,$C274="MID"),AF274,"")</f>
        <v/>
      </c>
      <c r="AL274">
        <f>IF(AND($E274=TRUE,$C274="FWD"),AF274,"")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b">
        <v>1</v>
      </c>
      <c r="F275" s="2" t="n">
        <v>9</v>
      </c>
      <c r="G275" t="inlineStr">
        <is>
          <t>a</t>
        </is>
      </c>
      <c r="I275" s="2" t="n">
        <v>694</v>
      </c>
      <c r="J275" t="n">
        <v>41</v>
      </c>
      <c r="K275" s="3" t="n">
        <v>2177</v>
      </c>
      <c r="L275" t="inlineStr">
        <is>
          <t>flat</t>
        </is>
      </c>
      <c r="M275" s="4" t="n">
        <v>694</v>
      </c>
      <c r="N275" s="4" t="n">
        <v>0.263</v>
      </c>
      <c r="O275" s="3" t="n">
        <v>0.3548</v>
      </c>
      <c r="P275" t="inlineStr">
        <is>
          <t>adjusted xGOT</t>
        </is>
      </c>
      <c r="Q275" s="3" t="n">
        <v>1.056</v>
      </c>
      <c r="R275" s="3" t="n">
        <v>51.2</v>
      </c>
      <c r="S275" s="3" t="n">
        <v>0.0601</v>
      </c>
      <c r="T275" s="3" t="n">
        <v>4.35</v>
      </c>
      <c r="U275" s="4" t="n">
        <v>86.8</v>
      </c>
      <c r="V275" s="3">
        <f>IF(OR(N(T275)=0,N(U275)=0),0,1-POISSON(IFERROR(VLOOKUP($C275,Assumptions!$A$4:$G$7,7,FALSE),99)-1,N(T275)*N(U275)/90,TRUE))</f>
        <v/>
      </c>
      <c r="W275" s="3" t="n">
        <v>0.5187</v>
      </c>
      <c r="X275" s="3" t="n">
        <v>2.853</v>
      </c>
      <c r="Y275" s="3">
        <f>IF(X275="",IFERROR(VLOOKUP($C275,Assumptions!$A$4:$G$7,6,FALSE),0),X275)</f>
        <v/>
      </c>
      <c r="Z275" s="3">
        <f>N(O275)*IFERROR(VLOOKUP($C275,Assumptions!$A$4:$G$7,2,FALSE),0)</f>
        <v/>
      </c>
      <c r="AA275" s="3">
        <f>N(S275)*IFERROR(VLOOKUP($C275,Assumptions!$A$4:$G$7,3,FALSE),0)*Assumptions!$B$11</f>
        <v/>
      </c>
      <c r="AB275" s="3">
        <f>N(N275)*IFERROR(VLOOKUP($C275,Assumptions!$A$4:$G$7,4,FALSE),0)</f>
        <v/>
      </c>
      <c r="AC275" s="3">
        <f>IF(N(U275)=0,0,V275*IFERROR(VLOOKUP($C275,Assumptions!$A$4:$G$7,5,FALSE),0)*90/N(U275))</f>
        <v/>
      </c>
      <c r="AD275" s="3">
        <f>N(W275)</f>
        <v/>
      </c>
      <c r="AE275" s="3">
        <f>SUM(Y275:AD275)</f>
        <v/>
      </c>
      <c r="AF275" s="3">
        <f>N(AE275)*N(M275)/90</f>
        <v/>
      </c>
      <c r="AG275" s="3">
        <f>IFERROR(AF275-VLOOKUP($C275,Assumptions!$A$29:$C$32,3,FALSE),"")</f>
        <v/>
      </c>
      <c r="AH275" s="3">
        <f>IFERROR(AG275/F275,"")</f>
        <v/>
      </c>
      <c r="AI275">
        <f>IF(AND($E275=TRUE,$C275="GKP"),AF275,"")</f>
        <v/>
      </c>
      <c r="AJ275">
        <f>IF(AND($E275=TRUE,$C275="DEF"),AF275,"")</f>
        <v/>
      </c>
      <c r="AK275">
        <f>IF(AND($E275=TRUE,$C275="MID"),AF275,"")</f>
        <v/>
      </c>
      <c r="AL275">
        <f>IF(AND($E275=TRUE,$C275="FWD"),AF275,"")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b">
        <v>1</v>
      </c>
      <c r="F276" s="2" t="n">
        <v>5</v>
      </c>
      <c r="G276" t="inlineStr">
        <is>
          <t>a</t>
        </is>
      </c>
      <c r="I276" s="2" t="n">
        <v>1042</v>
      </c>
      <c r="J276" t="n">
        <v>40</v>
      </c>
      <c r="K276" s="3" t="n">
        <v>272</v>
      </c>
      <c r="L276" t="inlineStr">
        <is>
          <t>flat</t>
        </is>
      </c>
      <c r="M276" s="4" t="n">
        <v>1042</v>
      </c>
      <c r="N276" s="4" t="n">
        <v>0.237</v>
      </c>
      <c r="O276" s="3" t="n">
        <v>0</v>
      </c>
      <c r="P276" t="inlineStr">
        <is>
          <t>adjusted xGOT</t>
        </is>
      </c>
      <c r="Q276" s="3" t="n">
        <v>1.008</v>
      </c>
      <c r="R276" s="3" t="n">
        <v>0</v>
      </c>
      <c r="S276" s="3" t="n">
        <v>0.0104</v>
      </c>
      <c r="T276" s="3" t="n">
        <v>6.205</v>
      </c>
      <c r="U276" s="4" t="n">
        <v>94.7</v>
      </c>
      <c r="V276" s="3">
        <f>IF(OR(N(T276)=0,N(U276)=0),0,1-POISSON(IFERROR(VLOOKUP($C276,Assumptions!$A$4:$G$7,7,FALSE),99)-1,N(T276)*N(U276)/90,TRUE))</f>
        <v/>
      </c>
      <c r="W276" s="3" t="n">
        <v>0.3455</v>
      </c>
      <c r="X276" s="3" t="n">
        <v>3.282</v>
      </c>
      <c r="Y276" s="3">
        <f>IF(X276="",IFERROR(VLOOKUP($C276,Assumptions!$A$4:$G$7,6,FALSE),0),X276)</f>
        <v/>
      </c>
      <c r="Z276" s="3">
        <f>N(O276)*IFERROR(VLOOKUP($C276,Assumptions!$A$4:$G$7,2,FALSE),0)</f>
        <v/>
      </c>
      <c r="AA276" s="3">
        <f>N(S276)*IFERROR(VLOOKUP($C276,Assumptions!$A$4:$G$7,3,FALSE),0)*Assumptions!$B$11</f>
        <v/>
      </c>
      <c r="AB276" s="3">
        <f>N(N276)*IFERROR(VLOOKUP($C276,Assumptions!$A$4:$G$7,4,FALSE),0)</f>
        <v/>
      </c>
      <c r="AC276" s="3">
        <f>IF(N(U276)=0,0,V276*IFERROR(VLOOKUP($C276,Assumptions!$A$4:$G$7,5,FALSE),0)*90/N(U276))</f>
        <v/>
      </c>
      <c r="AD276" s="3">
        <f>N(W276)</f>
        <v/>
      </c>
      <c r="AE276" s="3">
        <f>SUM(Y276:AD276)</f>
        <v/>
      </c>
      <c r="AF276" s="3">
        <f>N(AE276)*N(M276)/90</f>
        <v/>
      </c>
      <c r="AG276" s="3">
        <f>IFERROR(AF276-VLOOKUP($C276,Assumptions!$A$29:$C$32,3,FALSE),"")</f>
        <v/>
      </c>
      <c r="AH276" s="3">
        <f>IFERROR(AG276/F276,"")</f>
        <v/>
      </c>
      <c r="AI276">
        <f>IF(AND($E276=TRUE,$C276="GKP"),AF276,"")</f>
        <v/>
      </c>
      <c r="AJ276">
        <f>IF(AND($E276=TRUE,$C276="DEF"),AF276,"")</f>
        <v/>
      </c>
      <c r="AK276">
        <f>IF(AND($E276=TRUE,$C276="MID"),AF276,"")</f>
        <v/>
      </c>
      <c r="AL276">
        <f>IF(AND($E276=TRUE,$C276="FWD"),AF276,"")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b">
        <v>1</v>
      </c>
      <c r="F277" s="2" t="n">
        <v>5.5</v>
      </c>
      <c r="G277" t="inlineStr">
        <is>
          <t>a</t>
        </is>
      </c>
      <c r="I277" s="2" t="n">
        <v>986</v>
      </c>
      <c r="J277" t="n">
        <v>40</v>
      </c>
      <c r="K277" s="3" t="n">
        <v>295</v>
      </c>
      <c r="L277" t="inlineStr">
        <is>
          <t>fade (losing his place)</t>
        </is>
      </c>
      <c r="M277" s="4" t="n">
        <v>986</v>
      </c>
      <c r="N277" s="4" t="n">
        <v>0.5</v>
      </c>
      <c r="O277" s="3" t="n">
        <v>0.008999999999999999</v>
      </c>
      <c r="P277" t="inlineStr">
        <is>
          <t>adjusted xGOT</t>
        </is>
      </c>
      <c r="Q277" s="3" t="n">
        <v>0.988</v>
      </c>
      <c r="R277" s="3" t="n">
        <v>0.1</v>
      </c>
      <c r="S277" s="3" t="n">
        <v>0.0421</v>
      </c>
      <c r="T277" s="3" t="n">
        <v>8.255000000000001</v>
      </c>
      <c r="U277" s="4" t="n">
        <v>109.6</v>
      </c>
      <c r="V277" s="3">
        <f>IF(OR(N(T277)=0,N(U277)=0),0,1-POISSON(IFERROR(VLOOKUP($C277,Assumptions!$A$4:$G$7,7,FALSE),99)-1,N(T277)*N(U277)/90,TRUE))</f>
        <v/>
      </c>
      <c r="W277" s="3" t="n">
        <v>0.09130000000000001</v>
      </c>
      <c r="X277" s="3" t="n">
        <v>2.556</v>
      </c>
      <c r="Y277" s="3">
        <f>IF(X277="",IFERROR(VLOOKUP($C277,Assumptions!$A$4:$G$7,6,FALSE),0),X277)</f>
        <v/>
      </c>
      <c r="Z277" s="3">
        <f>N(O277)*IFERROR(VLOOKUP($C277,Assumptions!$A$4:$G$7,2,FALSE),0)</f>
        <v/>
      </c>
      <c r="AA277" s="3">
        <f>N(S277)*IFERROR(VLOOKUP($C277,Assumptions!$A$4:$G$7,3,FALSE),0)*Assumptions!$B$11</f>
        <v/>
      </c>
      <c r="AB277" s="3">
        <f>N(N277)*IFERROR(VLOOKUP($C277,Assumptions!$A$4:$G$7,4,FALSE),0)</f>
        <v/>
      </c>
      <c r="AC277" s="3">
        <f>IF(N(U277)=0,0,V277*IFERROR(VLOOKUP($C277,Assumptions!$A$4:$G$7,5,FALSE),0)*90/N(U277))</f>
        <v/>
      </c>
      <c r="AD277" s="3">
        <f>N(W277)</f>
        <v/>
      </c>
      <c r="AE277" s="3">
        <f>SUM(Y277:AD277)</f>
        <v/>
      </c>
      <c r="AF277" s="3">
        <f>N(AE277)*N(M277)/90</f>
        <v/>
      </c>
      <c r="AG277" s="3">
        <f>IFERROR(AF277-VLOOKUP($C277,Assumptions!$A$29:$C$32,3,FALSE),"")</f>
        <v/>
      </c>
      <c r="AH277" s="3">
        <f>IFERROR(AG277/F277,"")</f>
        <v/>
      </c>
      <c r="AI277">
        <f>IF(AND($E277=TRUE,$C277="GKP"),AF277,"")</f>
        <v/>
      </c>
      <c r="AJ277">
        <f>IF(AND($E277=TRUE,$C277="DEF"),AF277,"")</f>
        <v/>
      </c>
      <c r="AK277">
        <f>IF(AND($E277=TRUE,$C277="MID"),AF277,"")</f>
        <v/>
      </c>
      <c r="AL277">
        <f>IF(AND($E277=TRUE,$C277="FWD"),AF277,"")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b">
        <v>1</v>
      </c>
      <c r="F278" s="2" t="n">
        <v>6</v>
      </c>
      <c r="G278" t="inlineStr">
        <is>
          <t>a</t>
        </is>
      </c>
      <c r="I278" s="2" t="n">
        <v>997</v>
      </c>
      <c r="J278" t="n">
        <v>40</v>
      </c>
      <c r="K278" s="3" t="n">
        <v>2747</v>
      </c>
      <c r="L278" t="inlineStr">
        <is>
          <t>flat</t>
        </is>
      </c>
      <c r="M278" s="4" t="n">
        <v>997</v>
      </c>
      <c r="N278" s="4" t="n">
        <v>0.237</v>
      </c>
      <c r="O278" s="3" t="n">
        <v>0.2459</v>
      </c>
      <c r="P278" t="inlineStr">
        <is>
          <t>adjusted xGOT</t>
        </is>
      </c>
      <c r="Q278" s="3" t="n">
        <v>0.917</v>
      </c>
      <c r="R278" s="3" t="n">
        <v>42.6</v>
      </c>
      <c r="S278" s="3" t="n">
        <v>0.0423</v>
      </c>
      <c r="T278" s="3" t="n">
        <v>5.731</v>
      </c>
      <c r="U278" s="4" t="n">
        <v>90.59999999999999</v>
      </c>
      <c r="V278" s="3">
        <f>IF(OR(N(T278)=0,N(U278)=0),0,1-POISSON(IFERROR(VLOOKUP($C278,Assumptions!$A$4:$G$7,7,FALSE),99)-1,N(T278)*N(U278)/90,TRUE))</f>
        <v/>
      </c>
      <c r="W278" s="3" t="n">
        <v>0.3611</v>
      </c>
      <c r="X278" s="3" t="n">
        <v>2.257</v>
      </c>
      <c r="Y278" s="3">
        <f>IF(X278="",IFERROR(VLOOKUP($C278,Assumptions!$A$4:$G$7,6,FALSE),0),X278)</f>
        <v/>
      </c>
      <c r="Z278" s="3">
        <f>N(O278)*IFERROR(VLOOKUP($C278,Assumptions!$A$4:$G$7,2,FALSE),0)</f>
        <v/>
      </c>
      <c r="AA278" s="3">
        <f>N(S278)*IFERROR(VLOOKUP($C278,Assumptions!$A$4:$G$7,3,FALSE),0)*Assumptions!$B$11</f>
        <v/>
      </c>
      <c r="AB278" s="3">
        <f>N(N278)*IFERROR(VLOOKUP($C278,Assumptions!$A$4:$G$7,4,FALSE),0)</f>
        <v/>
      </c>
      <c r="AC278" s="3">
        <f>IF(N(U278)=0,0,V278*IFERROR(VLOOKUP($C278,Assumptions!$A$4:$G$7,5,FALSE),0)*90/N(U278))</f>
        <v/>
      </c>
      <c r="AD278" s="3">
        <f>N(W278)</f>
        <v/>
      </c>
      <c r="AE278" s="3">
        <f>SUM(Y278:AD278)</f>
        <v/>
      </c>
      <c r="AF278" s="3">
        <f>N(AE278)*N(M278)/90</f>
        <v/>
      </c>
      <c r="AG278" s="3">
        <f>IFERROR(AF278-VLOOKUP($C278,Assumptions!$A$29:$C$32,3,FALSE),"")</f>
        <v/>
      </c>
      <c r="AH278" s="3">
        <f>IFERROR(AG278/F278,"")</f>
        <v/>
      </c>
      <c r="AI278">
        <f>IF(AND($E278=TRUE,$C278="GKP"),AF278,"")</f>
        <v/>
      </c>
      <c r="AJ278">
        <f>IF(AND($E278=TRUE,$C278="DEF"),AF278,"")</f>
        <v/>
      </c>
      <c r="AK278">
        <f>IF(AND($E278=TRUE,$C278="MID"),AF278,"")</f>
        <v/>
      </c>
      <c r="AL278">
        <f>IF(AND($E278=TRUE,$C278="FWD"),AF278,"")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b">
        <v>1</v>
      </c>
      <c r="F279" s="2" t="n">
        <v>5</v>
      </c>
      <c r="G279" t="inlineStr">
        <is>
          <t>a</t>
        </is>
      </c>
      <c r="I279" s="2" t="n">
        <v>872</v>
      </c>
      <c r="J279" t="n">
        <v>40</v>
      </c>
      <c r="K279" s="3" t="n">
        <v>451</v>
      </c>
      <c r="L279" t="inlineStr">
        <is>
          <t>flat</t>
        </is>
      </c>
      <c r="M279" s="4" t="n">
        <v>872</v>
      </c>
      <c r="N279" s="4" t="n">
        <v>0.29</v>
      </c>
      <c r="O279" s="3" t="n">
        <v>0.0071</v>
      </c>
      <c r="P279" t="inlineStr">
        <is>
          <t>adjusted xGOT</t>
        </is>
      </c>
      <c r="Q279" s="3" t="n">
        <v>0.993</v>
      </c>
      <c r="R279" s="3" t="n">
        <v>1.7</v>
      </c>
      <c r="S279" s="3" t="n">
        <v>0.0447</v>
      </c>
      <c r="T279" s="3" t="n">
        <v>11.963</v>
      </c>
      <c r="U279" s="4" t="n">
        <v>109</v>
      </c>
      <c r="V279" s="3">
        <f>IF(OR(N(T279)=0,N(U279)=0),0,1-POISSON(IFERROR(VLOOKUP($C279,Assumptions!$A$4:$G$7,7,FALSE),99)-1,N(T279)*N(U279)/90,TRUE))</f>
        <v/>
      </c>
      <c r="W279" s="3" t="n">
        <v>0</v>
      </c>
      <c r="X279" s="3" t="n">
        <v>2.683</v>
      </c>
      <c r="Y279" s="3">
        <f>IF(X279="",IFERROR(VLOOKUP($C279,Assumptions!$A$4:$G$7,6,FALSE),0),X279)</f>
        <v/>
      </c>
      <c r="Z279" s="3">
        <f>N(O279)*IFERROR(VLOOKUP($C279,Assumptions!$A$4:$G$7,2,FALSE),0)</f>
        <v/>
      </c>
      <c r="AA279" s="3">
        <f>N(S279)*IFERROR(VLOOKUP($C279,Assumptions!$A$4:$G$7,3,FALSE),0)*Assumptions!$B$11</f>
        <v/>
      </c>
      <c r="AB279" s="3">
        <f>N(N279)*IFERROR(VLOOKUP($C279,Assumptions!$A$4:$G$7,4,FALSE),0)</f>
        <v/>
      </c>
      <c r="AC279" s="3">
        <f>IF(N(U279)=0,0,V279*IFERROR(VLOOKUP($C279,Assumptions!$A$4:$G$7,5,FALSE),0)*90/N(U279))</f>
        <v/>
      </c>
      <c r="AD279" s="3">
        <f>N(W279)</f>
        <v/>
      </c>
      <c r="AE279" s="3">
        <f>SUM(Y279:AD279)</f>
        <v/>
      </c>
      <c r="AF279" s="3">
        <f>N(AE279)*N(M279)/90</f>
        <v/>
      </c>
      <c r="AG279" s="3">
        <f>IFERROR(AF279-VLOOKUP($C279,Assumptions!$A$29:$C$32,3,FALSE),"")</f>
        <v/>
      </c>
      <c r="AH279" s="3">
        <f>IFERROR(AG279/F279,"")</f>
        <v/>
      </c>
      <c r="AI279">
        <f>IF(AND($E279=TRUE,$C279="GKP"),AF279,"")</f>
        <v/>
      </c>
      <c r="AJ279">
        <f>IF(AND($E279=TRUE,$C279="DEF"),AF279,"")</f>
        <v/>
      </c>
      <c r="AK279">
        <f>IF(AND($E279=TRUE,$C279="MID"),AF279,"")</f>
        <v/>
      </c>
      <c r="AL279">
        <f>IF(AND($E279=TRUE,$C279="FWD"),AF279,"")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b">
        <v>1</v>
      </c>
      <c r="F280" s="2" t="n">
        <v>4.5</v>
      </c>
      <c r="G280" t="inlineStr">
        <is>
          <t>a</t>
        </is>
      </c>
      <c r="I280" s="2" t="n">
        <v>657</v>
      </c>
      <c r="J280" t="n">
        <v>39</v>
      </c>
      <c r="K280" s="3" t="n">
        <v>136</v>
      </c>
      <c r="L280" t="inlineStr">
        <is>
          <t>flat</t>
        </is>
      </c>
      <c r="M280" s="4" t="n">
        <v>657</v>
      </c>
      <c r="N280" s="4" t="n">
        <v>0.237</v>
      </c>
      <c r="O280" s="3" t="n">
        <v>0.0864</v>
      </c>
      <c r="P280" t="inlineStr">
        <is>
          <t>adjusted xGOT</t>
        </is>
      </c>
      <c r="Q280" s="3" t="n">
        <v>1.018</v>
      </c>
      <c r="R280" s="3" t="n">
        <v>0.8</v>
      </c>
      <c r="S280" s="3" t="n">
        <v>0.0184</v>
      </c>
      <c r="T280" s="3" t="n">
        <v>6.894</v>
      </c>
      <c r="U280" s="4" t="n">
        <v>82.09999999999999</v>
      </c>
      <c r="V280" s="3">
        <f>IF(OR(N(T280)=0,N(U280)=0),0,1-POISSON(IFERROR(VLOOKUP($C280,Assumptions!$A$4:$G$7,7,FALSE),99)-1,N(T280)*N(U280)/90,TRUE))</f>
        <v/>
      </c>
      <c r="W280" s="3" t="n">
        <v>0.6849</v>
      </c>
      <c r="X280" s="3" t="n">
        <v>3.288</v>
      </c>
      <c r="Y280" s="3">
        <f>IF(X280="",IFERROR(VLOOKUP($C280,Assumptions!$A$4:$G$7,6,FALSE),0),X280)</f>
        <v/>
      </c>
      <c r="Z280" s="3">
        <f>N(O280)*IFERROR(VLOOKUP($C280,Assumptions!$A$4:$G$7,2,FALSE),0)</f>
        <v/>
      </c>
      <c r="AA280" s="3">
        <f>N(S280)*IFERROR(VLOOKUP($C280,Assumptions!$A$4:$G$7,3,FALSE),0)*Assumptions!$B$11</f>
        <v/>
      </c>
      <c r="AB280" s="3">
        <f>N(N280)*IFERROR(VLOOKUP($C280,Assumptions!$A$4:$G$7,4,FALSE),0)</f>
        <v/>
      </c>
      <c r="AC280" s="3">
        <f>IF(N(U280)=0,0,V280*IFERROR(VLOOKUP($C280,Assumptions!$A$4:$G$7,5,FALSE),0)*90/N(U280))</f>
        <v/>
      </c>
      <c r="AD280" s="3">
        <f>N(W280)</f>
        <v/>
      </c>
      <c r="AE280" s="3">
        <f>SUM(Y280:AD280)</f>
        <v/>
      </c>
      <c r="AF280" s="3">
        <f>N(AE280)*N(M280)/90</f>
        <v/>
      </c>
      <c r="AG280" s="3">
        <f>IFERROR(AF280-VLOOKUP($C280,Assumptions!$A$29:$C$32,3,FALSE),"")</f>
        <v/>
      </c>
      <c r="AH280" s="3">
        <f>IFERROR(AG280/F280,"")</f>
        <v/>
      </c>
      <c r="AI280">
        <f>IF(AND($E280=TRUE,$C280="GKP"),AF280,"")</f>
        <v/>
      </c>
      <c r="AJ280">
        <f>IF(AND($E280=TRUE,$C280="DEF"),AF280,"")</f>
        <v/>
      </c>
      <c r="AK280">
        <f>IF(AND($E280=TRUE,$C280="MID"),AF280,"")</f>
        <v/>
      </c>
      <c r="AL280">
        <f>IF(AND($E280=TRUE,$C280="FWD"),AF280,"")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b">
        <v>1</v>
      </c>
      <c r="F281" s="2" t="n">
        <v>4.5</v>
      </c>
      <c r="G281" t="inlineStr">
        <is>
          <t>i</t>
        </is>
      </c>
      <c r="H281" t="inlineStr">
        <is>
          <t>Knee injury - Unknown return date</t>
        </is>
      </c>
      <c r="I281" s="2" t="n">
        <v>1025</v>
      </c>
      <c r="J281" t="n">
        <v>39</v>
      </c>
      <c r="K281" s="3" t="n">
        <v>395</v>
      </c>
      <c r="L281" t="inlineStr">
        <is>
          <t>flat</t>
        </is>
      </c>
      <c r="M281" s="4" t="n">
        <v>1025</v>
      </c>
      <c r="N281" s="4" t="n">
        <v>0.237</v>
      </c>
      <c r="O281" s="3" t="n">
        <v>0.1209</v>
      </c>
      <c r="P281" t="inlineStr">
        <is>
          <t>adjusted xGOT</t>
        </is>
      </c>
      <c r="Q281" s="3" t="n">
        <v>1.028</v>
      </c>
      <c r="R281" s="3" t="n">
        <v>1.3</v>
      </c>
      <c r="S281" s="3" t="n">
        <v>0.0459</v>
      </c>
      <c r="T281" s="3" t="n">
        <v>6.111</v>
      </c>
      <c r="U281" s="4" t="n">
        <v>93.2</v>
      </c>
      <c r="V281" s="3">
        <f>IF(OR(N(T281)=0,N(U281)=0),0,1-POISSON(IFERROR(VLOOKUP($C281,Assumptions!$A$4:$G$7,7,FALSE),99)-1,N(T281)*N(U281)/90,TRUE))</f>
        <v/>
      </c>
      <c r="W281" s="3" t="n">
        <v>0</v>
      </c>
      <c r="X281" s="3" t="n">
        <v>2.107</v>
      </c>
      <c r="Y281" s="3">
        <f>IF(X281="",IFERROR(VLOOKUP($C281,Assumptions!$A$4:$G$7,6,FALSE),0),X281)</f>
        <v/>
      </c>
      <c r="Z281" s="3">
        <f>N(O281)*IFERROR(VLOOKUP($C281,Assumptions!$A$4:$G$7,2,FALSE),0)</f>
        <v/>
      </c>
      <c r="AA281" s="3">
        <f>N(S281)*IFERROR(VLOOKUP($C281,Assumptions!$A$4:$G$7,3,FALSE),0)*Assumptions!$B$11</f>
        <v/>
      </c>
      <c r="AB281" s="3">
        <f>N(N281)*IFERROR(VLOOKUP($C281,Assumptions!$A$4:$G$7,4,FALSE),0)</f>
        <v/>
      </c>
      <c r="AC281" s="3">
        <f>IF(N(U281)=0,0,V281*IFERROR(VLOOKUP($C281,Assumptions!$A$4:$G$7,5,FALSE),0)*90/N(U281))</f>
        <v/>
      </c>
      <c r="AD281" s="3">
        <f>N(W281)</f>
        <v/>
      </c>
      <c r="AE281" s="3">
        <f>SUM(Y281:AD281)</f>
        <v/>
      </c>
      <c r="AF281" s="3">
        <f>N(AE281)*N(M281)/90</f>
        <v/>
      </c>
      <c r="AG281" s="3">
        <f>IFERROR(AF281-VLOOKUP($C281,Assumptions!$A$29:$C$32,3,FALSE),"")</f>
        <v/>
      </c>
      <c r="AH281" s="3">
        <f>IFERROR(AG281/F281,"")</f>
        <v/>
      </c>
      <c r="AI281">
        <f>IF(AND($E281=TRUE,$C281="GKP"),AF281,"")</f>
        <v/>
      </c>
      <c r="AJ281">
        <f>IF(AND($E281=TRUE,$C281="DEF"),AF281,"")</f>
        <v/>
      </c>
      <c r="AK281">
        <f>IF(AND($E281=TRUE,$C281="MID"),AF281,"")</f>
        <v/>
      </c>
      <c r="AL281">
        <f>IF(AND($E281=TRUE,$C281="FWD"),AF281,"")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b">
        <v>1</v>
      </c>
      <c r="F282" s="2" t="n">
        <v>4.5</v>
      </c>
      <c r="G282" t="inlineStr">
        <is>
          <t>a</t>
        </is>
      </c>
      <c r="I282" s="2" t="n">
        <v>935</v>
      </c>
      <c r="J282" t="n">
        <v>39</v>
      </c>
      <c r="K282" s="3" t="n">
        <v>889</v>
      </c>
      <c r="L282" t="inlineStr">
        <is>
          <t>fade (losing his place)</t>
        </is>
      </c>
      <c r="M282" s="4" t="n">
        <v>935</v>
      </c>
      <c r="N282" s="4" t="n">
        <v>0.237</v>
      </c>
      <c r="O282" s="3" t="n">
        <v>0.0048</v>
      </c>
      <c r="P282" t="inlineStr">
        <is>
          <t>adjusted xGOT</t>
        </is>
      </c>
      <c r="Q282" s="3" t="n">
        <v>0.991</v>
      </c>
      <c r="R282" s="3" t="n">
        <v>0.1</v>
      </c>
      <c r="S282" s="3" t="n">
        <v>0.0503</v>
      </c>
      <c r="T282" s="3" t="n">
        <v>9.706</v>
      </c>
      <c r="U282" s="4" t="n">
        <v>85</v>
      </c>
      <c r="V282" s="3">
        <f>IF(OR(N(T282)=0,N(U282)=0),0,1-POISSON(IFERROR(VLOOKUP($C282,Assumptions!$A$4:$G$7,7,FALSE),99)-1,N(T282)*N(U282)/90,TRUE))</f>
        <v/>
      </c>
      <c r="W282" s="3" t="n">
        <v>0.0963</v>
      </c>
      <c r="X282" s="3" t="n">
        <v>2.406</v>
      </c>
      <c r="Y282" s="3">
        <f>IF(X282="",IFERROR(VLOOKUP($C282,Assumptions!$A$4:$G$7,6,FALSE),0),X282)</f>
        <v/>
      </c>
      <c r="Z282" s="3">
        <f>N(O282)*IFERROR(VLOOKUP($C282,Assumptions!$A$4:$G$7,2,FALSE),0)</f>
        <v/>
      </c>
      <c r="AA282" s="3">
        <f>N(S282)*IFERROR(VLOOKUP($C282,Assumptions!$A$4:$G$7,3,FALSE),0)*Assumptions!$B$11</f>
        <v/>
      </c>
      <c r="AB282" s="3">
        <f>N(N282)*IFERROR(VLOOKUP($C282,Assumptions!$A$4:$G$7,4,FALSE),0)</f>
        <v/>
      </c>
      <c r="AC282" s="3">
        <f>IF(N(U282)=0,0,V282*IFERROR(VLOOKUP($C282,Assumptions!$A$4:$G$7,5,FALSE),0)*90/N(U282))</f>
        <v/>
      </c>
      <c r="AD282" s="3">
        <f>N(W282)</f>
        <v/>
      </c>
      <c r="AE282" s="3">
        <f>SUM(Y282:AD282)</f>
        <v/>
      </c>
      <c r="AF282" s="3">
        <f>N(AE282)*N(M282)/90</f>
        <v/>
      </c>
      <c r="AG282" s="3">
        <f>IFERROR(AF282-VLOOKUP($C282,Assumptions!$A$29:$C$32,3,FALSE),"")</f>
        <v/>
      </c>
      <c r="AH282" s="3">
        <f>IFERROR(AG282/F282,"")</f>
        <v/>
      </c>
      <c r="AI282">
        <f>IF(AND($E282=TRUE,$C282="GKP"),AF282,"")</f>
        <v/>
      </c>
      <c r="AJ282">
        <f>IF(AND($E282=TRUE,$C282="DEF"),AF282,"")</f>
        <v/>
      </c>
      <c r="AK282">
        <f>IF(AND($E282=TRUE,$C282="MID"),AF282,"")</f>
        <v/>
      </c>
      <c r="AL282">
        <f>IF(AND($E282=TRUE,$C282="FWD"),AF282,"")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b">
        <v>1</v>
      </c>
      <c r="F283" s="2" t="n">
        <v>4.5</v>
      </c>
      <c r="G283" t="inlineStr">
        <is>
          <t>a</t>
        </is>
      </c>
      <c r="I283" s="2" t="n">
        <v>799</v>
      </c>
      <c r="J283" t="n">
        <v>39</v>
      </c>
      <c r="K283" s="3" t="n">
        <v>826</v>
      </c>
      <c r="L283" t="inlineStr">
        <is>
          <t>fade (losing his place)</t>
        </is>
      </c>
      <c r="M283" s="4" t="n">
        <v>799</v>
      </c>
      <c r="N283" s="4" t="n">
        <v>0.263</v>
      </c>
      <c r="O283" s="3" t="n">
        <v>0.0056</v>
      </c>
      <c r="P283" t="inlineStr">
        <is>
          <t>adjusted xGOT</t>
        </is>
      </c>
      <c r="Q283" s="3" t="n">
        <v>0.994</v>
      </c>
      <c r="R283" s="3" t="n">
        <v>0</v>
      </c>
      <c r="S283" s="3" t="n">
        <v>0.0348</v>
      </c>
      <c r="T283" s="3" t="n">
        <v>8.263999999999999</v>
      </c>
      <c r="U283" s="4" t="n">
        <v>88.8</v>
      </c>
      <c r="V283" s="3">
        <f>IF(OR(N(T283)=0,N(U283)=0),0,1-POISSON(IFERROR(VLOOKUP($C283,Assumptions!$A$4:$G$7,7,FALSE),99)-1,N(T283)*N(U283)/90,TRUE))</f>
        <v/>
      </c>
      <c r="W283" s="3" t="n">
        <v>0.3379</v>
      </c>
      <c r="X283" s="3" t="n">
        <v>2.253</v>
      </c>
      <c r="Y283" s="3">
        <f>IF(X283="",IFERROR(VLOOKUP($C283,Assumptions!$A$4:$G$7,6,FALSE),0),X283)</f>
        <v/>
      </c>
      <c r="Z283" s="3">
        <f>N(O283)*IFERROR(VLOOKUP($C283,Assumptions!$A$4:$G$7,2,FALSE),0)</f>
        <v/>
      </c>
      <c r="AA283" s="3">
        <f>N(S283)*IFERROR(VLOOKUP($C283,Assumptions!$A$4:$G$7,3,FALSE),0)*Assumptions!$B$11</f>
        <v/>
      </c>
      <c r="AB283" s="3">
        <f>N(N283)*IFERROR(VLOOKUP($C283,Assumptions!$A$4:$G$7,4,FALSE),0)</f>
        <v/>
      </c>
      <c r="AC283" s="3">
        <f>IF(N(U283)=0,0,V283*IFERROR(VLOOKUP($C283,Assumptions!$A$4:$G$7,5,FALSE),0)*90/N(U283))</f>
        <v/>
      </c>
      <c r="AD283" s="3">
        <f>N(W283)</f>
        <v/>
      </c>
      <c r="AE283" s="3">
        <f>SUM(Y283:AD283)</f>
        <v/>
      </c>
      <c r="AF283" s="3">
        <f>N(AE283)*N(M283)/90</f>
        <v/>
      </c>
      <c r="AG283" s="3">
        <f>IFERROR(AF283-VLOOKUP($C283,Assumptions!$A$29:$C$32,3,FALSE),"")</f>
        <v/>
      </c>
      <c r="AH283" s="3">
        <f>IFERROR(AG283/F283,"")</f>
        <v/>
      </c>
      <c r="AI283">
        <f>IF(AND($E283=TRUE,$C283="GKP"),AF283,"")</f>
        <v/>
      </c>
      <c r="AJ283">
        <f>IF(AND($E283=TRUE,$C283="DEF"),AF283,"")</f>
        <v/>
      </c>
      <c r="AK283">
        <f>IF(AND($E283=TRUE,$C283="MID"),AF283,"")</f>
        <v/>
      </c>
      <c r="AL283">
        <f>IF(AND($E283=TRUE,$C283="FWD"),AF283,"")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b">
        <v>1</v>
      </c>
      <c r="F284" s="2" t="n">
        <v>5</v>
      </c>
      <c r="G284" t="inlineStr">
        <is>
          <t>a</t>
        </is>
      </c>
      <c r="I284" s="2" t="n">
        <v>972</v>
      </c>
      <c r="J284" t="n">
        <v>38</v>
      </c>
      <c r="K284" s="3" t="n">
        <v>912</v>
      </c>
      <c r="L284" t="inlineStr">
        <is>
          <t>flat</t>
        </is>
      </c>
      <c r="M284" s="4" t="n">
        <v>972</v>
      </c>
      <c r="N284" s="4" t="n">
        <v>0.21</v>
      </c>
      <c r="O284" s="3" t="n">
        <v>0.1076</v>
      </c>
      <c r="P284" t="inlineStr">
        <is>
          <t>adjusted xGOT</t>
        </is>
      </c>
      <c r="Q284" s="3" t="n">
        <v>0.922</v>
      </c>
      <c r="R284" s="3" t="n">
        <v>11.1</v>
      </c>
      <c r="S284" s="3" t="n">
        <v>0.1467</v>
      </c>
      <c r="T284" s="3" t="n">
        <v>8.384</v>
      </c>
      <c r="U284" s="4" t="n">
        <v>97.2</v>
      </c>
      <c r="V284" s="3">
        <f>IF(OR(N(T284)=0,N(U284)=0),0,1-POISSON(IFERROR(VLOOKUP($C284,Assumptions!$A$4:$G$7,7,FALSE),99)-1,N(T284)*N(U284)/90,TRUE))</f>
        <v/>
      </c>
      <c r="W284" s="3" t="n">
        <v>0</v>
      </c>
      <c r="X284" s="3" t="n">
        <v>2.963</v>
      </c>
      <c r="Y284" s="3">
        <f>IF(X284="",IFERROR(VLOOKUP($C284,Assumptions!$A$4:$G$7,6,FALSE),0),X284)</f>
        <v/>
      </c>
      <c r="Z284" s="3">
        <f>N(O284)*IFERROR(VLOOKUP($C284,Assumptions!$A$4:$G$7,2,FALSE),0)</f>
        <v/>
      </c>
      <c r="AA284" s="3">
        <f>N(S284)*IFERROR(VLOOKUP($C284,Assumptions!$A$4:$G$7,3,FALSE),0)*Assumptions!$B$11</f>
        <v/>
      </c>
      <c r="AB284" s="3">
        <f>N(N284)*IFERROR(VLOOKUP($C284,Assumptions!$A$4:$G$7,4,FALSE),0)</f>
        <v/>
      </c>
      <c r="AC284" s="3">
        <f>IF(N(U284)=0,0,V284*IFERROR(VLOOKUP($C284,Assumptions!$A$4:$G$7,5,FALSE),0)*90/N(U284))</f>
        <v/>
      </c>
      <c r="AD284" s="3">
        <f>N(W284)</f>
        <v/>
      </c>
      <c r="AE284" s="3">
        <f>SUM(Y284:AD284)</f>
        <v/>
      </c>
      <c r="AF284" s="3">
        <f>N(AE284)*N(M284)/90</f>
        <v/>
      </c>
      <c r="AG284" s="3">
        <f>IFERROR(AF284-VLOOKUP($C284,Assumptions!$A$29:$C$32,3,FALSE),"")</f>
        <v/>
      </c>
      <c r="AH284" s="3">
        <f>IFERROR(AG284/F284,"")</f>
        <v/>
      </c>
      <c r="AI284">
        <f>IF(AND($E284=TRUE,$C284="GKP"),AF284,"")</f>
        <v/>
      </c>
      <c r="AJ284">
        <f>IF(AND($E284=TRUE,$C284="DEF"),AF284,"")</f>
        <v/>
      </c>
      <c r="AK284">
        <f>IF(AND($E284=TRUE,$C284="MID"),AF284,"")</f>
        <v/>
      </c>
      <c r="AL284">
        <f>IF(AND($E284=TRUE,$C284="FWD"),AF284,"")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b">
        <v>1</v>
      </c>
      <c r="F285" s="2" t="n">
        <v>5</v>
      </c>
      <c r="G285" t="inlineStr">
        <is>
          <t>i</t>
        </is>
      </c>
      <c r="H285" t="inlineStr">
        <is>
          <t>Knee injury - Unknown return date</t>
        </is>
      </c>
      <c r="I285" s="2" t="n">
        <v>876</v>
      </c>
      <c r="J285" t="n">
        <v>38</v>
      </c>
      <c r="K285" s="3" t="n">
        <v>89</v>
      </c>
      <c r="L285" t="inlineStr">
        <is>
          <t>flat</t>
        </is>
      </c>
      <c r="M285" s="4" t="n">
        <v>876</v>
      </c>
      <c r="N285" s="4" t="n">
        <v>0.21</v>
      </c>
      <c r="O285" s="3" t="n">
        <v>0.0639</v>
      </c>
      <c r="P285" t="inlineStr">
        <is>
          <t>adjusted xGOT</t>
        </is>
      </c>
      <c r="Q285" s="3" t="n">
        <v>0.864</v>
      </c>
      <c r="R285" s="3" t="n">
        <v>1.7</v>
      </c>
      <c r="S285" s="3" t="n">
        <v>0.0148</v>
      </c>
      <c r="T285" s="3" t="n">
        <v>11.877</v>
      </c>
      <c r="U285" s="4" t="n">
        <v>109.5</v>
      </c>
      <c r="V285" s="3">
        <f>IF(OR(N(T285)=0,N(U285)=0),0,1-POISSON(IFERROR(VLOOKUP($C285,Assumptions!$A$4:$G$7,7,FALSE),99)-1,N(T285)*N(U285)/90,TRUE))</f>
        <v/>
      </c>
      <c r="W285" s="3" t="n">
        <v>0</v>
      </c>
      <c r="X285" s="3" t="n">
        <v>3.082</v>
      </c>
      <c r="Y285" s="3">
        <f>IF(X285="",IFERROR(VLOOKUP($C285,Assumptions!$A$4:$G$7,6,FALSE),0),X285)</f>
        <v/>
      </c>
      <c r="Z285" s="3">
        <f>N(O285)*IFERROR(VLOOKUP($C285,Assumptions!$A$4:$G$7,2,FALSE),0)</f>
        <v/>
      </c>
      <c r="AA285" s="3">
        <f>N(S285)*IFERROR(VLOOKUP($C285,Assumptions!$A$4:$G$7,3,FALSE),0)*Assumptions!$B$11</f>
        <v/>
      </c>
      <c r="AB285" s="3">
        <f>N(N285)*IFERROR(VLOOKUP($C285,Assumptions!$A$4:$G$7,4,FALSE),0)</f>
        <v/>
      </c>
      <c r="AC285" s="3">
        <f>IF(N(U285)=0,0,V285*IFERROR(VLOOKUP($C285,Assumptions!$A$4:$G$7,5,FALSE),0)*90/N(U285))</f>
        <v/>
      </c>
      <c r="AD285" s="3">
        <f>N(W285)</f>
        <v/>
      </c>
      <c r="AE285" s="3">
        <f>SUM(Y285:AD285)</f>
        <v/>
      </c>
      <c r="AF285" s="3">
        <f>N(AE285)*N(M285)/90</f>
        <v/>
      </c>
      <c r="AG285" s="3">
        <f>IFERROR(AF285-VLOOKUP($C285,Assumptions!$A$29:$C$32,3,FALSE),"")</f>
        <v/>
      </c>
      <c r="AH285" s="3">
        <f>IFERROR(AG285/F285,"")</f>
        <v/>
      </c>
      <c r="AI285">
        <f>IF(AND($E285=TRUE,$C285="GKP"),AF285,"")</f>
        <v/>
      </c>
      <c r="AJ285">
        <f>IF(AND($E285=TRUE,$C285="DEF"),AF285,"")</f>
        <v/>
      </c>
      <c r="AK285">
        <f>IF(AND($E285=TRUE,$C285="MID"),AF285,"")</f>
        <v/>
      </c>
      <c r="AL285">
        <f>IF(AND($E285=TRUE,$C285="FWD"),AF285,"")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b">
        <v>1</v>
      </c>
      <c r="F286" s="2" t="n">
        <v>5.5</v>
      </c>
      <c r="G286" t="inlineStr">
        <is>
          <t>a</t>
        </is>
      </c>
      <c r="I286" s="2" t="n">
        <v>317</v>
      </c>
      <c r="J286" t="n">
        <v>37</v>
      </c>
      <c r="K286" s="3" t="n">
        <v>40</v>
      </c>
      <c r="L286" t="inlineStr">
        <is>
          <t>flat</t>
        </is>
      </c>
      <c r="M286" s="4" t="n">
        <v>317</v>
      </c>
      <c r="N286" s="4" t="n">
        <v>0.263</v>
      </c>
      <c r="O286" s="3" t="n">
        <v>0.429</v>
      </c>
      <c r="P286" t="inlineStr">
        <is>
          <t>adjusted xGOT</t>
        </is>
      </c>
      <c r="Q286" s="3" t="n">
        <v>1.042</v>
      </c>
      <c r="R286" s="3" t="n">
        <v>1.8</v>
      </c>
      <c r="S286" s="3" t="n">
        <v>0.2956</v>
      </c>
      <c r="T286" s="3" t="n">
        <v>8.558999999999999</v>
      </c>
      <c r="U286" s="4" t="n">
        <v>317</v>
      </c>
      <c r="V286" s="3">
        <f>IF(OR(N(T286)=0,N(U286)=0),0,1-POISSON(IFERROR(VLOOKUP($C286,Assumptions!$A$4:$G$7,7,FALSE),99)-1,N(T286)*N(U286)/90,TRUE))</f>
        <v/>
      </c>
      <c r="W286" s="3" t="n">
        <v>0</v>
      </c>
      <c r="X286" s="3" t="n">
        <v>7.666</v>
      </c>
      <c r="Y286" s="3">
        <f>IF(X286="",IFERROR(VLOOKUP($C286,Assumptions!$A$4:$G$7,6,FALSE),0),X286)</f>
        <v/>
      </c>
      <c r="Z286" s="3">
        <f>N(O286)*IFERROR(VLOOKUP($C286,Assumptions!$A$4:$G$7,2,FALSE),0)</f>
        <v/>
      </c>
      <c r="AA286" s="3">
        <f>N(S286)*IFERROR(VLOOKUP($C286,Assumptions!$A$4:$G$7,3,FALSE),0)*Assumptions!$B$11</f>
        <v/>
      </c>
      <c r="AB286" s="3">
        <f>N(N286)*IFERROR(VLOOKUP($C286,Assumptions!$A$4:$G$7,4,FALSE),0)</f>
        <v/>
      </c>
      <c r="AC286" s="3">
        <f>IF(N(U286)=0,0,V286*IFERROR(VLOOKUP($C286,Assumptions!$A$4:$G$7,5,FALSE),0)*90/N(U286))</f>
        <v/>
      </c>
      <c r="AD286" s="3">
        <f>N(W286)</f>
        <v/>
      </c>
      <c r="AE286" s="3">
        <f>SUM(Y286:AD286)</f>
        <v/>
      </c>
      <c r="AF286" s="3">
        <f>N(AE286)*N(M286)/90</f>
        <v/>
      </c>
      <c r="AG286" s="3">
        <f>IFERROR(AF286-VLOOKUP($C286,Assumptions!$A$29:$C$32,3,FALSE),"")</f>
        <v/>
      </c>
      <c r="AH286" s="3">
        <f>IFERROR(AG286/F286,"")</f>
        <v/>
      </c>
      <c r="AI286">
        <f>IF(AND($E286=TRUE,$C286="GKP"),AF286,"")</f>
        <v/>
      </c>
      <c r="AJ286">
        <f>IF(AND($E286=TRUE,$C286="DEF"),AF286,"")</f>
        <v/>
      </c>
      <c r="AK286">
        <f>IF(AND($E286=TRUE,$C286="MID"),AF286,"")</f>
        <v/>
      </c>
      <c r="AL286">
        <f>IF(AND($E286=TRUE,$C286="FWD"),AF286,"")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b">
        <v>1</v>
      </c>
      <c r="F287" s="2" t="n">
        <v>4.5</v>
      </c>
      <c r="G287" t="inlineStr">
        <is>
          <t>a</t>
        </is>
      </c>
      <c r="I287" s="2" t="n">
        <v>679</v>
      </c>
      <c r="J287" t="n">
        <v>37</v>
      </c>
      <c r="K287" s="3" t="n">
        <v>166</v>
      </c>
      <c r="L287" t="inlineStr">
        <is>
          <t>flat</t>
        </is>
      </c>
      <c r="M287" s="4" t="n">
        <v>679</v>
      </c>
      <c r="N287" s="4" t="n">
        <v>0.263</v>
      </c>
      <c r="O287" s="3" t="n">
        <v>0.055</v>
      </c>
      <c r="P287" t="inlineStr">
        <is>
          <t>adjusted xGOT</t>
        </is>
      </c>
      <c r="Q287" s="3" t="n">
        <v>0.9419999999999999</v>
      </c>
      <c r="R287" s="3" t="n">
        <v>1</v>
      </c>
      <c r="S287" s="3" t="n">
        <v>0.0513</v>
      </c>
      <c r="T287" s="3" t="n">
        <v>7.236</v>
      </c>
      <c r="U287" s="4" t="n">
        <v>84.90000000000001</v>
      </c>
      <c r="V287" s="3">
        <f>IF(OR(N(T287)=0,N(U287)=0),0,1-POISSON(IFERROR(VLOOKUP($C287,Assumptions!$A$4:$G$7,7,FALSE),99)-1,N(T287)*N(U287)/90,TRUE))</f>
        <v/>
      </c>
      <c r="W287" s="3" t="n">
        <v>0</v>
      </c>
      <c r="X287" s="3" t="n">
        <v>3.711</v>
      </c>
      <c r="Y287" s="3">
        <f>IF(X287="",IFERROR(VLOOKUP($C287,Assumptions!$A$4:$G$7,6,FALSE),0),X287)</f>
        <v/>
      </c>
      <c r="Z287" s="3">
        <f>N(O287)*IFERROR(VLOOKUP($C287,Assumptions!$A$4:$G$7,2,FALSE),0)</f>
        <v/>
      </c>
      <c r="AA287" s="3">
        <f>N(S287)*IFERROR(VLOOKUP($C287,Assumptions!$A$4:$G$7,3,FALSE),0)*Assumptions!$B$11</f>
        <v/>
      </c>
      <c r="AB287" s="3">
        <f>N(N287)*IFERROR(VLOOKUP($C287,Assumptions!$A$4:$G$7,4,FALSE),0)</f>
        <v/>
      </c>
      <c r="AC287" s="3">
        <f>IF(N(U287)=0,0,V287*IFERROR(VLOOKUP($C287,Assumptions!$A$4:$G$7,5,FALSE),0)*90/N(U287))</f>
        <v/>
      </c>
      <c r="AD287" s="3">
        <f>N(W287)</f>
        <v/>
      </c>
      <c r="AE287" s="3">
        <f>SUM(Y287:AD287)</f>
        <v/>
      </c>
      <c r="AF287" s="3">
        <f>N(AE287)*N(M287)/90</f>
        <v/>
      </c>
      <c r="AG287" s="3">
        <f>IFERROR(AF287-VLOOKUP($C287,Assumptions!$A$29:$C$32,3,FALSE),"")</f>
        <v/>
      </c>
      <c r="AH287" s="3">
        <f>IFERROR(AG287/F287,"")</f>
        <v/>
      </c>
      <c r="AI287">
        <f>IF(AND($E287=TRUE,$C287="GKP"),AF287,"")</f>
        <v/>
      </c>
      <c r="AJ287">
        <f>IF(AND($E287=TRUE,$C287="DEF"),AF287,"")</f>
        <v/>
      </c>
      <c r="AK287">
        <f>IF(AND($E287=TRUE,$C287="MID"),AF287,"")</f>
        <v/>
      </c>
      <c r="AL287">
        <f>IF(AND($E287=TRUE,$C287="FWD"),AF287,"")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b">
        <v>1</v>
      </c>
      <c r="F288" s="2" t="n">
        <v>5</v>
      </c>
      <c r="G288" t="inlineStr">
        <is>
          <t>a</t>
        </is>
      </c>
      <c r="I288" s="2" t="n">
        <v>758</v>
      </c>
      <c r="J288" t="n">
        <v>36</v>
      </c>
      <c r="K288" s="3" t="n">
        <v>144</v>
      </c>
      <c r="L288" t="inlineStr">
        <is>
          <t>flat</t>
        </is>
      </c>
      <c r="M288" s="4" t="n">
        <v>758</v>
      </c>
      <c r="N288" s="4" t="n">
        <v>0.29</v>
      </c>
      <c r="O288" s="3" t="n">
        <v>0.1026</v>
      </c>
      <c r="P288" t="inlineStr">
        <is>
          <t>adjusted xGOT</t>
        </is>
      </c>
      <c r="Q288" s="3" t="n">
        <v>1.004</v>
      </c>
      <c r="R288" s="3" t="n">
        <v>0.9</v>
      </c>
      <c r="S288" s="3" t="n">
        <v>0.1258</v>
      </c>
      <c r="T288" s="3" t="n">
        <v>7.649</v>
      </c>
      <c r="U288" s="4" t="n">
        <v>68.90000000000001</v>
      </c>
      <c r="V288" s="3">
        <f>IF(OR(N(T288)=0,N(U288)=0),0,1-POISSON(IFERROR(VLOOKUP($C288,Assumptions!$A$4:$G$7,7,FALSE),99)-1,N(T288)*N(U288)/90,TRUE))</f>
        <v/>
      </c>
      <c r="W288" s="3" t="n">
        <v>0</v>
      </c>
      <c r="X288" s="3" t="n">
        <v>2.968</v>
      </c>
      <c r="Y288" s="3">
        <f>IF(X288="",IFERROR(VLOOKUP($C288,Assumptions!$A$4:$G$7,6,FALSE),0),X288)</f>
        <v/>
      </c>
      <c r="Z288" s="3">
        <f>N(O288)*IFERROR(VLOOKUP($C288,Assumptions!$A$4:$G$7,2,FALSE),0)</f>
        <v/>
      </c>
      <c r="AA288" s="3">
        <f>N(S288)*IFERROR(VLOOKUP($C288,Assumptions!$A$4:$G$7,3,FALSE),0)*Assumptions!$B$11</f>
        <v/>
      </c>
      <c r="AB288" s="3">
        <f>N(N288)*IFERROR(VLOOKUP($C288,Assumptions!$A$4:$G$7,4,FALSE),0)</f>
        <v/>
      </c>
      <c r="AC288" s="3">
        <f>IF(N(U288)=0,0,V288*IFERROR(VLOOKUP($C288,Assumptions!$A$4:$G$7,5,FALSE),0)*90/N(U288))</f>
        <v/>
      </c>
      <c r="AD288" s="3">
        <f>N(W288)</f>
        <v/>
      </c>
      <c r="AE288" s="3">
        <f>SUM(Y288:AD288)</f>
        <v/>
      </c>
      <c r="AF288" s="3">
        <f>N(AE288)*N(M288)/90</f>
        <v/>
      </c>
      <c r="AG288" s="3">
        <f>IFERROR(AF288-VLOOKUP($C288,Assumptions!$A$29:$C$32,3,FALSE),"")</f>
        <v/>
      </c>
      <c r="AH288" s="3">
        <f>IFERROR(AG288/F288,"")</f>
        <v/>
      </c>
      <c r="AI288">
        <f>IF(AND($E288=TRUE,$C288="GKP"),AF288,"")</f>
        <v/>
      </c>
      <c r="AJ288">
        <f>IF(AND($E288=TRUE,$C288="DEF"),AF288,"")</f>
        <v/>
      </c>
      <c r="AK288">
        <f>IF(AND($E288=TRUE,$C288="MID"),AF288,"")</f>
        <v/>
      </c>
      <c r="AL288">
        <f>IF(AND($E288=TRUE,$C288="FWD"),AF288,"")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b">
        <v>1</v>
      </c>
      <c r="F289" s="2" t="n">
        <v>5.5</v>
      </c>
      <c r="G289" t="inlineStr">
        <is>
          <t>a</t>
        </is>
      </c>
      <c r="I289" s="2" t="n">
        <v>987</v>
      </c>
      <c r="J289" t="n">
        <v>36</v>
      </c>
      <c r="K289" s="3" t="n">
        <v>540</v>
      </c>
      <c r="L289" t="inlineStr">
        <is>
          <t>flat</t>
        </is>
      </c>
      <c r="M289" s="4" t="n">
        <v>987</v>
      </c>
      <c r="N289" s="4" t="n">
        <v>0.237</v>
      </c>
      <c r="O289" s="3" t="n">
        <v>0.2989</v>
      </c>
      <c r="P289" t="inlineStr">
        <is>
          <t>adjusted xGOT</t>
        </is>
      </c>
      <c r="Q289" s="3" t="n">
        <v>0.994</v>
      </c>
      <c r="R289" s="3" t="n">
        <v>18</v>
      </c>
      <c r="S289" s="3" t="n">
        <v>0.0507</v>
      </c>
      <c r="T289" s="3" t="n">
        <v>4.763</v>
      </c>
      <c r="U289" s="4" t="n">
        <v>98.7</v>
      </c>
      <c r="V289" s="3">
        <f>IF(OR(N(T289)=0,N(U289)=0),0,1-POISSON(IFERROR(VLOOKUP($C289,Assumptions!$A$4:$G$7,7,FALSE),99)-1,N(T289)*N(U289)/90,TRUE))</f>
        <v/>
      </c>
      <c r="W289" s="3" t="n">
        <v>0.2736</v>
      </c>
      <c r="X289" s="3" t="n">
        <v>2.736</v>
      </c>
      <c r="Y289" s="3">
        <f>IF(X289="",IFERROR(VLOOKUP($C289,Assumptions!$A$4:$G$7,6,FALSE),0),X289)</f>
        <v/>
      </c>
      <c r="Z289" s="3">
        <f>N(O289)*IFERROR(VLOOKUP($C289,Assumptions!$A$4:$G$7,2,FALSE),0)</f>
        <v/>
      </c>
      <c r="AA289" s="3">
        <f>N(S289)*IFERROR(VLOOKUP($C289,Assumptions!$A$4:$G$7,3,FALSE),0)*Assumptions!$B$11</f>
        <v/>
      </c>
      <c r="AB289" s="3">
        <f>N(N289)*IFERROR(VLOOKUP($C289,Assumptions!$A$4:$G$7,4,FALSE),0)</f>
        <v/>
      </c>
      <c r="AC289" s="3">
        <f>IF(N(U289)=0,0,V289*IFERROR(VLOOKUP($C289,Assumptions!$A$4:$G$7,5,FALSE),0)*90/N(U289))</f>
        <v/>
      </c>
      <c r="AD289" s="3">
        <f>N(W289)</f>
        <v/>
      </c>
      <c r="AE289" s="3">
        <f>SUM(Y289:AD289)</f>
        <v/>
      </c>
      <c r="AF289" s="3">
        <f>N(AE289)*N(M289)/90</f>
        <v/>
      </c>
      <c r="AG289" s="3">
        <f>IFERROR(AF289-VLOOKUP($C289,Assumptions!$A$29:$C$32,3,FALSE),"")</f>
        <v/>
      </c>
      <c r="AH289" s="3">
        <f>IFERROR(AG289/F289,"")</f>
        <v/>
      </c>
      <c r="AI289">
        <f>IF(AND($E289=TRUE,$C289="GKP"),AF289,"")</f>
        <v/>
      </c>
      <c r="AJ289">
        <f>IF(AND($E289=TRUE,$C289="DEF"),AF289,"")</f>
        <v/>
      </c>
      <c r="AK289">
        <f>IF(AND($E289=TRUE,$C289="MID"),AF289,"")</f>
        <v/>
      </c>
      <c r="AL289">
        <f>IF(AND($E289=TRUE,$C289="FWD"),AF289,"")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b">
        <v>1</v>
      </c>
      <c r="F290" s="2" t="n">
        <v>7.5</v>
      </c>
      <c r="G290" t="inlineStr">
        <is>
          <t>a</t>
        </is>
      </c>
      <c r="I290" s="2" t="n">
        <v>577</v>
      </c>
      <c r="J290" t="n">
        <v>36</v>
      </c>
      <c r="K290" s="3" t="n">
        <v>2394</v>
      </c>
      <c r="L290" t="inlineStr">
        <is>
          <t>flat</t>
        </is>
      </c>
      <c r="M290" s="4" t="n">
        <v>577</v>
      </c>
      <c r="N290" s="4" t="n">
        <v>0.5</v>
      </c>
      <c r="O290" s="3" t="n">
        <v>0.475</v>
      </c>
      <c r="P290" t="inlineStr">
        <is>
          <t>adjusted xGOT</t>
        </is>
      </c>
      <c r="Q290" s="3" t="n">
        <v>0.92</v>
      </c>
      <c r="R290" s="3" t="n">
        <v>36.8</v>
      </c>
      <c r="S290" s="3" t="n">
        <v>0.1635</v>
      </c>
      <c r="T290" s="3" t="n">
        <v>4.881</v>
      </c>
      <c r="U290" s="4" t="n">
        <v>82.40000000000001</v>
      </c>
      <c r="V290" s="3">
        <f>IF(OR(N(T290)=0,N(U290)=0),0,1-POISSON(IFERROR(VLOOKUP($C290,Assumptions!$A$4:$G$7,7,FALSE),99)-1,N(T290)*N(U290)/90,TRUE))</f>
        <v/>
      </c>
      <c r="W290" s="3" t="n">
        <v>0.4679</v>
      </c>
      <c r="X290" s="3" t="n">
        <v>2.652</v>
      </c>
      <c r="Y290" s="3">
        <f>IF(X290="",IFERROR(VLOOKUP($C290,Assumptions!$A$4:$G$7,6,FALSE),0),X290)</f>
        <v/>
      </c>
      <c r="Z290" s="3">
        <f>N(O290)*IFERROR(VLOOKUP($C290,Assumptions!$A$4:$G$7,2,FALSE),0)</f>
        <v/>
      </c>
      <c r="AA290" s="3">
        <f>N(S290)*IFERROR(VLOOKUP($C290,Assumptions!$A$4:$G$7,3,FALSE),0)*Assumptions!$B$11</f>
        <v/>
      </c>
      <c r="AB290" s="3">
        <f>N(N290)*IFERROR(VLOOKUP($C290,Assumptions!$A$4:$G$7,4,FALSE),0)</f>
        <v/>
      </c>
      <c r="AC290" s="3">
        <f>IF(N(U290)=0,0,V290*IFERROR(VLOOKUP($C290,Assumptions!$A$4:$G$7,5,FALSE),0)*90/N(U290))</f>
        <v/>
      </c>
      <c r="AD290" s="3">
        <f>N(W290)</f>
        <v/>
      </c>
      <c r="AE290" s="3">
        <f>SUM(Y290:AD290)</f>
        <v/>
      </c>
      <c r="AF290" s="3">
        <f>N(AE290)*N(M290)/90</f>
        <v/>
      </c>
      <c r="AG290" s="3">
        <f>IFERROR(AF290-VLOOKUP($C290,Assumptions!$A$29:$C$32,3,FALSE),"")</f>
        <v/>
      </c>
      <c r="AH290" s="3">
        <f>IFERROR(AG290/F290,"")</f>
        <v/>
      </c>
      <c r="AI290">
        <f>IF(AND($E290=TRUE,$C290="GKP"),AF290,"")</f>
        <v/>
      </c>
      <c r="AJ290">
        <f>IF(AND($E290=TRUE,$C290="DEF"),AF290,"")</f>
        <v/>
      </c>
      <c r="AK290">
        <f>IF(AND($E290=TRUE,$C290="MID"),AF290,"")</f>
        <v/>
      </c>
      <c r="AL290">
        <f>IF(AND($E290=TRUE,$C290="FWD"),AF290,"")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b">
        <v>1</v>
      </c>
      <c r="F291" s="2" t="n">
        <v>5</v>
      </c>
      <c r="G291" t="inlineStr">
        <is>
          <t>a</t>
        </is>
      </c>
      <c r="I291" s="2" t="n">
        <v>785</v>
      </c>
      <c r="J291" t="n">
        <v>36</v>
      </c>
      <c r="K291" s="3" t="n">
        <v>64</v>
      </c>
      <c r="L291" t="inlineStr">
        <is>
          <t>flat</t>
        </is>
      </c>
      <c r="M291" s="4" t="n">
        <v>785</v>
      </c>
      <c r="N291" s="4" t="n">
        <v>0.316</v>
      </c>
      <c r="O291" s="3" t="n">
        <v>0.2423</v>
      </c>
      <c r="P291" t="inlineStr">
        <is>
          <t>adjusted xGOT</t>
        </is>
      </c>
      <c r="Q291" s="3" t="n">
        <v>0.888</v>
      </c>
      <c r="R291" s="3" t="n">
        <v>3.2</v>
      </c>
      <c r="S291" s="3" t="n">
        <v>0.0414</v>
      </c>
      <c r="T291" s="3" t="n">
        <v>8.409000000000001</v>
      </c>
      <c r="U291" s="4" t="n">
        <v>112.1</v>
      </c>
      <c r="V291" s="3">
        <f>IF(OR(N(T291)=0,N(U291)=0),0,1-POISSON(IFERROR(VLOOKUP($C291,Assumptions!$A$4:$G$7,7,FALSE),99)-1,N(T291)*N(U291)/90,TRUE))</f>
        <v/>
      </c>
      <c r="W291" s="3" t="n">
        <v>0</v>
      </c>
      <c r="X291" s="3" t="n">
        <v>3.21</v>
      </c>
      <c r="Y291" s="3">
        <f>IF(X291="",IFERROR(VLOOKUP($C291,Assumptions!$A$4:$G$7,6,FALSE),0),X291)</f>
        <v/>
      </c>
      <c r="Z291" s="3">
        <f>N(O291)*IFERROR(VLOOKUP($C291,Assumptions!$A$4:$G$7,2,FALSE),0)</f>
        <v/>
      </c>
      <c r="AA291" s="3">
        <f>N(S291)*IFERROR(VLOOKUP($C291,Assumptions!$A$4:$G$7,3,FALSE),0)*Assumptions!$B$11</f>
        <v/>
      </c>
      <c r="AB291" s="3">
        <f>N(N291)*IFERROR(VLOOKUP($C291,Assumptions!$A$4:$G$7,4,FALSE),0)</f>
        <v/>
      </c>
      <c r="AC291" s="3">
        <f>IF(N(U291)=0,0,V291*IFERROR(VLOOKUP($C291,Assumptions!$A$4:$G$7,5,FALSE),0)*90/N(U291))</f>
        <v/>
      </c>
      <c r="AD291" s="3">
        <f>N(W291)</f>
        <v/>
      </c>
      <c r="AE291" s="3">
        <f>SUM(Y291:AD291)</f>
        <v/>
      </c>
      <c r="AF291" s="3">
        <f>N(AE291)*N(M291)/90</f>
        <v/>
      </c>
      <c r="AG291" s="3">
        <f>IFERROR(AF291-VLOOKUP($C291,Assumptions!$A$29:$C$32,3,FALSE),"")</f>
        <v/>
      </c>
      <c r="AH291" s="3">
        <f>IFERROR(AG291/F291,"")</f>
        <v/>
      </c>
      <c r="AI291">
        <f>IF(AND($E291=TRUE,$C291="GKP"),AF291,"")</f>
        <v/>
      </c>
      <c r="AJ291">
        <f>IF(AND($E291=TRUE,$C291="DEF"),AF291,"")</f>
        <v/>
      </c>
      <c r="AK291">
        <f>IF(AND($E291=TRUE,$C291="MID"),AF291,"")</f>
        <v/>
      </c>
      <c r="AL291">
        <f>IF(AND($E291=TRUE,$C291="FWD"),AF291,"")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b">
        <v>1</v>
      </c>
      <c r="F292" s="2" t="n">
        <v>5</v>
      </c>
      <c r="G292" t="inlineStr">
        <is>
          <t>a</t>
        </is>
      </c>
      <c r="I292" s="2" t="n">
        <v>675</v>
      </c>
      <c r="J292" t="n">
        <v>36</v>
      </c>
      <c r="K292" s="3" t="n">
        <v>727</v>
      </c>
      <c r="L292" t="inlineStr">
        <is>
          <t>fade (losing his place)</t>
        </is>
      </c>
      <c r="M292" s="4" t="n">
        <v>675</v>
      </c>
      <c r="N292" s="4" t="n">
        <v>0.29</v>
      </c>
      <c r="O292" s="3" t="n">
        <v>0.08550000000000001</v>
      </c>
      <c r="P292" t="inlineStr">
        <is>
          <t>adjusted xGOT</t>
        </is>
      </c>
      <c r="Q292" s="3" t="n">
        <v>0.957</v>
      </c>
      <c r="R292" s="3" t="n">
        <v>0.7</v>
      </c>
      <c r="S292" s="3" t="n">
        <v>0.0474</v>
      </c>
      <c r="T292" s="3" t="n">
        <v>8.814</v>
      </c>
      <c r="U292" s="4" t="n">
        <v>112.5</v>
      </c>
      <c r="V292" s="3">
        <f>IF(OR(N(T292)=0,N(U292)=0),0,1-POISSON(IFERROR(VLOOKUP($C292,Assumptions!$A$4:$G$7,7,FALSE),99)-1,N(T292)*N(U292)/90,TRUE))</f>
        <v/>
      </c>
      <c r="W292" s="3" t="n">
        <v>0.2667</v>
      </c>
      <c r="X292" s="3" t="n">
        <v>2.933</v>
      </c>
      <c r="Y292" s="3">
        <f>IF(X292="",IFERROR(VLOOKUP($C292,Assumptions!$A$4:$G$7,6,FALSE),0),X292)</f>
        <v/>
      </c>
      <c r="Z292" s="3">
        <f>N(O292)*IFERROR(VLOOKUP($C292,Assumptions!$A$4:$G$7,2,FALSE),0)</f>
        <v/>
      </c>
      <c r="AA292" s="3">
        <f>N(S292)*IFERROR(VLOOKUP($C292,Assumptions!$A$4:$G$7,3,FALSE),0)*Assumptions!$B$11</f>
        <v/>
      </c>
      <c r="AB292" s="3">
        <f>N(N292)*IFERROR(VLOOKUP($C292,Assumptions!$A$4:$G$7,4,FALSE),0)</f>
        <v/>
      </c>
      <c r="AC292" s="3">
        <f>IF(N(U292)=0,0,V292*IFERROR(VLOOKUP($C292,Assumptions!$A$4:$G$7,5,FALSE),0)*90/N(U292))</f>
        <v/>
      </c>
      <c r="AD292" s="3">
        <f>N(W292)</f>
        <v/>
      </c>
      <c r="AE292" s="3">
        <f>SUM(Y292:AD292)</f>
        <v/>
      </c>
      <c r="AF292" s="3">
        <f>N(AE292)*N(M292)/90</f>
        <v/>
      </c>
      <c r="AG292" s="3">
        <f>IFERROR(AF292-VLOOKUP($C292,Assumptions!$A$29:$C$32,3,FALSE),"")</f>
        <v/>
      </c>
      <c r="AH292" s="3">
        <f>IFERROR(AG292/F292,"")</f>
        <v/>
      </c>
      <c r="AI292">
        <f>IF(AND($E292=TRUE,$C292="GKP"),AF292,"")</f>
        <v/>
      </c>
      <c r="AJ292">
        <f>IF(AND($E292=TRUE,$C292="DEF"),AF292,"")</f>
        <v/>
      </c>
      <c r="AK292">
        <f>IF(AND($E292=TRUE,$C292="MID"),AF292,"")</f>
        <v/>
      </c>
      <c r="AL292">
        <f>IF(AND($E292=TRUE,$C292="FWD"),AF292,"")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b">
        <v>1</v>
      </c>
      <c r="F293" s="2" t="n">
        <v>5.5</v>
      </c>
      <c r="G293" t="inlineStr">
        <is>
          <t>a</t>
        </is>
      </c>
      <c r="I293" s="2" t="n">
        <v>351</v>
      </c>
      <c r="J293" t="n">
        <v>35</v>
      </c>
      <c r="K293" s="3" t="n">
        <v>821</v>
      </c>
      <c r="L293" t="inlineStr">
        <is>
          <t>fade (losing his place)</t>
        </is>
      </c>
      <c r="M293" s="4" t="n">
        <v>351</v>
      </c>
      <c r="N293" s="4" t="n">
        <v>0.263</v>
      </c>
      <c r="O293" s="3" t="n">
        <v>0.5479000000000001</v>
      </c>
      <c r="P293" t="inlineStr">
        <is>
          <t>adjusted xGOT</t>
        </is>
      </c>
      <c r="Q293" s="3" t="n">
        <v>1.008</v>
      </c>
      <c r="R293" s="3" t="n">
        <v>2.1</v>
      </c>
      <c r="S293" s="3" t="n">
        <v>0.2333</v>
      </c>
      <c r="T293" s="3" t="n">
        <v>6.668</v>
      </c>
      <c r="U293" s="4" t="n">
        <v>175.5</v>
      </c>
      <c r="V293" s="3">
        <f>IF(OR(N(T293)=0,N(U293)=0),0,1-POISSON(IFERROR(VLOOKUP($C293,Assumptions!$A$4:$G$7,7,FALSE),99)-1,N(T293)*N(U293)/90,TRUE))</f>
        <v/>
      </c>
      <c r="W293" s="3" t="n">
        <v>0.7692</v>
      </c>
      <c r="X293" s="3" t="n">
        <v>5.897</v>
      </c>
      <c r="Y293" s="3">
        <f>IF(X293="",IFERROR(VLOOKUP($C293,Assumptions!$A$4:$G$7,6,FALSE),0),X293)</f>
        <v/>
      </c>
      <c r="Z293" s="3">
        <f>N(O293)*IFERROR(VLOOKUP($C293,Assumptions!$A$4:$G$7,2,FALSE),0)</f>
        <v/>
      </c>
      <c r="AA293" s="3">
        <f>N(S293)*IFERROR(VLOOKUP($C293,Assumptions!$A$4:$G$7,3,FALSE),0)*Assumptions!$B$11</f>
        <v/>
      </c>
      <c r="AB293" s="3">
        <f>N(N293)*IFERROR(VLOOKUP($C293,Assumptions!$A$4:$G$7,4,FALSE),0)</f>
        <v/>
      </c>
      <c r="AC293" s="3">
        <f>IF(N(U293)=0,0,V293*IFERROR(VLOOKUP($C293,Assumptions!$A$4:$G$7,5,FALSE),0)*90/N(U293))</f>
        <v/>
      </c>
      <c r="AD293" s="3">
        <f>N(W293)</f>
        <v/>
      </c>
      <c r="AE293" s="3">
        <f>SUM(Y293:AD293)</f>
        <v/>
      </c>
      <c r="AF293" s="3">
        <f>N(AE293)*N(M293)/90</f>
        <v/>
      </c>
      <c r="AG293" s="3">
        <f>IFERROR(AF293-VLOOKUP($C293,Assumptions!$A$29:$C$32,3,FALSE),"")</f>
        <v/>
      </c>
      <c r="AH293" s="3">
        <f>IFERROR(AG293/F293,"")</f>
        <v/>
      </c>
      <c r="AI293">
        <f>IF(AND($E293=TRUE,$C293="GKP"),AF293,"")</f>
        <v/>
      </c>
      <c r="AJ293">
        <f>IF(AND($E293=TRUE,$C293="DEF"),AF293,"")</f>
        <v/>
      </c>
      <c r="AK293">
        <f>IF(AND($E293=TRUE,$C293="MID"),AF293,"")</f>
        <v/>
      </c>
      <c r="AL293">
        <f>IF(AND($E293=TRUE,$C293="FWD"),AF293,"")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b">
        <v>1</v>
      </c>
      <c r="F294" s="2" t="n">
        <v>4.5</v>
      </c>
      <c r="G294" t="inlineStr">
        <is>
          <t>a</t>
        </is>
      </c>
      <c r="I294" s="2" t="n">
        <v>788</v>
      </c>
      <c r="J294" t="n">
        <v>34</v>
      </c>
      <c r="K294" s="3" t="n">
        <v>261</v>
      </c>
      <c r="L294" t="inlineStr">
        <is>
          <t>flat</t>
        </is>
      </c>
      <c r="M294" s="4" t="n">
        <v>788</v>
      </c>
      <c r="N294" s="4" t="n">
        <v>0.237</v>
      </c>
      <c r="O294" s="3" t="n">
        <v>0.0126</v>
      </c>
      <c r="P294" t="inlineStr">
        <is>
          <t>adjusted xGOT</t>
        </is>
      </c>
      <c r="Q294" s="3" t="n">
        <v>0.997</v>
      </c>
      <c r="R294" s="3" t="n">
        <v>2.5</v>
      </c>
      <c r="S294" s="3" t="n">
        <v>0.0466</v>
      </c>
      <c r="T294" s="3" t="n">
        <v>9.458</v>
      </c>
      <c r="U294" s="4" t="n">
        <v>98.5</v>
      </c>
      <c r="V294" s="3">
        <f>IF(OR(N(T294)=0,N(U294)=0),0,1-POISSON(IFERROR(VLOOKUP($C294,Assumptions!$A$4:$G$7,7,FALSE),99)-1,N(T294)*N(U294)/90,TRUE))</f>
        <v/>
      </c>
      <c r="W294" s="3" t="n">
        <v>0.2284</v>
      </c>
      <c r="X294" s="3" t="n">
        <v>2.627</v>
      </c>
      <c r="Y294" s="3">
        <f>IF(X294="",IFERROR(VLOOKUP($C294,Assumptions!$A$4:$G$7,6,FALSE),0),X294)</f>
        <v/>
      </c>
      <c r="Z294" s="3">
        <f>N(O294)*IFERROR(VLOOKUP($C294,Assumptions!$A$4:$G$7,2,FALSE),0)</f>
        <v/>
      </c>
      <c r="AA294" s="3">
        <f>N(S294)*IFERROR(VLOOKUP($C294,Assumptions!$A$4:$G$7,3,FALSE),0)*Assumptions!$B$11</f>
        <v/>
      </c>
      <c r="AB294" s="3">
        <f>N(N294)*IFERROR(VLOOKUP($C294,Assumptions!$A$4:$G$7,4,FALSE),0)</f>
        <v/>
      </c>
      <c r="AC294" s="3">
        <f>IF(N(U294)=0,0,V294*IFERROR(VLOOKUP($C294,Assumptions!$A$4:$G$7,5,FALSE),0)*90/N(U294))</f>
        <v/>
      </c>
      <c r="AD294" s="3">
        <f>N(W294)</f>
        <v/>
      </c>
      <c r="AE294" s="3">
        <f>SUM(Y294:AD294)</f>
        <v/>
      </c>
      <c r="AF294" s="3">
        <f>N(AE294)*N(M294)/90</f>
        <v/>
      </c>
      <c r="AG294" s="3">
        <f>IFERROR(AF294-VLOOKUP($C294,Assumptions!$A$29:$C$32,3,FALSE),"")</f>
        <v/>
      </c>
      <c r="AH294" s="3">
        <f>IFERROR(AG294/F294,"")</f>
        <v/>
      </c>
      <c r="AI294">
        <f>IF(AND($E294=TRUE,$C294="GKP"),AF294,"")</f>
        <v/>
      </c>
      <c r="AJ294">
        <f>IF(AND($E294=TRUE,$C294="DEF"),AF294,"")</f>
        <v/>
      </c>
      <c r="AK294">
        <f>IF(AND($E294=TRUE,$C294="MID"),AF294,"")</f>
        <v/>
      </c>
      <c r="AL294">
        <f>IF(AND($E294=TRUE,$C294="FWD"),AF294,"")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b">
        <v>1</v>
      </c>
      <c r="F295" s="2" t="n">
        <v>5</v>
      </c>
      <c r="G295" t="inlineStr">
        <is>
          <t>a</t>
        </is>
      </c>
      <c r="I295" s="2" t="n">
        <v>867</v>
      </c>
      <c r="J295" t="n">
        <v>34</v>
      </c>
      <c r="K295" s="3" t="n">
        <v>35</v>
      </c>
      <c r="L295" t="inlineStr">
        <is>
          <t>flat</t>
        </is>
      </c>
      <c r="M295" s="4" t="n">
        <v>867</v>
      </c>
      <c r="N295" s="4" t="n">
        <v>0.263</v>
      </c>
      <c r="O295" s="3" t="n">
        <v>0</v>
      </c>
      <c r="P295" t="inlineStr">
        <is>
          <t>blended xG</t>
        </is>
      </c>
      <c r="Q295" s="3" t="n">
        <v>1</v>
      </c>
      <c r="R295" s="3" t="n">
        <v>0</v>
      </c>
      <c r="S295" s="3" t="n">
        <v>0</v>
      </c>
      <c r="T295" s="3" t="n">
        <v>0</v>
      </c>
      <c r="U295" s="4" t="n">
        <v>86.7</v>
      </c>
      <c r="V295" s="3">
        <f>IF(OR(N(T295)=0,N(U295)=0),0,1-POISSON(IFERROR(VLOOKUP($C295,Assumptions!$A$4:$G$7,7,FALSE),99)-1,N(T295)*N(U295)/90,TRUE))</f>
        <v/>
      </c>
      <c r="W295" s="3" t="n">
        <v>0.2076</v>
      </c>
      <c r="X295" s="3" t="n">
        <v>1.972</v>
      </c>
      <c r="Y295" s="3">
        <f>IF(X295="",IFERROR(VLOOKUP($C295,Assumptions!$A$4:$G$7,6,FALSE),0),X295)</f>
        <v/>
      </c>
      <c r="Z295" s="3">
        <f>N(O295)*IFERROR(VLOOKUP($C295,Assumptions!$A$4:$G$7,2,FALSE),0)</f>
        <v/>
      </c>
      <c r="AA295" s="3">
        <f>N(S295)*IFERROR(VLOOKUP($C295,Assumptions!$A$4:$G$7,3,FALSE),0)*Assumptions!$B$11</f>
        <v/>
      </c>
      <c r="AB295" s="3">
        <f>N(N295)*IFERROR(VLOOKUP($C295,Assumptions!$A$4:$G$7,4,FALSE),0)</f>
        <v/>
      </c>
      <c r="AC295" s="3">
        <f>IF(N(U295)=0,0,V295*IFERROR(VLOOKUP($C295,Assumptions!$A$4:$G$7,5,FALSE),0)*90/N(U295))</f>
        <v/>
      </c>
      <c r="AD295" s="3">
        <f>N(W295)</f>
        <v/>
      </c>
      <c r="AE295" s="3">
        <f>SUM(Y295:AD295)</f>
        <v/>
      </c>
      <c r="AF295" s="3">
        <f>N(AE295)*N(M295)/90</f>
        <v/>
      </c>
      <c r="AG295" s="3">
        <f>IFERROR(AF295-VLOOKUP($C295,Assumptions!$A$29:$C$32,3,FALSE),"")</f>
        <v/>
      </c>
      <c r="AH295" s="3">
        <f>IFERROR(AG295/F295,"")</f>
        <v/>
      </c>
      <c r="AI295">
        <f>IF(AND($E295=TRUE,$C295="GKP"),AF295,"")</f>
        <v/>
      </c>
      <c r="AJ295">
        <f>IF(AND($E295=TRUE,$C295="DEF"),AF295,"")</f>
        <v/>
      </c>
      <c r="AK295">
        <f>IF(AND($E295=TRUE,$C295="MID"),AF295,"")</f>
        <v/>
      </c>
      <c r="AL295">
        <f>IF(AND($E295=TRUE,$C295="FWD"),AF295,"")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b">
        <v>1</v>
      </c>
      <c r="F296" s="2" t="n">
        <v>5</v>
      </c>
      <c r="G296" t="inlineStr">
        <is>
          <t>a</t>
        </is>
      </c>
      <c r="I296" s="2" t="n">
        <v>649</v>
      </c>
      <c r="J296" t="n">
        <v>34</v>
      </c>
      <c r="K296" s="3" t="n">
        <v>178</v>
      </c>
      <c r="L296" t="inlineStr">
        <is>
          <t>flat</t>
        </is>
      </c>
      <c r="M296" s="4" t="n">
        <v>649</v>
      </c>
      <c r="N296" s="4" t="n">
        <v>0.29</v>
      </c>
      <c r="O296" s="3" t="n">
        <v>0.0553</v>
      </c>
      <c r="P296" t="inlineStr">
        <is>
          <t>adjusted xGOT</t>
        </is>
      </c>
      <c r="Q296" s="3" t="n">
        <v>1.139</v>
      </c>
      <c r="R296" s="3" t="n">
        <v>7</v>
      </c>
      <c r="S296" s="3" t="n">
        <v>0.09379999999999999</v>
      </c>
      <c r="T296" s="3" t="n">
        <v>7.469</v>
      </c>
      <c r="U296" s="4" t="n">
        <v>72.09999999999999</v>
      </c>
      <c r="V296" s="3">
        <f>IF(OR(N(T296)=0,N(U296)=0),0,1-POISSON(IFERROR(VLOOKUP($C296,Assumptions!$A$4:$G$7,7,FALSE),99)-1,N(T296)*N(U296)/90,TRUE))</f>
        <v/>
      </c>
      <c r="W296" s="3" t="n">
        <v>0.416</v>
      </c>
      <c r="X296" s="3" t="n">
        <v>2.912</v>
      </c>
      <c r="Y296" s="3">
        <f>IF(X296="",IFERROR(VLOOKUP($C296,Assumptions!$A$4:$G$7,6,FALSE),0),X296)</f>
        <v/>
      </c>
      <c r="Z296" s="3">
        <f>N(O296)*IFERROR(VLOOKUP($C296,Assumptions!$A$4:$G$7,2,FALSE),0)</f>
        <v/>
      </c>
      <c r="AA296" s="3">
        <f>N(S296)*IFERROR(VLOOKUP($C296,Assumptions!$A$4:$G$7,3,FALSE),0)*Assumptions!$B$11</f>
        <v/>
      </c>
      <c r="AB296" s="3">
        <f>N(N296)*IFERROR(VLOOKUP($C296,Assumptions!$A$4:$G$7,4,FALSE),0)</f>
        <v/>
      </c>
      <c r="AC296" s="3">
        <f>IF(N(U296)=0,0,V296*IFERROR(VLOOKUP($C296,Assumptions!$A$4:$G$7,5,FALSE),0)*90/N(U296))</f>
        <v/>
      </c>
      <c r="AD296" s="3">
        <f>N(W296)</f>
        <v/>
      </c>
      <c r="AE296" s="3">
        <f>SUM(Y296:AD296)</f>
        <v/>
      </c>
      <c r="AF296" s="3">
        <f>N(AE296)*N(M296)/90</f>
        <v/>
      </c>
      <c r="AG296" s="3">
        <f>IFERROR(AF296-VLOOKUP($C296,Assumptions!$A$29:$C$32,3,FALSE),"")</f>
        <v/>
      </c>
      <c r="AH296" s="3">
        <f>IFERROR(AG296/F296,"")</f>
        <v/>
      </c>
      <c r="AI296">
        <f>IF(AND($E296=TRUE,$C296="GKP"),AF296,"")</f>
        <v/>
      </c>
      <c r="AJ296">
        <f>IF(AND($E296=TRUE,$C296="DEF"),AF296,"")</f>
        <v/>
      </c>
      <c r="AK296">
        <f>IF(AND($E296=TRUE,$C296="MID"),AF296,"")</f>
        <v/>
      </c>
      <c r="AL296">
        <f>IF(AND($E296=TRUE,$C296="FWD"),AF296,"")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b">
        <v>1</v>
      </c>
      <c r="F297" s="2" t="n">
        <v>5</v>
      </c>
      <c r="G297" t="inlineStr">
        <is>
          <t>i</t>
        </is>
      </c>
      <c r="H297" t="inlineStr">
        <is>
          <t>Muscular injury - Unknown return date</t>
        </is>
      </c>
      <c r="I297" s="2" t="n">
        <v>594</v>
      </c>
      <c r="J297" t="n">
        <v>33</v>
      </c>
      <c r="K297" s="3" t="n">
        <v>442</v>
      </c>
      <c r="L297" t="inlineStr">
        <is>
          <t>flat</t>
        </is>
      </c>
      <c r="M297" s="4" t="n">
        <v>594</v>
      </c>
      <c r="N297" s="4" t="n">
        <v>0.263</v>
      </c>
      <c r="O297" s="3" t="n">
        <v>0.0397</v>
      </c>
      <c r="P297" t="inlineStr">
        <is>
          <t>adjusted xGOT</t>
        </is>
      </c>
      <c r="Q297" s="3" t="n">
        <v>0.9360000000000001</v>
      </c>
      <c r="R297" s="3" t="n">
        <v>1.8</v>
      </c>
      <c r="S297" s="3" t="n">
        <v>0.1431</v>
      </c>
      <c r="T297" s="3" t="n">
        <v>7.362</v>
      </c>
      <c r="U297" s="4" t="n">
        <v>84.90000000000001</v>
      </c>
      <c r="V297" s="3">
        <f>IF(OR(N(T297)=0,N(U297)=0),0,1-POISSON(IFERROR(VLOOKUP($C297,Assumptions!$A$4:$G$7,7,FALSE),99)-1,N(T297)*N(U297)/90,TRUE))</f>
        <v/>
      </c>
      <c r="W297" s="3" t="n">
        <v>0.303</v>
      </c>
      <c r="X297" s="3" t="n">
        <v>3.939</v>
      </c>
      <c r="Y297" s="3">
        <f>IF(X297="",IFERROR(VLOOKUP($C297,Assumptions!$A$4:$G$7,6,FALSE),0),X297)</f>
        <v/>
      </c>
      <c r="Z297" s="3">
        <f>N(O297)*IFERROR(VLOOKUP($C297,Assumptions!$A$4:$G$7,2,FALSE),0)</f>
        <v/>
      </c>
      <c r="AA297" s="3">
        <f>N(S297)*IFERROR(VLOOKUP($C297,Assumptions!$A$4:$G$7,3,FALSE),0)*Assumptions!$B$11</f>
        <v/>
      </c>
      <c r="AB297" s="3">
        <f>N(N297)*IFERROR(VLOOKUP($C297,Assumptions!$A$4:$G$7,4,FALSE),0)</f>
        <v/>
      </c>
      <c r="AC297" s="3">
        <f>IF(N(U297)=0,0,V297*IFERROR(VLOOKUP($C297,Assumptions!$A$4:$G$7,5,FALSE),0)*90/N(U297))</f>
        <v/>
      </c>
      <c r="AD297" s="3">
        <f>N(W297)</f>
        <v/>
      </c>
      <c r="AE297" s="3">
        <f>SUM(Y297:AD297)</f>
        <v/>
      </c>
      <c r="AF297" s="3">
        <f>N(AE297)*N(M297)/90</f>
        <v/>
      </c>
      <c r="AG297" s="3">
        <f>IFERROR(AF297-VLOOKUP($C297,Assumptions!$A$29:$C$32,3,FALSE),"")</f>
        <v/>
      </c>
      <c r="AH297" s="3">
        <f>IFERROR(AG297/F297,"")</f>
        <v/>
      </c>
      <c r="AI297">
        <f>IF(AND($E297=TRUE,$C297="GKP"),AF297,"")</f>
        <v/>
      </c>
      <c r="AJ297">
        <f>IF(AND($E297=TRUE,$C297="DEF"),AF297,"")</f>
        <v/>
      </c>
      <c r="AK297">
        <f>IF(AND($E297=TRUE,$C297="MID"),AF297,"")</f>
        <v/>
      </c>
      <c r="AL297">
        <f>IF(AND($E297=TRUE,$C297="FWD"),AF297,"")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b">
        <v>1</v>
      </c>
      <c r="F298" s="2" t="n">
        <v>5.5</v>
      </c>
      <c r="G298" t="inlineStr">
        <is>
          <t>a</t>
        </is>
      </c>
      <c r="I298" s="2" t="n">
        <v>678</v>
      </c>
      <c r="J298" t="n">
        <v>32</v>
      </c>
      <c r="K298" s="3" t="n">
        <v>3203</v>
      </c>
      <c r="L298" t="inlineStr">
        <is>
          <t>flat</t>
        </is>
      </c>
      <c r="M298" s="4" t="n">
        <v>678</v>
      </c>
      <c r="N298" s="4" t="n">
        <v>0.29</v>
      </c>
      <c r="O298" s="3" t="n">
        <v>0.0445</v>
      </c>
      <c r="P298" t="inlineStr">
        <is>
          <t>adjusted xGOT</t>
        </is>
      </c>
      <c r="Q298" s="3" t="n">
        <v>0.986</v>
      </c>
      <c r="R298" s="3" t="n">
        <v>3.2</v>
      </c>
      <c r="S298" s="3" t="n">
        <v>0.0321</v>
      </c>
      <c r="T298" s="3" t="n">
        <v>8.271000000000001</v>
      </c>
      <c r="U298" s="4" t="n">
        <v>96.90000000000001</v>
      </c>
      <c r="V298" s="3">
        <f>IF(OR(N(T298)=0,N(U298)=0),0,1-POISSON(IFERROR(VLOOKUP($C298,Assumptions!$A$4:$G$7,7,FALSE),99)-1,N(T298)*N(U298)/90,TRUE))</f>
        <v/>
      </c>
      <c r="W298" s="3" t="n">
        <v>0</v>
      </c>
      <c r="X298" s="3" t="n">
        <v>2.257</v>
      </c>
      <c r="Y298" s="3">
        <f>IF(X298="",IFERROR(VLOOKUP($C298,Assumptions!$A$4:$G$7,6,FALSE),0),X298)</f>
        <v/>
      </c>
      <c r="Z298" s="3">
        <f>N(O298)*IFERROR(VLOOKUP($C298,Assumptions!$A$4:$G$7,2,FALSE),0)</f>
        <v/>
      </c>
      <c r="AA298" s="3">
        <f>N(S298)*IFERROR(VLOOKUP($C298,Assumptions!$A$4:$G$7,3,FALSE),0)*Assumptions!$B$11</f>
        <v/>
      </c>
      <c r="AB298" s="3">
        <f>N(N298)*IFERROR(VLOOKUP($C298,Assumptions!$A$4:$G$7,4,FALSE),0)</f>
        <v/>
      </c>
      <c r="AC298" s="3">
        <f>IF(N(U298)=0,0,V298*IFERROR(VLOOKUP($C298,Assumptions!$A$4:$G$7,5,FALSE),0)*90/N(U298))</f>
        <v/>
      </c>
      <c r="AD298" s="3">
        <f>N(W298)</f>
        <v/>
      </c>
      <c r="AE298" s="3">
        <f>SUM(Y298:AD298)</f>
        <v/>
      </c>
      <c r="AF298" s="3">
        <f>N(AE298)*N(M298)/90</f>
        <v/>
      </c>
      <c r="AG298" s="3">
        <f>IFERROR(AF298-VLOOKUP($C298,Assumptions!$A$29:$C$32,3,FALSE),"")</f>
        <v/>
      </c>
      <c r="AH298" s="3">
        <f>IFERROR(AG298/F298,"")</f>
        <v/>
      </c>
      <c r="AI298">
        <f>IF(AND($E298=TRUE,$C298="GKP"),AF298,"")</f>
        <v/>
      </c>
      <c r="AJ298">
        <f>IF(AND($E298=TRUE,$C298="DEF"),AF298,"")</f>
        <v/>
      </c>
      <c r="AK298">
        <f>IF(AND($E298=TRUE,$C298="MID"),AF298,"")</f>
        <v/>
      </c>
      <c r="AL298">
        <f>IF(AND($E298=TRUE,$C298="FWD"),AF298,"")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b">
        <v>1</v>
      </c>
      <c r="F299" s="2" t="n">
        <v>5</v>
      </c>
      <c r="G299" t="inlineStr">
        <is>
          <t>a</t>
        </is>
      </c>
      <c r="I299" s="2" t="n">
        <v>521</v>
      </c>
      <c r="J299" t="n">
        <v>32</v>
      </c>
      <c r="K299" s="3" t="n">
        <v>120</v>
      </c>
      <c r="L299" t="inlineStr">
        <is>
          <t>flat</t>
        </is>
      </c>
      <c r="M299" s="4" t="n">
        <v>521</v>
      </c>
      <c r="N299" s="4" t="n">
        <v>0.21</v>
      </c>
      <c r="O299" s="3" t="n">
        <v>0.0672</v>
      </c>
      <c r="P299" t="inlineStr">
        <is>
          <t>adjusted xGOT</t>
        </is>
      </c>
      <c r="Q299" s="3" t="n">
        <v>0.972</v>
      </c>
      <c r="R299" s="3" t="n">
        <v>2.2</v>
      </c>
      <c r="S299" s="3" t="n">
        <v>0.1742</v>
      </c>
      <c r="T299" s="3" t="n">
        <v>9.255000000000001</v>
      </c>
      <c r="U299" s="4" t="n">
        <v>130.2</v>
      </c>
      <c r="V299" s="3">
        <f>IF(OR(N(T299)=0,N(U299)=0),0,1-POISSON(IFERROR(VLOOKUP($C299,Assumptions!$A$4:$G$7,7,FALSE),99)-1,N(T299)*N(U299)/90,TRUE))</f>
        <v/>
      </c>
      <c r="W299" s="3" t="n">
        <v>0</v>
      </c>
      <c r="X299" s="3" t="n">
        <v>4.319</v>
      </c>
      <c r="Y299" s="3">
        <f>IF(X299="",IFERROR(VLOOKUP($C299,Assumptions!$A$4:$G$7,6,FALSE),0),X299)</f>
        <v/>
      </c>
      <c r="Z299" s="3">
        <f>N(O299)*IFERROR(VLOOKUP($C299,Assumptions!$A$4:$G$7,2,FALSE),0)</f>
        <v/>
      </c>
      <c r="AA299" s="3">
        <f>N(S299)*IFERROR(VLOOKUP($C299,Assumptions!$A$4:$G$7,3,FALSE),0)*Assumptions!$B$11</f>
        <v/>
      </c>
      <c r="AB299" s="3">
        <f>N(N299)*IFERROR(VLOOKUP($C299,Assumptions!$A$4:$G$7,4,FALSE),0)</f>
        <v/>
      </c>
      <c r="AC299" s="3">
        <f>IF(N(U299)=0,0,V299*IFERROR(VLOOKUP($C299,Assumptions!$A$4:$G$7,5,FALSE),0)*90/N(U299))</f>
        <v/>
      </c>
      <c r="AD299" s="3">
        <f>N(W299)</f>
        <v/>
      </c>
      <c r="AE299" s="3">
        <f>SUM(Y299:AD299)</f>
        <v/>
      </c>
      <c r="AF299" s="3">
        <f>N(AE299)*N(M299)/90</f>
        <v/>
      </c>
      <c r="AG299" s="3">
        <f>IFERROR(AF299-VLOOKUP($C299,Assumptions!$A$29:$C$32,3,FALSE),"")</f>
        <v/>
      </c>
      <c r="AH299" s="3">
        <f>IFERROR(AG299/F299,"")</f>
        <v/>
      </c>
      <c r="AI299">
        <f>IF(AND($E299=TRUE,$C299="GKP"),AF299,"")</f>
        <v/>
      </c>
      <c r="AJ299">
        <f>IF(AND($E299=TRUE,$C299="DEF"),AF299,"")</f>
        <v/>
      </c>
      <c r="AK299">
        <f>IF(AND($E299=TRUE,$C299="MID"),AF299,"")</f>
        <v/>
      </c>
      <c r="AL299">
        <f>IF(AND($E299=TRUE,$C299="FWD"),AF299,"")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b">
        <v>1</v>
      </c>
      <c r="F300" s="2" t="n">
        <v>4</v>
      </c>
      <c r="G300" t="inlineStr">
        <is>
          <t>a</t>
        </is>
      </c>
      <c r="I300" s="2" t="n">
        <v>812</v>
      </c>
      <c r="J300" t="n">
        <v>31</v>
      </c>
      <c r="K300" s="3" t="n">
        <v>2394</v>
      </c>
      <c r="L300" t="inlineStr">
        <is>
          <t>flat</t>
        </is>
      </c>
      <c r="M300" s="4" t="n">
        <v>812</v>
      </c>
      <c r="N300" s="4" t="n"/>
      <c r="O300" s="3" t="n">
        <v>0.09619999999999999</v>
      </c>
      <c r="P300" t="inlineStr">
        <is>
          <t>adjusted xGOT</t>
        </is>
      </c>
      <c r="Q300" s="3" t="n">
        <v>1.085</v>
      </c>
      <c r="R300" s="3" t="n">
        <v>1.9</v>
      </c>
      <c r="S300" s="3" t="n">
        <v>0.0028</v>
      </c>
      <c r="T300" s="3" t="n">
        <v>7.195</v>
      </c>
      <c r="U300" s="4" t="n">
        <v>101.5</v>
      </c>
      <c r="V300" s="3">
        <f>IF(OR(N(T300)=0,N(U300)=0),0,1-POISSON(IFERROR(VLOOKUP($C300,Assumptions!$A$4:$G$7,7,FALSE),99)-1,N(T300)*N(U300)/90,TRUE))</f>
        <v/>
      </c>
      <c r="W300" s="3" t="n">
        <v>0.3325</v>
      </c>
      <c r="X300" s="3" t="n">
        <v>2.328</v>
      </c>
      <c r="Y300" s="3">
        <f>IF(X300="",IFERROR(VLOOKUP($C300,Assumptions!$A$4:$G$7,6,FALSE),0),X300)</f>
        <v/>
      </c>
      <c r="Z300" s="3">
        <f>N(O300)*IFERROR(VLOOKUP($C300,Assumptions!$A$4:$G$7,2,FALSE),0)</f>
        <v/>
      </c>
      <c r="AA300" s="3">
        <f>N(S300)*IFERROR(VLOOKUP($C300,Assumptions!$A$4:$G$7,3,FALSE),0)*Assumptions!$B$11</f>
        <v/>
      </c>
      <c r="AB300" s="3">
        <f>N(N300)*IFERROR(VLOOKUP($C300,Assumptions!$A$4:$G$7,4,FALSE),0)</f>
        <v/>
      </c>
      <c r="AC300" s="3">
        <f>IF(N(U300)=0,0,V300*IFERROR(VLOOKUP($C300,Assumptions!$A$4:$G$7,5,FALSE),0)*90/N(U300))</f>
        <v/>
      </c>
      <c r="AD300" s="3">
        <f>N(W300)</f>
        <v/>
      </c>
      <c r="AE300" s="3">
        <f>SUM(Y300:AD300)</f>
        <v/>
      </c>
      <c r="AF300" s="3">
        <f>N(AE300)*N(M300)/90</f>
        <v/>
      </c>
      <c r="AG300" s="3">
        <f>IFERROR(AF300-VLOOKUP($C300,Assumptions!$A$29:$C$32,3,FALSE),"")</f>
        <v/>
      </c>
      <c r="AH300" s="3">
        <f>IFERROR(AG300/F300,"")</f>
        <v/>
      </c>
      <c r="AI300">
        <f>IF(AND($E300=TRUE,$C300="GKP"),AF300,"")</f>
        <v/>
      </c>
      <c r="AJ300">
        <f>IF(AND($E300=TRUE,$C300="DEF"),AF300,"")</f>
        <v/>
      </c>
      <c r="AK300">
        <f>IF(AND($E300=TRUE,$C300="MID"),AF300,"")</f>
        <v/>
      </c>
      <c r="AL300">
        <f>IF(AND($E300=TRUE,$C300="FWD"),AF300,"")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b">
        <v>1</v>
      </c>
      <c r="F301" s="2" t="n">
        <v>4.5</v>
      </c>
      <c r="G301" t="inlineStr">
        <is>
          <t>a</t>
        </is>
      </c>
      <c r="I301" s="2" t="n">
        <v>602</v>
      </c>
      <c r="J301" t="n">
        <v>30</v>
      </c>
      <c r="K301" s="3" t="n">
        <v>340</v>
      </c>
      <c r="L301" t="inlineStr">
        <is>
          <t>flat</t>
        </is>
      </c>
      <c r="M301" s="4" t="n">
        <v>602</v>
      </c>
      <c r="N301" s="4" t="n">
        <v>0.237</v>
      </c>
      <c r="O301" s="3" t="n">
        <v>0.0646</v>
      </c>
      <c r="P301" t="inlineStr">
        <is>
          <t>adjusted xGOT</t>
        </is>
      </c>
      <c r="Q301" s="3" t="n">
        <v>0.881</v>
      </c>
      <c r="R301" s="3" t="n">
        <v>7.7</v>
      </c>
      <c r="S301" s="3" t="n">
        <v>0.0447</v>
      </c>
      <c r="T301" s="3" t="n">
        <v>9.369</v>
      </c>
      <c r="U301" s="4" t="n">
        <v>301</v>
      </c>
      <c r="V301" s="3">
        <f>IF(OR(N(T301)=0,N(U301)=0),0,1-POISSON(IFERROR(VLOOKUP($C301,Assumptions!$A$4:$G$7,7,FALSE),99)-1,N(T301)*N(U301)/90,TRUE))</f>
        <v/>
      </c>
      <c r="W301" s="3" t="n">
        <v>0</v>
      </c>
      <c r="X301" s="3" t="n">
        <v>3.738</v>
      </c>
      <c r="Y301" s="3">
        <f>IF(X301="",IFERROR(VLOOKUP($C301,Assumptions!$A$4:$G$7,6,FALSE),0),X301)</f>
        <v/>
      </c>
      <c r="Z301" s="3">
        <f>N(O301)*IFERROR(VLOOKUP($C301,Assumptions!$A$4:$G$7,2,FALSE),0)</f>
        <v/>
      </c>
      <c r="AA301" s="3">
        <f>N(S301)*IFERROR(VLOOKUP($C301,Assumptions!$A$4:$G$7,3,FALSE),0)*Assumptions!$B$11</f>
        <v/>
      </c>
      <c r="AB301" s="3">
        <f>N(N301)*IFERROR(VLOOKUP($C301,Assumptions!$A$4:$G$7,4,FALSE),0)</f>
        <v/>
      </c>
      <c r="AC301" s="3">
        <f>IF(N(U301)=0,0,V301*IFERROR(VLOOKUP($C301,Assumptions!$A$4:$G$7,5,FALSE),0)*90/N(U301))</f>
        <v/>
      </c>
      <c r="AD301" s="3">
        <f>N(W301)</f>
        <v/>
      </c>
      <c r="AE301" s="3">
        <f>SUM(Y301:AD301)</f>
        <v/>
      </c>
      <c r="AF301" s="3">
        <f>N(AE301)*N(M301)/90</f>
        <v/>
      </c>
      <c r="AG301" s="3">
        <f>IFERROR(AF301-VLOOKUP($C301,Assumptions!$A$29:$C$32,3,FALSE),"")</f>
        <v/>
      </c>
      <c r="AH301" s="3">
        <f>IFERROR(AG301/F301,"")</f>
        <v/>
      </c>
      <c r="AI301">
        <f>IF(AND($E301=TRUE,$C301="GKP"),AF301,"")</f>
        <v/>
      </c>
      <c r="AJ301">
        <f>IF(AND($E301=TRUE,$C301="DEF"),AF301,"")</f>
        <v/>
      </c>
      <c r="AK301">
        <f>IF(AND($E301=TRUE,$C301="MID"),AF301,"")</f>
        <v/>
      </c>
      <c r="AL301">
        <f>IF(AND($E301=TRUE,$C301="FWD"),AF301,"")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b">
        <v>1</v>
      </c>
      <c r="F302" s="2" t="n">
        <v>4.5</v>
      </c>
      <c r="G302" t="inlineStr">
        <is>
          <t>a</t>
        </is>
      </c>
      <c r="I302" s="2" t="n">
        <v>1335</v>
      </c>
      <c r="J302" t="n">
        <v>29</v>
      </c>
      <c r="K302" s="3" t="n">
        <v>685</v>
      </c>
      <c r="L302" t="inlineStr">
        <is>
          <t>flat</t>
        </is>
      </c>
      <c r="M302" s="4" t="n">
        <v>1335</v>
      </c>
      <c r="N302" s="4" t="n">
        <v>0.237</v>
      </c>
      <c r="O302" s="3" t="n">
        <v>0.0132</v>
      </c>
      <c r="P302" t="inlineStr">
        <is>
          <t>adjusted xGOT</t>
        </is>
      </c>
      <c r="Q302" s="3" t="n">
        <v>1.091</v>
      </c>
      <c r="R302" s="3" t="n">
        <v>2.9</v>
      </c>
      <c r="S302" s="3" t="n">
        <v>0.0621</v>
      </c>
      <c r="T302" s="3" t="n">
        <v>5.671</v>
      </c>
      <c r="U302" s="4" t="n">
        <v>95.40000000000001</v>
      </c>
      <c r="V302" s="3">
        <f>IF(OR(N(T302)=0,N(U302)=0),0,1-POISSON(IFERROR(VLOOKUP($C302,Assumptions!$A$4:$G$7,7,FALSE),99)-1,N(T302)*N(U302)/90,TRUE))</f>
        <v/>
      </c>
      <c r="W302" s="3" t="n">
        <v>0.0674</v>
      </c>
      <c r="X302" s="3" t="n">
        <v>2.225</v>
      </c>
      <c r="Y302" s="3">
        <f>IF(X302="",IFERROR(VLOOKUP($C302,Assumptions!$A$4:$G$7,6,FALSE),0),X302)</f>
        <v/>
      </c>
      <c r="Z302" s="3">
        <f>N(O302)*IFERROR(VLOOKUP($C302,Assumptions!$A$4:$G$7,2,FALSE),0)</f>
        <v/>
      </c>
      <c r="AA302" s="3">
        <f>N(S302)*IFERROR(VLOOKUP($C302,Assumptions!$A$4:$G$7,3,FALSE),0)*Assumptions!$B$11</f>
        <v/>
      </c>
      <c r="AB302" s="3">
        <f>N(N302)*IFERROR(VLOOKUP($C302,Assumptions!$A$4:$G$7,4,FALSE),0)</f>
        <v/>
      </c>
      <c r="AC302" s="3">
        <f>IF(N(U302)=0,0,V302*IFERROR(VLOOKUP($C302,Assumptions!$A$4:$G$7,5,FALSE),0)*90/N(U302))</f>
        <v/>
      </c>
      <c r="AD302" s="3">
        <f>N(W302)</f>
        <v/>
      </c>
      <c r="AE302" s="3">
        <f>SUM(Y302:AD302)</f>
        <v/>
      </c>
      <c r="AF302" s="3">
        <f>N(AE302)*N(M302)/90</f>
        <v/>
      </c>
      <c r="AG302" s="3">
        <f>IFERROR(AF302-VLOOKUP($C302,Assumptions!$A$29:$C$32,3,FALSE),"")</f>
        <v/>
      </c>
      <c r="AH302" s="3">
        <f>IFERROR(AG302/F302,"")</f>
        <v/>
      </c>
      <c r="AI302">
        <f>IF(AND($E302=TRUE,$C302="GKP"),AF302,"")</f>
        <v/>
      </c>
      <c r="AJ302">
        <f>IF(AND($E302=TRUE,$C302="DEF"),AF302,"")</f>
        <v/>
      </c>
      <c r="AK302">
        <f>IF(AND($E302=TRUE,$C302="MID"),AF302,"")</f>
        <v/>
      </c>
      <c r="AL302">
        <f>IF(AND($E302=TRUE,$C302="FWD"),AF302,"")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b">
        <v>1</v>
      </c>
      <c r="F303" s="2" t="n">
        <v>5.5</v>
      </c>
      <c r="G303" t="inlineStr">
        <is>
          <t>a</t>
        </is>
      </c>
      <c r="I303" s="2" t="n">
        <v>697</v>
      </c>
      <c r="J303" t="n">
        <v>29</v>
      </c>
      <c r="K303" s="3" t="n">
        <v>394</v>
      </c>
      <c r="L303" t="inlineStr">
        <is>
          <t>flat</t>
        </is>
      </c>
      <c r="M303" s="4" t="n">
        <v>697</v>
      </c>
      <c r="N303" s="4" t="n">
        <v>0.5</v>
      </c>
      <c r="O303" s="3" t="n">
        <v>0.0128</v>
      </c>
      <c r="P303" t="inlineStr">
        <is>
          <t>adjusted xGOT</t>
        </is>
      </c>
      <c r="Q303" s="3" t="n">
        <v>0.993</v>
      </c>
      <c r="R303" s="3" t="n">
        <v>0.3</v>
      </c>
      <c r="S303" s="3" t="n">
        <v>0.0244</v>
      </c>
      <c r="T303" s="3" t="n">
        <v>5.493</v>
      </c>
      <c r="U303" s="4" t="n">
        <v>139.4</v>
      </c>
      <c r="V303" s="3">
        <f>IF(OR(N(T303)=0,N(U303)=0),0,1-POISSON(IFERROR(VLOOKUP($C303,Assumptions!$A$4:$G$7,7,FALSE),99)-1,N(T303)*N(U303)/90,TRUE))</f>
        <v/>
      </c>
      <c r="W303" s="3" t="n">
        <v>0</v>
      </c>
      <c r="X303" s="3" t="n">
        <v>3.228</v>
      </c>
      <c r="Y303" s="3">
        <f>IF(X303="",IFERROR(VLOOKUP($C303,Assumptions!$A$4:$G$7,6,FALSE),0),X303)</f>
        <v/>
      </c>
      <c r="Z303" s="3">
        <f>N(O303)*IFERROR(VLOOKUP($C303,Assumptions!$A$4:$G$7,2,FALSE),0)</f>
        <v/>
      </c>
      <c r="AA303" s="3">
        <f>N(S303)*IFERROR(VLOOKUP($C303,Assumptions!$A$4:$G$7,3,FALSE),0)*Assumptions!$B$11</f>
        <v/>
      </c>
      <c r="AB303" s="3">
        <f>N(N303)*IFERROR(VLOOKUP($C303,Assumptions!$A$4:$G$7,4,FALSE),0)</f>
        <v/>
      </c>
      <c r="AC303" s="3">
        <f>IF(N(U303)=0,0,V303*IFERROR(VLOOKUP($C303,Assumptions!$A$4:$G$7,5,FALSE),0)*90/N(U303))</f>
        <v/>
      </c>
      <c r="AD303" s="3">
        <f>N(W303)</f>
        <v/>
      </c>
      <c r="AE303" s="3">
        <f>SUM(Y303:AD303)</f>
        <v/>
      </c>
      <c r="AF303" s="3">
        <f>N(AE303)*N(M303)/90</f>
        <v/>
      </c>
      <c r="AG303" s="3">
        <f>IFERROR(AF303-VLOOKUP($C303,Assumptions!$A$29:$C$32,3,FALSE),"")</f>
        <v/>
      </c>
      <c r="AH303" s="3">
        <f>IFERROR(AG303/F303,"")</f>
        <v/>
      </c>
      <c r="AI303">
        <f>IF(AND($E303=TRUE,$C303="GKP"),AF303,"")</f>
        <v/>
      </c>
      <c r="AJ303">
        <f>IF(AND($E303=TRUE,$C303="DEF"),AF303,"")</f>
        <v/>
      </c>
      <c r="AK303">
        <f>IF(AND($E303=TRUE,$C303="MID"),AF303,"")</f>
        <v/>
      </c>
      <c r="AL303">
        <f>IF(AND($E303=TRUE,$C303="FWD"),AF303,"")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b">
        <v>1</v>
      </c>
      <c r="F304" s="2" t="n">
        <v>4.5</v>
      </c>
      <c r="G304" t="inlineStr">
        <is>
          <t>a</t>
        </is>
      </c>
      <c r="I304" s="2" t="n">
        <v>942</v>
      </c>
      <c r="J304" t="n">
        <v>29</v>
      </c>
      <c r="K304" s="3" t="n">
        <v>884</v>
      </c>
      <c r="L304" t="inlineStr">
        <is>
          <t>fade (losing his place)</t>
        </is>
      </c>
      <c r="M304" s="4" t="n">
        <v>942</v>
      </c>
      <c r="N304" s="4" t="n">
        <v>0.237</v>
      </c>
      <c r="O304" s="3" t="n">
        <v>0.0261</v>
      </c>
      <c r="P304" t="inlineStr">
        <is>
          <t>adjusted xGOT</t>
        </is>
      </c>
      <c r="Q304" s="3" t="n">
        <v>0.976</v>
      </c>
      <c r="R304" s="3" t="n">
        <v>1.2</v>
      </c>
      <c r="S304" s="3" t="n">
        <v>0.0333</v>
      </c>
      <c r="T304" s="3" t="n">
        <v>6.253</v>
      </c>
      <c r="U304" s="4" t="n">
        <v>85.59999999999999</v>
      </c>
      <c r="V304" s="3">
        <f>IF(OR(N(T304)=0,N(U304)=0),0,1-POISSON(IFERROR(VLOOKUP($C304,Assumptions!$A$4:$G$7,7,FALSE),99)-1,N(T304)*N(U304)/90,TRUE))</f>
        <v/>
      </c>
      <c r="W304" s="3" t="n">
        <v>0</v>
      </c>
      <c r="X304" s="3" t="n">
        <v>2.58</v>
      </c>
      <c r="Y304" s="3">
        <f>IF(X304="",IFERROR(VLOOKUP($C304,Assumptions!$A$4:$G$7,6,FALSE),0),X304)</f>
        <v/>
      </c>
      <c r="Z304" s="3">
        <f>N(O304)*IFERROR(VLOOKUP($C304,Assumptions!$A$4:$G$7,2,FALSE),0)</f>
        <v/>
      </c>
      <c r="AA304" s="3">
        <f>N(S304)*IFERROR(VLOOKUP($C304,Assumptions!$A$4:$G$7,3,FALSE),0)*Assumptions!$B$11</f>
        <v/>
      </c>
      <c r="AB304" s="3">
        <f>N(N304)*IFERROR(VLOOKUP($C304,Assumptions!$A$4:$G$7,4,FALSE),0)</f>
        <v/>
      </c>
      <c r="AC304" s="3">
        <f>IF(N(U304)=0,0,V304*IFERROR(VLOOKUP($C304,Assumptions!$A$4:$G$7,5,FALSE),0)*90/N(U304))</f>
        <v/>
      </c>
      <c r="AD304" s="3">
        <f>N(W304)</f>
        <v/>
      </c>
      <c r="AE304" s="3">
        <f>SUM(Y304:AD304)</f>
        <v/>
      </c>
      <c r="AF304" s="3">
        <f>N(AE304)*N(M304)/90</f>
        <v/>
      </c>
      <c r="AG304" s="3">
        <f>IFERROR(AF304-VLOOKUP($C304,Assumptions!$A$29:$C$32,3,FALSE),"")</f>
        <v/>
      </c>
      <c r="AH304" s="3">
        <f>IFERROR(AG304/F304,"")</f>
        <v/>
      </c>
      <c r="AI304">
        <f>IF(AND($E304=TRUE,$C304="GKP"),AF304,"")</f>
        <v/>
      </c>
      <c r="AJ304">
        <f>IF(AND($E304=TRUE,$C304="DEF"),AF304,"")</f>
        <v/>
      </c>
      <c r="AK304">
        <f>IF(AND($E304=TRUE,$C304="MID"),AF304,"")</f>
        <v/>
      </c>
      <c r="AL304">
        <f>IF(AND($E304=TRUE,$C304="FWD"),AF304,"")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b">
        <v>1</v>
      </c>
      <c r="F305" s="2" t="n">
        <v>5</v>
      </c>
      <c r="G305" t="inlineStr">
        <is>
          <t>a</t>
        </is>
      </c>
      <c r="I305" s="2" t="n">
        <v>679</v>
      </c>
      <c r="J305" t="n">
        <v>29</v>
      </c>
      <c r="K305" s="3" t="n">
        <v>191</v>
      </c>
      <c r="L305" t="inlineStr">
        <is>
          <t>flat</t>
        </is>
      </c>
      <c r="M305" s="4" t="n">
        <v>679</v>
      </c>
      <c r="N305" s="4" t="n">
        <v>0.29</v>
      </c>
      <c r="O305" s="3" t="n">
        <v>0.1671</v>
      </c>
      <c r="P305" t="inlineStr">
        <is>
          <t>adjusted xGOT</t>
        </is>
      </c>
      <c r="Q305" s="3" t="n">
        <v>1.078</v>
      </c>
      <c r="R305" s="3" t="n">
        <v>4.7</v>
      </c>
      <c r="S305" s="3" t="n">
        <v>0.1162</v>
      </c>
      <c r="T305" s="3" t="n">
        <v>8.917</v>
      </c>
      <c r="U305" s="4" t="n">
        <v>113.2</v>
      </c>
      <c r="V305" s="3">
        <f>IF(OR(N(T305)=0,N(U305)=0),0,1-POISSON(IFERROR(VLOOKUP($C305,Assumptions!$A$4:$G$7,7,FALSE),99)-1,N(T305)*N(U305)/90,TRUE))</f>
        <v/>
      </c>
      <c r="W305" s="3" t="n">
        <v>0</v>
      </c>
      <c r="X305" s="3" t="n">
        <v>3.579</v>
      </c>
      <c r="Y305" s="3">
        <f>IF(X305="",IFERROR(VLOOKUP($C305,Assumptions!$A$4:$G$7,6,FALSE),0),X305)</f>
        <v/>
      </c>
      <c r="Z305" s="3">
        <f>N(O305)*IFERROR(VLOOKUP($C305,Assumptions!$A$4:$G$7,2,FALSE),0)</f>
        <v/>
      </c>
      <c r="AA305" s="3">
        <f>N(S305)*IFERROR(VLOOKUP($C305,Assumptions!$A$4:$G$7,3,FALSE),0)*Assumptions!$B$11</f>
        <v/>
      </c>
      <c r="AB305" s="3">
        <f>N(N305)*IFERROR(VLOOKUP($C305,Assumptions!$A$4:$G$7,4,FALSE),0)</f>
        <v/>
      </c>
      <c r="AC305" s="3">
        <f>IF(N(U305)=0,0,V305*IFERROR(VLOOKUP($C305,Assumptions!$A$4:$G$7,5,FALSE),0)*90/N(U305))</f>
        <v/>
      </c>
      <c r="AD305" s="3">
        <f>N(W305)</f>
        <v/>
      </c>
      <c r="AE305" s="3">
        <f>SUM(Y305:AD305)</f>
        <v/>
      </c>
      <c r="AF305" s="3">
        <f>N(AE305)*N(M305)/90</f>
        <v/>
      </c>
      <c r="AG305" s="3">
        <f>IFERROR(AF305-VLOOKUP($C305,Assumptions!$A$29:$C$32,3,FALSE),"")</f>
        <v/>
      </c>
      <c r="AH305" s="3">
        <f>IFERROR(AG305/F305,"")</f>
        <v/>
      </c>
      <c r="AI305">
        <f>IF(AND($E305=TRUE,$C305="GKP"),AF305,"")</f>
        <v/>
      </c>
      <c r="AJ305">
        <f>IF(AND($E305=TRUE,$C305="DEF"),AF305,"")</f>
        <v/>
      </c>
      <c r="AK305">
        <f>IF(AND($E305=TRUE,$C305="MID"),AF305,"")</f>
        <v/>
      </c>
      <c r="AL305">
        <f>IF(AND($E305=TRUE,$C305="FWD"),AF305,"")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b">
        <v>1</v>
      </c>
      <c r="F306" s="2" t="n">
        <v>6</v>
      </c>
      <c r="G306" t="inlineStr">
        <is>
          <t>a</t>
        </is>
      </c>
      <c r="I306" s="2" t="n">
        <v>517</v>
      </c>
      <c r="J306" t="n">
        <v>27</v>
      </c>
      <c r="K306" s="3" t="n">
        <v>1277</v>
      </c>
      <c r="L306" t="inlineStr">
        <is>
          <t>flat</t>
        </is>
      </c>
      <c r="M306" s="4" t="n">
        <v>517</v>
      </c>
      <c r="N306" s="4" t="n">
        <v>0.21</v>
      </c>
      <c r="O306" s="3" t="n">
        <v>0.5092</v>
      </c>
      <c r="P306" t="inlineStr">
        <is>
          <t>adjusted xGOT</t>
        </is>
      </c>
      <c r="Q306" s="3" t="n">
        <v>0.9350000000000001</v>
      </c>
      <c r="R306" s="3" t="n">
        <v>37.9</v>
      </c>
      <c r="S306" s="3" t="n">
        <v>0.0618</v>
      </c>
      <c r="T306" s="3" t="n">
        <v>4.39</v>
      </c>
      <c r="U306" s="4" t="n">
        <v>129.2</v>
      </c>
      <c r="V306" s="3">
        <f>IF(OR(N(T306)=0,N(U306)=0),0,1-POISSON(IFERROR(VLOOKUP($C306,Assumptions!$A$4:$G$7,7,FALSE),99)-1,N(T306)*N(U306)/90,TRUE))</f>
        <v/>
      </c>
      <c r="W306" s="3" t="n">
        <v>0</v>
      </c>
      <c r="X306" s="3" t="n">
        <v>4.004</v>
      </c>
      <c r="Y306" s="3">
        <f>IF(X306="",IFERROR(VLOOKUP($C306,Assumptions!$A$4:$G$7,6,FALSE),0),X306)</f>
        <v/>
      </c>
      <c r="Z306" s="3">
        <f>N(O306)*IFERROR(VLOOKUP($C306,Assumptions!$A$4:$G$7,2,FALSE),0)</f>
        <v/>
      </c>
      <c r="AA306" s="3">
        <f>N(S306)*IFERROR(VLOOKUP($C306,Assumptions!$A$4:$G$7,3,FALSE),0)*Assumptions!$B$11</f>
        <v/>
      </c>
      <c r="AB306" s="3">
        <f>N(N306)*IFERROR(VLOOKUP($C306,Assumptions!$A$4:$G$7,4,FALSE),0)</f>
        <v/>
      </c>
      <c r="AC306" s="3">
        <f>IF(N(U306)=0,0,V306*IFERROR(VLOOKUP($C306,Assumptions!$A$4:$G$7,5,FALSE),0)*90/N(U306))</f>
        <v/>
      </c>
      <c r="AD306" s="3">
        <f>N(W306)</f>
        <v/>
      </c>
      <c r="AE306" s="3">
        <f>SUM(Y306:AD306)</f>
        <v/>
      </c>
      <c r="AF306" s="3">
        <f>N(AE306)*N(M306)/90</f>
        <v/>
      </c>
      <c r="AG306" s="3">
        <f>IFERROR(AF306-VLOOKUP($C306,Assumptions!$A$29:$C$32,3,FALSE),"")</f>
        <v/>
      </c>
      <c r="AH306" s="3">
        <f>IFERROR(AG306/F306,"")</f>
        <v/>
      </c>
      <c r="AI306">
        <f>IF(AND($E306=TRUE,$C306="GKP"),AF306,"")</f>
        <v/>
      </c>
      <c r="AJ306">
        <f>IF(AND($E306=TRUE,$C306="DEF"),AF306,"")</f>
        <v/>
      </c>
      <c r="AK306">
        <f>IF(AND($E306=TRUE,$C306="MID"),AF306,"")</f>
        <v/>
      </c>
      <c r="AL306">
        <f>IF(AND($E306=TRUE,$C306="FWD"),AF306,"")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b">
        <v>1</v>
      </c>
      <c r="F307" s="2" t="n">
        <v>5.5</v>
      </c>
      <c r="G307" t="inlineStr">
        <is>
          <t>u</t>
        </is>
      </c>
      <c r="H307" t="inlineStr">
        <is>
          <t>Has joined Getafe permanently</t>
        </is>
      </c>
      <c r="I307" s="2" t="n">
        <v>214</v>
      </c>
      <c r="J307" t="n">
        <v>27</v>
      </c>
      <c r="K307" s="3" t="n"/>
      <c r="M307" s="4" t="n">
        <v>214</v>
      </c>
      <c r="N307" s="4" t="n">
        <v>0.29</v>
      </c>
      <c r="O307" s="3" t="n">
        <v>0.7023</v>
      </c>
      <c r="P307" t="inlineStr">
        <is>
          <t>adjusted xGOT</t>
        </is>
      </c>
      <c r="Q307" s="3" t="n">
        <v>0.835</v>
      </c>
      <c r="R307" s="3" t="n">
        <v>7.6</v>
      </c>
      <c r="S307" s="3" t="n">
        <v>0.0745</v>
      </c>
      <c r="T307" s="3" t="n">
        <v>5.911</v>
      </c>
      <c r="U307" s="4" t="n">
        <v>85</v>
      </c>
      <c r="V307" s="3">
        <f>IF(OR(N(T307)=0,N(U307)=0),0,1-POISSON(IFERROR(VLOOKUP($C307,Assumptions!$A$4:$G$7,7,FALSE),99)-1,N(T307)*N(U307)/90,TRUE))</f>
        <v/>
      </c>
      <c r="W307" s="3" t="n">
        <v>0.4206</v>
      </c>
      <c r="X307" s="3" t="n">
        <v>9.673</v>
      </c>
      <c r="Y307" s="3">
        <f>IF(X307="",IFERROR(VLOOKUP($C307,Assumptions!$A$4:$G$7,6,FALSE),0),X307)</f>
        <v/>
      </c>
      <c r="Z307" s="3">
        <f>N(O307)*IFERROR(VLOOKUP($C307,Assumptions!$A$4:$G$7,2,FALSE),0)</f>
        <v/>
      </c>
      <c r="AA307" s="3">
        <f>N(S307)*IFERROR(VLOOKUP($C307,Assumptions!$A$4:$G$7,3,FALSE),0)*Assumptions!$B$11</f>
        <v/>
      </c>
      <c r="AB307" s="3">
        <f>N(N307)*IFERROR(VLOOKUP($C307,Assumptions!$A$4:$G$7,4,FALSE),0)</f>
        <v/>
      </c>
      <c r="AC307" s="3">
        <f>IF(N(U307)=0,0,V307*IFERROR(VLOOKUP($C307,Assumptions!$A$4:$G$7,5,FALSE),0)*90/N(U307))</f>
        <v/>
      </c>
      <c r="AD307" s="3">
        <f>N(W307)</f>
        <v/>
      </c>
      <c r="AE307" s="3">
        <f>SUM(Y307:AD307)</f>
        <v/>
      </c>
      <c r="AF307" s="3">
        <f>N(AE307)*N(M307)/90</f>
        <v/>
      </c>
      <c r="AG307" s="3">
        <f>IFERROR(AF307-VLOOKUP($C307,Assumptions!$A$29:$C$32,3,FALSE),"")</f>
        <v/>
      </c>
      <c r="AH307" s="3">
        <f>IFERROR(AG307/F307,"")</f>
        <v/>
      </c>
      <c r="AI307">
        <f>IF(AND($E307=TRUE,$C307="GKP"),AF307,"")</f>
        <v/>
      </c>
      <c r="AJ307">
        <f>IF(AND($E307=TRUE,$C307="DEF"),AF307,"")</f>
        <v/>
      </c>
      <c r="AK307">
        <f>IF(AND($E307=TRUE,$C307="MID"),AF307,"")</f>
        <v/>
      </c>
      <c r="AL307">
        <f>IF(AND($E307=TRUE,$C307="FWD"),AF307,"")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b">
        <v>1</v>
      </c>
      <c r="F308" s="2" t="n">
        <v>4</v>
      </c>
      <c r="G308" t="inlineStr">
        <is>
          <t>a</t>
        </is>
      </c>
      <c r="I308" s="2" t="n">
        <v>565</v>
      </c>
      <c r="J308" t="n">
        <v>26</v>
      </c>
      <c r="K308" s="3" t="n">
        <v>406</v>
      </c>
      <c r="L308" t="inlineStr">
        <is>
          <t>flat</t>
        </is>
      </c>
      <c r="M308" s="4" t="n">
        <v>565</v>
      </c>
      <c r="N308" s="4" t="n">
        <v>0.29</v>
      </c>
      <c r="O308" s="3" t="n">
        <v>0.0237</v>
      </c>
      <c r="P308" t="inlineStr">
        <is>
          <t>adjusted xGOT</t>
        </is>
      </c>
      <c r="Q308" s="3" t="n">
        <v>0.994</v>
      </c>
      <c r="R308" s="3" t="n">
        <v>0.2</v>
      </c>
      <c r="S308" s="3" t="n">
        <v>0.0188</v>
      </c>
      <c r="T308" s="3" t="n">
        <v>7.318</v>
      </c>
      <c r="U308" s="4" t="n">
        <v>113</v>
      </c>
      <c r="V308" s="3">
        <f>IF(OR(N(T308)=0,N(U308)=0),0,1-POISSON(IFERROR(VLOOKUP($C308,Assumptions!$A$4:$G$7,7,FALSE),99)-1,N(T308)*N(U308)/90,TRUE))</f>
        <v/>
      </c>
      <c r="W308" s="3" t="n">
        <v>0.1593</v>
      </c>
      <c r="X308" s="3" t="n">
        <v>2.867</v>
      </c>
      <c r="Y308" s="3">
        <f>IF(X308="",IFERROR(VLOOKUP($C308,Assumptions!$A$4:$G$7,6,FALSE),0),X308)</f>
        <v/>
      </c>
      <c r="Z308" s="3">
        <f>N(O308)*IFERROR(VLOOKUP($C308,Assumptions!$A$4:$G$7,2,FALSE),0)</f>
        <v/>
      </c>
      <c r="AA308" s="3">
        <f>N(S308)*IFERROR(VLOOKUP($C308,Assumptions!$A$4:$G$7,3,FALSE),0)*Assumptions!$B$11</f>
        <v/>
      </c>
      <c r="AB308" s="3">
        <f>N(N308)*IFERROR(VLOOKUP($C308,Assumptions!$A$4:$G$7,4,FALSE),0)</f>
        <v/>
      </c>
      <c r="AC308" s="3">
        <f>IF(N(U308)=0,0,V308*IFERROR(VLOOKUP($C308,Assumptions!$A$4:$G$7,5,FALSE),0)*90/N(U308))</f>
        <v/>
      </c>
      <c r="AD308" s="3">
        <f>N(W308)</f>
        <v/>
      </c>
      <c r="AE308" s="3">
        <f>SUM(Y308:AD308)</f>
        <v/>
      </c>
      <c r="AF308" s="3">
        <f>N(AE308)*N(M308)/90</f>
        <v/>
      </c>
      <c r="AG308" s="3">
        <f>IFERROR(AF308-VLOOKUP($C308,Assumptions!$A$29:$C$32,3,FALSE),"")</f>
        <v/>
      </c>
      <c r="AH308" s="3">
        <f>IFERROR(AG308/F308,"")</f>
        <v/>
      </c>
      <c r="AI308">
        <f>IF(AND($E308=TRUE,$C308="GKP"),AF308,"")</f>
        <v/>
      </c>
      <c r="AJ308">
        <f>IF(AND($E308=TRUE,$C308="DEF"),AF308,"")</f>
        <v/>
      </c>
      <c r="AK308">
        <f>IF(AND($E308=TRUE,$C308="MID"),AF308,"")</f>
        <v/>
      </c>
      <c r="AL308">
        <f>IF(AND($E308=TRUE,$C308="FWD"),AF308,"")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b">
        <v>1</v>
      </c>
      <c r="F309" s="2" t="n">
        <v>5.5</v>
      </c>
      <c r="G309" t="inlineStr">
        <is>
          <t>a</t>
        </is>
      </c>
      <c r="I309" s="2" t="n">
        <v>549</v>
      </c>
      <c r="J309" t="n">
        <v>26</v>
      </c>
      <c r="K309" s="3" t="n">
        <v>164</v>
      </c>
      <c r="L309" t="inlineStr">
        <is>
          <t>flat</t>
        </is>
      </c>
      <c r="M309" s="4" t="n">
        <v>549</v>
      </c>
      <c r="N309" s="4" t="n">
        <v>0.237</v>
      </c>
      <c r="O309" s="3" t="n">
        <v>0.0851</v>
      </c>
      <c r="P309" t="inlineStr">
        <is>
          <t>adjusted xGOT</t>
        </is>
      </c>
      <c r="Q309" s="3" t="n">
        <v>0.96</v>
      </c>
      <c r="R309" s="3" t="n">
        <v>0.5</v>
      </c>
      <c r="S309" s="3" t="n">
        <v>0.1825</v>
      </c>
      <c r="T309" s="3" t="n">
        <v>7.349</v>
      </c>
      <c r="U309" s="4" t="n">
        <v>91.5</v>
      </c>
      <c r="V309" s="3">
        <f>IF(OR(N(T309)=0,N(U309)=0),0,1-POISSON(IFERROR(VLOOKUP($C309,Assumptions!$A$4:$G$7,7,FALSE),99)-1,N(T309)*N(U309)/90,TRUE))</f>
        <v/>
      </c>
      <c r="W309" s="3" t="n">
        <v>0.1639</v>
      </c>
      <c r="X309" s="3" t="n">
        <v>2.951</v>
      </c>
      <c r="Y309" s="3">
        <f>IF(X309="",IFERROR(VLOOKUP($C309,Assumptions!$A$4:$G$7,6,FALSE),0),X309)</f>
        <v/>
      </c>
      <c r="Z309" s="3">
        <f>N(O309)*IFERROR(VLOOKUP($C309,Assumptions!$A$4:$G$7,2,FALSE),0)</f>
        <v/>
      </c>
      <c r="AA309" s="3">
        <f>N(S309)*IFERROR(VLOOKUP($C309,Assumptions!$A$4:$G$7,3,FALSE),0)*Assumptions!$B$11</f>
        <v/>
      </c>
      <c r="AB309" s="3">
        <f>N(N309)*IFERROR(VLOOKUP($C309,Assumptions!$A$4:$G$7,4,FALSE),0)</f>
        <v/>
      </c>
      <c r="AC309" s="3">
        <f>IF(N(U309)=0,0,V309*IFERROR(VLOOKUP($C309,Assumptions!$A$4:$G$7,5,FALSE),0)*90/N(U309))</f>
        <v/>
      </c>
      <c r="AD309" s="3">
        <f>N(W309)</f>
        <v/>
      </c>
      <c r="AE309" s="3">
        <f>SUM(Y309:AD309)</f>
        <v/>
      </c>
      <c r="AF309" s="3">
        <f>N(AE309)*N(M309)/90</f>
        <v/>
      </c>
      <c r="AG309" s="3">
        <f>IFERROR(AF309-VLOOKUP($C309,Assumptions!$A$29:$C$32,3,FALSE),"")</f>
        <v/>
      </c>
      <c r="AH309" s="3">
        <f>IFERROR(AG309/F309,"")</f>
        <v/>
      </c>
      <c r="AI309">
        <f>IF(AND($E309=TRUE,$C309="GKP"),AF309,"")</f>
        <v/>
      </c>
      <c r="AJ309">
        <f>IF(AND($E309=TRUE,$C309="DEF"),AF309,"")</f>
        <v/>
      </c>
      <c r="AK309">
        <f>IF(AND($E309=TRUE,$C309="MID"),AF309,"")</f>
        <v/>
      </c>
      <c r="AL309">
        <f>IF(AND($E309=TRUE,$C309="FWD"),AF309,"")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b">
        <v>1</v>
      </c>
      <c r="F310" s="2" t="n">
        <v>6</v>
      </c>
      <c r="G310" t="inlineStr">
        <is>
          <t>a</t>
        </is>
      </c>
      <c r="I310" s="2" t="n">
        <v>486</v>
      </c>
      <c r="J310" t="n">
        <v>25</v>
      </c>
      <c r="K310" s="3" t="n">
        <v>464</v>
      </c>
      <c r="L310" t="inlineStr">
        <is>
          <t>flat</t>
        </is>
      </c>
      <c r="M310" s="4" t="n">
        <v>486</v>
      </c>
      <c r="N310" s="4" t="n">
        <v>0.237</v>
      </c>
      <c r="O310" s="3" t="n">
        <v>0.138</v>
      </c>
      <c r="P310" t="inlineStr">
        <is>
          <t>adjusted xGOT</t>
        </is>
      </c>
      <c r="Q310" s="3" t="n">
        <v>0.919</v>
      </c>
      <c r="R310" s="3" t="n">
        <v>0.8</v>
      </c>
      <c r="S310" s="3" t="n">
        <v>0.1776</v>
      </c>
      <c r="T310" s="3" t="n">
        <v>7.285</v>
      </c>
      <c r="U310" s="4" t="n">
        <v>97.2</v>
      </c>
      <c r="V310" s="3">
        <f>IF(OR(N(T310)=0,N(U310)=0),0,1-POISSON(IFERROR(VLOOKUP($C310,Assumptions!$A$4:$G$7,7,FALSE),99)-1,N(T310)*N(U310)/90,TRUE))</f>
        <v/>
      </c>
      <c r="W310" s="3" t="n">
        <v>0</v>
      </c>
      <c r="X310" s="3" t="n">
        <v>3.333</v>
      </c>
      <c r="Y310" s="3">
        <f>IF(X310="",IFERROR(VLOOKUP($C310,Assumptions!$A$4:$G$7,6,FALSE),0),X310)</f>
        <v/>
      </c>
      <c r="Z310" s="3">
        <f>N(O310)*IFERROR(VLOOKUP($C310,Assumptions!$A$4:$G$7,2,FALSE),0)</f>
        <v/>
      </c>
      <c r="AA310" s="3">
        <f>N(S310)*IFERROR(VLOOKUP($C310,Assumptions!$A$4:$G$7,3,FALSE),0)*Assumptions!$B$11</f>
        <v/>
      </c>
      <c r="AB310" s="3">
        <f>N(N310)*IFERROR(VLOOKUP($C310,Assumptions!$A$4:$G$7,4,FALSE),0)</f>
        <v/>
      </c>
      <c r="AC310" s="3">
        <f>IF(N(U310)=0,0,V310*IFERROR(VLOOKUP($C310,Assumptions!$A$4:$G$7,5,FALSE),0)*90/N(U310))</f>
        <v/>
      </c>
      <c r="AD310" s="3">
        <f>N(W310)</f>
        <v/>
      </c>
      <c r="AE310" s="3">
        <f>SUM(Y310:AD310)</f>
        <v/>
      </c>
      <c r="AF310" s="3">
        <f>N(AE310)*N(M310)/90</f>
        <v/>
      </c>
      <c r="AG310" s="3">
        <f>IFERROR(AF310-VLOOKUP($C310,Assumptions!$A$29:$C$32,3,FALSE),"")</f>
        <v/>
      </c>
      <c r="AH310" s="3">
        <f>IFERROR(AG310/F310,"")</f>
        <v/>
      </c>
      <c r="AI310">
        <f>IF(AND($E310=TRUE,$C310="GKP"),AF310,"")</f>
        <v/>
      </c>
      <c r="AJ310">
        <f>IF(AND($E310=TRUE,$C310="DEF"),AF310,"")</f>
        <v/>
      </c>
      <c r="AK310">
        <f>IF(AND($E310=TRUE,$C310="MID"),AF310,"")</f>
        <v/>
      </c>
      <c r="AL310">
        <f>IF(AND($E310=TRUE,$C310="FWD"),AF310,"")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b">
        <v>1</v>
      </c>
      <c r="F311" s="2" t="n">
        <v>4.5</v>
      </c>
      <c r="G311" t="inlineStr">
        <is>
          <t>a</t>
        </is>
      </c>
      <c r="I311" s="2" t="n">
        <v>429</v>
      </c>
      <c r="J311" t="n">
        <v>25</v>
      </c>
      <c r="K311" s="3" t="n">
        <v>345</v>
      </c>
      <c r="L311" t="inlineStr">
        <is>
          <t>flat</t>
        </is>
      </c>
      <c r="M311" s="4" t="n">
        <v>429</v>
      </c>
      <c r="N311" s="4" t="n">
        <v>0.21</v>
      </c>
      <c r="O311" s="3" t="n">
        <v>0.0409</v>
      </c>
      <c r="P311" t="inlineStr">
        <is>
          <t>adjusted xGOT</t>
        </is>
      </c>
      <c r="Q311" s="3" t="n">
        <v>0.976</v>
      </c>
      <c r="R311" s="3" t="n">
        <v>0.2</v>
      </c>
      <c r="S311" s="3" t="n">
        <v>0.001</v>
      </c>
      <c r="T311" s="3" t="n">
        <v>8.654</v>
      </c>
      <c r="U311" s="4" t="n">
        <v>85.8</v>
      </c>
      <c r="V311" s="3">
        <f>IF(OR(N(T311)=0,N(U311)=0),0,1-POISSON(IFERROR(VLOOKUP($C311,Assumptions!$A$4:$G$7,7,FALSE),99)-1,N(T311)*N(U311)/90,TRUE))</f>
        <v/>
      </c>
      <c r="W311" s="3" t="n">
        <v>0</v>
      </c>
      <c r="X311" s="3" t="n">
        <v>3.357</v>
      </c>
      <c r="Y311" s="3">
        <f>IF(X311="",IFERROR(VLOOKUP($C311,Assumptions!$A$4:$G$7,6,FALSE),0),X311)</f>
        <v/>
      </c>
      <c r="Z311" s="3">
        <f>N(O311)*IFERROR(VLOOKUP($C311,Assumptions!$A$4:$G$7,2,FALSE),0)</f>
        <v/>
      </c>
      <c r="AA311" s="3">
        <f>N(S311)*IFERROR(VLOOKUP($C311,Assumptions!$A$4:$G$7,3,FALSE),0)*Assumptions!$B$11</f>
        <v/>
      </c>
      <c r="AB311" s="3">
        <f>N(N311)*IFERROR(VLOOKUP($C311,Assumptions!$A$4:$G$7,4,FALSE),0)</f>
        <v/>
      </c>
      <c r="AC311" s="3">
        <f>IF(N(U311)=0,0,V311*IFERROR(VLOOKUP($C311,Assumptions!$A$4:$G$7,5,FALSE),0)*90/N(U311))</f>
        <v/>
      </c>
      <c r="AD311" s="3">
        <f>N(W311)</f>
        <v/>
      </c>
      <c r="AE311" s="3">
        <f>SUM(Y311:AD311)</f>
        <v/>
      </c>
      <c r="AF311" s="3">
        <f>N(AE311)*N(M311)/90</f>
        <v/>
      </c>
      <c r="AG311" s="3">
        <f>IFERROR(AF311-VLOOKUP($C311,Assumptions!$A$29:$C$32,3,FALSE),"")</f>
        <v/>
      </c>
      <c r="AH311" s="3">
        <f>IFERROR(AG311/F311,"")</f>
        <v/>
      </c>
      <c r="AI311">
        <f>IF(AND($E311=TRUE,$C311="GKP"),AF311,"")</f>
        <v/>
      </c>
      <c r="AJ311">
        <f>IF(AND($E311=TRUE,$C311="DEF"),AF311,"")</f>
        <v/>
      </c>
      <c r="AK311">
        <f>IF(AND($E311=TRUE,$C311="MID"),AF311,"")</f>
        <v/>
      </c>
      <c r="AL311">
        <f>IF(AND($E311=TRUE,$C311="FWD"),AF311,"")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b">
        <v>1</v>
      </c>
      <c r="F312" s="2" t="n">
        <v>6</v>
      </c>
      <c r="G312" t="inlineStr">
        <is>
          <t>a</t>
        </is>
      </c>
      <c r="I312" s="2" t="n">
        <v>418</v>
      </c>
      <c r="J312" t="n">
        <v>24</v>
      </c>
      <c r="K312" s="3" t="n">
        <v>86</v>
      </c>
      <c r="L312" t="inlineStr">
        <is>
          <t>flat</t>
        </is>
      </c>
      <c r="M312" s="4" t="n">
        <v>418</v>
      </c>
      <c r="N312" s="4" t="n">
        <v>0.5</v>
      </c>
      <c r="O312" s="3" t="n">
        <v>0.509</v>
      </c>
      <c r="P312" t="inlineStr">
        <is>
          <t>adjusted xGOT</t>
        </is>
      </c>
      <c r="Q312" s="3" t="n">
        <v>0.872</v>
      </c>
      <c r="R312" s="3" t="n">
        <v>26.3</v>
      </c>
      <c r="S312" s="3" t="n">
        <v>0.0504</v>
      </c>
      <c r="T312" s="3" t="n">
        <v>5.405</v>
      </c>
      <c r="U312" s="4" t="n">
        <v>139.3</v>
      </c>
      <c r="V312" s="3">
        <f>IF(OR(N(T312)=0,N(U312)=0),0,1-POISSON(IFERROR(VLOOKUP($C312,Assumptions!$A$4:$G$7,7,FALSE),99)-1,N(T312)*N(U312)/90,TRUE))</f>
        <v/>
      </c>
      <c r="W312" s="3" t="n">
        <v>0</v>
      </c>
      <c r="X312" s="3" t="n">
        <v>3.23</v>
      </c>
      <c r="Y312" s="3">
        <f>IF(X312="",IFERROR(VLOOKUP($C312,Assumptions!$A$4:$G$7,6,FALSE),0),X312)</f>
        <v/>
      </c>
      <c r="Z312" s="3">
        <f>N(O312)*IFERROR(VLOOKUP($C312,Assumptions!$A$4:$G$7,2,FALSE),0)</f>
        <v/>
      </c>
      <c r="AA312" s="3">
        <f>N(S312)*IFERROR(VLOOKUP($C312,Assumptions!$A$4:$G$7,3,FALSE),0)*Assumptions!$B$11</f>
        <v/>
      </c>
      <c r="AB312" s="3">
        <f>N(N312)*IFERROR(VLOOKUP($C312,Assumptions!$A$4:$G$7,4,FALSE),0)</f>
        <v/>
      </c>
      <c r="AC312" s="3">
        <f>IF(N(U312)=0,0,V312*IFERROR(VLOOKUP($C312,Assumptions!$A$4:$G$7,5,FALSE),0)*90/N(U312))</f>
        <v/>
      </c>
      <c r="AD312" s="3">
        <f>N(W312)</f>
        <v/>
      </c>
      <c r="AE312" s="3">
        <f>SUM(Y312:AD312)</f>
        <v/>
      </c>
      <c r="AF312" s="3">
        <f>N(AE312)*N(M312)/90</f>
        <v/>
      </c>
      <c r="AG312" s="3">
        <f>IFERROR(AF312-VLOOKUP($C312,Assumptions!$A$29:$C$32,3,FALSE),"")</f>
        <v/>
      </c>
      <c r="AH312" s="3">
        <f>IFERROR(AG312/F312,"")</f>
        <v/>
      </c>
      <c r="AI312">
        <f>IF(AND($E312=TRUE,$C312="GKP"),AF312,"")</f>
        <v/>
      </c>
      <c r="AJ312">
        <f>IF(AND($E312=TRUE,$C312="DEF"),AF312,"")</f>
        <v/>
      </c>
      <c r="AK312">
        <f>IF(AND($E312=TRUE,$C312="MID"),AF312,"")</f>
        <v/>
      </c>
      <c r="AL312">
        <f>IF(AND($E312=TRUE,$C312="FWD"),AF312,"")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b">
        <v>1</v>
      </c>
      <c r="F313" s="2" t="n">
        <v>5</v>
      </c>
      <c r="G313" t="inlineStr">
        <is>
          <t>a</t>
        </is>
      </c>
      <c r="I313" s="2" t="n">
        <v>547</v>
      </c>
      <c r="J313" t="n">
        <v>23</v>
      </c>
      <c r="K313" s="3" t="n">
        <v>429</v>
      </c>
      <c r="L313" t="inlineStr">
        <is>
          <t>flat</t>
        </is>
      </c>
      <c r="M313" s="4" t="n">
        <v>547</v>
      </c>
      <c r="N313" s="4" t="n">
        <v>0.21</v>
      </c>
      <c r="O313" s="3" t="n">
        <v>0.1466</v>
      </c>
      <c r="P313" t="inlineStr">
        <is>
          <t>adjusted xGOT</t>
        </is>
      </c>
      <c r="Q313" s="3" t="n">
        <v>0.979</v>
      </c>
      <c r="R313" s="3" t="n">
        <v>2.9</v>
      </c>
      <c r="S313" s="3" t="n">
        <v>0.0987</v>
      </c>
      <c r="T313" s="3" t="n">
        <v>7.36</v>
      </c>
      <c r="U313" s="4" t="n">
        <v>91.2</v>
      </c>
      <c r="V313" s="3">
        <f>IF(OR(N(T313)=0,N(U313)=0),0,1-POISSON(IFERROR(VLOOKUP($C313,Assumptions!$A$4:$G$7,7,FALSE),99)-1,N(T313)*N(U313)/90,TRUE))</f>
        <v/>
      </c>
      <c r="W313" s="3" t="n">
        <v>0</v>
      </c>
      <c r="X313" s="3" t="n">
        <v>3.62</v>
      </c>
      <c r="Y313" s="3">
        <f>IF(X313="",IFERROR(VLOOKUP($C313,Assumptions!$A$4:$G$7,6,FALSE),0),X313)</f>
        <v/>
      </c>
      <c r="Z313" s="3">
        <f>N(O313)*IFERROR(VLOOKUP($C313,Assumptions!$A$4:$G$7,2,FALSE),0)</f>
        <v/>
      </c>
      <c r="AA313" s="3">
        <f>N(S313)*IFERROR(VLOOKUP($C313,Assumptions!$A$4:$G$7,3,FALSE),0)*Assumptions!$B$11</f>
        <v/>
      </c>
      <c r="AB313" s="3">
        <f>N(N313)*IFERROR(VLOOKUP($C313,Assumptions!$A$4:$G$7,4,FALSE),0)</f>
        <v/>
      </c>
      <c r="AC313" s="3">
        <f>IF(N(U313)=0,0,V313*IFERROR(VLOOKUP($C313,Assumptions!$A$4:$G$7,5,FALSE),0)*90/N(U313))</f>
        <v/>
      </c>
      <c r="AD313" s="3">
        <f>N(W313)</f>
        <v/>
      </c>
      <c r="AE313" s="3">
        <f>SUM(Y313:AD313)</f>
        <v/>
      </c>
      <c r="AF313" s="3">
        <f>N(AE313)*N(M313)/90</f>
        <v/>
      </c>
      <c r="AG313" s="3">
        <f>IFERROR(AF313-VLOOKUP($C313,Assumptions!$A$29:$C$32,3,FALSE),"")</f>
        <v/>
      </c>
      <c r="AH313" s="3">
        <f>IFERROR(AG313/F313,"")</f>
        <v/>
      </c>
      <c r="AI313">
        <f>IF(AND($E313=TRUE,$C313="GKP"),AF313,"")</f>
        <v/>
      </c>
      <c r="AJ313">
        <f>IF(AND($E313=TRUE,$C313="DEF"),AF313,"")</f>
        <v/>
      </c>
      <c r="AK313">
        <f>IF(AND($E313=TRUE,$C313="MID"),AF313,"")</f>
        <v/>
      </c>
      <c r="AL313">
        <f>IF(AND($E313=TRUE,$C313="FWD"),AF313,"")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b">
        <v>1</v>
      </c>
      <c r="F314" s="2" t="n">
        <v>5.5</v>
      </c>
      <c r="G314" t="inlineStr">
        <is>
          <t>a</t>
        </is>
      </c>
      <c r="I314" s="2" t="n">
        <v>414</v>
      </c>
      <c r="J314" t="n">
        <v>23</v>
      </c>
      <c r="K314" s="3" t="n">
        <v>266</v>
      </c>
      <c r="L314" t="inlineStr">
        <is>
          <t>flat</t>
        </is>
      </c>
      <c r="M314" s="4" t="n">
        <v>414</v>
      </c>
      <c r="N314" s="4" t="n">
        <v>0.316</v>
      </c>
      <c r="O314" s="3" t="n">
        <v>0.335</v>
      </c>
      <c r="P314" t="inlineStr">
        <is>
          <t>adjusted xGOT</t>
        </is>
      </c>
      <c r="Q314" s="3" t="n">
        <v>0.871</v>
      </c>
      <c r="R314" s="3" t="n">
        <v>20.2</v>
      </c>
      <c r="S314" s="3" t="n">
        <v>0.1544</v>
      </c>
      <c r="T314" s="3" t="n">
        <v>6.059</v>
      </c>
      <c r="U314" s="4" t="n">
        <v>207</v>
      </c>
      <c r="V314" s="3">
        <f>IF(OR(N(T314)=0,N(U314)=0),0,1-POISSON(IFERROR(VLOOKUP($C314,Assumptions!$A$4:$G$7,7,FALSE),99)-1,N(T314)*N(U314)/90,TRUE))</f>
        <v/>
      </c>
      <c r="W314" s="3" t="n">
        <v>0.6522</v>
      </c>
      <c r="X314" s="3" t="n">
        <v>3.043</v>
      </c>
      <c r="Y314" s="3">
        <f>IF(X314="",IFERROR(VLOOKUP($C314,Assumptions!$A$4:$G$7,6,FALSE),0),X314)</f>
        <v/>
      </c>
      <c r="Z314" s="3">
        <f>N(O314)*IFERROR(VLOOKUP($C314,Assumptions!$A$4:$G$7,2,FALSE),0)</f>
        <v/>
      </c>
      <c r="AA314" s="3">
        <f>N(S314)*IFERROR(VLOOKUP($C314,Assumptions!$A$4:$G$7,3,FALSE),0)*Assumptions!$B$11</f>
        <v/>
      </c>
      <c r="AB314" s="3">
        <f>N(N314)*IFERROR(VLOOKUP($C314,Assumptions!$A$4:$G$7,4,FALSE),0)</f>
        <v/>
      </c>
      <c r="AC314" s="3">
        <f>IF(N(U314)=0,0,V314*IFERROR(VLOOKUP($C314,Assumptions!$A$4:$G$7,5,FALSE),0)*90/N(U314))</f>
        <v/>
      </c>
      <c r="AD314" s="3">
        <f>N(W314)</f>
        <v/>
      </c>
      <c r="AE314" s="3">
        <f>SUM(Y314:AD314)</f>
        <v/>
      </c>
      <c r="AF314" s="3">
        <f>N(AE314)*N(M314)/90</f>
        <v/>
      </c>
      <c r="AG314" s="3">
        <f>IFERROR(AF314-VLOOKUP($C314,Assumptions!$A$29:$C$32,3,FALSE),"")</f>
        <v/>
      </c>
      <c r="AH314" s="3">
        <f>IFERROR(AG314/F314,"")</f>
        <v/>
      </c>
      <c r="AI314">
        <f>IF(AND($E314=TRUE,$C314="GKP"),AF314,"")</f>
        <v/>
      </c>
      <c r="AJ314">
        <f>IF(AND($E314=TRUE,$C314="DEF"),AF314,"")</f>
        <v/>
      </c>
      <c r="AK314">
        <f>IF(AND($E314=TRUE,$C314="MID"),AF314,"")</f>
        <v/>
      </c>
      <c r="AL314">
        <f>IF(AND($E314=TRUE,$C314="FWD"),AF314,"")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b">
        <v>1</v>
      </c>
      <c r="F315" s="2" t="n">
        <v>5.5</v>
      </c>
      <c r="G315" t="inlineStr">
        <is>
          <t>a</t>
        </is>
      </c>
      <c r="I315" s="2" t="n">
        <v>278</v>
      </c>
      <c r="J315" t="n">
        <v>23</v>
      </c>
      <c r="K315" s="3" t="n">
        <v>280</v>
      </c>
      <c r="L315" t="inlineStr">
        <is>
          <t>flat</t>
        </is>
      </c>
      <c r="M315" s="4" t="n">
        <v>278</v>
      </c>
      <c r="N315" s="4" t="n">
        <v>0.237</v>
      </c>
      <c r="O315" s="3" t="n">
        <v>0.6604</v>
      </c>
      <c r="P315" t="inlineStr">
        <is>
          <t>adjusted xGOT</t>
        </is>
      </c>
      <c r="Q315" s="3" t="n">
        <v>0.995</v>
      </c>
      <c r="R315" s="3" t="n">
        <v>2</v>
      </c>
      <c r="S315" s="3" t="n">
        <v>0.07920000000000001</v>
      </c>
      <c r="T315" s="3" t="n">
        <v>4.63</v>
      </c>
      <c r="U315" s="4" t="n">
        <v>139</v>
      </c>
      <c r="V315" s="3">
        <f>IF(OR(N(T315)=0,N(U315)=0),0,1-POISSON(IFERROR(VLOOKUP($C315,Assumptions!$A$4:$G$7,7,FALSE),99)-1,N(T315)*N(U315)/90,TRUE))</f>
        <v/>
      </c>
      <c r="W315" s="3" t="n">
        <v>0.6475</v>
      </c>
      <c r="X315" s="3" t="n">
        <v>4.209</v>
      </c>
      <c r="Y315" s="3">
        <f>IF(X315="",IFERROR(VLOOKUP($C315,Assumptions!$A$4:$G$7,6,FALSE),0),X315)</f>
        <v/>
      </c>
      <c r="Z315" s="3">
        <f>N(O315)*IFERROR(VLOOKUP($C315,Assumptions!$A$4:$G$7,2,FALSE),0)</f>
        <v/>
      </c>
      <c r="AA315" s="3">
        <f>N(S315)*IFERROR(VLOOKUP($C315,Assumptions!$A$4:$G$7,3,FALSE),0)*Assumptions!$B$11</f>
        <v/>
      </c>
      <c r="AB315" s="3">
        <f>N(N315)*IFERROR(VLOOKUP($C315,Assumptions!$A$4:$G$7,4,FALSE),0)</f>
        <v/>
      </c>
      <c r="AC315" s="3">
        <f>IF(N(U315)=0,0,V315*IFERROR(VLOOKUP($C315,Assumptions!$A$4:$G$7,5,FALSE),0)*90/N(U315))</f>
        <v/>
      </c>
      <c r="AD315" s="3">
        <f>N(W315)</f>
        <v/>
      </c>
      <c r="AE315" s="3">
        <f>SUM(Y315:AD315)</f>
        <v/>
      </c>
      <c r="AF315" s="3">
        <f>N(AE315)*N(M315)/90</f>
        <v/>
      </c>
      <c r="AG315" s="3">
        <f>IFERROR(AF315-VLOOKUP($C315,Assumptions!$A$29:$C$32,3,FALSE),"")</f>
        <v/>
      </c>
      <c r="AH315" s="3">
        <f>IFERROR(AG315/F315,"")</f>
        <v/>
      </c>
      <c r="AI315">
        <f>IF(AND($E315=TRUE,$C315="GKP"),AF315,"")</f>
        <v/>
      </c>
      <c r="AJ315">
        <f>IF(AND($E315=TRUE,$C315="DEF"),AF315,"")</f>
        <v/>
      </c>
      <c r="AK315">
        <f>IF(AND($E315=TRUE,$C315="MID"),AF315,"")</f>
        <v/>
      </c>
      <c r="AL315">
        <f>IF(AND($E315=TRUE,$C315="FWD"),AF315,"")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b">
        <v>1</v>
      </c>
      <c r="F316" s="2" t="n">
        <v>4.5</v>
      </c>
      <c r="G316" t="inlineStr">
        <is>
          <t>a</t>
        </is>
      </c>
      <c r="I316" s="2" t="n">
        <v>238</v>
      </c>
      <c r="J316" t="n">
        <v>22</v>
      </c>
      <c r="K316" s="3" t="n">
        <v>140</v>
      </c>
      <c r="L316" t="inlineStr">
        <is>
          <t>flat</t>
        </is>
      </c>
      <c r="M316" s="4" t="n">
        <v>238</v>
      </c>
      <c r="N316" s="4" t="n">
        <v>0.29</v>
      </c>
      <c r="O316" s="3" t="n">
        <v>0.0106</v>
      </c>
      <c r="P316" t="inlineStr">
        <is>
          <t>adjusted xGOT</t>
        </is>
      </c>
      <c r="Q316" s="3" t="n">
        <v>0.93</v>
      </c>
      <c r="R316" s="3" t="n">
        <v>0.9</v>
      </c>
      <c r="S316" s="3" t="n">
        <v>0.0076</v>
      </c>
      <c r="T316" s="3" t="n">
        <v>8.688000000000001</v>
      </c>
      <c r="U316" s="4" t="n">
        <v>79.3</v>
      </c>
      <c r="V316" s="3">
        <f>IF(OR(N(T316)=0,N(U316)=0),0,1-POISSON(IFERROR(VLOOKUP($C316,Assumptions!$A$4:$G$7,7,FALSE),99)-1,N(T316)*N(U316)/90,TRUE))</f>
        <v/>
      </c>
      <c r="W316" s="3" t="n">
        <v>0</v>
      </c>
      <c r="X316" s="3" t="n">
        <v>3.782</v>
      </c>
      <c r="Y316" s="3">
        <f>IF(X316="",IFERROR(VLOOKUP($C316,Assumptions!$A$4:$G$7,6,FALSE),0),X316)</f>
        <v/>
      </c>
      <c r="Z316" s="3">
        <f>N(O316)*IFERROR(VLOOKUP($C316,Assumptions!$A$4:$G$7,2,FALSE),0)</f>
        <v/>
      </c>
      <c r="AA316" s="3">
        <f>N(S316)*IFERROR(VLOOKUP($C316,Assumptions!$A$4:$G$7,3,FALSE),0)*Assumptions!$B$11</f>
        <v/>
      </c>
      <c r="AB316" s="3">
        <f>N(N316)*IFERROR(VLOOKUP($C316,Assumptions!$A$4:$G$7,4,FALSE),0)</f>
        <v/>
      </c>
      <c r="AC316" s="3">
        <f>IF(N(U316)=0,0,V316*IFERROR(VLOOKUP($C316,Assumptions!$A$4:$G$7,5,FALSE),0)*90/N(U316))</f>
        <v/>
      </c>
      <c r="AD316" s="3">
        <f>N(W316)</f>
        <v/>
      </c>
      <c r="AE316" s="3">
        <f>SUM(Y316:AD316)</f>
        <v/>
      </c>
      <c r="AF316" s="3">
        <f>N(AE316)*N(M316)/90</f>
        <v/>
      </c>
      <c r="AG316" s="3">
        <f>IFERROR(AF316-VLOOKUP($C316,Assumptions!$A$29:$C$32,3,FALSE),"")</f>
        <v/>
      </c>
      <c r="AH316" s="3">
        <f>IFERROR(AG316/F316,"")</f>
        <v/>
      </c>
      <c r="AI316">
        <f>IF(AND($E316=TRUE,$C316="GKP"),AF316,"")</f>
        <v/>
      </c>
      <c r="AJ316">
        <f>IF(AND($E316=TRUE,$C316="DEF"),AF316,"")</f>
        <v/>
      </c>
      <c r="AK316">
        <f>IF(AND($E316=TRUE,$C316="MID"),AF316,"")</f>
        <v/>
      </c>
      <c r="AL316">
        <f>IF(AND($E316=TRUE,$C316="FWD"),AF316,"")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b">
        <v>1</v>
      </c>
      <c r="F317" s="2" t="n">
        <v>5.5</v>
      </c>
      <c r="G317" t="inlineStr">
        <is>
          <t>a</t>
        </is>
      </c>
      <c r="I317" s="2" t="n">
        <v>450</v>
      </c>
      <c r="J317" t="n">
        <v>21</v>
      </c>
      <c r="K317" s="3" t="n">
        <v>111</v>
      </c>
      <c r="L317" t="inlineStr">
        <is>
          <t>flat</t>
        </is>
      </c>
      <c r="M317" s="4" t="n">
        <v>450</v>
      </c>
      <c r="N317" s="4" t="n">
        <v>0.237</v>
      </c>
      <c r="O317" s="3" t="n">
        <v>0.081</v>
      </c>
      <c r="P317" t="inlineStr">
        <is>
          <t>adjusted xGOT</t>
        </is>
      </c>
      <c r="Q317" s="3" t="n">
        <v>0.8100000000000001</v>
      </c>
      <c r="R317" s="3" t="n">
        <v>13.9</v>
      </c>
      <c r="S317" s="3" t="n">
        <v>0.2577</v>
      </c>
      <c r="T317" s="3" t="n">
        <v>8.970000000000001</v>
      </c>
      <c r="U317" s="4" t="n">
        <v>150</v>
      </c>
      <c r="V317" s="3">
        <f>IF(OR(N(T317)=0,N(U317)=0),0,1-POISSON(IFERROR(VLOOKUP($C317,Assumptions!$A$4:$G$7,7,FALSE),99)-1,N(T317)*N(U317)/90,TRUE))</f>
        <v/>
      </c>
      <c r="W317" s="3" t="n">
        <v>0</v>
      </c>
      <c r="X317" s="3" t="n">
        <v>3.2</v>
      </c>
      <c r="Y317" s="3">
        <f>IF(X317="",IFERROR(VLOOKUP($C317,Assumptions!$A$4:$G$7,6,FALSE),0),X317)</f>
        <v/>
      </c>
      <c r="Z317" s="3">
        <f>N(O317)*IFERROR(VLOOKUP($C317,Assumptions!$A$4:$G$7,2,FALSE),0)</f>
        <v/>
      </c>
      <c r="AA317" s="3">
        <f>N(S317)*IFERROR(VLOOKUP($C317,Assumptions!$A$4:$G$7,3,FALSE),0)*Assumptions!$B$11</f>
        <v/>
      </c>
      <c r="AB317" s="3">
        <f>N(N317)*IFERROR(VLOOKUP($C317,Assumptions!$A$4:$G$7,4,FALSE),0)</f>
        <v/>
      </c>
      <c r="AC317" s="3">
        <f>IF(N(U317)=0,0,V317*IFERROR(VLOOKUP($C317,Assumptions!$A$4:$G$7,5,FALSE),0)*90/N(U317))</f>
        <v/>
      </c>
      <c r="AD317" s="3">
        <f>N(W317)</f>
        <v/>
      </c>
      <c r="AE317" s="3">
        <f>SUM(Y317:AD317)</f>
        <v/>
      </c>
      <c r="AF317" s="3">
        <f>N(AE317)*N(M317)/90</f>
        <v/>
      </c>
      <c r="AG317" s="3">
        <f>IFERROR(AF317-VLOOKUP($C317,Assumptions!$A$29:$C$32,3,FALSE),"")</f>
        <v/>
      </c>
      <c r="AH317" s="3">
        <f>IFERROR(AG317/F317,"")</f>
        <v/>
      </c>
      <c r="AI317">
        <f>IF(AND($E317=TRUE,$C317="GKP"),AF317,"")</f>
        <v/>
      </c>
      <c r="AJ317">
        <f>IF(AND($E317=TRUE,$C317="DEF"),AF317,"")</f>
        <v/>
      </c>
      <c r="AK317">
        <f>IF(AND($E317=TRUE,$C317="MID"),AF317,"")</f>
        <v/>
      </c>
      <c r="AL317">
        <f>IF(AND($E317=TRUE,$C317="FWD"),AF317,"")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b">
        <v>1</v>
      </c>
      <c r="F318" s="2" t="n">
        <v>5</v>
      </c>
      <c r="G318" t="inlineStr">
        <is>
          <t>a</t>
        </is>
      </c>
      <c r="I318" s="2" t="n">
        <v>524</v>
      </c>
      <c r="J318" t="n">
        <v>21</v>
      </c>
      <c r="K318" s="3" t="n">
        <v>357</v>
      </c>
      <c r="L318" t="inlineStr">
        <is>
          <t>flat</t>
        </is>
      </c>
      <c r="M318" s="4" t="n">
        <v>524</v>
      </c>
      <c r="N318" s="4" t="n">
        <v>0.29</v>
      </c>
      <c r="O318" s="3" t="n">
        <v>0.1304</v>
      </c>
      <c r="P318" t="inlineStr">
        <is>
          <t>adjusted xGOT</t>
        </is>
      </c>
      <c r="Q318" s="3" t="n">
        <v>0.961</v>
      </c>
      <c r="R318" s="3" t="n">
        <v>1.2</v>
      </c>
      <c r="S318" s="3" t="n">
        <v>0.0293</v>
      </c>
      <c r="T318" s="3" t="n">
        <v>8.582000000000001</v>
      </c>
      <c r="U318" s="4" t="n">
        <v>87.3</v>
      </c>
      <c r="V318" s="3">
        <f>IF(OR(N(T318)=0,N(U318)=0),0,1-POISSON(IFERROR(VLOOKUP($C318,Assumptions!$A$4:$G$7,7,FALSE),99)-1,N(T318)*N(U318)/90,TRUE))</f>
        <v/>
      </c>
      <c r="W318" s="3" t="n">
        <v>0</v>
      </c>
      <c r="X318" s="3" t="n">
        <v>3.092</v>
      </c>
      <c r="Y318" s="3">
        <f>IF(X318="",IFERROR(VLOOKUP($C318,Assumptions!$A$4:$G$7,6,FALSE),0),X318)</f>
        <v/>
      </c>
      <c r="Z318" s="3">
        <f>N(O318)*IFERROR(VLOOKUP($C318,Assumptions!$A$4:$G$7,2,FALSE),0)</f>
        <v/>
      </c>
      <c r="AA318" s="3">
        <f>N(S318)*IFERROR(VLOOKUP($C318,Assumptions!$A$4:$G$7,3,FALSE),0)*Assumptions!$B$11</f>
        <v/>
      </c>
      <c r="AB318" s="3">
        <f>N(N318)*IFERROR(VLOOKUP($C318,Assumptions!$A$4:$G$7,4,FALSE),0)</f>
        <v/>
      </c>
      <c r="AC318" s="3">
        <f>IF(N(U318)=0,0,V318*IFERROR(VLOOKUP($C318,Assumptions!$A$4:$G$7,5,FALSE),0)*90/N(U318))</f>
        <v/>
      </c>
      <c r="AD318" s="3">
        <f>N(W318)</f>
        <v/>
      </c>
      <c r="AE318" s="3">
        <f>SUM(Y318:AD318)</f>
        <v/>
      </c>
      <c r="AF318" s="3">
        <f>N(AE318)*N(M318)/90</f>
        <v/>
      </c>
      <c r="AG318" s="3">
        <f>IFERROR(AF318-VLOOKUP($C318,Assumptions!$A$29:$C$32,3,FALSE),"")</f>
        <v/>
      </c>
      <c r="AH318" s="3">
        <f>IFERROR(AG318/F318,"")</f>
        <v/>
      </c>
      <c r="AI318">
        <f>IF(AND($E318=TRUE,$C318="GKP"),AF318,"")</f>
        <v/>
      </c>
      <c r="AJ318">
        <f>IF(AND($E318=TRUE,$C318="DEF"),AF318,"")</f>
        <v/>
      </c>
      <c r="AK318">
        <f>IF(AND($E318=TRUE,$C318="MID"),AF318,"")</f>
        <v/>
      </c>
      <c r="AL318">
        <f>IF(AND($E318=TRUE,$C318="FWD"),AF318,"")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b">
        <v>1</v>
      </c>
      <c r="F319" s="2" t="n">
        <v>4.5</v>
      </c>
      <c r="G319" t="inlineStr">
        <is>
          <t>a</t>
        </is>
      </c>
      <c r="I319" s="2" t="n">
        <v>630</v>
      </c>
      <c r="J319" t="n">
        <v>20</v>
      </c>
      <c r="K319" s="3" t="n">
        <v>3385</v>
      </c>
      <c r="L319" t="inlineStr">
        <is>
          <t>flat</t>
        </is>
      </c>
      <c r="M319" s="4" t="n">
        <v>630</v>
      </c>
      <c r="N319" s="4" t="n">
        <v>0.237</v>
      </c>
      <c r="O319" s="3" t="n">
        <v>0</v>
      </c>
      <c r="P319" t="inlineStr">
        <is>
          <t>blended xG</t>
        </is>
      </c>
      <c r="Q319" s="3" t="n">
        <v>1</v>
      </c>
      <c r="R319" s="3" t="n">
        <v>0</v>
      </c>
      <c r="S319" s="3" t="n">
        <v>0</v>
      </c>
      <c r="T319" s="3" t="n">
        <v>0</v>
      </c>
      <c r="U319" s="4" t="n">
        <v>90</v>
      </c>
      <c r="V319" s="3">
        <f>IF(OR(N(T319)=0,N(U319)=0),0,1-POISSON(IFERROR(VLOOKUP($C319,Assumptions!$A$4:$G$7,7,FALSE),99)-1,N(T319)*N(U319)/90,TRUE))</f>
        <v/>
      </c>
      <c r="W319" s="3" t="n">
        <v>0</v>
      </c>
      <c r="X319" s="3" t="n">
        <v>2</v>
      </c>
      <c r="Y319" s="3">
        <f>IF(X319="",IFERROR(VLOOKUP($C319,Assumptions!$A$4:$G$7,6,FALSE),0),X319)</f>
        <v/>
      </c>
      <c r="Z319" s="3">
        <f>N(O319)*IFERROR(VLOOKUP($C319,Assumptions!$A$4:$G$7,2,FALSE),0)</f>
        <v/>
      </c>
      <c r="AA319" s="3">
        <f>N(S319)*IFERROR(VLOOKUP($C319,Assumptions!$A$4:$G$7,3,FALSE),0)*Assumptions!$B$11</f>
        <v/>
      </c>
      <c r="AB319" s="3">
        <f>N(N319)*IFERROR(VLOOKUP($C319,Assumptions!$A$4:$G$7,4,FALSE),0)</f>
        <v/>
      </c>
      <c r="AC319" s="3">
        <f>IF(N(U319)=0,0,V319*IFERROR(VLOOKUP($C319,Assumptions!$A$4:$G$7,5,FALSE),0)*90/N(U319))</f>
        <v/>
      </c>
      <c r="AD319" s="3">
        <f>N(W319)</f>
        <v/>
      </c>
      <c r="AE319" s="3">
        <f>SUM(Y319:AD319)</f>
        <v/>
      </c>
      <c r="AF319" s="3">
        <f>N(AE319)*N(M319)/90</f>
        <v/>
      </c>
      <c r="AG319" s="3">
        <f>IFERROR(AF319-VLOOKUP($C319,Assumptions!$A$29:$C$32,3,FALSE),"")</f>
        <v/>
      </c>
      <c r="AH319" s="3">
        <f>IFERROR(AG319/F319,"")</f>
        <v/>
      </c>
      <c r="AI319">
        <f>IF(AND($E319=TRUE,$C319="GKP"),AF319,"")</f>
        <v/>
      </c>
      <c r="AJ319">
        <f>IF(AND($E319=TRUE,$C319="DEF"),AF319,"")</f>
        <v/>
      </c>
      <c r="AK319">
        <f>IF(AND($E319=TRUE,$C319="MID"),AF319,"")</f>
        <v/>
      </c>
      <c r="AL319">
        <f>IF(AND($E319=TRUE,$C319="FWD"),AF319,"")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b">
        <v>1</v>
      </c>
      <c r="F320" s="2" t="n">
        <v>4.5</v>
      </c>
      <c r="G320" t="inlineStr">
        <is>
          <t>a</t>
        </is>
      </c>
      <c r="I320" s="2" t="n">
        <v>550</v>
      </c>
      <c r="J320" t="n">
        <v>20</v>
      </c>
      <c r="K320" s="3" t="n">
        <v>356</v>
      </c>
      <c r="L320" t="inlineStr">
        <is>
          <t>flat</t>
        </is>
      </c>
      <c r="M320" s="4" t="n">
        <v>550</v>
      </c>
      <c r="N320" s="4" t="n">
        <v>0.316</v>
      </c>
      <c r="O320" s="3" t="n">
        <v>0.0532</v>
      </c>
      <c r="P320" t="inlineStr">
        <is>
          <t>adjusted xGOT</t>
        </is>
      </c>
      <c r="Q320" s="3" t="n">
        <v>0.984</v>
      </c>
      <c r="R320" s="3" t="n">
        <v>0.3</v>
      </c>
      <c r="S320" s="3" t="n">
        <v>0.0456</v>
      </c>
      <c r="T320" s="3" t="n">
        <v>7.546</v>
      </c>
      <c r="U320" s="4" t="n">
        <v>91.7</v>
      </c>
      <c r="V320" s="3">
        <f>IF(OR(N(T320)=0,N(U320)=0),0,1-POISSON(IFERROR(VLOOKUP($C320,Assumptions!$A$4:$G$7,7,FALSE),99)-1,N(T320)*N(U320)/90,TRUE))</f>
        <v/>
      </c>
      <c r="W320" s="3" t="n">
        <v>0</v>
      </c>
      <c r="X320" s="3" t="n">
        <v>2.455</v>
      </c>
      <c r="Y320" s="3">
        <f>IF(X320="",IFERROR(VLOOKUP($C320,Assumptions!$A$4:$G$7,6,FALSE),0),X320)</f>
        <v/>
      </c>
      <c r="Z320" s="3">
        <f>N(O320)*IFERROR(VLOOKUP($C320,Assumptions!$A$4:$G$7,2,FALSE),0)</f>
        <v/>
      </c>
      <c r="AA320" s="3">
        <f>N(S320)*IFERROR(VLOOKUP($C320,Assumptions!$A$4:$G$7,3,FALSE),0)*Assumptions!$B$11</f>
        <v/>
      </c>
      <c r="AB320" s="3">
        <f>N(N320)*IFERROR(VLOOKUP($C320,Assumptions!$A$4:$G$7,4,FALSE),0)</f>
        <v/>
      </c>
      <c r="AC320" s="3">
        <f>IF(N(U320)=0,0,V320*IFERROR(VLOOKUP($C320,Assumptions!$A$4:$G$7,5,FALSE),0)*90/N(U320))</f>
        <v/>
      </c>
      <c r="AD320" s="3">
        <f>N(W320)</f>
        <v/>
      </c>
      <c r="AE320" s="3">
        <f>SUM(Y320:AD320)</f>
        <v/>
      </c>
      <c r="AF320" s="3">
        <f>N(AE320)*N(M320)/90</f>
        <v/>
      </c>
      <c r="AG320" s="3">
        <f>IFERROR(AF320-VLOOKUP($C320,Assumptions!$A$29:$C$32,3,FALSE),"")</f>
        <v/>
      </c>
      <c r="AH320" s="3">
        <f>IFERROR(AG320/F320,"")</f>
        <v/>
      </c>
      <c r="AI320">
        <f>IF(AND($E320=TRUE,$C320="GKP"),AF320,"")</f>
        <v/>
      </c>
      <c r="AJ320">
        <f>IF(AND($E320=TRUE,$C320="DEF"),AF320,"")</f>
        <v/>
      </c>
      <c r="AK320">
        <f>IF(AND($E320=TRUE,$C320="MID"),AF320,"")</f>
        <v/>
      </c>
      <c r="AL320">
        <f>IF(AND($E320=TRUE,$C320="FWD"),AF320,"")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b">
        <v>1</v>
      </c>
      <c r="F321" s="2" t="n">
        <v>4.5</v>
      </c>
      <c r="G321" t="inlineStr">
        <is>
          <t>a</t>
        </is>
      </c>
      <c r="I321" s="2" t="n">
        <v>1139</v>
      </c>
      <c r="J321" t="n">
        <v>19</v>
      </c>
      <c r="K321" s="3" t="n">
        <v>1151</v>
      </c>
      <c r="L321" t="inlineStr">
        <is>
          <t>flat</t>
        </is>
      </c>
      <c r="M321" s="4" t="n">
        <v>1139</v>
      </c>
      <c r="N321" s="4" t="n">
        <v>0.237</v>
      </c>
      <c r="O321" s="3" t="n">
        <v>0.0228</v>
      </c>
      <c r="P321" t="inlineStr">
        <is>
          <t>adjusted xGOT</t>
        </is>
      </c>
      <c r="Q321" s="3" t="n">
        <v>0.964</v>
      </c>
      <c r="R321" s="3" t="n">
        <v>0.3</v>
      </c>
      <c r="S321" s="3" t="n">
        <v>0.0521</v>
      </c>
      <c r="T321" s="3" t="n">
        <v>7.769</v>
      </c>
      <c r="U321" s="4" t="n">
        <v>94.90000000000001</v>
      </c>
      <c r="V321" s="3">
        <f>IF(OR(N(T321)=0,N(U321)=0),0,1-POISSON(IFERROR(VLOOKUP($C321,Assumptions!$A$4:$G$7,7,FALSE),99)-1,N(T321)*N(U321)/90,TRUE))</f>
        <v/>
      </c>
      <c r="W321" s="3" t="n">
        <v>0</v>
      </c>
      <c r="X321" s="3" t="n">
        <v>2.529</v>
      </c>
      <c r="Y321" s="3">
        <f>IF(X321="",IFERROR(VLOOKUP($C321,Assumptions!$A$4:$G$7,6,FALSE),0),X321)</f>
        <v/>
      </c>
      <c r="Z321" s="3">
        <f>N(O321)*IFERROR(VLOOKUP($C321,Assumptions!$A$4:$G$7,2,FALSE),0)</f>
        <v/>
      </c>
      <c r="AA321" s="3">
        <f>N(S321)*IFERROR(VLOOKUP($C321,Assumptions!$A$4:$G$7,3,FALSE),0)*Assumptions!$B$11</f>
        <v/>
      </c>
      <c r="AB321" s="3">
        <f>N(N321)*IFERROR(VLOOKUP($C321,Assumptions!$A$4:$G$7,4,FALSE),0)</f>
        <v/>
      </c>
      <c r="AC321" s="3">
        <f>IF(N(U321)=0,0,V321*IFERROR(VLOOKUP($C321,Assumptions!$A$4:$G$7,5,FALSE),0)*90/N(U321))</f>
        <v/>
      </c>
      <c r="AD321" s="3">
        <f>N(W321)</f>
        <v/>
      </c>
      <c r="AE321" s="3">
        <f>SUM(Y321:AD321)</f>
        <v/>
      </c>
      <c r="AF321" s="3">
        <f>N(AE321)*N(M321)/90</f>
        <v/>
      </c>
      <c r="AG321" s="3">
        <f>IFERROR(AF321-VLOOKUP($C321,Assumptions!$A$29:$C$32,3,FALSE),"")</f>
        <v/>
      </c>
      <c r="AH321" s="3">
        <f>IFERROR(AG321/F321,"")</f>
        <v/>
      </c>
      <c r="AI321">
        <f>IF(AND($E321=TRUE,$C321="GKP"),AF321,"")</f>
        <v/>
      </c>
      <c r="AJ321">
        <f>IF(AND($E321=TRUE,$C321="DEF"),AF321,"")</f>
        <v/>
      </c>
      <c r="AK321">
        <f>IF(AND($E321=TRUE,$C321="MID"),AF321,"")</f>
        <v/>
      </c>
      <c r="AL321">
        <f>IF(AND($E321=TRUE,$C321="FWD"),AF321,"")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b">
        <v>1</v>
      </c>
      <c r="F322" s="2" t="n">
        <v>4.5</v>
      </c>
      <c r="G322" t="inlineStr">
        <is>
          <t>a</t>
        </is>
      </c>
      <c r="I322" s="2" t="n">
        <v>401</v>
      </c>
      <c r="J322" t="n">
        <v>19</v>
      </c>
      <c r="K322" s="3" t="n">
        <v>50</v>
      </c>
      <c r="L322" t="inlineStr">
        <is>
          <t>flat</t>
        </is>
      </c>
      <c r="M322" s="4" t="n">
        <v>401</v>
      </c>
      <c r="N322" s="4" t="n">
        <v>0.421</v>
      </c>
      <c r="O322" s="3" t="n">
        <v>0.0462</v>
      </c>
      <c r="P322" t="inlineStr">
        <is>
          <t>adjusted xGOT</t>
        </is>
      </c>
      <c r="Q322" s="3" t="n">
        <v>1.082</v>
      </c>
      <c r="R322" s="3" t="n">
        <v>2.4</v>
      </c>
      <c r="S322" s="3" t="n">
        <v>0.3304</v>
      </c>
      <c r="T322" s="3" t="n">
        <v>6.461</v>
      </c>
      <c r="U322" s="4" t="n">
        <v>100.2</v>
      </c>
      <c r="V322" s="3">
        <f>IF(OR(N(T322)=0,N(U322)=0),0,1-POISSON(IFERROR(VLOOKUP($C322,Assumptions!$A$4:$G$7,7,FALSE),99)-1,N(T322)*N(U322)/90,TRUE))</f>
        <v/>
      </c>
      <c r="W322" s="3" t="n">
        <v>0.4489</v>
      </c>
      <c r="X322" s="3" t="n">
        <v>3.367</v>
      </c>
      <c r="Y322" s="3">
        <f>IF(X322="",IFERROR(VLOOKUP($C322,Assumptions!$A$4:$G$7,6,FALSE),0),X322)</f>
        <v/>
      </c>
      <c r="Z322" s="3">
        <f>N(O322)*IFERROR(VLOOKUP($C322,Assumptions!$A$4:$G$7,2,FALSE),0)</f>
        <v/>
      </c>
      <c r="AA322" s="3">
        <f>N(S322)*IFERROR(VLOOKUP($C322,Assumptions!$A$4:$G$7,3,FALSE),0)*Assumptions!$B$11</f>
        <v/>
      </c>
      <c r="AB322" s="3">
        <f>N(N322)*IFERROR(VLOOKUP($C322,Assumptions!$A$4:$G$7,4,FALSE),0)</f>
        <v/>
      </c>
      <c r="AC322" s="3">
        <f>IF(N(U322)=0,0,V322*IFERROR(VLOOKUP($C322,Assumptions!$A$4:$G$7,5,FALSE),0)*90/N(U322))</f>
        <v/>
      </c>
      <c r="AD322" s="3">
        <f>N(W322)</f>
        <v/>
      </c>
      <c r="AE322" s="3">
        <f>SUM(Y322:AD322)</f>
        <v/>
      </c>
      <c r="AF322" s="3">
        <f>N(AE322)*N(M322)/90</f>
        <v/>
      </c>
      <c r="AG322" s="3">
        <f>IFERROR(AF322-VLOOKUP($C322,Assumptions!$A$29:$C$32,3,FALSE),"")</f>
        <v/>
      </c>
      <c r="AH322" s="3">
        <f>IFERROR(AG322/F322,"")</f>
        <v/>
      </c>
      <c r="AI322">
        <f>IF(AND($E322=TRUE,$C322="GKP"),AF322,"")</f>
        <v/>
      </c>
      <c r="AJ322">
        <f>IF(AND($E322=TRUE,$C322="DEF"),AF322,"")</f>
        <v/>
      </c>
      <c r="AK322">
        <f>IF(AND($E322=TRUE,$C322="MID"),AF322,"")</f>
        <v/>
      </c>
      <c r="AL322">
        <f>IF(AND($E322=TRUE,$C322="FWD"),AF322,"")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b">
        <v>1</v>
      </c>
      <c r="F323" s="2" t="n">
        <v>5</v>
      </c>
      <c r="G323" t="inlineStr">
        <is>
          <t>i</t>
        </is>
      </c>
      <c r="H323" t="inlineStr">
        <is>
          <t>Unspecified injury - Unknown return date</t>
        </is>
      </c>
      <c r="I323" s="2" t="n">
        <v>367</v>
      </c>
      <c r="J323" t="n">
        <v>19</v>
      </c>
      <c r="K323" s="3" t="n">
        <v>101</v>
      </c>
      <c r="L323" t="inlineStr">
        <is>
          <t>flat</t>
        </is>
      </c>
      <c r="M323" s="4" t="n">
        <v>367</v>
      </c>
      <c r="N323" s="4" t="n">
        <v>0.29</v>
      </c>
      <c r="O323" s="3" t="n">
        <v>0.036</v>
      </c>
      <c r="P323" t="inlineStr">
        <is>
          <t>adjusted xGOT</t>
        </is>
      </c>
      <c r="Q323" s="3" t="n">
        <v>0.982</v>
      </c>
      <c r="R323" s="3" t="n">
        <v>0.2</v>
      </c>
      <c r="S323" s="3" t="n">
        <v>0.0315</v>
      </c>
      <c r="T323" s="3" t="n">
        <v>8.319000000000001</v>
      </c>
      <c r="U323" s="4" t="n">
        <v>91.8</v>
      </c>
      <c r="V323" s="3">
        <f>IF(OR(N(T323)=0,N(U323)=0),0,1-POISSON(IFERROR(VLOOKUP($C323,Assumptions!$A$4:$G$7,7,FALSE),99)-1,N(T323)*N(U323)/90,TRUE))</f>
        <v/>
      </c>
      <c r="W323" s="3" t="n">
        <v>0</v>
      </c>
      <c r="X323" s="3" t="n">
        <v>2.698</v>
      </c>
      <c r="Y323" s="3">
        <f>IF(X323="",IFERROR(VLOOKUP($C323,Assumptions!$A$4:$G$7,6,FALSE),0),X323)</f>
        <v/>
      </c>
      <c r="Z323" s="3">
        <f>N(O323)*IFERROR(VLOOKUP($C323,Assumptions!$A$4:$G$7,2,FALSE),0)</f>
        <v/>
      </c>
      <c r="AA323" s="3">
        <f>N(S323)*IFERROR(VLOOKUP($C323,Assumptions!$A$4:$G$7,3,FALSE),0)*Assumptions!$B$11</f>
        <v/>
      </c>
      <c r="AB323" s="3">
        <f>N(N323)*IFERROR(VLOOKUP($C323,Assumptions!$A$4:$G$7,4,FALSE),0)</f>
        <v/>
      </c>
      <c r="AC323" s="3">
        <f>IF(N(U323)=0,0,V323*IFERROR(VLOOKUP($C323,Assumptions!$A$4:$G$7,5,FALSE),0)*90/N(U323))</f>
        <v/>
      </c>
      <c r="AD323" s="3">
        <f>N(W323)</f>
        <v/>
      </c>
      <c r="AE323" s="3">
        <f>SUM(Y323:AD323)</f>
        <v/>
      </c>
      <c r="AF323" s="3">
        <f>N(AE323)*N(M323)/90</f>
        <v/>
      </c>
      <c r="AG323" s="3">
        <f>IFERROR(AF323-VLOOKUP($C323,Assumptions!$A$29:$C$32,3,FALSE),"")</f>
        <v/>
      </c>
      <c r="AH323" s="3">
        <f>IFERROR(AG323/F323,"")</f>
        <v/>
      </c>
      <c r="AI323">
        <f>IF(AND($E323=TRUE,$C323="GKP"),AF323,"")</f>
        <v/>
      </c>
      <c r="AJ323">
        <f>IF(AND($E323=TRUE,$C323="DEF"),AF323,"")</f>
        <v/>
      </c>
      <c r="AK323">
        <f>IF(AND($E323=TRUE,$C323="MID"),AF323,"")</f>
        <v/>
      </c>
      <c r="AL323">
        <f>IF(AND($E323=TRUE,$C323="FWD"),AF323,"")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b">
        <v>1</v>
      </c>
      <c r="F324" s="2" t="n">
        <v>5.5</v>
      </c>
      <c r="G324" t="inlineStr">
        <is>
          <t>a</t>
        </is>
      </c>
      <c r="I324" s="2" t="n">
        <v>349</v>
      </c>
      <c r="J324" t="n">
        <v>18</v>
      </c>
      <c r="K324" s="3" t="n">
        <v>274</v>
      </c>
      <c r="L324" t="inlineStr">
        <is>
          <t>flat</t>
        </is>
      </c>
      <c r="M324" s="4" t="n">
        <v>349</v>
      </c>
      <c r="N324" s="4" t="n">
        <v>0.29</v>
      </c>
      <c r="O324" s="3" t="n">
        <v>0.05</v>
      </c>
      <c r="P324" t="inlineStr">
        <is>
          <t>adjusted xGOT</t>
        </is>
      </c>
      <c r="Q324" s="3" t="n">
        <v>0.972</v>
      </c>
      <c r="R324" s="3" t="n">
        <v>2.8</v>
      </c>
      <c r="S324" s="3" t="n">
        <v>0.0455</v>
      </c>
      <c r="T324" s="3" t="n">
        <v>9.144</v>
      </c>
      <c r="U324" s="4" t="n">
        <v>87.2</v>
      </c>
      <c r="V324" s="3">
        <f>IF(OR(N(T324)=0,N(U324)=0),0,1-POISSON(IFERROR(VLOOKUP($C324,Assumptions!$A$4:$G$7,7,FALSE),99)-1,N(T324)*N(U324)/90,TRUE))</f>
        <v/>
      </c>
      <c r="W324" s="3" t="n">
        <v>0</v>
      </c>
      <c r="X324" s="3" t="n">
        <v>4.126</v>
      </c>
      <c r="Y324" s="3">
        <f>IF(X324="",IFERROR(VLOOKUP($C324,Assumptions!$A$4:$G$7,6,FALSE),0),X324)</f>
        <v/>
      </c>
      <c r="Z324" s="3">
        <f>N(O324)*IFERROR(VLOOKUP($C324,Assumptions!$A$4:$G$7,2,FALSE),0)</f>
        <v/>
      </c>
      <c r="AA324" s="3">
        <f>N(S324)*IFERROR(VLOOKUP($C324,Assumptions!$A$4:$G$7,3,FALSE),0)*Assumptions!$B$11</f>
        <v/>
      </c>
      <c r="AB324" s="3">
        <f>N(N324)*IFERROR(VLOOKUP($C324,Assumptions!$A$4:$G$7,4,FALSE),0)</f>
        <v/>
      </c>
      <c r="AC324" s="3">
        <f>IF(N(U324)=0,0,V324*IFERROR(VLOOKUP($C324,Assumptions!$A$4:$G$7,5,FALSE),0)*90/N(U324))</f>
        <v/>
      </c>
      <c r="AD324" s="3">
        <f>N(W324)</f>
        <v/>
      </c>
      <c r="AE324" s="3">
        <f>SUM(Y324:AD324)</f>
        <v/>
      </c>
      <c r="AF324" s="3">
        <f>N(AE324)*N(M324)/90</f>
        <v/>
      </c>
      <c r="AG324" s="3">
        <f>IFERROR(AF324-VLOOKUP($C324,Assumptions!$A$29:$C$32,3,FALSE),"")</f>
        <v/>
      </c>
      <c r="AH324" s="3">
        <f>IFERROR(AG324/F324,"")</f>
        <v/>
      </c>
      <c r="AI324">
        <f>IF(AND($E324=TRUE,$C324="GKP"),AF324,"")</f>
        <v/>
      </c>
      <c r="AJ324">
        <f>IF(AND($E324=TRUE,$C324="DEF"),AF324,"")</f>
        <v/>
      </c>
      <c r="AK324">
        <f>IF(AND($E324=TRUE,$C324="MID"),AF324,"")</f>
        <v/>
      </c>
      <c r="AL324">
        <f>IF(AND($E324=TRUE,$C324="FWD"),AF324,"")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b">
        <v>1</v>
      </c>
      <c r="F325" s="2" t="n">
        <v>5</v>
      </c>
      <c r="G325" t="inlineStr">
        <is>
          <t>u</t>
        </is>
      </c>
      <c r="H325" t="inlineStr">
        <is>
          <t>has returned to Getafe CF</t>
        </is>
      </c>
      <c r="I325" s="2" t="n">
        <v>159</v>
      </c>
      <c r="J325" t="n">
        <v>17</v>
      </c>
      <c r="K325" s="3" t="n"/>
      <c r="M325" s="4" t="n">
        <v>159</v>
      </c>
      <c r="N325" s="4" t="n">
        <v>0.316</v>
      </c>
      <c r="O325" s="3" t="n">
        <v>0.2745</v>
      </c>
      <c r="P325" t="inlineStr">
        <is>
          <t>adjusted xGOT</t>
        </is>
      </c>
      <c r="Q325" s="3" t="n">
        <v>0.989</v>
      </c>
      <c r="R325" s="3" t="n">
        <v>0.5</v>
      </c>
      <c r="S325" s="3" t="n">
        <v>0.0028</v>
      </c>
      <c r="T325" s="3" t="n">
        <v>5.257</v>
      </c>
      <c r="U325" s="4" t="n">
        <v>85</v>
      </c>
      <c r="V325" s="3">
        <f>IF(OR(N(T325)=0,N(U325)=0),0,1-POISSON(IFERROR(VLOOKUP($C325,Assumptions!$A$4:$G$7,7,FALSE),99)-1,N(T325)*N(U325)/90,TRUE))</f>
        <v/>
      </c>
      <c r="W325" s="3" t="n">
        <v>0</v>
      </c>
      <c r="X325" s="3" t="n">
        <v>7.925</v>
      </c>
      <c r="Y325" s="3">
        <f>IF(X325="",IFERROR(VLOOKUP($C325,Assumptions!$A$4:$G$7,6,FALSE),0),X325)</f>
        <v/>
      </c>
      <c r="Z325" s="3">
        <f>N(O325)*IFERROR(VLOOKUP($C325,Assumptions!$A$4:$G$7,2,FALSE),0)</f>
        <v/>
      </c>
      <c r="AA325" s="3">
        <f>N(S325)*IFERROR(VLOOKUP($C325,Assumptions!$A$4:$G$7,3,FALSE),0)*Assumptions!$B$11</f>
        <v/>
      </c>
      <c r="AB325" s="3">
        <f>N(N325)*IFERROR(VLOOKUP($C325,Assumptions!$A$4:$G$7,4,FALSE),0)</f>
        <v/>
      </c>
      <c r="AC325" s="3">
        <f>IF(N(U325)=0,0,V325*IFERROR(VLOOKUP($C325,Assumptions!$A$4:$G$7,5,FALSE),0)*90/N(U325))</f>
        <v/>
      </c>
      <c r="AD325" s="3">
        <f>N(W325)</f>
        <v/>
      </c>
      <c r="AE325" s="3">
        <f>SUM(Y325:AD325)</f>
        <v/>
      </c>
      <c r="AF325" s="3">
        <f>N(AE325)*N(M325)/90</f>
        <v/>
      </c>
      <c r="AG325" s="3">
        <f>IFERROR(AF325-VLOOKUP($C325,Assumptions!$A$29:$C$32,3,FALSE),"")</f>
        <v/>
      </c>
      <c r="AH325" s="3">
        <f>IFERROR(AG325/F325,"")</f>
        <v/>
      </c>
      <c r="AI325">
        <f>IF(AND($E325=TRUE,$C325="GKP"),AF325,"")</f>
        <v/>
      </c>
      <c r="AJ325">
        <f>IF(AND($E325=TRUE,$C325="DEF"),AF325,"")</f>
        <v/>
      </c>
      <c r="AK325">
        <f>IF(AND($E325=TRUE,$C325="MID"),AF325,"")</f>
        <v/>
      </c>
      <c r="AL325">
        <f>IF(AND($E325=TRUE,$C325="FWD"),AF325,"")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b">
        <v>1</v>
      </c>
      <c r="F326" s="2" t="n">
        <v>5</v>
      </c>
      <c r="G326" t="inlineStr">
        <is>
          <t>a</t>
        </is>
      </c>
      <c r="I326" s="2" t="n">
        <v>244</v>
      </c>
      <c r="J326" t="n">
        <v>17</v>
      </c>
      <c r="K326" s="3" t="n">
        <v>15</v>
      </c>
      <c r="L326" t="inlineStr">
        <is>
          <t>flat</t>
        </is>
      </c>
      <c r="M326" s="4" t="n">
        <v>244</v>
      </c>
      <c r="N326" s="4" t="n">
        <v>0.21</v>
      </c>
      <c r="O326" s="3" t="n">
        <v>0.3172</v>
      </c>
      <c r="P326" t="inlineStr">
        <is>
          <t>adjusted xGOT</t>
        </is>
      </c>
      <c r="Q326" s="3" t="n">
        <v>0.955</v>
      </c>
      <c r="R326" s="3" t="n">
        <v>0.9</v>
      </c>
      <c r="S326" s="3" t="n">
        <v>0.0398</v>
      </c>
      <c r="T326" s="3" t="n">
        <v>4.887</v>
      </c>
      <c r="U326" s="4" t="n">
        <v>122</v>
      </c>
      <c r="V326" s="3">
        <f>IF(OR(N(T326)=0,N(U326)=0),0,1-POISSON(IFERROR(VLOOKUP($C326,Assumptions!$A$4:$G$7,7,FALSE),99)-1,N(T326)*N(U326)/90,TRUE))</f>
        <v/>
      </c>
      <c r="W326" s="3" t="n">
        <v>0</v>
      </c>
      <c r="X326" s="3" t="n">
        <v>6.27</v>
      </c>
      <c r="Y326" s="3">
        <f>IF(X326="",IFERROR(VLOOKUP($C326,Assumptions!$A$4:$G$7,6,FALSE),0),X326)</f>
        <v/>
      </c>
      <c r="Z326" s="3">
        <f>N(O326)*IFERROR(VLOOKUP($C326,Assumptions!$A$4:$G$7,2,FALSE),0)</f>
        <v/>
      </c>
      <c r="AA326" s="3">
        <f>N(S326)*IFERROR(VLOOKUP($C326,Assumptions!$A$4:$G$7,3,FALSE),0)*Assumptions!$B$11</f>
        <v/>
      </c>
      <c r="AB326" s="3">
        <f>N(N326)*IFERROR(VLOOKUP($C326,Assumptions!$A$4:$G$7,4,FALSE),0)</f>
        <v/>
      </c>
      <c r="AC326" s="3">
        <f>IF(N(U326)=0,0,V326*IFERROR(VLOOKUP($C326,Assumptions!$A$4:$G$7,5,FALSE),0)*90/N(U326))</f>
        <v/>
      </c>
      <c r="AD326" s="3">
        <f>N(W326)</f>
        <v/>
      </c>
      <c r="AE326" s="3">
        <f>SUM(Y326:AD326)</f>
        <v/>
      </c>
      <c r="AF326" s="3">
        <f>N(AE326)*N(M326)/90</f>
        <v/>
      </c>
      <c r="AG326" s="3">
        <f>IFERROR(AF326-VLOOKUP($C326,Assumptions!$A$29:$C$32,3,FALSE),"")</f>
        <v/>
      </c>
      <c r="AH326" s="3">
        <f>IFERROR(AG326/F326,"")</f>
        <v/>
      </c>
      <c r="AI326">
        <f>IF(AND($E326=TRUE,$C326="GKP"),AF326,"")</f>
        <v/>
      </c>
      <c r="AJ326">
        <f>IF(AND($E326=TRUE,$C326="DEF"),AF326,"")</f>
        <v/>
      </c>
      <c r="AK326">
        <f>IF(AND($E326=TRUE,$C326="MID"),AF326,"")</f>
        <v/>
      </c>
      <c r="AL326">
        <f>IF(AND($E326=TRUE,$C326="FWD"),AF326,"")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b">
        <v>1</v>
      </c>
      <c r="F327" s="2" t="n">
        <v>5.5</v>
      </c>
      <c r="G327" t="inlineStr">
        <is>
          <t>a</t>
        </is>
      </c>
      <c r="I327" s="2" t="n">
        <v>288</v>
      </c>
      <c r="J327" t="n">
        <v>17</v>
      </c>
      <c r="K327" s="3" t="n">
        <v>633</v>
      </c>
      <c r="L327" t="inlineStr">
        <is>
          <t>flat</t>
        </is>
      </c>
      <c r="M327" s="4" t="n">
        <v>288</v>
      </c>
      <c r="N327" s="4" t="n">
        <v>0.237</v>
      </c>
      <c r="O327" s="3" t="n">
        <v>0.0572</v>
      </c>
      <c r="P327" t="inlineStr">
        <is>
          <t>adjusted xGOT</t>
        </is>
      </c>
      <c r="Q327" s="3" t="n">
        <v>1.017</v>
      </c>
      <c r="R327" s="3" t="n">
        <v>6</v>
      </c>
      <c r="S327" s="3" t="n">
        <v>0.1925</v>
      </c>
      <c r="T327" s="3" t="n">
        <v>8.984</v>
      </c>
      <c r="U327" s="4" t="n">
        <v>144</v>
      </c>
      <c r="V327" s="3">
        <f>IF(OR(N(T327)=0,N(U327)=0),0,1-POISSON(IFERROR(VLOOKUP($C327,Assumptions!$A$4:$G$7,7,FALSE),99)-1,N(T327)*N(U327)/90,TRUE))</f>
        <v/>
      </c>
      <c r="W327" s="3" t="n">
        <v>0</v>
      </c>
      <c r="X327" s="3" t="n">
        <v>4.688</v>
      </c>
      <c r="Y327" s="3">
        <f>IF(X327="",IFERROR(VLOOKUP($C327,Assumptions!$A$4:$G$7,6,FALSE),0),X327)</f>
        <v/>
      </c>
      <c r="Z327" s="3">
        <f>N(O327)*IFERROR(VLOOKUP($C327,Assumptions!$A$4:$G$7,2,FALSE),0)</f>
        <v/>
      </c>
      <c r="AA327" s="3">
        <f>N(S327)*IFERROR(VLOOKUP($C327,Assumptions!$A$4:$G$7,3,FALSE),0)*Assumptions!$B$11</f>
        <v/>
      </c>
      <c r="AB327" s="3">
        <f>N(N327)*IFERROR(VLOOKUP($C327,Assumptions!$A$4:$G$7,4,FALSE),0)</f>
        <v/>
      </c>
      <c r="AC327" s="3">
        <f>IF(N(U327)=0,0,V327*IFERROR(VLOOKUP($C327,Assumptions!$A$4:$G$7,5,FALSE),0)*90/N(U327))</f>
        <v/>
      </c>
      <c r="AD327" s="3">
        <f>N(W327)</f>
        <v/>
      </c>
      <c r="AE327" s="3">
        <f>SUM(Y327:AD327)</f>
        <v/>
      </c>
      <c r="AF327" s="3">
        <f>N(AE327)*N(M327)/90</f>
        <v/>
      </c>
      <c r="AG327" s="3">
        <f>IFERROR(AF327-VLOOKUP($C327,Assumptions!$A$29:$C$32,3,FALSE),"")</f>
        <v/>
      </c>
      <c r="AH327" s="3">
        <f>IFERROR(AG327/F327,"")</f>
        <v/>
      </c>
      <c r="AI327">
        <f>IF(AND($E327=TRUE,$C327="GKP"),AF327,"")</f>
        <v/>
      </c>
      <c r="AJ327">
        <f>IF(AND($E327=TRUE,$C327="DEF"),AF327,"")</f>
        <v/>
      </c>
      <c r="AK327">
        <f>IF(AND($E327=TRUE,$C327="MID"),AF327,"")</f>
        <v/>
      </c>
      <c r="AL327">
        <f>IF(AND($E327=TRUE,$C327="FWD"),AF327,"")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b">
        <v>1</v>
      </c>
      <c r="F328" s="2" t="n">
        <v>5.5</v>
      </c>
      <c r="G328" t="inlineStr">
        <is>
          <t>d</t>
        </is>
      </c>
      <c r="H328" t="inlineStr">
        <is>
          <t>Knee injury - 75% chance of playing</t>
        </is>
      </c>
      <c r="I328" s="2" t="n">
        <v>132</v>
      </c>
      <c r="J328" t="n">
        <v>16</v>
      </c>
      <c r="K328" s="3" t="n">
        <v>268</v>
      </c>
      <c r="L328" t="inlineStr">
        <is>
          <t>flat</t>
        </is>
      </c>
      <c r="M328" s="4" t="n">
        <v>132</v>
      </c>
      <c r="N328" s="4" t="n">
        <v>0.263</v>
      </c>
      <c r="O328" s="3" t="n">
        <v>0.3055</v>
      </c>
      <c r="P328" t="inlineStr">
        <is>
          <t>adjusted xGOT</t>
        </is>
      </c>
      <c r="Q328" s="3" t="n">
        <v>1.019</v>
      </c>
      <c r="R328" s="3" t="n">
        <v>0.4</v>
      </c>
      <c r="S328" s="3" t="n">
        <v>0.1685</v>
      </c>
      <c r="T328" s="3" t="n">
        <v>5.635</v>
      </c>
      <c r="U328" s="4" t="n">
        <v>132</v>
      </c>
      <c r="V328" s="3">
        <f>IF(OR(N(T328)=0,N(U328)=0),0,1-POISSON(IFERROR(VLOOKUP($C328,Assumptions!$A$4:$G$7,7,FALSE),99)-1,N(T328)*N(U328)/90,TRUE))</f>
        <v/>
      </c>
      <c r="W328" s="3" t="n">
        <v>0</v>
      </c>
      <c r="X328" s="3" t="n">
        <v>6.136</v>
      </c>
      <c r="Y328" s="3">
        <f>IF(X328="",IFERROR(VLOOKUP($C328,Assumptions!$A$4:$G$7,6,FALSE),0),X328)</f>
        <v/>
      </c>
      <c r="Z328" s="3">
        <f>N(O328)*IFERROR(VLOOKUP($C328,Assumptions!$A$4:$G$7,2,FALSE),0)</f>
        <v/>
      </c>
      <c r="AA328" s="3">
        <f>N(S328)*IFERROR(VLOOKUP($C328,Assumptions!$A$4:$G$7,3,FALSE),0)*Assumptions!$B$11</f>
        <v/>
      </c>
      <c r="AB328" s="3">
        <f>N(N328)*IFERROR(VLOOKUP($C328,Assumptions!$A$4:$G$7,4,FALSE),0)</f>
        <v/>
      </c>
      <c r="AC328" s="3">
        <f>IF(N(U328)=0,0,V328*IFERROR(VLOOKUP($C328,Assumptions!$A$4:$G$7,5,FALSE),0)*90/N(U328))</f>
        <v/>
      </c>
      <c r="AD328" s="3">
        <f>N(W328)</f>
        <v/>
      </c>
      <c r="AE328" s="3">
        <f>SUM(Y328:AD328)</f>
        <v/>
      </c>
      <c r="AF328" s="3">
        <f>N(AE328)*N(M328)/90</f>
        <v/>
      </c>
      <c r="AG328" s="3">
        <f>IFERROR(AF328-VLOOKUP($C328,Assumptions!$A$29:$C$32,3,FALSE),"")</f>
        <v/>
      </c>
      <c r="AH328" s="3">
        <f>IFERROR(AG328/F328,"")</f>
        <v/>
      </c>
      <c r="AI328">
        <f>IF(AND($E328=TRUE,$C328="GKP"),AF328,"")</f>
        <v/>
      </c>
      <c r="AJ328">
        <f>IF(AND($E328=TRUE,$C328="DEF"),AF328,"")</f>
        <v/>
      </c>
      <c r="AK328">
        <f>IF(AND($E328=TRUE,$C328="MID"),AF328,"")</f>
        <v/>
      </c>
      <c r="AL328">
        <f>IF(AND($E328=TRUE,$C328="FWD"),AF328,"")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b">
        <v>1</v>
      </c>
      <c r="F329" s="2" t="n">
        <v>4.5</v>
      </c>
      <c r="G329" t="inlineStr">
        <is>
          <t>a</t>
        </is>
      </c>
      <c r="I329" s="2" t="n">
        <v>270</v>
      </c>
      <c r="J329" t="n">
        <v>16</v>
      </c>
      <c r="K329" s="3" t="n">
        <v>0</v>
      </c>
      <c r="L329" t="inlineStr">
        <is>
          <t>flat</t>
        </is>
      </c>
      <c r="M329" s="4" t="n">
        <v>270</v>
      </c>
      <c r="N329" s="4" t="n">
        <v>0.29</v>
      </c>
      <c r="O329" s="3" t="n">
        <v>0</v>
      </c>
      <c r="P329" t="inlineStr">
        <is>
          <t>blended xG</t>
        </is>
      </c>
      <c r="Q329" s="3" t="n">
        <v>1</v>
      </c>
      <c r="R329" s="3" t="n">
        <v>0</v>
      </c>
      <c r="S329" s="3" t="n">
        <v>0.0033</v>
      </c>
      <c r="T329" s="3" t="n">
        <v>0</v>
      </c>
      <c r="U329" s="4" t="n">
        <v>90</v>
      </c>
      <c r="V329" s="3">
        <f>IF(OR(N(T329)=0,N(U329)=0),0,1-POISSON(IFERROR(VLOOKUP($C329,Assumptions!$A$4:$G$7,7,FALSE),99)-1,N(T329)*N(U329)/90,TRUE))</f>
        <v/>
      </c>
      <c r="W329" s="3" t="n">
        <v>1</v>
      </c>
      <c r="X329" s="3" t="n">
        <v>2</v>
      </c>
      <c r="Y329" s="3">
        <f>IF(X329="",IFERROR(VLOOKUP($C329,Assumptions!$A$4:$G$7,6,FALSE),0),X329)</f>
        <v/>
      </c>
      <c r="Z329" s="3">
        <f>N(O329)*IFERROR(VLOOKUP($C329,Assumptions!$A$4:$G$7,2,FALSE),0)</f>
        <v/>
      </c>
      <c r="AA329" s="3">
        <f>N(S329)*IFERROR(VLOOKUP($C329,Assumptions!$A$4:$G$7,3,FALSE),0)*Assumptions!$B$11</f>
        <v/>
      </c>
      <c r="AB329" s="3">
        <f>N(N329)*IFERROR(VLOOKUP($C329,Assumptions!$A$4:$G$7,4,FALSE),0)</f>
        <v/>
      </c>
      <c r="AC329" s="3">
        <f>IF(N(U329)=0,0,V329*IFERROR(VLOOKUP($C329,Assumptions!$A$4:$G$7,5,FALSE),0)*90/N(U329))</f>
        <v/>
      </c>
      <c r="AD329" s="3">
        <f>N(W329)</f>
        <v/>
      </c>
      <c r="AE329" s="3">
        <f>SUM(Y329:AD329)</f>
        <v/>
      </c>
      <c r="AF329" s="3">
        <f>N(AE329)*N(M329)/90</f>
        <v/>
      </c>
      <c r="AG329" s="3">
        <f>IFERROR(AF329-VLOOKUP($C329,Assumptions!$A$29:$C$32,3,FALSE),"")</f>
        <v/>
      </c>
      <c r="AH329" s="3">
        <f>IFERROR(AG329/F329,"")</f>
        <v/>
      </c>
      <c r="AI329">
        <f>IF(AND($E329=TRUE,$C329="GKP"),AF329,"")</f>
        <v/>
      </c>
      <c r="AJ329">
        <f>IF(AND($E329=TRUE,$C329="DEF"),AF329,"")</f>
        <v/>
      </c>
      <c r="AK329">
        <f>IF(AND($E329=TRUE,$C329="MID"),AF329,"")</f>
        <v/>
      </c>
      <c r="AL329">
        <f>IF(AND($E329=TRUE,$C329="FWD"),AF329,"")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b">
        <v>1</v>
      </c>
      <c r="F330" s="2" t="n">
        <v>5.5</v>
      </c>
      <c r="G330" t="inlineStr">
        <is>
          <t>a</t>
        </is>
      </c>
      <c r="I330" s="2" t="n">
        <v>202</v>
      </c>
      <c r="J330" t="n">
        <v>16</v>
      </c>
      <c r="K330" s="3" t="n">
        <v>0</v>
      </c>
      <c r="L330" t="inlineStr">
        <is>
          <t>flat</t>
        </is>
      </c>
      <c r="M330" s="4" t="n">
        <v>202</v>
      </c>
      <c r="N330" s="4" t="n">
        <v>0.263</v>
      </c>
      <c r="O330" s="3" t="n">
        <v>0.5133</v>
      </c>
      <c r="P330" t="inlineStr">
        <is>
          <t>adjusted xGOT</t>
        </is>
      </c>
      <c r="Q330" s="3" t="n">
        <v>0.952</v>
      </c>
      <c r="R330" s="3" t="n">
        <v>4</v>
      </c>
      <c r="S330" s="3" t="n">
        <v>0.07340000000000001</v>
      </c>
      <c r="T330" s="3" t="n">
        <v>7.674</v>
      </c>
      <c r="U330" s="4" t="n">
        <v>101</v>
      </c>
      <c r="V330" s="3">
        <f>IF(OR(N(T330)=0,N(U330)=0),0,1-POISSON(IFERROR(VLOOKUP($C330,Assumptions!$A$4:$G$7,7,FALSE),99)-1,N(T330)*N(U330)/90,TRUE))</f>
        <v/>
      </c>
      <c r="W330" s="3" t="n">
        <v>0.8911</v>
      </c>
      <c r="X330" s="3" t="n">
        <v>3.564</v>
      </c>
      <c r="Y330" s="3">
        <f>IF(X330="",IFERROR(VLOOKUP($C330,Assumptions!$A$4:$G$7,6,FALSE),0),X330)</f>
        <v/>
      </c>
      <c r="Z330" s="3">
        <f>N(O330)*IFERROR(VLOOKUP($C330,Assumptions!$A$4:$G$7,2,FALSE),0)</f>
        <v/>
      </c>
      <c r="AA330" s="3">
        <f>N(S330)*IFERROR(VLOOKUP($C330,Assumptions!$A$4:$G$7,3,FALSE),0)*Assumptions!$B$11</f>
        <v/>
      </c>
      <c r="AB330" s="3">
        <f>N(N330)*IFERROR(VLOOKUP($C330,Assumptions!$A$4:$G$7,4,FALSE),0)</f>
        <v/>
      </c>
      <c r="AC330" s="3">
        <f>IF(N(U330)=0,0,V330*IFERROR(VLOOKUP($C330,Assumptions!$A$4:$G$7,5,FALSE),0)*90/N(U330))</f>
        <v/>
      </c>
      <c r="AD330" s="3">
        <f>N(W330)</f>
        <v/>
      </c>
      <c r="AE330" s="3">
        <f>SUM(Y330:AD330)</f>
        <v/>
      </c>
      <c r="AF330" s="3">
        <f>N(AE330)*N(M330)/90</f>
        <v/>
      </c>
      <c r="AG330" s="3">
        <f>IFERROR(AF330-VLOOKUP($C330,Assumptions!$A$29:$C$32,3,FALSE),"")</f>
        <v/>
      </c>
      <c r="AH330" s="3">
        <f>IFERROR(AG330/F330,"")</f>
        <v/>
      </c>
      <c r="AI330">
        <f>IF(AND($E330=TRUE,$C330="GKP"),AF330,"")</f>
        <v/>
      </c>
      <c r="AJ330">
        <f>IF(AND($E330=TRUE,$C330="DEF"),AF330,"")</f>
        <v/>
      </c>
      <c r="AK330">
        <f>IF(AND($E330=TRUE,$C330="MID"),AF330,"")</f>
        <v/>
      </c>
      <c r="AL330">
        <f>IF(AND($E330=TRUE,$C330="FWD"),AF330,"")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b">
        <v>1</v>
      </c>
      <c r="F331" s="2" t="n">
        <v>5.5</v>
      </c>
      <c r="G331" t="inlineStr">
        <is>
          <t>a</t>
        </is>
      </c>
      <c r="I331" s="2" t="n">
        <v>351</v>
      </c>
      <c r="J331" t="n">
        <v>16</v>
      </c>
      <c r="K331" s="3" t="n">
        <v>885</v>
      </c>
      <c r="L331" t="inlineStr">
        <is>
          <t>flat</t>
        </is>
      </c>
      <c r="M331" s="4" t="n">
        <v>351</v>
      </c>
      <c r="N331" s="4" t="n">
        <v>0.29</v>
      </c>
      <c r="O331" s="3" t="n">
        <v>0.1821</v>
      </c>
      <c r="P331" t="inlineStr">
        <is>
          <t>adjusted xGOT</t>
        </is>
      </c>
      <c r="Q331" s="3" t="n">
        <v>1.109</v>
      </c>
      <c r="R331" s="3" t="n">
        <v>0.8</v>
      </c>
      <c r="S331" s="3" t="n">
        <v>0.3246</v>
      </c>
      <c r="T331" s="3" t="n">
        <v>7.699</v>
      </c>
      <c r="U331" s="4" t="n">
        <v>351</v>
      </c>
      <c r="V331" s="3">
        <f>IF(OR(N(T331)=0,N(U331)=0),0,1-POISSON(IFERROR(VLOOKUP($C331,Assumptions!$A$4:$G$7,7,FALSE),99)-1,N(T331)*N(U331)/90,TRUE))</f>
        <v/>
      </c>
      <c r="W331" s="3" t="n">
        <v>0</v>
      </c>
      <c r="X331" s="3" t="n">
        <v>4.359</v>
      </c>
      <c r="Y331" s="3">
        <f>IF(X331="",IFERROR(VLOOKUP($C331,Assumptions!$A$4:$G$7,6,FALSE),0),X331)</f>
        <v/>
      </c>
      <c r="Z331" s="3">
        <f>N(O331)*IFERROR(VLOOKUP($C331,Assumptions!$A$4:$G$7,2,FALSE),0)</f>
        <v/>
      </c>
      <c r="AA331" s="3">
        <f>N(S331)*IFERROR(VLOOKUP($C331,Assumptions!$A$4:$G$7,3,FALSE),0)*Assumptions!$B$11</f>
        <v/>
      </c>
      <c r="AB331" s="3">
        <f>N(N331)*IFERROR(VLOOKUP($C331,Assumptions!$A$4:$G$7,4,FALSE),0)</f>
        <v/>
      </c>
      <c r="AC331" s="3">
        <f>IF(N(U331)=0,0,V331*IFERROR(VLOOKUP($C331,Assumptions!$A$4:$G$7,5,FALSE),0)*90/N(U331))</f>
        <v/>
      </c>
      <c r="AD331" s="3">
        <f>N(W331)</f>
        <v/>
      </c>
      <c r="AE331" s="3">
        <f>SUM(Y331:AD331)</f>
        <v/>
      </c>
      <c r="AF331" s="3">
        <f>N(AE331)*N(M331)/90</f>
        <v/>
      </c>
      <c r="AG331" s="3">
        <f>IFERROR(AF331-VLOOKUP($C331,Assumptions!$A$29:$C$32,3,FALSE),"")</f>
        <v/>
      </c>
      <c r="AH331" s="3">
        <f>IFERROR(AG331/F331,"")</f>
        <v/>
      </c>
      <c r="AI331">
        <f>IF(AND($E331=TRUE,$C331="GKP"),AF331,"")</f>
        <v/>
      </c>
      <c r="AJ331">
        <f>IF(AND($E331=TRUE,$C331="DEF"),AF331,"")</f>
        <v/>
      </c>
      <c r="AK331">
        <f>IF(AND($E331=TRUE,$C331="MID"),AF331,"")</f>
        <v/>
      </c>
      <c r="AL331">
        <f>IF(AND($E331=TRUE,$C331="FWD"),AF331,"")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b">
        <v>1</v>
      </c>
      <c r="F332" s="2" t="n">
        <v>4.5</v>
      </c>
      <c r="G332" t="inlineStr">
        <is>
          <t>a</t>
        </is>
      </c>
      <c r="I332" s="2" t="n">
        <v>585</v>
      </c>
      <c r="J332" t="n">
        <v>16</v>
      </c>
      <c r="K332" s="3" t="n">
        <v>35</v>
      </c>
      <c r="L332" t="inlineStr">
        <is>
          <t>flat</t>
        </is>
      </c>
      <c r="M332" s="4" t="n">
        <v>585</v>
      </c>
      <c r="N332" s="4" t="n">
        <v>0.237</v>
      </c>
      <c r="O332" s="3" t="n">
        <v>0</v>
      </c>
      <c r="P332" t="inlineStr">
        <is>
          <t>blended xG</t>
        </is>
      </c>
      <c r="Q332" s="3" t="n">
        <v>1</v>
      </c>
      <c r="R332" s="3" t="n">
        <v>0</v>
      </c>
      <c r="S332" s="3" t="n">
        <v>0</v>
      </c>
      <c r="T332" s="3" t="n">
        <v>0</v>
      </c>
      <c r="U332" s="4" t="n">
        <v>97.5</v>
      </c>
      <c r="V332" s="3">
        <f>IF(OR(N(T332)=0,N(U332)=0),0,1-POISSON(IFERROR(VLOOKUP($C332,Assumptions!$A$4:$G$7,7,FALSE),99)-1,N(T332)*N(U332)/90,TRUE))</f>
        <v/>
      </c>
      <c r="W332" s="3" t="n">
        <v>0.1538</v>
      </c>
      <c r="X332" s="3" t="n">
        <v>2</v>
      </c>
      <c r="Y332" s="3">
        <f>IF(X332="",IFERROR(VLOOKUP($C332,Assumptions!$A$4:$G$7,6,FALSE),0),X332)</f>
        <v/>
      </c>
      <c r="Z332" s="3">
        <f>N(O332)*IFERROR(VLOOKUP($C332,Assumptions!$A$4:$G$7,2,FALSE),0)</f>
        <v/>
      </c>
      <c r="AA332" s="3">
        <f>N(S332)*IFERROR(VLOOKUP($C332,Assumptions!$A$4:$G$7,3,FALSE),0)*Assumptions!$B$11</f>
        <v/>
      </c>
      <c r="AB332" s="3">
        <f>N(N332)*IFERROR(VLOOKUP($C332,Assumptions!$A$4:$G$7,4,FALSE),0)</f>
        <v/>
      </c>
      <c r="AC332" s="3">
        <f>IF(N(U332)=0,0,V332*IFERROR(VLOOKUP($C332,Assumptions!$A$4:$G$7,5,FALSE),0)*90/N(U332))</f>
        <v/>
      </c>
      <c r="AD332" s="3">
        <f>N(W332)</f>
        <v/>
      </c>
      <c r="AE332" s="3">
        <f>SUM(Y332:AD332)</f>
        <v/>
      </c>
      <c r="AF332" s="3">
        <f>N(AE332)*N(M332)/90</f>
        <v/>
      </c>
      <c r="AG332" s="3">
        <f>IFERROR(AF332-VLOOKUP($C332,Assumptions!$A$29:$C$32,3,FALSE),"")</f>
        <v/>
      </c>
      <c r="AH332" s="3">
        <f>IFERROR(AG332/F332,"")</f>
        <v/>
      </c>
      <c r="AI332">
        <f>IF(AND($E332=TRUE,$C332="GKP"),AF332,"")</f>
        <v/>
      </c>
      <c r="AJ332">
        <f>IF(AND($E332=TRUE,$C332="DEF"),AF332,"")</f>
        <v/>
      </c>
      <c r="AK332">
        <f>IF(AND($E332=TRUE,$C332="MID"),AF332,"")</f>
        <v/>
      </c>
      <c r="AL332">
        <f>IF(AND($E332=TRUE,$C332="FWD"),AF332,"")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b">
        <v>1</v>
      </c>
      <c r="F333" s="2" t="n">
        <v>5.5</v>
      </c>
      <c r="G333" t="inlineStr">
        <is>
          <t>a</t>
        </is>
      </c>
      <c r="I333" s="2" t="n">
        <v>152</v>
      </c>
      <c r="J333" t="n">
        <v>16</v>
      </c>
      <c r="K333" s="3" t="n">
        <v>85</v>
      </c>
      <c r="L333" t="inlineStr">
        <is>
          <t>flat</t>
        </is>
      </c>
      <c r="M333" s="4" t="n">
        <v>152</v>
      </c>
      <c r="N333" s="4" t="n">
        <v>0.5</v>
      </c>
      <c r="O333" s="3" t="n">
        <v>0.6898</v>
      </c>
      <c r="P333" t="inlineStr">
        <is>
          <t>adjusted xGOT</t>
        </is>
      </c>
      <c r="Q333" s="3" t="n">
        <v>0.979</v>
      </c>
      <c r="R333" s="3" t="n">
        <v>1.2</v>
      </c>
      <c r="S333" s="3" t="n">
        <v>0.2764</v>
      </c>
      <c r="T333" s="3" t="n">
        <v>8.733000000000001</v>
      </c>
      <c r="U333" s="4" t="n">
        <v>152</v>
      </c>
      <c r="V333" s="3">
        <f>IF(OR(N(T333)=0,N(U333)=0),0,1-POISSON(IFERROR(VLOOKUP($C333,Assumptions!$A$4:$G$7,7,FALSE),99)-1,N(T333)*N(U333)/90,TRUE))</f>
        <v/>
      </c>
      <c r="W333" s="3" t="n">
        <v>0</v>
      </c>
      <c r="X333" s="3" t="n">
        <v>4.145</v>
      </c>
      <c r="Y333" s="3">
        <f>IF(X333="",IFERROR(VLOOKUP($C333,Assumptions!$A$4:$G$7,6,FALSE),0),X333)</f>
        <v/>
      </c>
      <c r="Z333" s="3">
        <f>N(O333)*IFERROR(VLOOKUP($C333,Assumptions!$A$4:$G$7,2,FALSE),0)</f>
        <v/>
      </c>
      <c r="AA333" s="3">
        <f>N(S333)*IFERROR(VLOOKUP($C333,Assumptions!$A$4:$G$7,3,FALSE),0)*Assumptions!$B$11</f>
        <v/>
      </c>
      <c r="AB333" s="3">
        <f>N(N333)*IFERROR(VLOOKUP($C333,Assumptions!$A$4:$G$7,4,FALSE),0)</f>
        <v/>
      </c>
      <c r="AC333" s="3">
        <f>IF(N(U333)=0,0,V333*IFERROR(VLOOKUP($C333,Assumptions!$A$4:$G$7,5,FALSE),0)*90/N(U333))</f>
        <v/>
      </c>
      <c r="AD333" s="3">
        <f>N(W333)</f>
        <v/>
      </c>
      <c r="AE333" s="3">
        <f>SUM(Y333:AD333)</f>
        <v/>
      </c>
      <c r="AF333" s="3">
        <f>N(AE333)*N(M333)/90</f>
        <v/>
      </c>
      <c r="AG333" s="3">
        <f>IFERROR(AF333-VLOOKUP($C333,Assumptions!$A$29:$C$32,3,FALSE),"")</f>
        <v/>
      </c>
      <c r="AH333" s="3">
        <f>IFERROR(AG333/F333,"")</f>
        <v/>
      </c>
      <c r="AI333">
        <f>IF(AND($E333=TRUE,$C333="GKP"),AF333,"")</f>
        <v/>
      </c>
      <c r="AJ333">
        <f>IF(AND($E333=TRUE,$C333="DEF"),AF333,"")</f>
        <v/>
      </c>
      <c r="AK333">
        <f>IF(AND($E333=TRUE,$C333="MID"),AF333,"")</f>
        <v/>
      </c>
      <c r="AL333">
        <f>IF(AND($E333=TRUE,$C333="FWD"),AF333,"")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b">
        <v>1</v>
      </c>
      <c r="F334" s="2" t="n">
        <v>4.5</v>
      </c>
      <c r="G334" t="inlineStr">
        <is>
          <t>a</t>
        </is>
      </c>
      <c r="I334" s="2" t="n">
        <v>89</v>
      </c>
      <c r="J334" t="n">
        <v>15</v>
      </c>
      <c r="K334" s="3" t="n">
        <v>46</v>
      </c>
      <c r="L334" t="inlineStr">
        <is>
          <t>flat</t>
        </is>
      </c>
      <c r="M334" s="4" t="n">
        <v>89</v>
      </c>
      <c r="N334" s="4" t="n">
        <v>0.237</v>
      </c>
      <c r="O334" s="3" t="n">
        <v>0.1547</v>
      </c>
      <c r="P334" t="inlineStr">
        <is>
          <t>adjusted xGOT</t>
        </is>
      </c>
      <c r="Q334" s="3" t="n">
        <v>1.179</v>
      </c>
      <c r="R334" s="3" t="n">
        <v>2.6</v>
      </c>
      <c r="S334" s="3" t="n">
        <v>0.4313</v>
      </c>
      <c r="T334" s="3" t="n">
        <v>8.301</v>
      </c>
      <c r="U334" s="4" t="n">
        <v>89</v>
      </c>
      <c r="V334" s="3">
        <f>IF(OR(N(T334)=0,N(U334)=0),0,1-POISSON(IFERROR(VLOOKUP($C334,Assumptions!$A$4:$G$7,7,FALSE),99)-1,N(T334)*N(U334)/90,TRUE))</f>
        <v/>
      </c>
      <c r="W334" s="3" t="n">
        <v>2.0225</v>
      </c>
      <c r="X334" s="3" t="n">
        <v>8.09</v>
      </c>
      <c r="Y334" s="3">
        <f>IF(X334="",IFERROR(VLOOKUP($C334,Assumptions!$A$4:$G$7,6,FALSE),0),X334)</f>
        <v/>
      </c>
      <c r="Z334" s="3">
        <f>N(O334)*IFERROR(VLOOKUP($C334,Assumptions!$A$4:$G$7,2,FALSE),0)</f>
        <v/>
      </c>
      <c r="AA334" s="3">
        <f>N(S334)*IFERROR(VLOOKUP($C334,Assumptions!$A$4:$G$7,3,FALSE),0)*Assumptions!$B$11</f>
        <v/>
      </c>
      <c r="AB334" s="3">
        <f>N(N334)*IFERROR(VLOOKUP($C334,Assumptions!$A$4:$G$7,4,FALSE),0)</f>
        <v/>
      </c>
      <c r="AC334" s="3">
        <f>IF(N(U334)=0,0,V334*IFERROR(VLOOKUP($C334,Assumptions!$A$4:$G$7,5,FALSE),0)*90/N(U334))</f>
        <v/>
      </c>
      <c r="AD334" s="3">
        <f>N(W334)</f>
        <v/>
      </c>
      <c r="AE334" s="3">
        <f>SUM(Y334:AD334)</f>
        <v/>
      </c>
      <c r="AF334" s="3">
        <f>N(AE334)*N(M334)/90</f>
        <v/>
      </c>
      <c r="AG334" s="3">
        <f>IFERROR(AF334-VLOOKUP($C334,Assumptions!$A$29:$C$32,3,FALSE),"")</f>
        <v/>
      </c>
      <c r="AH334" s="3">
        <f>IFERROR(AG334/F334,"")</f>
        <v/>
      </c>
      <c r="AI334">
        <f>IF(AND($E334=TRUE,$C334="GKP"),AF334,"")</f>
        <v/>
      </c>
      <c r="AJ334">
        <f>IF(AND($E334=TRUE,$C334="DEF"),AF334,"")</f>
        <v/>
      </c>
      <c r="AK334">
        <f>IF(AND($E334=TRUE,$C334="MID"),AF334,"")</f>
        <v/>
      </c>
      <c r="AL334">
        <f>IF(AND($E334=TRUE,$C334="FWD"),AF334,"")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b">
        <v>1</v>
      </c>
      <c r="F335" s="2" t="n">
        <v>5</v>
      </c>
      <c r="G335" t="inlineStr">
        <is>
          <t>a</t>
        </is>
      </c>
      <c r="I335" s="2" t="n">
        <v>399</v>
      </c>
      <c r="J335" t="n">
        <v>14</v>
      </c>
      <c r="K335" s="3" t="n">
        <v>52</v>
      </c>
      <c r="L335" t="inlineStr">
        <is>
          <t>flat</t>
        </is>
      </c>
      <c r="M335" s="4" t="n">
        <v>399</v>
      </c>
      <c r="N335" s="4" t="n">
        <v>0.29</v>
      </c>
      <c r="O335" s="3" t="n">
        <v>0.1791</v>
      </c>
      <c r="P335" t="inlineStr">
        <is>
          <t>adjusted xGOT</t>
        </is>
      </c>
      <c r="Q335" s="3" t="n">
        <v>0.913</v>
      </c>
      <c r="R335" s="3" t="n">
        <v>0.9</v>
      </c>
      <c r="S335" s="3" t="n">
        <v>0.0561</v>
      </c>
      <c r="T335" s="3" t="n">
        <v>8.173</v>
      </c>
      <c r="U335" s="4" t="n">
        <v>199.5</v>
      </c>
      <c r="V335" s="3">
        <f>IF(OR(N(T335)=0,N(U335)=0),0,1-POISSON(IFERROR(VLOOKUP($C335,Assumptions!$A$4:$G$7,7,FALSE),99)-1,N(T335)*N(U335)/90,TRUE))</f>
        <v/>
      </c>
      <c r="W335" s="3" t="n">
        <v>0</v>
      </c>
      <c r="X335" s="3" t="n">
        <v>3.383</v>
      </c>
      <c r="Y335" s="3">
        <f>IF(X335="",IFERROR(VLOOKUP($C335,Assumptions!$A$4:$G$7,6,FALSE),0),X335)</f>
        <v/>
      </c>
      <c r="Z335" s="3">
        <f>N(O335)*IFERROR(VLOOKUP($C335,Assumptions!$A$4:$G$7,2,FALSE),0)</f>
        <v/>
      </c>
      <c r="AA335" s="3">
        <f>N(S335)*IFERROR(VLOOKUP($C335,Assumptions!$A$4:$G$7,3,FALSE),0)*Assumptions!$B$11</f>
        <v/>
      </c>
      <c r="AB335" s="3">
        <f>N(N335)*IFERROR(VLOOKUP($C335,Assumptions!$A$4:$G$7,4,FALSE),0)</f>
        <v/>
      </c>
      <c r="AC335" s="3">
        <f>IF(N(U335)=0,0,V335*IFERROR(VLOOKUP($C335,Assumptions!$A$4:$G$7,5,FALSE),0)*90/N(U335))</f>
        <v/>
      </c>
      <c r="AD335" s="3">
        <f>N(W335)</f>
        <v/>
      </c>
      <c r="AE335" s="3">
        <f>SUM(Y335:AD335)</f>
        <v/>
      </c>
      <c r="AF335" s="3">
        <f>N(AE335)*N(M335)/90</f>
        <v/>
      </c>
      <c r="AG335" s="3">
        <f>IFERROR(AF335-VLOOKUP($C335,Assumptions!$A$29:$C$32,3,FALSE),"")</f>
        <v/>
      </c>
      <c r="AH335" s="3">
        <f>IFERROR(AG335/F335,"")</f>
        <v/>
      </c>
      <c r="AI335">
        <f>IF(AND($E335=TRUE,$C335="GKP"),AF335,"")</f>
        <v/>
      </c>
      <c r="AJ335">
        <f>IF(AND($E335=TRUE,$C335="DEF"),AF335,"")</f>
        <v/>
      </c>
      <c r="AK335">
        <f>IF(AND($E335=TRUE,$C335="MID"),AF335,"")</f>
        <v/>
      </c>
      <c r="AL335">
        <f>IF(AND($E335=TRUE,$C335="FWD"),AF335,"")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b">
        <v>1</v>
      </c>
      <c r="F336" s="2" t="n">
        <v>4.5</v>
      </c>
      <c r="G336" t="inlineStr">
        <is>
          <t>a</t>
        </is>
      </c>
      <c r="I336" s="2" t="n">
        <v>318</v>
      </c>
      <c r="J336" t="n">
        <v>14</v>
      </c>
      <c r="K336" s="3" t="n">
        <v>0</v>
      </c>
      <c r="L336" t="inlineStr">
        <is>
          <t>flat</t>
        </is>
      </c>
      <c r="M336" s="4" t="n">
        <v>318</v>
      </c>
      <c r="N336" s="4" t="n">
        <v>0.263</v>
      </c>
      <c r="O336" s="3" t="n">
        <v>0.0028</v>
      </c>
      <c r="P336" t="inlineStr">
        <is>
          <t>adjusted xGOT</t>
        </is>
      </c>
      <c r="Q336" s="3" t="n">
        <v>1.034</v>
      </c>
      <c r="R336" s="3" t="n">
        <v>5.8</v>
      </c>
      <c r="S336" s="3" t="n">
        <v>0.008500000000000001</v>
      </c>
      <c r="T336" s="3" t="n">
        <v>8.972</v>
      </c>
      <c r="U336" s="4" t="n">
        <v>79.5</v>
      </c>
      <c r="V336" s="3">
        <f>IF(OR(N(T336)=0,N(U336)=0),0,1-POISSON(IFERROR(VLOOKUP($C336,Assumptions!$A$4:$G$7,7,FALSE),99)-1,N(T336)*N(U336)/90,TRUE))</f>
        <v/>
      </c>
      <c r="W336" s="3" t="n">
        <v>0.5659999999999999</v>
      </c>
      <c r="X336" s="3" t="n">
        <v>2.264</v>
      </c>
      <c r="Y336" s="3">
        <f>IF(X336="",IFERROR(VLOOKUP($C336,Assumptions!$A$4:$G$7,6,FALSE),0),X336)</f>
        <v/>
      </c>
      <c r="Z336" s="3">
        <f>N(O336)*IFERROR(VLOOKUP($C336,Assumptions!$A$4:$G$7,2,FALSE),0)</f>
        <v/>
      </c>
      <c r="AA336" s="3">
        <f>N(S336)*IFERROR(VLOOKUP($C336,Assumptions!$A$4:$G$7,3,FALSE),0)*Assumptions!$B$11</f>
        <v/>
      </c>
      <c r="AB336" s="3">
        <f>N(N336)*IFERROR(VLOOKUP($C336,Assumptions!$A$4:$G$7,4,FALSE),0)</f>
        <v/>
      </c>
      <c r="AC336" s="3">
        <f>IF(N(U336)=0,0,V336*IFERROR(VLOOKUP($C336,Assumptions!$A$4:$G$7,5,FALSE),0)*90/N(U336))</f>
        <v/>
      </c>
      <c r="AD336" s="3">
        <f>N(W336)</f>
        <v/>
      </c>
      <c r="AE336" s="3">
        <f>SUM(Y336:AD336)</f>
        <v/>
      </c>
      <c r="AF336" s="3">
        <f>N(AE336)*N(M336)/90</f>
        <v/>
      </c>
      <c r="AG336" s="3">
        <f>IFERROR(AF336-VLOOKUP($C336,Assumptions!$A$29:$C$32,3,FALSE),"")</f>
        <v/>
      </c>
      <c r="AH336" s="3">
        <f>IFERROR(AG336/F336,"")</f>
        <v/>
      </c>
      <c r="AI336">
        <f>IF(AND($E336=TRUE,$C336="GKP"),AF336,"")</f>
        <v/>
      </c>
      <c r="AJ336">
        <f>IF(AND($E336=TRUE,$C336="DEF"),AF336,"")</f>
        <v/>
      </c>
      <c r="AK336">
        <f>IF(AND($E336=TRUE,$C336="MID"),AF336,"")</f>
        <v/>
      </c>
      <c r="AL336">
        <f>IF(AND($E336=TRUE,$C336="FWD"),AF336,"")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b">
        <v>1</v>
      </c>
      <c r="F337" s="2" t="n">
        <v>5</v>
      </c>
      <c r="G337" t="inlineStr">
        <is>
          <t>a</t>
        </is>
      </c>
      <c r="I337" s="2" t="n">
        <v>265</v>
      </c>
      <c r="J337" t="n">
        <v>13</v>
      </c>
      <c r="K337" s="3" t="n">
        <v>0</v>
      </c>
      <c r="L337" t="inlineStr">
        <is>
          <t>flat</t>
        </is>
      </c>
      <c r="M337" s="4" t="n">
        <v>265</v>
      </c>
      <c r="N337" s="4" t="n">
        <v>0.237</v>
      </c>
      <c r="O337" s="3" t="n">
        <v>0.4442</v>
      </c>
      <c r="P337" t="inlineStr">
        <is>
          <t>adjusted xGOT</t>
        </is>
      </c>
      <c r="Q337" s="3" t="n">
        <v>0.849</v>
      </c>
      <c r="R337" s="3" t="n">
        <v>1.5</v>
      </c>
      <c r="S337" s="3" t="n">
        <v>0.1781</v>
      </c>
      <c r="T337" s="3" t="n">
        <v>4.234</v>
      </c>
      <c r="U337" s="4" t="n">
        <v>265</v>
      </c>
      <c r="V337" s="3">
        <f>IF(OR(N(T337)=0,N(U337)=0),0,1-POISSON(IFERROR(VLOOKUP($C337,Assumptions!$A$4:$G$7,7,FALSE),99)-1,N(T337)*N(U337)/90,TRUE))</f>
        <v/>
      </c>
      <c r="W337" s="3" t="n">
        <v>0</v>
      </c>
      <c r="X337" s="3" t="n">
        <v>3.736</v>
      </c>
      <c r="Y337" s="3">
        <f>IF(X337="",IFERROR(VLOOKUP($C337,Assumptions!$A$4:$G$7,6,FALSE),0),X337)</f>
        <v/>
      </c>
      <c r="Z337" s="3">
        <f>N(O337)*IFERROR(VLOOKUP($C337,Assumptions!$A$4:$G$7,2,FALSE),0)</f>
        <v/>
      </c>
      <c r="AA337" s="3">
        <f>N(S337)*IFERROR(VLOOKUP($C337,Assumptions!$A$4:$G$7,3,FALSE),0)*Assumptions!$B$11</f>
        <v/>
      </c>
      <c r="AB337" s="3">
        <f>N(N337)*IFERROR(VLOOKUP($C337,Assumptions!$A$4:$G$7,4,FALSE),0)</f>
        <v/>
      </c>
      <c r="AC337" s="3">
        <f>IF(N(U337)=0,0,V337*IFERROR(VLOOKUP($C337,Assumptions!$A$4:$G$7,5,FALSE),0)*90/N(U337))</f>
        <v/>
      </c>
      <c r="AD337" s="3">
        <f>N(W337)</f>
        <v/>
      </c>
      <c r="AE337" s="3">
        <f>SUM(Y337:AD337)</f>
        <v/>
      </c>
      <c r="AF337" s="3">
        <f>N(AE337)*N(M337)/90</f>
        <v/>
      </c>
      <c r="AG337" s="3">
        <f>IFERROR(AF337-VLOOKUP($C337,Assumptions!$A$29:$C$32,3,FALSE),"")</f>
        <v/>
      </c>
      <c r="AH337" s="3">
        <f>IFERROR(AG337/F337,"")</f>
        <v/>
      </c>
      <c r="AI337">
        <f>IF(AND($E337=TRUE,$C337="GKP"),AF337,"")</f>
        <v/>
      </c>
      <c r="AJ337">
        <f>IF(AND($E337=TRUE,$C337="DEF"),AF337,"")</f>
        <v/>
      </c>
      <c r="AK337">
        <f>IF(AND($E337=TRUE,$C337="MID"),AF337,"")</f>
        <v/>
      </c>
      <c r="AL337">
        <f>IF(AND($E337=TRUE,$C337="FWD"),AF337,"")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b">
        <v>1</v>
      </c>
      <c r="F338" s="2" t="n">
        <v>4.5</v>
      </c>
      <c r="G338" t="inlineStr">
        <is>
          <t>a</t>
        </is>
      </c>
      <c r="I338" s="2" t="n">
        <v>514</v>
      </c>
      <c r="J338" t="n">
        <v>13</v>
      </c>
      <c r="K338" s="3" t="n">
        <v>249</v>
      </c>
      <c r="L338" t="inlineStr">
        <is>
          <t>flat</t>
        </is>
      </c>
      <c r="M338" s="4" t="n">
        <v>514</v>
      </c>
      <c r="N338" s="4" t="n">
        <v>0.237</v>
      </c>
      <c r="O338" s="3" t="n">
        <v>0.0462</v>
      </c>
      <c r="P338" t="inlineStr">
        <is>
          <t>adjusted xGOT</t>
        </is>
      </c>
      <c r="Q338" s="3" t="n">
        <v>0.979</v>
      </c>
      <c r="R338" s="3" t="n">
        <v>0.3</v>
      </c>
      <c r="S338" s="3" t="n">
        <v>0.0122</v>
      </c>
      <c r="T338" s="3" t="n">
        <v>7.912</v>
      </c>
      <c r="U338" s="4" t="n">
        <v>85.7</v>
      </c>
      <c r="V338" s="3">
        <f>IF(OR(N(T338)=0,N(U338)=0),0,1-POISSON(IFERROR(VLOOKUP($C338,Assumptions!$A$4:$G$7,7,FALSE),99)-1,N(T338)*N(U338)/90,TRUE))</f>
        <v/>
      </c>
      <c r="W338" s="3" t="n">
        <v>0</v>
      </c>
      <c r="X338" s="3" t="n">
        <v>2.276</v>
      </c>
      <c r="Y338" s="3">
        <f>IF(X338="",IFERROR(VLOOKUP($C338,Assumptions!$A$4:$G$7,6,FALSE),0),X338)</f>
        <v/>
      </c>
      <c r="Z338" s="3">
        <f>N(O338)*IFERROR(VLOOKUP($C338,Assumptions!$A$4:$G$7,2,FALSE),0)</f>
        <v/>
      </c>
      <c r="AA338" s="3">
        <f>N(S338)*IFERROR(VLOOKUP($C338,Assumptions!$A$4:$G$7,3,FALSE),0)*Assumptions!$B$11</f>
        <v/>
      </c>
      <c r="AB338" s="3">
        <f>N(N338)*IFERROR(VLOOKUP($C338,Assumptions!$A$4:$G$7,4,FALSE),0)</f>
        <v/>
      </c>
      <c r="AC338" s="3">
        <f>IF(N(U338)=0,0,V338*IFERROR(VLOOKUP($C338,Assumptions!$A$4:$G$7,5,FALSE),0)*90/N(U338))</f>
        <v/>
      </c>
      <c r="AD338" s="3">
        <f>N(W338)</f>
        <v/>
      </c>
      <c r="AE338" s="3">
        <f>SUM(Y338:AD338)</f>
        <v/>
      </c>
      <c r="AF338" s="3">
        <f>N(AE338)*N(M338)/90</f>
        <v/>
      </c>
      <c r="AG338" s="3">
        <f>IFERROR(AF338-VLOOKUP($C338,Assumptions!$A$29:$C$32,3,FALSE),"")</f>
        <v/>
      </c>
      <c r="AH338" s="3">
        <f>IFERROR(AG338/F338,"")</f>
        <v/>
      </c>
      <c r="AI338">
        <f>IF(AND($E338=TRUE,$C338="GKP"),AF338,"")</f>
        <v/>
      </c>
      <c r="AJ338">
        <f>IF(AND($E338=TRUE,$C338="DEF"),AF338,"")</f>
        <v/>
      </c>
      <c r="AK338">
        <f>IF(AND($E338=TRUE,$C338="MID"),AF338,"")</f>
        <v/>
      </c>
      <c r="AL338">
        <f>IF(AND($E338=TRUE,$C338="FWD"),AF338,"")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b">
        <v>1</v>
      </c>
      <c r="F339" s="2" t="n">
        <v>5</v>
      </c>
      <c r="G339" t="inlineStr">
        <is>
          <t>a</t>
        </is>
      </c>
      <c r="I339" s="2" t="n">
        <v>374</v>
      </c>
      <c r="J339" t="n">
        <v>13</v>
      </c>
      <c r="K339" s="3" t="n">
        <v>128</v>
      </c>
      <c r="L339" t="inlineStr">
        <is>
          <t>flat</t>
        </is>
      </c>
      <c r="M339" s="4" t="n">
        <v>374</v>
      </c>
      <c r="N339" s="4" t="n">
        <v>0.237</v>
      </c>
      <c r="O339" s="3" t="n">
        <v>0.0484</v>
      </c>
      <c r="P339" t="inlineStr">
        <is>
          <t>adjusted xGOT</t>
        </is>
      </c>
      <c r="Q339" s="3" t="n">
        <v>0.957</v>
      </c>
      <c r="R339" s="3" t="n">
        <v>0.9</v>
      </c>
      <c r="S339" s="3" t="n">
        <v>0.1161</v>
      </c>
      <c r="T339" s="3" t="n">
        <v>8.689</v>
      </c>
      <c r="U339" s="4" t="n">
        <v>93.5</v>
      </c>
      <c r="V339" s="3">
        <f>IF(OR(N(T339)=0,N(U339)=0),0,1-POISSON(IFERROR(VLOOKUP($C339,Assumptions!$A$4:$G$7,7,FALSE),99)-1,N(T339)*N(U339)/90,TRUE))</f>
        <v/>
      </c>
      <c r="W339" s="3" t="n">
        <v>0</v>
      </c>
      <c r="X339" s="3" t="n">
        <v>3.128</v>
      </c>
      <c r="Y339" s="3">
        <f>IF(X339="",IFERROR(VLOOKUP($C339,Assumptions!$A$4:$G$7,6,FALSE),0),X339)</f>
        <v/>
      </c>
      <c r="Z339" s="3">
        <f>N(O339)*IFERROR(VLOOKUP($C339,Assumptions!$A$4:$G$7,2,FALSE),0)</f>
        <v/>
      </c>
      <c r="AA339" s="3">
        <f>N(S339)*IFERROR(VLOOKUP($C339,Assumptions!$A$4:$G$7,3,FALSE),0)*Assumptions!$B$11</f>
        <v/>
      </c>
      <c r="AB339" s="3">
        <f>N(N339)*IFERROR(VLOOKUP($C339,Assumptions!$A$4:$G$7,4,FALSE),0)</f>
        <v/>
      </c>
      <c r="AC339" s="3">
        <f>IF(N(U339)=0,0,V339*IFERROR(VLOOKUP($C339,Assumptions!$A$4:$G$7,5,FALSE),0)*90/N(U339))</f>
        <v/>
      </c>
      <c r="AD339" s="3">
        <f>N(W339)</f>
        <v/>
      </c>
      <c r="AE339" s="3">
        <f>SUM(Y339:AD339)</f>
        <v/>
      </c>
      <c r="AF339" s="3">
        <f>N(AE339)*N(M339)/90</f>
        <v/>
      </c>
      <c r="AG339" s="3">
        <f>IFERROR(AF339-VLOOKUP($C339,Assumptions!$A$29:$C$32,3,FALSE),"")</f>
        <v/>
      </c>
      <c r="AH339" s="3">
        <f>IFERROR(AG339/F339,"")</f>
        <v/>
      </c>
      <c r="AI339">
        <f>IF(AND($E339=TRUE,$C339="GKP"),AF339,"")</f>
        <v/>
      </c>
      <c r="AJ339">
        <f>IF(AND($E339=TRUE,$C339="DEF"),AF339,"")</f>
        <v/>
      </c>
      <c r="AK339">
        <f>IF(AND($E339=TRUE,$C339="MID"),AF339,"")</f>
        <v/>
      </c>
      <c r="AL339">
        <f>IF(AND($E339=TRUE,$C339="FWD"),AF339,"")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b">
        <v>1</v>
      </c>
      <c r="F340" s="2" t="n">
        <v>5</v>
      </c>
      <c r="G340" t="inlineStr">
        <is>
          <t>a</t>
        </is>
      </c>
      <c r="I340" s="2" t="n">
        <v>401</v>
      </c>
      <c r="J340" t="n">
        <v>13</v>
      </c>
      <c r="K340" s="3" t="n">
        <v>648</v>
      </c>
      <c r="L340" t="inlineStr">
        <is>
          <t>flat</t>
        </is>
      </c>
      <c r="M340" s="4" t="n">
        <v>401</v>
      </c>
      <c r="N340" s="4" t="n">
        <v>0.29</v>
      </c>
      <c r="O340" s="3" t="n">
        <v>0.1674</v>
      </c>
      <c r="P340" t="inlineStr">
        <is>
          <t>adjusted xGOT</t>
        </is>
      </c>
      <c r="Q340" s="3" t="n">
        <v>0.969</v>
      </c>
      <c r="R340" s="3" t="n">
        <v>0.8</v>
      </c>
      <c r="S340" s="3" t="n">
        <v>0.0194</v>
      </c>
      <c r="T340" s="3" t="n">
        <v>8.319000000000001</v>
      </c>
      <c r="U340" s="4" t="n">
        <v>80.2</v>
      </c>
      <c r="V340" s="3">
        <f>IF(OR(N(T340)=0,N(U340)=0),0,1-POISSON(IFERROR(VLOOKUP($C340,Assumptions!$A$4:$G$7,7,FALSE),99)-1,N(T340)*N(U340)/90,TRUE))</f>
        <v/>
      </c>
      <c r="W340" s="3" t="n">
        <v>0</v>
      </c>
      <c r="X340" s="3" t="n">
        <v>2.918</v>
      </c>
      <c r="Y340" s="3">
        <f>IF(X340="",IFERROR(VLOOKUP($C340,Assumptions!$A$4:$G$7,6,FALSE),0),X340)</f>
        <v/>
      </c>
      <c r="Z340" s="3">
        <f>N(O340)*IFERROR(VLOOKUP($C340,Assumptions!$A$4:$G$7,2,FALSE),0)</f>
        <v/>
      </c>
      <c r="AA340" s="3">
        <f>N(S340)*IFERROR(VLOOKUP($C340,Assumptions!$A$4:$G$7,3,FALSE),0)*Assumptions!$B$11</f>
        <v/>
      </c>
      <c r="AB340" s="3">
        <f>N(N340)*IFERROR(VLOOKUP($C340,Assumptions!$A$4:$G$7,4,FALSE),0)</f>
        <v/>
      </c>
      <c r="AC340" s="3">
        <f>IF(N(U340)=0,0,V340*IFERROR(VLOOKUP($C340,Assumptions!$A$4:$G$7,5,FALSE),0)*90/N(U340))</f>
        <v/>
      </c>
      <c r="AD340" s="3">
        <f>N(W340)</f>
        <v/>
      </c>
      <c r="AE340" s="3">
        <f>SUM(Y340:AD340)</f>
        <v/>
      </c>
      <c r="AF340" s="3">
        <f>N(AE340)*N(M340)/90</f>
        <v/>
      </c>
      <c r="AG340" s="3">
        <f>IFERROR(AF340-VLOOKUP($C340,Assumptions!$A$29:$C$32,3,FALSE),"")</f>
        <v/>
      </c>
      <c r="AH340" s="3">
        <f>IFERROR(AG340/F340,"")</f>
        <v/>
      </c>
      <c r="AI340">
        <f>IF(AND($E340=TRUE,$C340="GKP"),AF340,"")</f>
        <v/>
      </c>
      <c r="AJ340">
        <f>IF(AND($E340=TRUE,$C340="DEF"),AF340,"")</f>
        <v/>
      </c>
      <c r="AK340">
        <f>IF(AND($E340=TRUE,$C340="MID"),AF340,"")</f>
        <v/>
      </c>
      <c r="AL340">
        <f>IF(AND($E340=TRUE,$C340="FWD"),AF340,"")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b">
        <v>1</v>
      </c>
      <c r="F341" s="2" t="n">
        <v>5</v>
      </c>
      <c r="G341" t="inlineStr">
        <is>
          <t>a</t>
        </is>
      </c>
      <c r="I341" s="2" t="n">
        <v>100</v>
      </c>
      <c r="J341" t="n">
        <v>13</v>
      </c>
      <c r="K341" s="3" t="n">
        <v>10</v>
      </c>
      <c r="L341" t="inlineStr">
        <is>
          <t>flat</t>
        </is>
      </c>
      <c r="M341" s="4" t="n">
        <v>100</v>
      </c>
      <c r="N341" s="4" t="n">
        <v>0.263</v>
      </c>
      <c r="O341" s="3" t="n">
        <v>0.63</v>
      </c>
      <c r="P341" t="inlineStr">
        <is>
          <t>adjusted xGOT</t>
        </is>
      </c>
      <c r="Q341" s="3" t="n">
        <v>1</v>
      </c>
      <c r="R341" s="3" t="n">
        <v>4.3</v>
      </c>
      <c r="S341" s="3" t="n">
        <v>0.0135</v>
      </c>
      <c r="T341" s="3" t="n">
        <v>8.409000000000001</v>
      </c>
      <c r="U341" s="4" t="n">
        <v>100</v>
      </c>
      <c r="V341" s="3">
        <f>IF(OR(N(T341)=0,N(U341)=0),0,1-POISSON(IFERROR(VLOOKUP($C341,Assumptions!$A$4:$G$7,7,FALSE),99)-1,N(T341)*N(U341)/90,TRUE))</f>
        <v/>
      </c>
      <c r="W341" s="3" t="n">
        <v>0.9</v>
      </c>
      <c r="X341" s="3" t="n">
        <v>6.3</v>
      </c>
      <c r="Y341" s="3">
        <f>IF(X341="",IFERROR(VLOOKUP($C341,Assumptions!$A$4:$G$7,6,FALSE),0),X341)</f>
        <v/>
      </c>
      <c r="Z341" s="3">
        <f>N(O341)*IFERROR(VLOOKUP($C341,Assumptions!$A$4:$G$7,2,FALSE),0)</f>
        <v/>
      </c>
      <c r="AA341" s="3">
        <f>N(S341)*IFERROR(VLOOKUP($C341,Assumptions!$A$4:$G$7,3,FALSE),0)*Assumptions!$B$11</f>
        <v/>
      </c>
      <c r="AB341" s="3">
        <f>N(N341)*IFERROR(VLOOKUP($C341,Assumptions!$A$4:$G$7,4,FALSE),0)</f>
        <v/>
      </c>
      <c r="AC341" s="3">
        <f>IF(N(U341)=0,0,V341*IFERROR(VLOOKUP($C341,Assumptions!$A$4:$G$7,5,FALSE),0)*90/N(U341))</f>
        <v/>
      </c>
      <c r="AD341" s="3">
        <f>N(W341)</f>
        <v/>
      </c>
      <c r="AE341" s="3">
        <f>SUM(Y341:AD341)</f>
        <v/>
      </c>
      <c r="AF341" s="3">
        <f>N(AE341)*N(M341)/90</f>
        <v/>
      </c>
      <c r="AG341" s="3">
        <f>IFERROR(AF341-VLOOKUP($C341,Assumptions!$A$29:$C$32,3,FALSE),"")</f>
        <v/>
      </c>
      <c r="AH341" s="3">
        <f>IFERROR(AG341/F341,"")</f>
        <v/>
      </c>
      <c r="AI341">
        <f>IF(AND($E341=TRUE,$C341="GKP"),AF341,"")</f>
        <v/>
      </c>
      <c r="AJ341">
        <f>IF(AND($E341=TRUE,$C341="DEF"),AF341,"")</f>
        <v/>
      </c>
      <c r="AK341">
        <f>IF(AND($E341=TRUE,$C341="MID"),AF341,"")</f>
        <v/>
      </c>
      <c r="AL341">
        <f>IF(AND($E341=TRUE,$C341="FWD"),AF341,"")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b">
        <v>1</v>
      </c>
      <c r="F342" s="2" t="n">
        <v>5.5</v>
      </c>
      <c r="G342" t="inlineStr">
        <is>
          <t>a</t>
        </is>
      </c>
      <c r="I342" s="2" t="n">
        <v>118</v>
      </c>
      <c r="J342" t="n">
        <v>13</v>
      </c>
      <c r="K342" s="3" t="n">
        <v>0</v>
      </c>
      <c r="L342" t="inlineStr">
        <is>
          <t>flat</t>
        </is>
      </c>
      <c r="M342" s="4" t="n">
        <v>118</v>
      </c>
      <c r="N342" s="4" t="n">
        <v>0.5</v>
      </c>
      <c r="O342" s="3" t="n">
        <v>0.6079</v>
      </c>
      <c r="P342" t="inlineStr">
        <is>
          <t>adjusted xGOT</t>
        </is>
      </c>
      <c r="Q342" s="3" t="n">
        <v>1.122</v>
      </c>
      <c r="R342" s="3" t="n">
        <v>3</v>
      </c>
      <c r="S342" s="3" t="n">
        <v>0.0645</v>
      </c>
      <c r="T342" s="3" t="n">
        <v>9.839</v>
      </c>
      <c r="U342" s="4" t="n">
        <v>85</v>
      </c>
      <c r="V342" s="3">
        <f>IF(OR(N(T342)=0,N(U342)=0),0,1-POISSON(IFERROR(VLOOKUP($C342,Assumptions!$A$4:$G$7,7,FALSE),99)-1,N(T342)*N(U342)/90,TRUE))</f>
        <v/>
      </c>
      <c r="W342" s="3" t="n">
        <v>0</v>
      </c>
      <c r="X342" s="3" t="n">
        <v>7.627</v>
      </c>
      <c r="Y342" s="3">
        <f>IF(X342="",IFERROR(VLOOKUP($C342,Assumptions!$A$4:$G$7,6,FALSE),0),X342)</f>
        <v/>
      </c>
      <c r="Z342" s="3">
        <f>N(O342)*IFERROR(VLOOKUP($C342,Assumptions!$A$4:$G$7,2,FALSE),0)</f>
        <v/>
      </c>
      <c r="AA342" s="3">
        <f>N(S342)*IFERROR(VLOOKUP($C342,Assumptions!$A$4:$G$7,3,FALSE),0)*Assumptions!$B$11</f>
        <v/>
      </c>
      <c r="AB342" s="3">
        <f>N(N342)*IFERROR(VLOOKUP($C342,Assumptions!$A$4:$G$7,4,FALSE),0)</f>
        <v/>
      </c>
      <c r="AC342" s="3">
        <f>IF(N(U342)=0,0,V342*IFERROR(VLOOKUP($C342,Assumptions!$A$4:$G$7,5,FALSE),0)*90/N(U342))</f>
        <v/>
      </c>
      <c r="AD342" s="3">
        <f>N(W342)</f>
        <v/>
      </c>
      <c r="AE342" s="3">
        <f>SUM(Y342:AD342)</f>
        <v/>
      </c>
      <c r="AF342" s="3">
        <f>N(AE342)*N(M342)/90</f>
        <v/>
      </c>
      <c r="AG342" s="3">
        <f>IFERROR(AF342-VLOOKUP($C342,Assumptions!$A$29:$C$32,3,FALSE),"")</f>
        <v/>
      </c>
      <c r="AH342" s="3">
        <f>IFERROR(AG342/F342,"")</f>
        <v/>
      </c>
      <c r="AI342">
        <f>IF(AND($E342=TRUE,$C342="GKP"),AF342,"")</f>
        <v/>
      </c>
      <c r="AJ342">
        <f>IF(AND($E342=TRUE,$C342="DEF"),AF342,"")</f>
        <v/>
      </c>
      <c r="AK342">
        <f>IF(AND($E342=TRUE,$C342="MID"),AF342,"")</f>
        <v/>
      </c>
      <c r="AL342">
        <f>IF(AND($E342=TRUE,$C342="FWD"),AF342,"")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b">
        <v>1</v>
      </c>
      <c r="F343" s="2" t="n">
        <v>5</v>
      </c>
      <c r="G343" t="inlineStr">
        <is>
          <t>a</t>
        </is>
      </c>
      <c r="I343" s="2" t="n">
        <v>360</v>
      </c>
      <c r="J343" t="n">
        <v>13</v>
      </c>
      <c r="K343" s="3" t="n">
        <v>3385</v>
      </c>
      <c r="L343" t="inlineStr">
        <is>
          <t>flat</t>
        </is>
      </c>
      <c r="M343" s="4" t="n">
        <v>360</v>
      </c>
      <c r="N343" s="4" t="n">
        <v>0.21</v>
      </c>
      <c r="O343" s="3" t="n">
        <v>0</v>
      </c>
      <c r="P343" t="inlineStr">
        <is>
          <t>blended xG</t>
        </is>
      </c>
      <c r="Q343" s="3" t="n">
        <v>1</v>
      </c>
      <c r="R343" s="3" t="n">
        <v>0</v>
      </c>
      <c r="S343" s="3" t="n">
        <v>0</v>
      </c>
      <c r="T343" s="3" t="n">
        <v>0</v>
      </c>
      <c r="U343" s="4" t="n">
        <v>90</v>
      </c>
      <c r="V343" s="3">
        <f>IF(OR(N(T343)=0,N(U343)=0),0,1-POISSON(IFERROR(VLOOKUP($C343,Assumptions!$A$4:$G$7,7,FALSE),99)-1,N(T343)*N(U343)/90,TRUE))</f>
        <v/>
      </c>
      <c r="W343" s="3" t="n">
        <v>0</v>
      </c>
      <c r="X343" s="3" t="n">
        <v>2</v>
      </c>
      <c r="Y343" s="3">
        <f>IF(X343="",IFERROR(VLOOKUP($C343,Assumptions!$A$4:$G$7,6,FALSE),0),X343)</f>
        <v/>
      </c>
      <c r="Z343" s="3">
        <f>N(O343)*IFERROR(VLOOKUP($C343,Assumptions!$A$4:$G$7,2,FALSE),0)</f>
        <v/>
      </c>
      <c r="AA343" s="3">
        <f>N(S343)*IFERROR(VLOOKUP($C343,Assumptions!$A$4:$G$7,3,FALSE),0)*Assumptions!$B$11</f>
        <v/>
      </c>
      <c r="AB343" s="3">
        <f>N(N343)*IFERROR(VLOOKUP($C343,Assumptions!$A$4:$G$7,4,FALSE),0)</f>
        <v/>
      </c>
      <c r="AC343" s="3">
        <f>IF(N(U343)=0,0,V343*IFERROR(VLOOKUP($C343,Assumptions!$A$4:$G$7,5,FALSE),0)*90/N(U343))</f>
        <v/>
      </c>
      <c r="AD343" s="3">
        <f>N(W343)</f>
        <v/>
      </c>
      <c r="AE343" s="3">
        <f>SUM(Y343:AD343)</f>
        <v/>
      </c>
      <c r="AF343" s="3">
        <f>N(AE343)*N(M343)/90</f>
        <v/>
      </c>
      <c r="AG343" s="3">
        <f>IFERROR(AF343-VLOOKUP($C343,Assumptions!$A$29:$C$32,3,FALSE),"")</f>
        <v/>
      </c>
      <c r="AH343" s="3">
        <f>IFERROR(AG343/F343,"")</f>
        <v/>
      </c>
      <c r="AI343">
        <f>IF(AND($E343=TRUE,$C343="GKP"),AF343,"")</f>
        <v/>
      </c>
      <c r="AJ343">
        <f>IF(AND($E343=TRUE,$C343="DEF"),AF343,"")</f>
        <v/>
      </c>
      <c r="AK343">
        <f>IF(AND($E343=TRUE,$C343="MID"),AF343,"")</f>
        <v/>
      </c>
      <c r="AL343">
        <f>IF(AND($E343=TRUE,$C343="FWD"),AF343,"")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b">
        <v>1</v>
      </c>
      <c r="F344" s="2" t="n">
        <v>5</v>
      </c>
      <c r="G344" t="inlineStr">
        <is>
          <t>u</t>
        </is>
      </c>
      <c r="H344" t="inlineStr">
        <is>
          <t>Has joined New England Revolution permanently</t>
        </is>
      </c>
      <c r="I344" s="2" t="n">
        <v>262</v>
      </c>
      <c r="J344" t="n">
        <v>12</v>
      </c>
      <c r="K344" s="3" t="n"/>
      <c r="M344" s="4" t="n">
        <v>262</v>
      </c>
      <c r="N344" s="4" t="n">
        <v>0.21</v>
      </c>
      <c r="O344" s="3" t="n">
        <v>0.0814</v>
      </c>
      <c r="P344" t="inlineStr">
        <is>
          <t>adjusted xGOT</t>
        </is>
      </c>
      <c r="Q344" s="3" t="n">
        <v>0.845</v>
      </c>
      <c r="R344" s="3" t="n">
        <v>12.9</v>
      </c>
      <c r="S344" s="3" t="n">
        <v>0.09760000000000001</v>
      </c>
      <c r="T344" s="3" t="n">
        <v>8.488</v>
      </c>
      <c r="U344" s="4" t="n">
        <v>262</v>
      </c>
      <c r="V344" s="3">
        <f>IF(OR(N(T344)=0,N(U344)=0),0,1-POISSON(IFERROR(VLOOKUP($C344,Assumptions!$A$4:$G$7,7,FALSE),99)-1,N(T344)*N(U344)/90,TRUE))</f>
        <v/>
      </c>
      <c r="W344" s="3" t="n">
        <v>0</v>
      </c>
      <c r="X344" s="3" t="n">
        <v>4.122</v>
      </c>
      <c r="Y344" s="3">
        <f>IF(X344="",IFERROR(VLOOKUP($C344,Assumptions!$A$4:$G$7,6,FALSE),0),X344)</f>
        <v/>
      </c>
      <c r="Z344" s="3">
        <f>N(O344)*IFERROR(VLOOKUP($C344,Assumptions!$A$4:$G$7,2,FALSE),0)</f>
        <v/>
      </c>
      <c r="AA344" s="3">
        <f>N(S344)*IFERROR(VLOOKUP($C344,Assumptions!$A$4:$G$7,3,FALSE),0)*Assumptions!$B$11</f>
        <v/>
      </c>
      <c r="AB344" s="3">
        <f>N(N344)*IFERROR(VLOOKUP($C344,Assumptions!$A$4:$G$7,4,FALSE),0)</f>
        <v/>
      </c>
      <c r="AC344" s="3">
        <f>IF(N(U344)=0,0,V344*IFERROR(VLOOKUP($C344,Assumptions!$A$4:$G$7,5,FALSE),0)*90/N(U344))</f>
        <v/>
      </c>
      <c r="AD344" s="3">
        <f>N(W344)</f>
        <v/>
      </c>
      <c r="AE344" s="3">
        <f>SUM(Y344:AD344)</f>
        <v/>
      </c>
      <c r="AF344" s="3">
        <f>N(AE344)*N(M344)/90</f>
        <v/>
      </c>
      <c r="AG344" s="3">
        <f>IFERROR(AF344-VLOOKUP($C344,Assumptions!$A$29:$C$32,3,FALSE),"")</f>
        <v/>
      </c>
      <c r="AH344" s="3">
        <f>IFERROR(AG344/F344,"")</f>
        <v/>
      </c>
      <c r="AI344">
        <f>IF(AND($E344=TRUE,$C344="GKP"),AF344,"")</f>
        <v/>
      </c>
      <c r="AJ344">
        <f>IF(AND($E344=TRUE,$C344="DEF"),AF344,"")</f>
        <v/>
      </c>
      <c r="AK344">
        <f>IF(AND($E344=TRUE,$C344="MID"),AF344,"")</f>
        <v/>
      </c>
      <c r="AL344">
        <f>IF(AND($E344=TRUE,$C344="FWD"),AF344,"")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b">
        <v>1</v>
      </c>
      <c r="F345" s="2" t="n">
        <v>5</v>
      </c>
      <c r="G345" t="inlineStr">
        <is>
          <t>a</t>
        </is>
      </c>
      <c r="I345" s="2" t="n">
        <v>170</v>
      </c>
      <c r="J345" t="n">
        <v>12</v>
      </c>
      <c r="K345" s="3" t="n">
        <v>76</v>
      </c>
      <c r="L345" t="inlineStr">
        <is>
          <t>flat</t>
        </is>
      </c>
      <c r="M345" s="4" t="n">
        <v>170</v>
      </c>
      <c r="N345" s="4" t="n">
        <v>0.263</v>
      </c>
      <c r="O345" s="3" t="n">
        <v>0.0222</v>
      </c>
      <c r="P345" t="inlineStr">
        <is>
          <t>adjusted xGOT</t>
        </is>
      </c>
      <c r="Q345" s="3" t="n">
        <v>1.041</v>
      </c>
      <c r="R345" s="3" t="n">
        <v>0.6</v>
      </c>
      <c r="S345" s="3" t="n">
        <v>0.05</v>
      </c>
      <c r="T345" s="3" t="n">
        <v>9.265000000000001</v>
      </c>
      <c r="U345" s="4" t="n">
        <v>170</v>
      </c>
      <c r="V345" s="3">
        <f>IF(OR(N(T345)=0,N(U345)=0),0,1-POISSON(IFERROR(VLOOKUP($C345,Assumptions!$A$4:$G$7,7,FALSE),99)-1,N(T345)*N(U345)/90,TRUE))</f>
        <v/>
      </c>
      <c r="W345" s="3" t="n">
        <v>0</v>
      </c>
      <c r="X345" s="3" t="n">
        <v>4.765</v>
      </c>
      <c r="Y345" s="3">
        <f>IF(X345="",IFERROR(VLOOKUP($C345,Assumptions!$A$4:$G$7,6,FALSE),0),X345)</f>
        <v/>
      </c>
      <c r="Z345" s="3">
        <f>N(O345)*IFERROR(VLOOKUP($C345,Assumptions!$A$4:$G$7,2,FALSE),0)</f>
        <v/>
      </c>
      <c r="AA345" s="3">
        <f>N(S345)*IFERROR(VLOOKUP($C345,Assumptions!$A$4:$G$7,3,FALSE),0)*Assumptions!$B$11</f>
        <v/>
      </c>
      <c r="AB345" s="3">
        <f>N(N345)*IFERROR(VLOOKUP($C345,Assumptions!$A$4:$G$7,4,FALSE),0)</f>
        <v/>
      </c>
      <c r="AC345" s="3">
        <f>IF(N(U345)=0,0,V345*IFERROR(VLOOKUP($C345,Assumptions!$A$4:$G$7,5,FALSE),0)*90/N(U345))</f>
        <v/>
      </c>
      <c r="AD345" s="3">
        <f>N(W345)</f>
        <v/>
      </c>
      <c r="AE345" s="3">
        <f>SUM(Y345:AD345)</f>
        <v/>
      </c>
      <c r="AF345" s="3">
        <f>N(AE345)*N(M345)/90</f>
        <v/>
      </c>
      <c r="AG345" s="3">
        <f>IFERROR(AF345-VLOOKUP($C345,Assumptions!$A$29:$C$32,3,FALSE),"")</f>
        <v/>
      </c>
      <c r="AH345" s="3">
        <f>IFERROR(AG345/F345,"")</f>
        <v/>
      </c>
      <c r="AI345">
        <f>IF(AND($E345=TRUE,$C345="GKP"),AF345,"")</f>
        <v/>
      </c>
      <c r="AJ345">
        <f>IF(AND($E345=TRUE,$C345="DEF"),AF345,"")</f>
        <v/>
      </c>
      <c r="AK345">
        <f>IF(AND($E345=TRUE,$C345="MID"),AF345,"")</f>
        <v/>
      </c>
      <c r="AL345">
        <f>IF(AND($E345=TRUE,$C345="FWD"),AF345,"")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b">
        <v>1</v>
      </c>
      <c r="F346" s="2" t="n">
        <v>5</v>
      </c>
      <c r="G346" t="inlineStr">
        <is>
          <t>a</t>
        </is>
      </c>
      <c r="I346" s="2" t="n">
        <v>88</v>
      </c>
      <c r="J346" t="n">
        <v>12</v>
      </c>
      <c r="K346" s="3" t="n">
        <v>480</v>
      </c>
      <c r="L346" t="inlineStr">
        <is>
          <t>flat</t>
        </is>
      </c>
      <c r="M346" s="4" t="n">
        <v>88</v>
      </c>
      <c r="N346" s="4" t="n"/>
      <c r="O346" s="3" t="n">
        <v>0</v>
      </c>
      <c r="P346" t="inlineStr">
        <is>
          <t>adjusted xGOT</t>
        </is>
      </c>
      <c r="Q346" s="3" t="n">
        <v>0.908</v>
      </c>
      <c r="R346" s="3" t="n">
        <v>3.1</v>
      </c>
      <c r="S346" s="3" t="n">
        <v>0.3736</v>
      </c>
      <c r="T346" s="3" t="n">
        <v>8.757</v>
      </c>
      <c r="U346" s="4" t="n">
        <v>85</v>
      </c>
      <c r="V346" s="3">
        <f>IF(OR(N(T346)=0,N(U346)=0),0,1-POISSON(IFERROR(VLOOKUP($C346,Assumptions!$A$4:$G$7,7,FALSE),99)-1,N(T346)*N(U346)/90,TRUE))</f>
        <v/>
      </c>
      <c r="W346" s="3" t="n">
        <v>0</v>
      </c>
      <c r="X346" s="3" t="n">
        <v>6.136</v>
      </c>
      <c r="Y346" s="3">
        <f>IF(X346="",IFERROR(VLOOKUP($C346,Assumptions!$A$4:$G$7,6,FALSE),0),X346)</f>
        <v/>
      </c>
      <c r="Z346" s="3">
        <f>N(O346)*IFERROR(VLOOKUP($C346,Assumptions!$A$4:$G$7,2,FALSE),0)</f>
        <v/>
      </c>
      <c r="AA346" s="3">
        <f>N(S346)*IFERROR(VLOOKUP($C346,Assumptions!$A$4:$G$7,3,FALSE),0)*Assumptions!$B$11</f>
        <v/>
      </c>
      <c r="AB346" s="3">
        <f>N(N346)*IFERROR(VLOOKUP($C346,Assumptions!$A$4:$G$7,4,FALSE),0)</f>
        <v/>
      </c>
      <c r="AC346" s="3">
        <f>IF(N(U346)=0,0,V346*IFERROR(VLOOKUP($C346,Assumptions!$A$4:$G$7,5,FALSE),0)*90/N(U346))</f>
        <v/>
      </c>
      <c r="AD346" s="3">
        <f>N(W346)</f>
        <v/>
      </c>
      <c r="AE346" s="3">
        <f>SUM(Y346:AD346)</f>
        <v/>
      </c>
      <c r="AF346" s="3">
        <f>N(AE346)*N(M346)/90</f>
        <v/>
      </c>
      <c r="AG346" s="3">
        <f>IFERROR(AF346-VLOOKUP($C346,Assumptions!$A$29:$C$32,3,FALSE),"")</f>
        <v/>
      </c>
      <c r="AH346" s="3">
        <f>IFERROR(AG346/F346,"")</f>
        <v/>
      </c>
      <c r="AI346">
        <f>IF(AND($E346=TRUE,$C346="GKP"),AF346,"")</f>
        <v/>
      </c>
      <c r="AJ346">
        <f>IF(AND($E346=TRUE,$C346="DEF"),AF346,"")</f>
        <v/>
      </c>
      <c r="AK346">
        <f>IF(AND($E346=TRUE,$C346="MID"),AF346,"")</f>
        <v/>
      </c>
      <c r="AL346">
        <f>IF(AND($E346=TRUE,$C346="FWD"),AF346,"")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b">
        <v>1</v>
      </c>
      <c r="F347" s="2" t="n">
        <v>4.5</v>
      </c>
      <c r="G347" t="inlineStr">
        <is>
          <t>u</t>
        </is>
      </c>
      <c r="H347" t="inlineStr">
        <is>
          <t>Has joined Celta Vigo on loan for the rest of the season</t>
        </is>
      </c>
      <c r="I347" s="2" t="n">
        <v>540</v>
      </c>
      <c r="J347" t="n">
        <v>11</v>
      </c>
      <c r="K347" s="3" t="n"/>
      <c r="M347" s="4" t="n">
        <v>540</v>
      </c>
      <c r="N347" s="4" t="n">
        <v>0.21</v>
      </c>
      <c r="O347" s="3" t="n">
        <v>0</v>
      </c>
      <c r="P347" t="inlineStr">
        <is>
          <t>blended xG</t>
        </is>
      </c>
      <c r="Q347" s="3" t="n">
        <v>1</v>
      </c>
      <c r="R347" s="3" t="n">
        <v>0</v>
      </c>
      <c r="S347" s="3" t="n">
        <v>0.0287</v>
      </c>
      <c r="T347" s="3" t="n">
        <v>0</v>
      </c>
      <c r="U347" s="4" t="n">
        <v>90</v>
      </c>
      <c r="V347" s="3">
        <f>IF(OR(N(T347)=0,N(U347)=0),0,1-POISSON(IFERROR(VLOOKUP($C347,Assumptions!$A$4:$G$7,7,FALSE),99)-1,N(T347)*N(U347)/90,TRUE))</f>
        <v/>
      </c>
      <c r="W347" s="3" t="n">
        <v>0</v>
      </c>
      <c r="X347" s="3" t="n">
        <v>2</v>
      </c>
      <c r="Y347" s="3">
        <f>IF(X347="",IFERROR(VLOOKUP($C347,Assumptions!$A$4:$G$7,6,FALSE),0),X347)</f>
        <v/>
      </c>
      <c r="Z347" s="3">
        <f>N(O347)*IFERROR(VLOOKUP($C347,Assumptions!$A$4:$G$7,2,FALSE),0)</f>
        <v/>
      </c>
      <c r="AA347" s="3">
        <f>N(S347)*IFERROR(VLOOKUP($C347,Assumptions!$A$4:$G$7,3,FALSE),0)*Assumptions!$B$11</f>
        <v/>
      </c>
      <c r="AB347" s="3">
        <f>N(N347)*IFERROR(VLOOKUP($C347,Assumptions!$A$4:$G$7,4,FALSE),0)</f>
        <v/>
      </c>
      <c r="AC347" s="3">
        <f>IF(N(U347)=0,0,V347*IFERROR(VLOOKUP($C347,Assumptions!$A$4:$G$7,5,FALSE),0)*90/N(U347))</f>
        <v/>
      </c>
      <c r="AD347" s="3">
        <f>N(W347)</f>
        <v/>
      </c>
      <c r="AE347" s="3">
        <f>SUM(Y347:AD347)</f>
        <v/>
      </c>
      <c r="AF347" s="3">
        <f>N(AE347)*N(M347)/90</f>
        <v/>
      </c>
      <c r="AG347" s="3">
        <f>IFERROR(AF347-VLOOKUP($C347,Assumptions!$A$29:$C$32,3,FALSE),"")</f>
        <v/>
      </c>
      <c r="AH347" s="3">
        <f>IFERROR(AG347/F347,"")</f>
        <v/>
      </c>
      <c r="AI347">
        <f>IF(AND($E347=TRUE,$C347="GKP"),AF347,"")</f>
        <v/>
      </c>
      <c r="AJ347">
        <f>IF(AND($E347=TRUE,$C347="DEF"),AF347,"")</f>
        <v/>
      </c>
      <c r="AK347">
        <f>IF(AND($E347=TRUE,$C347="MID"),AF347,"")</f>
        <v/>
      </c>
      <c r="AL347">
        <f>IF(AND($E347=TRUE,$C347="FWD"),AF347,"")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b">
        <v>1</v>
      </c>
      <c r="F348" s="2" t="n">
        <v>5</v>
      </c>
      <c r="G348" t="inlineStr">
        <is>
          <t>a</t>
        </is>
      </c>
      <c r="I348" s="2" t="n">
        <v>105</v>
      </c>
      <c r="J348" t="n">
        <v>11</v>
      </c>
      <c r="K348" s="3" t="n">
        <v>160</v>
      </c>
      <c r="L348" t="inlineStr">
        <is>
          <t>flat</t>
        </is>
      </c>
      <c r="M348" s="4" t="n">
        <v>105</v>
      </c>
      <c r="N348" s="4" t="n">
        <v>0.29</v>
      </c>
      <c r="O348" s="3" t="n">
        <v>0.2186</v>
      </c>
      <c r="P348" t="inlineStr">
        <is>
          <t>adjusted xGOT</t>
        </is>
      </c>
      <c r="Q348" s="3" t="n">
        <v>0.981</v>
      </c>
      <c r="R348" s="3" t="n">
        <v>0.3</v>
      </c>
      <c r="S348" s="3" t="n">
        <v>0.2516</v>
      </c>
      <c r="T348" s="3" t="n">
        <v>8.904</v>
      </c>
      <c r="U348" s="4" t="n">
        <v>85</v>
      </c>
      <c r="V348" s="3">
        <f>IF(OR(N(T348)=0,N(U348)=0),0,1-POISSON(IFERROR(VLOOKUP($C348,Assumptions!$A$4:$G$7,7,FALSE),99)-1,N(T348)*N(U348)/90,TRUE))</f>
        <v/>
      </c>
      <c r="W348" s="3" t="n">
        <v>0</v>
      </c>
      <c r="X348" s="3" t="n">
        <v>6.857</v>
      </c>
      <c r="Y348" s="3">
        <f>IF(X348="",IFERROR(VLOOKUP($C348,Assumptions!$A$4:$G$7,6,FALSE),0),X348)</f>
        <v/>
      </c>
      <c r="Z348" s="3">
        <f>N(O348)*IFERROR(VLOOKUP($C348,Assumptions!$A$4:$G$7,2,FALSE),0)</f>
        <v/>
      </c>
      <c r="AA348" s="3">
        <f>N(S348)*IFERROR(VLOOKUP($C348,Assumptions!$A$4:$G$7,3,FALSE),0)*Assumptions!$B$11</f>
        <v/>
      </c>
      <c r="AB348" s="3">
        <f>N(N348)*IFERROR(VLOOKUP($C348,Assumptions!$A$4:$G$7,4,FALSE),0)</f>
        <v/>
      </c>
      <c r="AC348" s="3">
        <f>IF(N(U348)=0,0,V348*IFERROR(VLOOKUP($C348,Assumptions!$A$4:$G$7,5,FALSE),0)*90/N(U348))</f>
        <v/>
      </c>
      <c r="AD348" s="3">
        <f>N(W348)</f>
        <v/>
      </c>
      <c r="AE348" s="3">
        <f>SUM(Y348:AD348)</f>
        <v/>
      </c>
      <c r="AF348" s="3">
        <f>N(AE348)*N(M348)/90</f>
        <v/>
      </c>
      <c r="AG348" s="3">
        <f>IFERROR(AF348-VLOOKUP($C348,Assumptions!$A$29:$C$32,3,FALSE),"")</f>
        <v/>
      </c>
      <c r="AH348" s="3">
        <f>IFERROR(AG348/F348,"")</f>
        <v/>
      </c>
      <c r="AI348">
        <f>IF(AND($E348=TRUE,$C348="GKP"),AF348,"")</f>
        <v/>
      </c>
      <c r="AJ348">
        <f>IF(AND($E348=TRUE,$C348="DEF"),AF348,"")</f>
        <v/>
      </c>
      <c r="AK348">
        <f>IF(AND($E348=TRUE,$C348="MID"),AF348,"")</f>
        <v/>
      </c>
      <c r="AL348">
        <f>IF(AND($E348=TRUE,$C348="FWD"),AF348,"")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b">
        <v>1</v>
      </c>
      <c r="F349" s="2" t="n">
        <v>4.5</v>
      </c>
      <c r="G349" t="inlineStr">
        <is>
          <t>a</t>
        </is>
      </c>
      <c r="I349" s="2" t="n">
        <v>437</v>
      </c>
      <c r="J349" t="n">
        <v>11</v>
      </c>
      <c r="K349" s="3" t="n">
        <v>35</v>
      </c>
      <c r="L349" t="inlineStr">
        <is>
          <t>flat</t>
        </is>
      </c>
      <c r="M349" s="4" t="n">
        <v>437</v>
      </c>
      <c r="N349" s="4" t="n">
        <v>0.237</v>
      </c>
      <c r="O349" s="3" t="n">
        <v>0</v>
      </c>
      <c r="P349" t="inlineStr">
        <is>
          <t>blended xG</t>
        </is>
      </c>
      <c r="Q349" s="3" t="n">
        <v>1</v>
      </c>
      <c r="R349" s="3" t="n">
        <v>0</v>
      </c>
      <c r="S349" s="3" t="n">
        <v>0</v>
      </c>
      <c r="T349" s="3" t="n">
        <v>0</v>
      </c>
      <c r="U349" s="4" t="n">
        <v>87.40000000000001</v>
      </c>
      <c r="V349" s="3">
        <f>IF(OR(N(T349)=0,N(U349)=0),0,1-POISSON(IFERROR(VLOOKUP($C349,Assumptions!$A$4:$G$7,7,FALSE),99)-1,N(T349)*N(U349)/90,TRUE))</f>
        <v/>
      </c>
      <c r="W349" s="3" t="n">
        <v>0</v>
      </c>
      <c r="X349" s="3" t="n">
        <v>2.059</v>
      </c>
      <c r="Y349" s="3">
        <f>IF(X349="",IFERROR(VLOOKUP($C349,Assumptions!$A$4:$G$7,6,FALSE),0),X349)</f>
        <v/>
      </c>
      <c r="Z349" s="3">
        <f>N(O349)*IFERROR(VLOOKUP($C349,Assumptions!$A$4:$G$7,2,FALSE),0)</f>
        <v/>
      </c>
      <c r="AA349" s="3">
        <f>N(S349)*IFERROR(VLOOKUP($C349,Assumptions!$A$4:$G$7,3,FALSE),0)*Assumptions!$B$11</f>
        <v/>
      </c>
      <c r="AB349" s="3">
        <f>N(N349)*IFERROR(VLOOKUP($C349,Assumptions!$A$4:$G$7,4,FALSE),0)</f>
        <v/>
      </c>
      <c r="AC349" s="3">
        <f>IF(N(U349)=0,0,V349*IFERROR(VLOOKUP($C349,Assumptions!$A$4:$G$7,5,FALSE),0)*90/N(U349))</f>
        <v/>
      </c>
      <c r="AD349" s="3">
        <f>N(W349)</f>
        <v/>
      </c>
      <c r="AE349" s="3">
        <f>SUM(Y349:AD349)</f>
        <v/>
      </c>
      <c r="AF349" s="3">
        <f>N(AE349)*N(M349)/90</f>
        <v/>
      </c>
      <c r="AG349" s="3">
        <f>IFERROR(AF349-VLOOKUP($C349,Assumptions!$A$29:$C$32,3,FALSE),"")</f>
        <v/>
      </c>
      <c r="AH349" s="3">
        <f>IFERROR(AG349/F349,"")</f>
        <v/>
      </c>
      <c r="AI349">
        <f>IF(AND($E349=TRUE,$C349="GKP"),AF349,"")</f>
        <v/>
      </c>
      <c r="AJ349">
        <f>IF(AND($E349=TRUE,$C349="DEF"),AF349,"")</f>
        <v/>
      </c>
      <c r="AK349">
        <f>IF(AND($E349=TRUE,$C349="MID"),AF349,"")</f>
        <v/>
      </c>
      <c r="AL349">
        <f>IF(AND($E349=TRUE,$C349="FWD"),AF349,"")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b">
        <v>1</v>
      </c>
      <c r="F350" s="2" t="n">
        <v>4.5</v>
      </c>
      <c r="G350" t="inlineStr">
        <is>
          <t>a</t>
        </is>
      </c>
      <c r="I350" s="2" t="n">
        <v>353</v>
      </c>
      <c r="J350" t="n">
        <v>11</v>
      </c>
      <c r="K350" s="3" t="n">
        <v>115</v>
      </c>
      <c r="L350" t="inlineStr">
        <is>
          <t>flat</t>
        </is>
      </c>
      <c r="M350" s="4" t="n">
        <v>353</v>
      </c>
      <c r="N350" s="4" t="n">
        <v>0.237</v>
      </c>
      <c r="O350" s="3" t="n">
        <v>0</v>
      </c>
      <c r="P350" t="inlineStr">
        <is>
          <t>blended xG</t>
        </is>
      </c>
      <c r="Q350" s="3" t="n">
        <v>1</v>
      </c>
      <c r="R350" s="3" t="n">
        <v>0</v>
      </c>
      <c r="S350" s="3" t="n">
        <v>0.0648</v>
      </c>
      <c r="T350" s="3" t="n">
        <v>7.421</v>
      </c>
      <c r="U350" s="4" t="n">
        <v>117.7</v>
      </c>
      <c r="V350" s="3">
        <f>IF(OR(N(T350)=0,N(U350)=0),0,1-POISSON(IFERROR(VLOOKUP($C350,Assumptions!$A$4:$G$7,7,FALSE),99)-1,N(T350)*N(U350)/90,TRUE))</f>
        <v/>
      </c>
      <c r="W350" s="3" t="n">
        <v>0</v>
      </c>
      <c r="X350" s="3" t="n">
        <v>2.55</v>
      </c>
      <c r="Y350" s="3">
        <f>IF(X350="",IFERROR(VLOOKUP($C350,Assumptions!$A$4:$G$7,6,FALSE),0),X350)</f>
        <v/>
      </c>
      <c r="Z350" s="3">
        <f>N(O350)*IFERROR(VLOOKUP($C350,Assumptions!$A$4:$G$7,2,FALSE),0)</f>
        <v/>
      </c>
      <c r="AA350" s="3">
        <f>N(S350)*IFERROR(VLOOKUP($C350,Assumptions!$A$4:$G$7,3,FALSE),0)*Assumptions!$B$11</f>
        <v/>
      </c>
      <c r="AB350" s="3">
        <f>N(N350)*IFERROR(VLOOKUP($C350,Assumptions!$A$4:$G$7,4,FALSE),0)</f>
        <v/>
      </c>
      <c r="AC350" s="3">
        <f>IF(N(U350)=0,0,V350*IFERROR(VLOOKUP($C350,Assumptions!$A$4:$G$7,5,FALSE),0)*90/N(U350))</f>
        <v/>
      </c>
      <c r="AD350" s="3">
        <f>N(W350)</f>
        <v/>
      </c>
      <c r="AE350" s="3">
        <f>SUM(Y350:AD350)</f>
        <v/>
      </c>
      <c r="AF350" s="3">
        <f>N(AE350)*N(M350)/90</f>
        <v/>
      </c>
      <c r="AG350" s="3">
        <f>IFERROR(AF350-VLOOKUP($C350,Assumptions!$A$29:$C$32,3,FALSE),"")</f>
        <v/>
      </c>
      <c r="AH350" s="3">
        <f>IFERROR(AG350/F350,"")</f>
        <v/>
      </c>
      <c r="AI350">
        <f>IF(AND($E350=TRUE,$C350="GKP"),AF350,"")</f>
        <v/>
      </c>
      <c r="AJ350">
        <f>IF(AND($E350=TRUE,$C350="DEF"),AF350,"")</f>
        <v/>
      </c>
      <c r="AK350">
        <f>IF(AND($E350=TRUE,$C350="MID"),AF350,"")</f>
        <v/>
      </c>
      <c r="AL350">
        <f>IF(AND($E350=TRUE,$C350="FWD"),AF350,"")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b">
        <v>1</v>
      </c>
      <c r="F351" s="2" t="n">
        <v>4</v>
      </c>
      <c r="G351" t="inlineStr">
        <is>
          <t>a</t>
        </is>
      </c>
      <c r="I351" s="2" t="n">
        <v>136</v>
      </c>
      <c r="J351" t="n">
        <v>10</v>
      </c>
      <c r="K351" s="3" t="n">
        <v>108</v>
      </c>
      <c r="L351" t="inlineStr">
        <is>
          <t>flat</t>
        </is>
      </c>
      <c r="M351" s="4" t="n">
        <v>136</v>
      </c>
      <c r="N351" s="4" t="n">
        <v>0.237</v>
      </c>
      <c r="O351" s="3" t="n">
        <v>0.3051</v>
      </c>
      <c r="P351" t="inlineStr">
        <is>
          <t>adjusted xGOT</t>
        </is>
      </c>
      <c r="Q351" s="3" t="n">
        <v>0.9409999999999999</v>
      </c>
      <c r="R351" s="3" t="n">
        <v>4.1</v>
      </c>
      <c r="S351" s="3" t="n">
        <v>0.0313</v>
      </c>
      <c r="T351" s="3" t="n">
        <v>7.936</v>
      </c>
      <c r="U351" s="4" t="n">
        <v>68</v>
      </c>
      <c r="V351" s="3">
        <f>IF(OR(N(T351)=0,N(U351)=0),0,1-POISSON(IFERROR(VLOOKUP($C351,Assumptions!$A$4:$G$7,7,FALSE),99)-1,N(T351)*N(U351)/90,TRUE))</f>
        <v/>
      </c>
      <c r="W351" s="3" t="n">
        <v>0.6618000000000001</v>
      </c>
      <c r="X351" s="3" t="n">
        <v>2.647</v>
      </c>
      <c r="Y351" s="3">
        <f>IF(X351="",IFERROR(VLOOKUP($C351,Assumptions!$A$4:$G$7,6,FALSE),0),X351)</f>
        <v/>
      </c>
      <c r="Z351" s="3">
        <f>N(O351)*IFERROR(VLOOKUP($C351,Assumptions!$A$4:$G$7,2,FALSE),0)</f>
        <v/>
      </c>
      <c r="AA351" s="3">
        <f>N(S351)*IFERROR(VLOOKUP($C351,Assumptions!$A$4:$G$7,3,FALSE),0)*Assumptions!$B$11</f>
        <v/>
      </c>
      <c r="AB351" s="3">
        <f>N(N351)*IFERROR(VLOOKUP($C351,Assumptions!$A$4:$G$7,4,FALSE),0)</f>
        <v/>
      </c>
      <c r="AC351" s="3">
        <f>IF(N(U351)=0,0,V351*IFERROR(VLOOKUP($C351,Assumptions!$A$4:$G$7,5,FALSE),0)*90/N(U351))</f>
        <v/>
      </c>
      <c r="AD351" s="3">
        <f>N(W351)</f>
        <v/>
      </c>
      <c r="AE351" s="3">
        <f>SUM(Y351:AD351)</f>
        <v/>
      </c>
      <c r="AF351" s="3">
        <f>N(AE351)*N(M351)/90</f>
        <v/>
      </c>
      <c r="AG351" s="3">
        <f>IFERROR(AF351-VLOOKUP($C351,Assumptions!$A$29:$C$32,3,FALSE),"")</f>
        <v/>
      </c>
      <c r="AH351" s="3">
        <f>IFERROR(AG351/F351,"")</f>
        <v/>
      </c>
      <c r="AI351">
        <f>IF(AND($E351=TRUE,$C351="GKP"),AF351,"")</f>
        <v/>
      </c>
      <c r="AJ351">
        <f>IF(AND($E351=TRUE,$C351="DEF"),AF351,"")</f>
        <v/>
      </c>
      <c r="AK351">
        <f>IF(AND($E351=TRUE,$C351="MID"),AF351,"")</f>
        <v/>
      </c>
      <c r="AL351">
        <f>IF(AND($E351=TRUE,$C351="FWD"),AF351,"")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b">
        <v>1</v>
      </c>
      <c r="F352" s="2" t="n">
        <v>4.5</v>
      </c>
      <c r="G352" t="inlineStr">
        <is>
          <t>a</t>
        </is>
      </c>
      <c r="I352" s="2" t="n">
        <v>193</v>
      </c>
      <c r="J352" t="n">
        <v>10</v>
      </c>
      <c r="K352" s="3" t="n">
        <v>3</v>
      </c>
      <c r="L352" t="inlineStr">
        <is>
          <t>flat</t>
        </is>
      </c>
      <c r="M352" s="4" t="n">
        <v>193</v>
      </c>
      <c r="N352" s="4" t="n">
        <v>0.263</v>
      </c>
      <c r="O352" s="3" t="n">
        <v>0</v>
      </c>
      <c r="P352" t="inlineStr">
        <is>
          <t>blended xG</t>
        </is>
      </c>
      <c r="Q352" s="3" t="n">
        <v>1</v>
      </c>
      <c r="R352" s="3" t="n">
        <v>0</v>
      </c>
      <c r="S352" s="3" t="n">
        <v>0.0023</v>
      </c>
      <c r="T352" s="3" t="n">
        <v>7.835</v>
      </c>
      <c r="U352" s="4" t="n">
        <v>96.5</v>
      </c>
      <c r="V352" s="3">
        <f>IF(OR(N(T352)=0,N(U352)=0),0,1-POISSON(IFERROR(VLOOKUP($C352,Assumptions!$A$4:$G$7,7,FALSE),99)-1,N(T352)*N(U352)/90,TRUE))</f>
        <v/>
      </c>
      <c r="W352" s="3" t="n">
        <v>0</v>
      </c>
      <c r="X352" s="3" t="n">
        <v>3.264</v>
      </c>
      <c r="Y352" s="3">
        <f>IF(X352="",IFERROR(VLOOKUP($C352,Assumptions!$A$4:$G$7,6,FALSE),0),X352)</f>
        <v/>
      </c>
      <c r="Z352" s="3">
        <f>N(O352)*IFERROR(VLOOKUP($C352,Assumptions!$A$4:$G$7,2,FALSE),0)</f>
        <v/>
      </c>
      <c r="AA352" s="3">
        <f>N(S352)*IFERROR(VLOOKUP($C352,Assumptions!$A$4:$G$7,3,FALSE),0)*Assumptions!$B$11</f>
        <v/>
      </c>
      <c r="AB352" s="3">
        <f>N(N352)*IFERROR(VLOOKUP($C352,Assumptions!$A$4:$G$7,4,FALSE),0)</f>
        <v/>
      </c>
      <c r="AC352" s="3">
        <f>IF(N(U352)=0,0,V352*IFERROR(VLOOKUP($C352,Assumptions!$A$4:$G$7,5,FALSE),0)*90/N(U352))</f>
        <v/>
      </c>
      <c r="AD352" s="3">
        <f>N(W352)</f>
        <v/>
      </c>
      <c r="AE352" s="3">
        <f>SUM(Y352:AD352)</f>
        <v/>
      </c>
      <c r="AF352" s="3">
        <f>N(AE352)*N(M352)/90</f>
        <v/>
      </c>
      <c r="AG352" s="3">
        <f>IFERROR(AF352-VLOOKUP($C352,Assumptions!$A$29:$C$32,3,FALSE),"")</f>
        <v/>
      </c>
      <c r="AH352" s="3">
        <f>IFERROR(AG352/F352,"")</f>
        <v/>
      </c>
      <c r="AI352">
        <f>IF(AND($E352=TRUE,$C352="GKP"),AF352,"")</f>
        <v/>
      </c>
      <c r="AJ352">
        <f>IF(AND($E352=TRUE,$C352="DEF"),AF352,"")</f>
        <v/>
      </c>
      <c r="AK352">
        <f>IF(AND($E352=TRUE,$C352="MID"),AF352,"")</f>
        <v/>
      </c>
      <c r="AL352">
        <f>IF(AND($E352=TRUE,$C352="FWD"),AF352,"")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b">
        <v>1</v>
      </c>
      <c r="F353" s="2" t="n">
        <v>5.5</v>
      </c>
      <c r="G353" t="inlineStr">
        <is>
          <t>a</t>
        </is>
      </c>
      <c r="I353" s="2" t="n">
        <v>125</v>
      </c>
      <c r="J353" t="n">
        <v>9</v>
      </c>
      <c r="K353" s="3" t="n">
        <v>206</v>
      </c>
      <c r="L353" t="inlineStr">
        <is>
          <t>flat</t>
        </is>
      </c>
      <c r="M353" s="4" t="n">
        <v>125</v>
      </c>
      <c r="N353" s="4" t="n">
        <v>0.421</v>
      </c>
      <c r="O353" s="3" t="n">
        <v>0.08210000000000001</v>
      </c>
      <c r="P353" t="inlineStr">
        <is>
          <t>adjusted xGOT</t>
        </is>
      </c>
      <c r="Q353" s="3" t="n">
        <v>0.88</v>
      </c>
      <c r="R353" s="3" t="n">
        <v>5.1</v>
      </c>
      <c r="S353" s="3" t="n">
        <v>0.3051</v>
      </c>
      <c r="T353" s="3" t="n">
        <v>9.225</v>
      </c>
      <c r="U353" s="4" t="n">
        <v>125</v>
      </c>
      <c r="V353" s="3">
        <f>IF(OR(N(T353)=0,N(U353)=0),0,1-POISSON(IFERROR(VLOOKUP($C353,Assumptions!$A$4:$G$7,7,FALSE),99)-1,N(T353)*N(U353)/90,TRUE))</f>
        <v/>
      </c>
      <c r="W353" s="3" t="n">
        <v>0</v>
      </c>
      <c r="X353" s="3" t="n">
        <v>4.32</v>
      </c>
      <c r="Y353" s="3">
        <f>IF(X353="",IFERROR(VLOOKUP($C353,Assumptions!$A$4:$G$7,6,FALSE),0),X353)</f>
        <v/>
      </c>
      <c r="Z353" s="3">
        <f>N(O353)*IFERROR(VLOOKUP($C353,Assumptions!$A$4:$G$7,2,FALSE),0)</f>
        <v/>
      </c>
      <c r="AA353" s="3">
        <f>N(S353)*IFERROR(VLOOKUP($C353,Assumptions!$A$4:$G$7,3,FALSE),0)*Assumptions!$B$11</f>
        <v/>
      </c>
      <c r="AB353" s="3">
        <f>N(N353)*IFERROR(VLOOKUP($C353,Assumptions!$A$4:$G$7,4,FALSE),0)</f>
        <v/>
      </c>
      <c r="AC353" s="3">
        <f>IF(N(U353)=0,0,V353*IFERROR(VLOOKUP($C353,Assumptions!$A$4:$G$7,5,FALSE),0)*90/N(U353))</f>
        <v/>
      </c>
      <c r="AD353" s="3">
        <f>N(W353)</f>
        <v/>
      </c>
      <c r="AE353" s="3">
        <f>SUM(Y353:AD353)</f>
        <v/>
      </c>
      <c r="AF353" s="3">
        <f>N(AE353)*N(M353)/90</f>
        <v/>
      </c>
      <c r="AG353" s="3">
        <f>IFERROR(AF353-VLOOKUP($C353,Assumptions!$A$29:$C$32,3,FALSE),"")</f>
        <v/>
      </c>
      <c r="AH353" s="3">
        <f>IFERROR(AG353/F353,"")</f>
        <v/>
      </c>
      <c r="AI353">
        <f>IF(AND($E353=TRUE,$C353="GKP"),AF353,"")</f>
        <v/>
      </c>
      <c r="AJ353">
        <f>IF(AND($E353=TRUE,$C353="DEF"),AF353,"")</f>
        <v/>
      </c>
      <c r="AK353">
        <f>IF(AND($E353=TRUE,$C353="MID"),AF353,"")</f>
        <v/>
      </c>
      <c r="AL353">
        <f>IF(AND($E353=TRUE,$C353="FWD"),AF353,"")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b">
        <v>1</v>
      </c>
      <c r="F354" s="2" t="n">
        <v>5.5</v>
      </c>
      <c r="G354" t="inlineStr">
        <is>
          <t>a</t>
        </is>
      </c>
      <c r="I354" s="2" t="n">
        <v>89</v>
      </c>
      <c r="J354" t="n">
        <v>9</v>
      </c>
      <c r="K354" s="3" t="n">
        <v>38</v>
      </c>
      <c r="L354" t="inlineStr">
        <is>
          <t>flat</t>
        </is>
      </c>
      <c r="M354" s="4" t="n">
        <v>89</v>
      </c>
      <c r="N354" s="4" t="n">
        <v>0.237</v>
      </c>
      <c r="O354" s="3" t="n">
        <v>0.4267</v>
      </c>
      <c r="P354" t="inlineStr">
        <is>
          <t>adjusted xGOT</t>
        </is>
      </c>
      <c r="Q354" s="3" t="n">
        <v>0.96</v>
      </c>
      <c r="R354" s="3" t="n">
        <v>0.4</v>
      </c>
      <c r="S354" s="3" t="n">
        <v>0.0159</v>
      </c>
      <c r="T354" s="3" t="n">
        <v>4.933</v>
      </c>
      <c r="U354" s="4" t="n">
        <v>85</v>
      </c>
      <c r="V354" s="3">
        <f>IF(OR(N(T354)=0,N(U354)=0),0,1-POISSON(IFERROR(VLOOKUP($C354,Assumptions!$A$4:$G$7,7,FALSE),99)-1,N(T354)*N(U354)/90,TRUE))</f>
        <v/>
      </c>
      <c r="W354" s="3" t="n">
        <v>0</v>
      </c>
      <c r="X354" s="3" t="n">
        <v>9.101000000000001</v>
      </c>
      <c r="Y354" s="3">
        <f>IF(X354="",IFERROR(VLOOKUP($C354,Assumptions!$A$4:$G$7,6,FALSE),0),X354)</f>
        <v/>
      </c>
      <c r="Z354" s="3">
        <f>N(O354)*IFERROR(VLOOKUP($C354,Assumptions!$A$4:$G$7,2,FALSE),0)</f>
        <v/>
      </c>
      <c r="AA354" s="3">
        <f>N(S354)*IFERROR(VLOOKUP($C354,Assumptions!$A$4:$G$7,3,FALSE),0)*Assumptions!$B$11</f>
        <v/>
      </c>
      <c r="AB354" s="3">
        <f>N(N354)*IFERROR(VLOOKUP($C354,Assumptions!$A$4:$G$7,4,FALSE),0)</f>
        <v/>
      </c>
      <c r="AC354" s="3">
        <f>IF(N(U354)=0,0,V354*IFERROR(VLOOKUP($C354,Assumptions!$A$4:$G$7,5,FALSE),0)*90/N(U354))</f>
        <v/>
      </c>
      <c r="AD354" s="3">
        <f>N(W354)</f>
        <v/>
      </c>
      <c r="AE354" s="3">
        <f>SUM(Y354:AD354)</f>
        <v/>
      </c>
      <c r="AF354" s="3">
        <f>N(AE354)*N(M354)/90</f>
        <v/>
      </c>
      <c r="AG354" s="3">
        <f>IFERROR(AF354-VLOOKUP($C354,Assumptions!$A$29:$C$32,3,FALSE),"")</f>
        <v/>
      </c>
      <c r="AH354" s="3">
        <f>IFERROR(AG354/F354,"")</f>
        <v/>
      </c>
      <c r="AI354">
        <f>IF(AND($E354=TRUE,$C354="GKP"),AF354,"")</f>
        <v/>
      </c>
      <c r="AJ354">
        <f>IF(AND($E354=TRUE,$C354="DEF"),AF354,"")</f>
        <v/>
      </c>
      <c r="AK354">
        <f>IF(AND($E354=TRUE,$C354="MID"),AF354,"")</f>
        <v/>
      </c>
      <c r="AL354">
        <f>IF(AND($E354=TRUE,$C354="FWD"),AF354,"")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b">
        <v>1</v>
      </c>
      <c r="F355" s="2" t="n">
        <v>5</v>
      </c>
      <c r="G355" t="inlineStr">
        <is>
          <t>u</t>
        </is>
      </c>
      <c r="H355" t="inlineStr">
        <is>
          <t>Has joined RC Strasbourg on loan for the rest of the season</t>
        </is>
      </c>
      <c r="I355" s="2" t="n">
        <v>378</v>
      </c>
      <c r="J355" t="n">
        <v>9</v>
      </c>
      <c r="K355" s="3" t="n"/>
      <c r="M355" s="4" t="n">
        <v>378</v>
      </c>
      <c r="N355" s="4" t="n">
        <v>0.237</v>
      </c>
      <c r="O355" s="3" t="n">
        <v>0</v>
      </c>
      <c r="P355" t="inlineStr">
        <is>
          <t>blended xG</t>
        </is>
      </c>
      <c r="Q355" s="3" t="n">
        <v>1</v>
      </c>
      <c r="R355" s="3" t="n">
        <v>0</v>
      </c>
      <c r="S355" s="3" t="n">
        <v>0</v>
      </c>
      <c r="T355" s="3" t="n">
        <v>0</v>
      </c>
      <c r="U355" s="4" t="n">
        <v>126</v>
      </c>
      <c r="V355" s="3">
        <f>IF(OR(N(T355)=0,N(U355)=0),0,1-POISSON(IFERROR(VLOOKUP($C355,Assumptions!$A$4:$G$7,7,FALSE),99)-1,N(T355)*N(U355)/90,TRUE))</f>
        <v/>
      </c>
      <c r="W355" s="3" t="n">
        <v>0</v>
      </c>
      <c r="X355" s="3" t="n">
        <v>2.143</v>
      </c>
      <c r="Y355" s="3">
        <f>IF(X355="",IFERROR(VLOOKUP($C355,Assumptions!$A$4:$G$7,6,FALSE),0),X355)</f>
        <v/>
      </c>
      <c r="Z355" s="3">
        <f>N(O355)*IFERROR(VLOOKUP($C355,Assumptions!$A$4:$G$7,2,FALSE),0)</f>
        <v/>
      </c>
      <c r="AA355" s="3">
        <f>N(S355)*IFERROR(VLOOKUP($C355,Assumptions!$A$4:$G$7,3,FALSE),0)*Assumptions!$B$11</f>
        <v/>
      </c>
      <c r="AB355" s="3">
        <f>N(N355)*IFERROR(VLOOKUP($C355,Assumptions!$A$4:$G$7,4,FALSE),0)</f>
        <v/>
      </c>
      <c r="AC355" s="3">
        <f>IF(N(U355)=0,0,V355*IFERROR(VLOOKUP($C355,Assumptions!$A$4:$G$7,5,FALSE),0)*90/N(U355))</f>
        <v/>
      </c>
      <c r="AD355" s="3">
        <f>N(W355)</f>
        <v/>
      </c>
      <c r="AE355" s="3">
        <f>SUM(Y355:AD355)</f>
        <v/>
      </c>
      <c r="AF355" s="3">
        <f>N(AE355)*N(M355)/90</f>
        <v/>
      </c>
      <c r="AG355" s="3">
        <f>IFERROR(AF355-VLOOKUP($C355,Assumptions!$A$29:$C$32,3,FALSE),"")</f>
        <v/>
      </c>
      <c r="AH355" s="3">
        <f>IFERROR(AG355/F355,"")</f>
        <v/>
      </c>
      <c r="AI355">
        <f>IF(AND($E355=TRUE,$C355="GKP"),AF355,"")</f>
        <v/>
      </c>
      <c r="AJ355">
        <f>IF(AND($E355=TRUE,$C355="DEF"),AF355,"")</f>
        <v/>
      </c>
      <c r="AK355">
        <f>IF(AND($E355=TRUE,$C355="MID"),AF355,"")</f>
        <v/>
      </c>
      <c r="AL355">
        <f>IF(AND($E355=TRUE,$C355="FWD"),AF355,"")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b">
        <v>1</v>
      </c>
      <c r="F356" s="2" t="n">
        <v>5</v>
      </c>
      <c r="G356" t="inlineStr">
        <is>
          <t>a</t>
        </is>
      </c>
      <c r="I356" s="2" t="n">
        <v>225</v>
      </c>
      <c r="J356" t="n">
        <v>8</v>
      </c>
      <c r="K356" s="3" t="n">
        <v>2576</v>
      </c>
      <c r="L356" t="inlineStr">
        <is>
          <t>flat</t>
        </is>
      </c>
      <c r="M356" s="4" t="n">
        <v>225</v>
      </c>
      <c r="N356" s="4" t="n">
        <v>0.237</v>
      </c>
      <c r="O356" s="3" t="n">
        <v>0</v>
      </c>
      <c r="P356" t="inlineStr">
        <is>
          <t>adjusted xGOT</t>
        </is>
      </c>
      <c r="Q356" s="3" t="n">
        <v>0.951</v>
      </c>
      <c r="R356" s="3" t="n">
        <v>4.6</v>
      </c>
      <c r="S356" s="3" t="n">
        <v>0.024</v>
      </c>
      <c r="T356" s="3" t="n">
        <v>8.236000000000001</v>
      </c>
      <c r="U356" s="4" t="n">
        <v>112.5</v>
      </c>
      <c r="V356" s="3">
        <f>IF(OR(N(T356)=0,N(U356)=0),0,1-POISSON(IFERROR(VLOOKUP($C356,Assumptions!$A$4:$G$7,7,FALSE),99)-1,N(T356)*N(U356)/90,TRUE))</f>
        <v/>
      </c>
      <c r="W356" s="3" t="n">
        <v>0</v>
      </c>
      <c r="X356" s="3" t="n">
        <v>2</v>
      </c>
      <c r="Y356" s="3">
        <f>IF(X356="",IFERROR(VLOOKUP($C356,Assumptions!$A$4:$G$7,6,FALSE),0),X356)</f>
        <v/>
      </c>
      <c r="Z356" s="3">
        <f>N(O356)*IFERROR(VLOOKUP($C356,Assumptions!$A$4:$G$7,2,FALSE),0)</f>
        <v/>
      </c>
      <c r="AA356" s="3">
        <f>N(S356)*IFERROR(VLOOKUP($C356,Assumptions!$A$4:$G$7,3,FALSE),0)*Assumptions!$B$11</f>
        <v/>
      </c>
      <c r="AB356" s="3">
        <f>N(N356)*IFERROR(VLOOKUP($C356,Assumptions!$A$4:$G$7,4,FALSE),0)</f>
        <v/>
      </c>
      <c r="AC356" s="3">
        <f>IF(N(U356)=0,0,V356*IFERROR(VLOOKUP($C356,Assumptions!$A$4:$G$7,5,FALSE),0)*90/N(U356))</f>
        <v/>
      </c>
      <c r="AD356" s="3">
        <f>N(W356)</f>
        <v/>
      </c>
      <c r="AE356" s="3">
        <f>SUM(Y356:AD356)</f>
        <v/>
      </c>
      <c r="AF356" s="3">
        <f>N(AE356)*N(M356)/90</f>
        <v/>
      </c>
      <c r="AG356" s="3">
        <f>IFERROR(AF356-VLOOKUP($C356,Assumptions!$A$29:$C$32,3,FALSE),"")</f>
        <v/>
      </c>
      <c r="AH356" s="3">
        <f>IFERROR(AG356/F356,"")</f>
        <v/>
      </c>
      <c r="AI356">
        <f>IF(AND($E356=TRUE,$C356="GKP"),AF356,"")</f>
        <v/>
      </c>
      <c r="AJ356">
        <f>IF(AND($E356=TRUE,$C356="DEF"),AF356,"")</f>
        <v/>
      </c>
      <c r="AK356">
        <f>IF(AND($E356=TRUE,$C356="MID"),AF356,"")</f>
        <v/>
      </c>
      <c r="AL356">
        <f>IF(AND($E356=TRUE,$C356="FWD"),AF356,"")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b">
        <v>1</v>
      </c>
      <c r="F357" s="2" t="n">
        <v>5</v>
      </c>
      <c r="G357" t="inlineStr">
        <is>
          <t>a</t>
        </is>
      </c>
      <c r="I357" s="2" t="n">
        <v>135</v>
      </c>
      <c r="J357" t="n">
        <v>8</v>
      </c>
      <c r="K357" s="3" t="n">
        <v>126</v>
      </c>
      <c r="L357" t="inlineStr">
        <is>
          <t>flat</t>
        </is>
      </c>
      <c r="M357" s="4" t="n">
        <v>135</v>
      </c>
      <c r="N357" s="4" t="n">
        <v>0.29</v>
      </c>
      <c r="O357" s="3" t="n">
        <v>0.0727</v>
      </c>
      <c r="P357" t="inlineStr">
        <is>
          <t>adjusted xGOT</t>
        </is>
      </c>
      <c r="Q357" s="3" t="n">
        <v>0.986</v>
      </c>
      <c r="R357" s="3" t="n">
        <v>0.1</v>
      </c>
      <c r="S357" s="3" t="n">
        <v>0.2291</v>
      </c>
      <c r="T357" s="3" t="n">
        <v>9.012</v>
      </c>
      <c r="U357" s="4" t="n">
        <v>67.5</v>
      </c>
      <c r="V357" s="3">
        <f>IF(OR(N(T357)=0,N(U357)=0),0,1-POISSON(IFERROR(VLOOKUP($C357,Assumptions!$A$4:$G$7,7,FALSE),99)-1,N(T357)*N(U357)/90,TRUE))</f>
        <v/>
      </c>
      <c r="W357" s="3" t="n">
        <v>0</v>
      </c>
      <c r="X357" s="3" t="n">
        <v>6</v>
      </c>
      <c r="Y357" s="3">
        <f>IF(X357="",IFERROR(VLOOKUP($C357,Assumptions!$A$4:$G$7,6,FALSE),0),X357)</f>
        <v/>
      </c>
      <c r="Z357" s="3">
        <f>N(O357)*IFERROR(VLOOKUP($C357,Assumptions!$A$4:$G$7,2,FALSE),0)</f>
        <v/>
      </c>
      <c r="AA357" s="3">
        <f>N(S357)*IFERROR(VLOOKUP($C357,Assumptions!$A$4:$G$7,3,FALSE),0)*Assumptions!$B$11</f>
        <v/>
      </c>
      <c r="AB357" s="3">
        <f>N(N357)*IFERROR(VLOOKUP($C357,Assumptions!$A$4:$G$7,4,FALSE),0)</f>
        <v/>
      </c>
      <c r="AC357" s="3">
        <f>IF(N(U357)=0,0,V357*IFERROR(VLOOKUP($C357,Assumptions!$A$4:$G$7,5,FALSE),0)*90/N(U357))</f>
        <v/>
      </c>
      <c r="AD357" s="3">
        <f>N(W357)</f>
        <v/>
      </c>
      <c r="AE357" s="3">
        <f>SUM(Y357:AD357)</f>
        <v/>
      </c>
      <c r="AF357" s="3">
        <f>N(AE357)*N(M357)/90</f>
        <v/>
      </c>
      <c r="AG357" s="3">
        <f>IFERROR(AF357-VLOOKUP($C357,Assumptions!$A$29:$C$32,3,FALSE),"")</f>
        <v/>
      </c>
      <c r="AH357" s="3">
        <f>IFERROR(AG357/F357,"")</f>
        <v/>
      </c>
      <c r="AI357">
        <f>IF(AND($E357=TRUE,$C357="GKP"),AF357,"")</f>
        <v/>
      </c>
      <c r="AJ357">
        <f>IF(AND($E357=TRUE,$C357="DEF"),AF357,"")</f>
        <v/>
      </c>
      <c r="AK357">
        <f>IF(AND($E357=TRUE,$C357="MID"),AF357,"")</f>
        <v/>
      </c>
      <c r="AL357">
        <f>IF(AND($E357=TRUE,$C357="FWD"),AF357,"")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b">
        <v>1</v>
      </c>
      <c r="F358" s="2" t="n">
        <v>5.5</v>
      </c>
      <c r="G358" t="inlineStr">
        <is>
          <t>a</t>
        </is>
      </c>
      <c r="I358" s="2" t="n">
        <v>165</v>
      </c>
      <c r="J358" t="n">
        <v>8</v>
      </c>
      <c r="K358" s="3" t="n">
        <v>11</v>
      </c>
      <c r="L358" t="inlineStr">
        <is>
          <t>flat</t>
        </is>
      </c>
      <c r="M358" s="4" t="n">
        <v>165</v>
      </c>
      <c r="N358" s="4" t="n">
        <v>0.5</v>
      </c>
      <c r="O358" s="3" t="n">
        <v>0.1293</v>
      </c>
      <c r="P358" t="inlineStr">
        <is>
          <t>adjusted xGOT</t>
        </is>
      </c>
      <c r="Q358" s="3" t="n">
        <v>1.03</v>
      </c>
      <c r="R358" s="3" t="n">
        <v>1.4</v>
      </c>
      <c r="S358" s="3" t="n">
        <v>0.035</v>
      </c>
      <c r="T358" s="3" t="n">
        <v>8.300000000000001</v>
      </c>
      <c r="U358" s="4" t="n">
        <v>85</v>
      </c>
      <c r="V358" s="3">
        <f>IF(OR(N(T358)=0,N(U358)=0),0,1-POISSON(IFERROR(VLOOKUP($C358,Assumptions!$A$4:$G$7,7,FALSE),99)-1,N(T358)*N(U358)/90,TRUE))</f>
        <v/>
      </c>
      <c r="W358" s="3" t="n">
        <v>0</v>
      </c>
      <c r="X358" s="3" t="n">
        <v>3.818</v>
      </c>
      <c r="Y358" s="3">
        <f>IF(X358="",IFERROR(VLOOKUP($C358,Assumptions!$A$4:$G$7,6,FALSE),0),X358)</f>
        <v/>
      </c>
      <c r="Z358" s="3">
        <f>N(O358)*IFERROR(VLOOKUP($C358,Assumptions!$A$4:$G$7,2,FALSE),0)</f>
        <v/>
      </c>
      <c r="AA358" s="3">
        <f>N(S358)*IFERROR(VLOOKUP($C358,Assumptions!$A$4:$G$7,3,FALSE),0)*Assumptions!$B$11</f>
        <v/>
      </c>
      <c r="AB358" s="3">
        <f>N(N358)*IFERROR(VLOOKUP($C358,Assumptions!$A$4:$G$7,4,FALSE),0)</f>
        <v/>
      </c>
      <c r="AC358" s="3">
        <f>IF(N(U358)=0,0,V358*IFERROR(VLOOKUP($C358,Assumptions!$A$4:$G$7,5,FALSE),0)*90/N(U358))</f>
        <v/>
      </c>
      <c r="AD358" s="3">
        <f>N(W358)</f>
        <v/>
      </c>
      <c r="AE358" s="3">
        <f>SUM(Y358:AD358)</f>
        <v/>
      </c>
      <c r="AF358" s="3">
        <f>N(AE358)*N(M358)/90</f>
        <v/>
      </c>
      <c r="AG358" s="3">
        <f>IFERROR(AF358-VLOOKUP($C358,Assumptions!$A$29:$C$32,3,FALSE),"")</f>
        <v/>
      </c>
      <c r="AH358" s="3">
        <f>IFERROR(AG358/F358,"")</f>
        <v/>
      </c>
      <c r="AI358">
        <f>IF(AND($E358=TRUE,$C358="GKP"),AF358,"")</f>
        <v/>
      </c>
      <c r="AJ358">
        <f>IF(AND($E358=TRUE,$C358="DEF"),AF358,"")</f>
        <v/>
      </c>
      <c r="AK358">
        <f>IF(AND($E358=TRUE,$C358="MID"),AF358,"")</f>
        <v/>
      </c>
      <c r="AL358">
        <f>IF(AND($E358=TRUE,$C358="FWD"),AF358,"")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b">
        <v>1</v>
      </c>
      <c r="F359" s="2" t="n">
        <v>4.5</v>
      </c>
      <c r="G359" t="inlineStr">
        <is>
          <t>a</t>
        </is>
      </c>
      <c r="I359" s="2" t="n">
        <v>90</v>
      </c>
      <c r="J359" t="n">
        <v>7</v>
      </c>
      <c r="K359" s="3" t="n">
        <v>35</v>
      </c>
      <c r="L359" t="inlineStr">
        <is>
          <t>flat</t>
        </is>
      </c>
      <c r="M359" s="4" t="n">
        <v>90</v>
      </c>
      <c r="N359" s="4" t="n">
        <v>0.316</v>
      </c>
      <c r="O359" s="3" t="n">
        <v>0</v>
      </c>
      <c r="P359" t="inlineStr">
        <is>
          <t>blended xG</t>
        </is>
      </c>
      <c r="Q359" s="3" t="n">
        <v>1</v>
      </c>
      <c r="R359" s="3" t="n">
        <v>0</v>
      </c>
      <c r="S359" s="3" t="n">
        <v>0</v>
      </c>
      <c r="T359" s="3" t="n">
        <v>0</v>
      </c>
      <c r="U359" s="4" t="n">
        <v>90</v>
      </c>
      <c r="V359" s="3">
        <f>IF(OR(N(T359)=0,N(U359)=0),0,1-POISSON(IFERROR(VLOOKUP($C359,Assumptions!$A$4:$G$7,7,FALSE),99)-1,N(T359)*N(U359)/90,TRUE))</f>
        <v/>
      </c>
      <c r="W359" s="3" t="n">
        <v>1</v>
      </c>
      <c r="X359" s="3" t="n">
        <v>2</v>
      </c>
      <c r="Y359" s="3">
        <f>IF(X359="",IFERROR(VLOOKUP($C359,Assumptions!$A$4:$G$7,6,FALSE),0),X359)</f>
        <v/>
      </c>
      <c r="Z359" s="3">
        <f>N(O359)*IFERROR(VLOOKUP($C359,Assumptions!$A$4:$G$7,2,FALSE),0)</f>
        <v/>
      </c>
      <c r="AA359" s="3">
        <f>N(S359)*IFERROR(VLOOKUP($C359,Assumptions!$A$4:$G$7,3,FALSE),0)*Assumptions!$B$11</f>
        <v/>
      </c>
      <c r="AB359" s="3">
        <f>N(N359)*IFERROR(VLOOKUP($C359,Assumptions!$A$4:$G$7,4,FALSE),0)</f>
        <v/>
      </c>
      <c r="AC359" s="3">
        <f>IF(N(U359)=0,0,V359*IFERROR(VLOOKUP($C359,Assumptions!$A$4:$G$7,5,FALSE),0)*90/N(U359))</f>
        <v/>
      </c>
      <c r="AD359" s="3">
        <f>N(W359)</f>
        <v/>
      </c>
      <c r="AE359" s="3">
        <f>SUM(Y359:AD359)</f>
        <v/>
      </c>
      <c r="AF359" s="3">
        <f>N(AE359)*N(M359)/90</f>
        <v/>
      </c>
      <c r="AG359" s="3">
        <f>IFERROR(AF359-VLOOKUP($C359,Assumptions!$A$29:$C$32,3,FALSE),"")</f>
        <v/>
      </c>
      <c r="AH359" s="3">
        <f>IFERROR(AG359/F359,"")</f>
        <v/>
      </c>
      <c r="AI359">
        <f>IF(AND($E359=TRUE,$C359="GKP"),AF359,"")</f>
        <v/>
      </c>
      <c r="AJ359">
        <f>IF(AND($E359=TRUE,$C359="DEF"),AF359,"")</f>
        <v/>
      </c>
      <c r="AK359">
        <f>IF(AND($E359=TRUE,$C359="MID"),AF359,"")</f>
        <v/>
      </c>
      <c r="AL359">
        <f>IF(AND($E359=TRUE,$C359="FWD"),AF359,"")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b">
        <v>1</v>
      </c>
      <c r="F360" s="2" t="n">
        <v>5</v>
      </c>
      <c r="G360" t="inlineStr">
        <is>
          <t>a</t>
        </is>
      </c>
      <c r="I360" s="2" t="n">
        <v>101</v>
      </c>
      <c r="J360" t="n">
        <v>7</v>
      </c>
      <c r="K360" s="3" t="n">
        <v>2804</v>
      </c>
      <c r="L360" t="inlineStr">
        <is>
          <t>flat</t>
        </is>
      </c>
      <c r="M360" s="4" t="n">
        <v>101</v>
      </c>
      <c r="N360" s="4" t="n">
        <v>0.29</v>
      </c>
      <c r="O360" s="3" t="n">
        <v>0.0659</v>
      </c>
      <c r="P360" t="inlineStr">
        <is>
          <t>adjusted xGOT</t>
        </is>
      </c>
      <c r="Q360" s="3" t="n">
        <v>0.928</v>
      </c>
      <c r="R360" s="3" t="n">
        <v>9.6</v>
      </c>
      <c r="S360" s="3" t="n">
        <v>0.0178</v>
      </c>
      <c r="T360" s="3" t="n">
        <v>9.276</v>
      </c>
      <c r="U360" s="4" t="n">
        <v>101</v>
      </c>
      <c r="V360" s="3">
        <f>IF(OR(N(T360)=0,N(U360)=0),0,1-POISSON(IFERROR(VLOOKUP($C360,Assumptions!$A$4:$G$7,7,FALSE),99)-1,N(T360)*N(U360)/90,TRUE))</f>
        <v/>
      </c>
      <c r="W360" s="3" t="n">
        <v>0</v>
      </c>
      <c r="X360" s="3" t="n">
        <v>6.238</v>
      </c>
      <c r="Y360" s="3">
        <f>IF(X360="",IFERROR(VLOOKUP($C360,Assumptions!$A$4:$G$7,6,FALSE),0),X360)</f>
        <v/>
      </c>
      <c r="Z360" s="3">
        <f>N(O360)*IFERROR(VLOOKUP($C360,Assumptions!$A$4:$G$7,2,FALSE),0)</f>
        <v/>
      </c>
      <c r="AA360" s="3">
        <f>N(S360)*IFERROR(VLOOKUP($C360,Assumptions!$A$4:$G$7,3,FALSE),0)*Assumptions!$B$11</f>
        <v/>
      </c>
      <c r="AB360" s="3">
        <f>N(N360)*IFERROR(VLOOKUP($C360,Assumptions!$A$4:$G$7,4,FALSE),0)</f>
        <v/>
      </c>
      <c r="AC360" s="3">
        <f>IF(N(U360)=0,0,V360*IFERROR(VLOOKUP($C360,Assumptions!$A$4:$G$7,5,FALSE),0)*90/N(U360))</f>
        <v/>
      </c>
      <c r="AD360" s="3">
        <f>N(W360)</f>
        <v/>
      </c>
      <c r="AE360" s="3">
        <f>SUM(Y360:AD360)</f>
        <v/>
      </c>
      <c r="AF360" s="3">
        <f>N(AE360)*N(M360)/90</f>
        <v/>
      </c>
      <c r="AG360" s="3">
        <f>IFERROR(AF360-VLOOKUP($C360,Assumptions!$A$29:$C$32,3,FALSE),"")</f>
        <v/>
      </c>
      <c r="AH360" s="3">
        <f>IFERROR(AG360/F360,"")</f>
        <v/>
      </c>
      <c r="AI360">
        <f>IF(AND($E360=TRUE,$C360="GKP"),AF360,"")</f>
        <v/>
      </c>
      <c r="AJ360">
        <f>IF(AND($E360=TRUE,$C360="DEF"),AF360,"")</f>
        <v/>
      </c>
      <c r="AK360">
        <f>IF(AND($E360=TRUE,$C360="MID"),AF360,"")</f>
        <v/>
      </c>
      <c r="AL360">
        <f>IF(AND($E360=TRUE,$C360="FWD"),AF360,"")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b">
        <v>1</v>
      </c>
      <c r="F361" s="2" t="n">
        <v>4.5</v>
      </c>
      <c r="G361" t="inlineStr">
        <is>
          <t>a</t>
        </is>
      </c>
      <c r="I361" s="2" t="n">
        <v>470</v>
      </c>
      <c r="J361" t="n">
        <v>7</v>
      </c>
      <c r="K361" s="3" t="n">
        <v>14</v>
      </c>
      <c r="L361" t="inlineStr">
        <is>
          <t>flat</t>
        </is>
      </c>
      <c r="M361" s="4" t="n">
        <v>470</v>
      </c>
      <c r="N361" s="4" t="n">
        <v>0.237</v>
      </c>
      <c r="O361" s="3" t="n">
        <v>0</v>
      </c>
      <c r="P361" t="inlineStr">
        <is>
          <t>adjusted xGOT</t>
        </is>
      </c>
      <c r="Q361" s="3" t="n">
        <v>0.913</v>
      </c>
      <c r="R361" s="3" t="n">
        <v>1.5</v>
      </c>
      <c r="S361" s="3" t="n">
        <v>0.0057</v>
      </c>
      <c r="T361" s="3" t="n">
        <v>8.279999999999999</v>
      </c>
      <c r="U361" s="4" t="n">
        <v>78.3</v>
      </c>
      <c r="V361" s="3">
        <f>IF(OR(N(T361)=0,N(U361)=0),0,1-POISSON(IFERROR(VLOOKUP($C361,Assumptions!$A$4:$G$7,7,FALSE),99)-1,N(T361)*N(U361)/90,TRUE))</f>
        <v/>
      </c>
      <c r="W361" s="3" t="n">
        <v>0</v>
      </c>
      <c r="X361" s="3" t="n">
        <v>2.106</v>
      </c>
      <c r="Y361" s="3">
        <f>IF(X361="",IFERROR(VLOOKUP($C361,Assumptions!$A$4:$G$7,6,FALSE),0),X361)</f>
        <v/>
      </c>
      <c r="Z361" s="3">
        <f>N(O361)*IFERROR(VLOOKUP($C361,Assumptions!$A$4:$G$7,2,FALSE),0)</f>
        <v/>
      </c>
      <c r="AA361" s="3">
        <f>N(S361)*IFERROR(VLOOKUP($C361,Assumptions!$A$4:$G$7,3,FALSE),0)*Assumptions!$B$11</f>
        <v/>
      </c>
      <c r="AB361" s="3">
        <f>N(N361)*IFERROR(VLOOKUP($C361,Assumptions!$A$4:$G$7,4,FALSE),0)</f>
        <v/>
      </c>
      <c r="AC361" s="3">
        <f>IF(N(U361)=0,0,V361*IFERROR(VLOOKUP($C361,Assumptions!$A$4:$G$7,5,FALSE),0)*90/N(U361))</f>
        <v/>
      </c>
      <c r="AD361" s="3">
        <f>N(W361)</f>
        <v/>
      </c>
      <c r="AE361" s="3">
        <f>SUM(Y361:AD361)</f>
        <v/>
      </c>
      <c r="AF361" s="3">
        <f>N(AE361)*N(M361)/90</f>
        <v/>
      </c>
      <c r="AG361" s="3">
        <f>IFERROR(AF361-VLOOKUP($C361,Assumptions!$A$29:$C$32,3,FALSE),"")</f>
        <v/>
      </c>
      <c r="AH361" s="3">
        <f>IFERROR(AG361/F361,"")</f>
        <v/>
      </c>
      <c r="AI361">
        <f>IF(AND($E361=TRUE,$C361="GKP"),AF361,"")</f>
        <v/>
      </c>
      <c r="AJ361">
        <f>IF(AND($E361=TRUE,$C361="DEF"),AF361,"")</f>
        <v/>
      </c>
      <c r="AK361">
        <f>IF(AND($E361=TRUE,$C361="MID"),AF361,"")</f>
        <v/>
      </c>
      <c r="AL361">
        <f>IF(AND($E361=TRUE,$C361="FWD"),AF361,"")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b">
        <v>1</v>
      </c>
      <c r="F362" s="2" t="n">
        <v>4.5</v>
      </c>
      <c r="G362" t="inlineStr">
        <is>
          <t>a</t>
        </is>
      </c>
      <c r="I362" s="2" t="n">
        <v>103</v>
      </c>
      <c r="J362" t="n">
        <v>6</v>
      </c>
      <c r="K362" s="3" t="n">
        <v>0</v>
      </c>
      <c r="L362" t="inlineStr">
        <is>
          <t>flat</t>
        </is>
      </c>
      <c r="M362" s="4" t="n">
        <v>103</v>
      </c>
      <c r="N362" s="4" t="n">
        <v>0.263</v>
      </c>
      <c r="O362" s="3" t="n">
        <v>0</v>
      </c>
      <c r="P362" t="inlineStr">
        <is>
          <t>adjusted xGOT</t>
        </is>
      </c>
      <c r="Q362" s="3" t="n">
        <v>0.964</v>
      </c>
      <c r="R362" s="3" t="n">
        <v>0.3</v>
      </c>
      <c r="S362" s="3" t="n">
        <v>0.007900000000000001</v>
      </c>
      <c r="T362" s="3" t="n">
        <v>8.145</v>
      </c>
      <c r="U362" s="4" t="n">
        <v>103</v>
      </c>
      <c r="V362" s="3">
        <f>IF(OR(N(T362)=0,N(U362)=0),0,1-POISSON(IFERROR(VLOOKUP($C362,Assumptions!$A$4:$G$7,7,FALSE),99)-1,N(T362)*N(U362)/90,TRUE))</f>
        <v/>
      </c>
      <c r="W362" s="3" t="n">
        <v>0</v>
      </c>
      <c r="X362" s="3" t="n">
        <v>4.369</v>
      </c>
      <c r="Y362" s="3">
        <f>IF(X362="",IFERROR(VLOOKUP($C362,Assumptions!$A$4:$G$7,6,FALSE),0),X362)</f>
        <v/>
      </c>
      <c r="Z362" s="3">
        <f>N(O362)*IFERROR(VLOOKUP($C362,Assumptions!$A$4:$G$7,2,FALSE),0)</f>
        <v/>
      </c>
      <c r="AA362" s="3">
        <f>N(S362)*IFERROR(VLOOKUP($C362,Assumptions!$A$4:$G$7,3,FALSE),0)*Assumptions!$B$11</f>
        <v/>
      </c>
      <c r="AB362" s="3">
        <f>N(N362)*IFERROR(VLOOKUP($C362,Assumptions!$A$4:$G$7,4,FALSE),0)</f>
        <v/>
      </c>
      <c r="AC362" s="3">
        <f>IF(N(U362)=0,0,V362*IFERROR(VLOOKUP($C362,Assumptions!$A$4:$G$7,5,FALSE),0)*90/N(U362))</f>
        <v/>
      </c>
      <c r="AD362" s="3">
        <f>N(W362)</f>
        <v/>
      </c>
      <c r="AE362" s="3">
        <f>SUM(Y362:AD362)</f>
        <v/>
      </c>
      <c r="AF362" s="3">
        <f>N(AE362)*N(M362)/90</f>
        <v/>
      </c>
      <c r="AG362" s="3">
        <f>IFERROR(AF362-VLOOKUP($C362,Assumptions!$A$29:$C$32,3,FALSE),"")</f>
        <v/>
      </c>
      <c r="AH362" s="3">
        <f>IFERROR(AG362/F362,"")</f>
        <v/>
      </c>
      <c r="AI362">
        <f>IF(AND($E362=TRUE,$C362="GKP"),AF362,"")</f>
        <v/>
      </c>
      <c r="AJ362">
        <f>IF(AND($E362=TRUE,$C362="DEF"),AF362,"")</f>
        <v/>
      </c>
      <c r="AK362">
        <f>IF(AND($E362=TRUE,$C362="MID"),AF362,"")</f>
        <v/>
      </c>
      <c r="AL362">
        <f>IF(AND($E362=TRUE,$C362="FWD"),AF362,"")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b">
        <v>1</v>
      </c>
      <c r="F363" s="2" t="n">
        <v>4</v>
      </c>
      <c r="G363" t="inlineStr">
        <is>
          <t>a</t>
        </is>
      </c>
      <c r="I363" s="2" t="n">
        <v>212</v>
      </c>
      <c r="J363" t="n">
        <v>6</v>
      </c>
      <c r="K363" s="3" t="n">
        <v>0</v>
      </c>
      <c r="L363" t="inlineStr">
        <is>
          <t>flat</t>
        </is>
      </c>
      <c r="M363" s="4" t="n">
        <v>212</v>
      </c>
      <c r="N363" s="4" t="n">
        <v>0.263</v>
      </c>
      <c r="O363" s="3" t="n">
        <v>0</v>
      </c>
      <c r="P363" t="inlineStr">
        <is>
          <t>blended xG</t>
        </is>
      </c>
      <c r="Q363" s="3" t="n">
        <v>1</v>
      </c>
      <c r="R363" s="3" t="n">
        <v>0</v>
      </c>
      <c r="S363" s="3" t="n">
        <v>0</v>
      </c>
      <c r="T363" s="3" t="n">
        <v>0</v>
      </c>
      <c r="U363" s="4" t="n">
        <v>106</v>
      </c>
      <c r="V363" s="3">
        <f>IF(OR(N(T363)=0,N(U363)=0),0,1-POISSON(IFERROR(VLOOKUP($C363,Assumptions!$A$4:$G$7,7,FALSE),99)-1,N(T363)*N(U363)/90,TRUE))</f>
        <v/>
      </c>
      <c r="W363" s="3" t="n">
        <v>0</v>
      </c>
      <c r="X363" s="3" t="n">
        <v>2.123</v>
      </c>
      <c r="Y363" s="3">
        <f>IF(X363="",IFERROR(VLOOKUP($C363,Assumptions!$A$4:$G$7,6,FALSE),0),X363)</f>
        <v/>
      </c>
      <c r="Z363" s="3">
        <f>N(O363)*IFERROR(VLOOKUP($C363,Assumptions!$A$4:$G$7,2,FALSE),0)</f>
        <v/>
      </c>
      <c r="AA363" s="3">
        <f>N(S363)*IFERROR(VLOOKUP($C363,Assumptions!$A$4:$G$7,3,FALSE),0)*Assumptions!$B$11</f>
        <v/>
      </c>
      <c r="AB363" s="3">
        <f>N(N363)*IFERROR(VLOOKUP($C363,Assumptions!$A$4:$G$7,4,FALSE),0)</f>
        <v/>
      </c>
      <c r="AC363" s="3">
        <f>IF(N(U363)=0,0,V363*IFERROR(VLOOKUP($C363,Assumptions!$A$4:$G$7,5,FALSE),0)*90/N(U363))</f>
        <v/>
      </c>
      <c r="AD363" s="3">
        <f>N(W363)</f>
        <v/>
      </c>
      <c r="AE363" s="3">
        <f>SUM(Y363:AD363)</f>
        <v/>
      </c>
      <c r="AF363" s="3">
        <f>N(AE363)*N(M363)/90</f>
        <v/>
      </c>
      <c r="AG363" s="3">
        <f>IFERROR(AF363-VLOOKUP($C363,Assumptions!$A$29:$C$32,3,FALSE),"")</f>
        <v/>
      </c>
      <c r="AH363" s="3">
        <f>IFERROR(AG363/F363,"")</f>
        <v/>
      </c>
      <c r="AI363">
        <f>IF(AND($E363=TRUE,$C363="GKP"),AF363,"")</f>
        <v/>
      </c>
      <c r="AJ363">
        <f>IF(AND($E363=TRUE,$C363="DEF"),AF363,"")</f>
        <v/>
      </c>
      <c r="AK363">
        <f>IF(AND($E363=TRUE,$C363="MID"),AF363,"")</f>
        <v/>
      </c>
      <c r="AL363">
        <f>IF(AND($E363=TRUE,$C363="FWD"),AF363,"")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b">
        <v>1</v>
      </c>
      <c r="F364" s="2" t="n">
        <v>5</v>
      </c>
      <c r="G364" t="inlineStr">
        <is>
          <t>a</t>
        </is>
      </c>
      <c r="I364" s="2" t="n">
        <v>21</v>
      </c>
      <c r="J364" t="n">
        <v>6</v>
      </c>
      <c r="K364" s="3" t="n">
        <v>24</v>
      </c>
      <c r="L364" t="inlineStr">
        <is>
          <t>flat</t>
        </is>
      </c>
      <c r="M364" s="4" t="n">
        <v>21</v>
      </c>
      <c r="N364" s="4" t="n">
        <v>0.263</v>
      </c>
      <c r="O364" s="3" t="n">
        <v>1.5171</v>
      </c>
      <c r="P364" t="inlineStr">
        <is>
          <t>adjusted xGOT</t>
        </is>
      </c>
      <c r="Q364" s="3" t="n">
        <v>0.956</v>
      </c>
      <c r="R364" s="3" t="n">
        <v>0.4</v>
      </c>
      <c r="S364" s="3" t="n">
        <v>0.0857</v>
      </c>
      <c r="T364" s="3" t="n">
        <v>8.941000000000001</v>
      </c>
      <c r="U364" s="4" t="n">
        <v>85</v>
      </c>
      <c r="V364" s="3">
        <f>IF(OR(N(T364)=0,N(U364)=0),0,1-POISSON(IFERROR(VLOOKUP($C364,Assumptions!$A$4:$G$7,7,FALSE),99)-1,N(T364)*N(U364)/90,TRUE))</f>
        <v/>
      </c>
      <c r="W364" s="3" t="n">
        <v>0</v>
      </c>
      <c r="X364" s="3" t="n">
        <v>25.714</v>
      </c>
      <c r="Y364" s="3">
        <f>IF(X364="",IFERROR(VLOOKUP($C364,Assumptions!$A$4:$G$7,6,FALSE),0),X364)</f>
        <v/>
      </c>
      <c r="Z364" s="3">
        <f>N(O364)*IFERROR(VLOOKUP($C364,Assumptions!$A$4:$G$7,2,FALSE),0)</f>
        <v/>
      </c>
      <c r="AA364" s="3">
        <f>N(S364)*IFERROR(VLOOKUP($C364,Assumptions!$A$4:$G$7,3,FALSE),0)*Assumptions!$B$11</f>
        <v/>
      </c>
      <c r="AB364" s="3">
        <f>N(N364)*IFERROR(VLOOKUP($C364,Assumptions!$A$4:$G$7,4,FALSE),0)</f>
        <v/>
      </c>
      <c r="AC364" s="3">
        <f>IF(N(U364)=0,0,V364*IFERROR(VLOOKUP($C364,Assumptions!$A$4:$G$7,5,FALSE),0)*90/N(U364))</f>
        <v/>
      </c>
      <c r="AD364" s="3">
        <f>N(W364)</f>
        <v/>
      </c>
      <c r="AE364" s="3">
        <f>SUM(Y364:AD364)</f>
        <v/>
      </c>
      <c r="AF364" s="3">
        <f>N(AE364)*N(M364)/90</f>
        <v/>
      </c>
      <c r="AG364" s="3">
        <f>IFERROR(AF364-VLOOKUP($C364,Assumptions!$A$29:$C$32,3,FALSE),"")</f>
        <v/>
      </c>
      <c r="AH364" s="3">
        <f>IFERROR(AG364/F364,"")</f>
        <v/>
      </c>
      <c r="AI364">
        <f>IF(AND($E364=TRUE,$C364="GKP"),AF364,"")</f>
        <v/>
      </c>
      <c r="AJ364">
        <f>IF(AND($E364=TRUE,$C364="DEF"),AF364,"")</f>
        <v/>
      </c>
      <c r="AK364">
        <f>IF(AND($E364=TRUE,$C364="MID"),AF364,"")</f>
        <v/>
      </c>
      <c r="AL364">
        <f>IF(AND($E364=TRUE,$C364="FWD"),AF364,"")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b">
        <v>1</v>
      </c>
      <c r="F365" s="2" t="n">
        <v>4.5</v>
      </c>
      <c r="G365" t="inlineStr">
        <is>
          <t>a</t>
        </is>
      </c>
      <c r="I365" s="2" t="n">
        <v>99</v>
      </c>
      <c r="J365" t="n">
        <v>6</v>
      </c>
      <c r="K365" s="3" t="n">
        <v>19</v>
      </c>
      <c r="L365" t="inlineStr">
        <is>
          <t>flat</t>
        </is>
      </c>
      <c r="M365" s="4" t="n">
        <v>99</v>
      </c>
      <c r="N365" s="4" t="n">
        <v>0.316</v>
      </c>
      <c r="O365" s="3" t="n">
        <v>0.0364</v>
      </c>
      <c r="P365" t="inlineStr">
        <is>
          <t>adjusted xGOT</t>
        </is>
      </c>
      <c r="Q365" s="3" t="n">
        <v>0.995</v>
      </c>
      <c r="R365" s="3" t="n">
        <v>0</v>
      </c>
      <c r="S365" s="3" t="n">
        <v>0.0665</v>
      </c>
      <c r="T365" s="3" t="n">
        <v>7.745</v>
      </c>
      <c r="U365" s="4" t="n">
        <v>85</v>
      </c>
      <c r="V365" s="3">
        <f>IF(OR(N(T365)=0,N(U365)=0),0,1-POISSON(IFERROR(VLOOKUP($C365,Assumptions!$A$4:$G$7,7,FALSE),99)-1,N(T365)*N(U365)/90,TRUE))</f>
        <v/>
      </c>
      <c r="W365" s="3" t="n">
        <v>0</v>
      </c>
      <c r="X365" s="3" t="n">
        <v>6.364</v>
      </c>
      <c r="Y365" s="3">
        <f>IF(X365="",IFERROR(VLOOKUP($C365,Assumptions!$A$4:$G$7,6,FALSE),0),X365)</f>
        <v/>
      </c>
      <c r="Z365" s="3">
        <f>N(O365)*IFERROR(VLOOKUP($C365,Assumptions!$A$4:$G$7,2,FALSE),0)</f>
        <v/>
      </c>
      <c r="AA365" s="3">
        <f>N(S365)*IFERROR(VLOOKUP($C365,Assumptions!$A$4:$G$7,3,FALSE),0)*Assumptions!$B$11</f>
        <v/>
      </c>
      <c r="AB365" s="3">
        <f>N(N365)*IFERROR(VLOOKUP($C365,Assumptions!$A$4:$G$7,4,FALSE),0)</f>
        <v/>
      </c>
      <c r="AC365" s="3">
        <f>IF(N(U365)=0,0,V365*IFERROR(VLOOKUP($C365,Assumptions!$A$4:$G$7,5,FALSE),0)*90/N(U365))</f>
        <v/>
      </c>
      <c r="AD365" s="3">
        <f>N(W365)</f>
        <v/>
      </c>
      <c r="AE365" s="3">
        <f>SUM(Y365:AD365)</f>
        <v/>
      </c>
      <c r="AF365" s="3">
        <f>N(AE365)*N(M365)/90</f>
        <v/>
      </c>
      <c r="AG365" s="3">
        <f>IFERROR(AF365-VLOOKUP($C365,Assumptions!$A$29:$C$32,3,FALSE),"")</f>
        <v/>
      </c>
      <c r="AH365" s="3">
        <f>IFERROR(AG365/F365,"")</f>
        <v/>
      </c>
      <c r="AI365">
        <f>IF(AND($E365=TRUE,$C365="GKP"),AF365,"")</f>
        <v/>
      </c>
      <c r="AJ365">
        <f>IF(AND($E365=TRUE,$C365="DEF"),AF365,"")</f>
        <v/>
      </c>
      <c r="AK365">
        <f>IF(AND($E365=TRUE,$C365="MID"),AF365,"")</f>
        <v/>
      </c>
      <c r="AL365">
        <f>IF(AND($E365=TRUE,$C365="FWD"),AF365,"")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b">
        <v>1</v>
      </c>
      <c r="F366" s="2" t="n">
        <v>4.5</v>
      </c>
      <c r="G366" t="inlineStr">
        <is>
          <t>a</t>
        </is>
      </c>
      <c r="I366" s="2" t="n">
        <v>49</v>
      </c>
      <c r="J366" t="n">
        <v>6</v>
      </c>
      <c r="K366" s="3" t="n">
        <v>42</v>
      </c>
      <c r="L366" t="inlineStr">
        <is>
          <t>flat</t>
        </is>
      </c>
      <c r="M366" s="4" t="n">
        <v>49</v>
      </c>
      <c r="N366" s="4" t="n">
        <v>0.237</v>
      </c>
      <c r="O366" s="3" t="n">
        <v>0</v>
      </c>
      <c r="P366" t="inlineStr">
        <is>
          <t>blended xG</t>
        </is>
      </c>
      <c r="Q366" s="3" t="n">
        <v>1</v>
      </c>
      <c r="R366" s="3" t="n">
        <v>0</v>
      </c>
      <c r="S366" s="3" t="n">
        <v>0.1396</v>
      </c>
      <c r="T366" s="3" t="n">
        <v>5.073</v>
      </c>
      <c r="U366" s="4" t="n">
        <v>85</v>
      </c>
      <c r="V366" s="3">
        <f>IF(OR(N(T366)=0,N(U366)=0),0,1-POISSON(IFERROR(VLOOKUP($C366,Assumptions!$A$4:$G$7,7,FALSE),99)-1,N(T366)*N(U366)/90,TRUE))</f>
        <v/>
      </c>
      <c r="W366" s="3" t="n">
        <v>0</v>
      </c>
      <c r="X366" s="3" t="n">
        <v>12.857</v>
      </c>
      <c r="Y366" s="3">
        <f>IF(X366="",IFERROR(VLOOKUP($C366,Assumptions!$A$4:$G$7,6,FALSE),0),X366)</f>
        <v/>
      </c>
      <c r="Z366" s="3">
        <f>N(O366)*IFERROR(VLOOKUP($C366,Assumptions!$A$4:$G$7,2,FALSE),0)</f>
        <v/>
      </c>
      <c r="AA366" s="3">
        <f>N(S366)*IFERROR(VLOOKUP($C366,Assumptions!$A$4:$G$7,3,FALSE),0)*Assumptions!$B$11</f>
        <v/>
      </c>
      <c r="AB366" s="3">
        <f>N(N366)*IFERROR(VLOOKUP($C366,Assumptions!$A$4:$G$7,4,FALSE),0)</f>
        <v/>
      </c>
      <c r="AC366" s="3">
        <f>IF(N(U366)=0,0,V366*IFERROR(VLOOKUP($C366,Assumptions!$A$4:$G$7,5,FALSE),0)*90/N(U366))</f>
        <v/>
      </c>
      <c r="AD366" s="3">
        <f>N(W366)</f>
        <v/>
      </c>
      <c r="AE366" s="3">
        <f>SUM(Y366:AD366)</f>
        <v/>
      </c>
      <c r="AF366" s="3">
        <f>N(AE366)*N(M366)/90</f>
        <v/>
      </c>
      <c r="AG366" s="3">
        <f>IFERROR(AF366-VLOOKUP($C366,Assumptions!$A$29:$C$32,3,FALSE),"")</f>
        <v/>
      </c>
      <c r="AH366" s="3">
        <f>IFERROR(AG366/F366,"")</f>
        <v/>
      </c>
      <c r="AI366">
        <f>IF(AND($E366=TRUE,$C366="GKP"),AF366,"")</f>
        <v/>
      </c>
      <c r="AJ366">
        <f>IF(AND($E366=TRUE,$C366="DEF"),AF366,"")</f>
        <v/>
      </c>
      <c r="AK366">
        <f>IF(AND($E366=TRUE,$C366="MID"),AF366,"")</f>
        <v/>
      </c>
      <c r="AL366">
        <f>IF(AND($E366=TRUE,$C366="FWD"),AF366,"")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b">
        <v>1</v>
      </c>
      <c r="F367" s="2" t="n">
        <v>4</v>
      </c>
      <c r="G367" t="inlineStr">
        <is>
          <t>a</t>
        </is>
      </c>
      <c r="I367" s="2" t="n">
        <v>83</v>
      </c>
      <c r="J367" t="n">
        <v>5</v>
      </c>
      <c r="K367" s="3" t="n">
        <v>0</v>
      </c>
      <c r="L367" t="inlineStr">
        <is>
          <t>flat</t>
        </is>
      </c>
      <c r="M367" s="4" t="n">
        <v>83</v>
      </c>
      <c r="N367" s="4" t="n">
        <v>0.237</v>
      </c>
      <c r="O367" s="3" t="n">
        <v>0</v>
      </c>
      <c r="P367" t="inlineStr">
        <is>
          <t>adjusted xGOT</t>
        </is>
      </c>
      <c r="Q367" s="3" t="n">
        <v>0.995</v>
      </c>
      <c r="R367" s="3" t="n">
        <v>0</v>
      </c>
      <c r="S367" s="3" t="n">
        <v>0.0054</v>
      </c>
      <c r="T367" s="3" t="n">
        <v>8.010999999999999</v>
      </c>
      <c r="U367" s="4" t="n">
        <v>83</v>
      </c>
      <c r="V367" s="3">
        <f>IF(OR(N(T367)=0,N(U367)=0),0,1-POISSON(IFERROR(VLOOKUP($C367,Assumptions!$A$4:$G$7,7,FALSE),99)-1,N(T367)*N(U367)/90,TRUE))</f>
        <v/>
      </c>
      <c r="W367" s="3" t="n">
        <v>0</v>
      </c>
      <c r="X367" s="3" t="n">
        <v>6.506</v>
      </c>
      <c r="Y367" s="3">
        <f>IF(X367="",IFERROR(VLOOKUP($C367,Assumptions!$A$4:$G$7,6,FALSE),0),X367)</f>
        <v/>
      </c>
      <c r="Z367" s="3">
        <f>N(O367)*IFERROR(VLOOKUP($C367,Assumptions!$A$4:$G$7,2,FALSE),0)</f>
        <v/>
      </c>
      <c r="AA367" s="3">
        <f>N(S367)*IFERROR(VLOOKUP($C367,Assumptions!$A$4:$G$7,3,FALSE),0)*Assumptions!$B$11</f>
        <v/>
      </c>
      <c r="AB367" s="3">
        <f>N(N367)*IFERROR(VLOOKUP($C367,Assumptions!$A$4:$G$7,4,FALSE),0)</f>
        <v/>
      </c>
      <c r="AC367" s="3">
        <f>IF(N(U367)=0,0,V367*IFERROR(VLOOKUP($C367,Assumptions!$A$4:$G$7,5,FALSE),0)*90/N(U367))</f>
        <v/>
      </c>
      <c r="AD367" s="3">
        <f>N(W367)</f>
        <v/>
      </c>
      <c r="AE367" s="3">
        <f>SUM(Y367:AD367)</f>
        <v/>
      </c>
      <c r="AF367" s="3">
        <f>N(AE367)*N(M367)/90</f>
        <v/>
      </c>
      <c r="AG367" s="3">
        <f>IFERROR(AF367-VLOOKUP($C367,Assumptions!$A$29:$C$32,3,FALSE),"")</f>
        <v/>
      </c>
      <c r="AH367" s="3">
        <f>IFERROR(AG367/F367,"")</f>
        <v/>
      </c>
      <c r="AI367">
        <f>IF(AND($E367=TRUE,$C367="GKP"),AF367,"")</f>
        <v/>
      </c>
      <c r="AJ367">
        <f>IF(AND($E367=TRUE,$C367="DEF"),AF367,"")</f>
        <v/>
      </c>
      <c r="AK367">
        <f>IF(AND($E367=TRUE,$C367="MID"),AF367,"")</f>
        <v/>
      </c>
      <c r="AL367">
        <f>IF(AND($E367=TRUE,$C367="FWD"),AF367,"")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b">
        <v>1</v>
      </c>
      <c r="F368" s="2" t="n">
        <v>5</v>
      </c>
      <c r="G368" t="inlineStr">
        <is>
          <t>a</t>
        </is>
      </c>
      <c r="I368" s="2" t="n">
        <v>135</v>
      </c>
      <c r="J368" t="n">
        <v>5</v>
      </c>
      <c r="K368" s="3" t="n">
        <v>0</v>
      </c>
      <c r="L368" t="inlineStr">
        <is>
          <t>flat</t>
        </is>
      </c>
      <c r="M368" s="4" t="n">
        <v>135</v>
      </c>
      <c r="N368" s="4" t="n">
        <v>0.421</v>
      </c>
      <c r="O368" s="3" t="n">
        <v>0.174</v>
      </c>
      <c r="P368" t="inlineStr">
        <is>
          <t>adjusted xGOT</t>
        </is>
      </c>
      <c r="Q368" s="3" t="n">
        <v>1.005</v>
      </c>
      <c r="R368" s="3" t="n">
        <v>0.3</v>
      </c>
      <c r="S368" s="3" t="n">
        <v>0.0307</v>
      </c>
      <c r="T368" s="3" t="n">
        <v>7.629</v>
      </c>
      <c r="U368" s="4" t="n">
        <v>67.5</v>
      </c>
      <c r="V368" s="3">
        <f>IF(OR(N(T368)=0,N(U368)=0),0,1-POISSON(IFERROR(VLOOKUP($C368,Assumptions!$A$4:$G$7,7,FALSE),99)-1,N(T368)*N(U368)/90,TRUE))</f>
        <v/>
      </c>
      <c r="W368" s="3" t="n">
        <v>0</v>
      </c>
      <c r="X368" s="3" t="n">
        <v>2</v>
      </c>
      <c r="Y368" s="3">
        <f>IF(X368="",IFERROR(VLOOKUP($C368,Assumptions!$A$4:$G$7,6,FALSE),0),X368)</f>
        <v/>
      </c>
      <c r="Z368" s="3">
        <f>N(O368)*IFERROR(VLOOKUP($C368,Assumptions!$A$4:$G$7,2,FALSE),0)</f>
        <v/>
      </c>
      <c r="AA368" s="3">
        <f>N(S368)*IFERROR(VLOOKUP($C368,Assumptions!$A$4:$G$7,3,FALSE),0)*Assumptions!$B$11</f>
        <v/>
      </c>
      <c r="AB368" s="3">
        <f>N(N368)*IFERROR(VLOOKUP($C368,Assumptions!$A$4:$G$7,4,FALSE),0)</f>
        <v/>
      </c>
      <c r="AC368" s="3">
        <f>IF(N(U368)=0,0,V368*IFERROR(VLOOKUP($C368,Assumptions!$A$4:$G$7,5,FALSE),0)*90/N(U368))</f>
        <v/>
      </c>
      <c r="AD368" s="3">
        <f>N(W368)</f>
        <v/>
      </c>
      <c r="AE368" s="3">
        <f>SUM(Y368:AD368)</f>
        <v/>
      </c>
      <c r="AF368" s="3">
        <f>N(AE368)*N(M368)/90</f>
        <v/>
      </c>
      <c r="AG368" s="3">
        <f>IFERROR(AF368-VLOOKUP($C368,Assumptions!$A$29:$C$32,3,FALSE),"")</f>
        <v/>
      </c>
      <c r="AH368" s="3">
        <f>IFERROR(AG368/F368,"")</f>
        <v/>
      </c>
      <c r="AI368">
        <f>IF(AND($E368=TRUE,$C368="GKP"),AF368,"")</f>
        <v/>
      </c>
      <c r="AJ368">
        <f>IF(AND($E368=TRUE,$C368="DEF"),AF368,"")</f>
        <v/>
      </c>
      <c r="AK368">
        <f>IF(AND($E368=TRUE,$C368="MID"),AF368,"")</f>
        <v/>
      </c>
      <c r="AL368">
        <f>IF(AND($E368=TRUE,$C368="FWD"),AF368,"")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b">
        <v>1</v>
      </c>
      <c r="F369" s="2" t="n">
        <v>5.5</v>
      </c>
      <c r="G369" t="inlineStr">
        <is>
          <t>a</t>
        </is>
      </c>
      <c r="I369" s="2" t="n">
        <v>110</v>
      </c>
      <c r="J369" t="n">
        <v>5</v>
      </c>
      <c r="K369" s="3" t="n">
        <v>103</v>
      </c>
      <c r="L369" t="inlineStr">
        <is>
          <t>flat</t>
        </is>
      </c>
      <c r="M369" s="4" t="n">
        <v>110</v>
      </c>
      <c r="N369" s="4" t="n">
        <v>0.263</v>
      </c>
      <c r="O369" s="3" t="n">
        <v>0.2324</v>
      </c>
      <c r="P369" t="inlineStr">
        <is>
          <t>adjusted xGOT</t>
        </is>
      </c>
      <c r="Q369" s="3" t="n">
        <v>0.979</v>
      </c>
      <c r="R369" s="3" t="n">
        <v>6.9</v>
      </c>
      <c r="S369" s="3" t="n">
        <v>0.0711</v>
      </c>
      <c r="T369" s="3" t="n">
        <v>8.090999999999999</v>
      </c>
      <c r="U369" s="4" t="n">
        <v>110</v>
      </c>
      <c r="V369" s="3">
        <f>IF(OR(N(T369)=0,N(U369)=0),0,1-POISSON(IFERROR(VLOOKUP($C369,Assumptions!$A$4:$G$7,7,FALSE),99)-1,N(T369)*N(U369)/90,TRUE))</f>
        <v/>
      </c>
      <c r="W369" s="3" t="n">
        <v>0</v>
      </c>
      <c r="X369" s="3" t="n">
        <v>4.091</v>
      </c>
      <c r="Y369" s="3">
        <f>IF(X369="",IFERROR(VLOOKUP($C369,Assumptions!$A$4:$G$7,6,FALSE),0),X369)</f>
        <v/>
      </c>
      <c r="Z369" s="3">
        <f>N(O369)*IFERROR(VLOOKUP($C369,Assumptions!$A$4:$G$7,2,FALSE),0)</f>
        <v/>
      </c>
      <c r="AA369" s="3">
        <f>N(S369)*IFERROR(VLOOKUP($C369,Assumptions!$A$4:$G$7,3,FALSE),0)*Assumptions!$B$11</f>
        <v/>
      </c>
      <c r="AB369" s="3">
        <f>N(N369)*IFERROR(VLOOKUP($C369,Assumptions!$A$4:$G$7,4,FALSE),0)</f>
        <v/>
      </c>
      <c r="AC369" s="3">
        <f>IF(N(U369)=0,0,V369*IFERROR(VLOOKUP($C369,Assumptions!$A$4:$G$7,5,FALSE),0)*90/N(U369))</f>
        <v/>
      </c>
      <c r="AD369" s="3">
        <f>N(W369)</f>
        <v/>
      </c>
      <c r="AE369" s="3">
        <f>SUM(Y369:AD369)</f>
        <v/>
      </c>
      <c r="AF369" s="3">
        <f>N(AE369)*N(M369)/90</f>
        <v/>
      </c>
      <c r="AG369" s="3">
        <f>IFERROR(AF369-VLOOKUP($C369,Assumptions!$A$29:$C$32,3,FALSE),"")</f>
        <v/>
      </c>
      <c r="AH369" s="3">
        <f>IFERROR(AG369/F369,"")</f>
        <v/>
      </c>
      <c r="AI369">
        <f>IF(AND($E369=TRUE,$C369="GKP"),AF369,"")</f>
        <v/>
      </c>
      <c r="AJ369">
        <f>IF(AND($E369=TRUE,$C369="DEF"),AF369,"")</f>
        <v/>
      </c>
      <c r="AK369">
        <f>IF(AND($E369=TRUE,$C369="MID"),AF369,"")</f>
        <v/>
      </c>
      <c r="AL369">
        <f>IF(AND($E369=TRUE,$C369="FWD"),AF369,"")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b">
        <v>1</v>
      </c>
      <c r="F370" s="2" t="n">
        <v>5</v>
      </c>
      <c r="G370" t="inlineStr">
        <is>
          <t>u</t>
        </is>
      </c>
      <c r="H370" t="inlineStr">
        <is>
          <t>Has joined Leicester City on loan for the rest of the season</t>
        </is>
      </c>
      <c r="I370" s="2" t="n">
        <v>57</v>
      </c>
      <c r="J370" t="n">
        <v>5</v>
      </c>
      <c r="K370" s="3" t="n"/>
      <c r="M370" s="4" t="n">
        <v>57</v>
      </c>
      <c r="N370" s="4" t="n">
        <v>0.263</v>
      </c>
      <c r="O370" s="3" t="n">
        <v>0.06469999999999999</v>
      </c>
      <c r="P370" t="inlineStr">
        <is>
          <t>adjusted xGOT</t>
        </is>
      </c>
      <c r="Q370" s="3" t="n">
        <v>1.02</v>
      </c>
      <c r="R370" s="3" t="n">
        <v>0</v>
      </c>
      <c r="S370" s="3" t="n">
        <v>0.0237</v>
      </c>
      <c r="T370" s="3" t="n">
        <v>8.526999999999999</v>
      </c>
      <c r="U370" s="4" t="n">
        <v>85</v>
      </c>
      <c r="V370" s="3">
        <f>IF(OR(N(T370)=0,N(U370)=0),0,1-POISSON(IFERROR(VLOOKUP($C370,Assumptions!$A$4:$G$7,7,FALSE),99)-1,N(T370)*N(U370)/90,TRUE))</f>
        <v/>
      </c>
      <c r="W370" s="3" t="n">
        <v>0</v>
      </c>
      <c r="X370" s="3" t="n">
        <v>9.474</v>
      </c>
      <c r="Y370" s="3">
        <f>IF(X370="",IFERROR(VLOOKUP($C370,Assumptions!$A$4:$G$7,6,FALSE),0),X370)</f>
        <v/>
      </c>
      <c r="Z370" s="3">
        <f>N(O370)*IFERROR(VLOOKUP($C370,Assumptions!$A$4:$G$7,2,FALSE),0)</f>
        <v/>
      </c>
      <c r="AA370" s="3">
        <f>N(S370)*IFERROR(VLOOKUP($C370,Assumptions!$A$4:$G$7,3,FALSE),0)*Assumptions!$B$11</f>
        <v/>
      </c>
      <c r="AB370" s="3">
        <f>N(N370)*IFERROR(VLOOKUP($C370,Assumptions!$A$4:$G$7,4,FALSE),0)</f>
        <v/>
      </c>
      <c r="AC370" s="3">
        <f>IF(N(U370)=0,0,V370*IFERROR(VLOOKUP($C370,Assumptions!$A$4:$G$7,5,FALSE),0)*90/N(U370))</f>
        <v/>
      </c>
      <c r="AD370" s="3">
        <f>N(W370)</f>
        <v/>
      </c>
      <c r="AE370" s="3">
        <f>SUM(Y370:AD370)</f>
        <v/>
      </c>
      <c r="AF370" s="3">
        <f>N(AE370)*N(M370)/90</f>
        <v/>
      </c>
      <c r="AG370" s="3">
        <f>IFERROR(AF370-VLOOKUP($C370,Assumptions!$A$29:$C$32,3,FALSE),"")</f>
        <v/>
      </c>
      <c r="AH370" s="3">
        <f>IFERROR(AG370/F370,"")</f>
        <v/>
      </c>
      <c r="AI370">
        <f>IF(AND($E370=TRUE,$C370="GKP"),AF370,"")</f>
        <v/>
      </c>
      <c r="AJ370">
        <f>IF(AND($E370=TRUE,$C370="DEF"),AF370,"")</f>
        <v/>
      </c>
      <c r="AK370">
        <f>IF(AND($E370=TRUE,$C370="MID"),AF370,"")</f>
        <v/>
      </c>
      <c r="AL370">
        <f>IF(AND($E370=TRUE,$C370="FWD"),AF370,"")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b">
        <v>1</v>
      </c>
      <c r="F371" s="2" t="n">
        <v>4.5</v>
      </c>
      <c r="G371" t="inlineStr">
        <is>
          <t>a</t>
        </is>
      </c>
      <c r="I371" s="2" t="n">
        <v>92</v>
      </c>
      <c r="J371" t="n">
        <v>4</v>
      </c>
      <c r="K371" s="3" t="n">
        <v>0</v>
      </c>
      <c r="L371" t="inlineStr">
        <is>
          <t>flat</t>
        </is>
      </c>
      <c r="M371" s="4" t="n">
        <v>92</v>
      </c>
      <c r="N371" s="4" t="n">
        <v>0.263</v>
      </c>
      <c r="O371" s="3" t="n">
        <v>0</v>
      </c>
      <c r="P371" t="inlineStr">
        <is>
          <t>blended xG</t>
        </is>
      </c>
      <c r="Q371" s="3" t="n">
        <v>1</v>
      </c>
      <c r="R371" s="3" t="n">
        <v>0</v>
      </c>
      <c r="S371" s="3" t="n">
        <v>0.0147</v>
      </c>
      <c r="T371" s="3" t="n">
        <v>8.381</v>
      </c>
      <c r="U371" s="4" t="n">
        <v>92</v>
      </c>
      <c r="V371" s="3">
        <f>IF(OR(N(T371)=0,N(U371)=0),0,1-POISSON(IFERROR(VLOOKUP($C371,Assumptions!$A$4:$G$7,7,FALSE),99)-1,N(T371)*N(U371)/90,TRUE))</f>
        <v/>
      </c>
      <c r="W371" s="3" t="n">
        <v>0</v>
      </c>
      <c r="X371" s="3" t="n">
        <v>3.913</v>
      </c>
      <c r="Y371" s="3">
        <f>IF(X371="",IFERROR(VLOOKUP($C371,Assumptions!$A$4:$G$7,6,FALSE),0),X371)</f>
        <v/>
      </c>
      <c r="Z371" s="3">
        <f>N(O371)*IFERROR(VLOOKUP($C371,Assumptions!$A$4:$G$7,2,FALSE),0)</f>
        <v/>
      </c>
      <c r="AA371" s="3">
        <f>N(S371)*IFERROR(VLOOKUP($C371,Assumptions!$A$4:$G$7,3,FALSE),0)*Assumptions!$B$11</f>
        <v/>
      </c>
      <c r="AB371" s="3">
        <f>N(N371)*IFERROR(VLOOKUP($C371,Assumptions!$A$4:$G$7,4,FALSE),0)</f>
        <v/>
      </c>
      <c r="AC371" s="3">
        <f>IF(N(U371)=0,0,V371*IFERROR(VLOOKUP($C371,Assumptions!$A$4:$G$7,5,FALSE),0)*90/N(U371))</f>
        <v/>
      </c>
      <c r="AD371" s="3">
        <f>N(W371)</f>
        <v/>
      </c>
      <c r="AE371" s="3">
        <f>SUM(Y371:AD371)</f>
        <v/>
      </c>
      <c r="AF371" s="3">
        <f>N(AE371)*N(M371)/90</f>
        <v/>
      </c>
      <c r="AG371" s="3">
        <f>IFERROR(AF371-VLOOKUP($C371,Assumptions!$A$29:$C$32,3,FALSE),"")</f>
        <v/>
      </c>
      <c r="AH371" s="3">
        <f>IFERROR(AG371/F371,"")</f>
        <v/>
      </c>
      <c r="AI371">
        <f>IF(AND($E371=TRUE,$C371="GKP"),AF371,"")</f>
        <v/>
      </c>
      <c r="AJ371">
        <f>IF(AND($E371=TRUE,$C371="DEF"),AF371,"")</f>
        <v/>
      </c>
      <c r="AK371">
        <f>IF(AND($E371=TRUE,$C371="MID"),AF371,"")</f>
        <v/>
      </c>
      <c r="AL371">
        <f>IF(AND($E371=TRUE,$C371="FWD"),AF371,"")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b">
        <v>1</v>
      </c>
      <c r="F372" s="2" t="n">
        <v>5</v>
      </c>
      <c r="G372" t="inlineStr">
        <is>
          <t>a</t>
        </is>
      </c>
      <c r="I372" s="2" t="n">
        <v>40</v>
      </c>
      <c r="J372" t="n">
        <v>4</v>
      </c>
      <c r="K372" s="3" t="n">
        <v>0</v>
      </c>
      <c r="L372" t="inlineStr">
        <is>
          <t>flat</t>
        </is>
      </c>
      <c r="M372" s="4" t="n">
        <v>40</v>
      </c>
      <c r="N372" s="4" t="n">
        <v>0.316</v>
      </c>
      <c r="O372" s="3" t="n">
        <v>0</v>
      </c>
      <c r="P372" t="inlineStr">
        <is>
          <t>adjusted xGOT</t>
        </is>
      </c>
      <c r="Q372" s="3" t="n">
        <v>1.082</v>
      </c>
      <c r="R372" s="3" t="n">
        <v>0.3</v>
      </c>
      <c r="S372" s="3" t="n">
        <v>0.045</v>
      </c>
      <c r="T372" s="3" t="n">
        <v>8.718</v>
      </c>
      <c r="U372" s="4" t="n">
        <v>85</v>
      </c>
      <c r="V372" s="3">
        <f>IF(OR(N(T372)=0,N(U372)=0),0,1-POISSON(IFERROR(VLOOKUP($C372,Assumptions!$A$4:$G$7,7,FALSE),99)-1,N(T372)*N(U372)/90,TRUE))</f>
        <v/>
      </c>
      <c r="W372" s="3" t="n">
        <v>0</v>
      </c>
      <c r="X372" s="3" t="n">
        <v>9</v>
      </c>
      <c r="Y372" s="3">
        <f>IF(X372="",IFERROR(VLOOKUP($C372,Assumptions!$A$4:$G$7,6,FALSE),0),X372)</f>
        <v/>
      </c>
      <c r="Z372" s="3">
        <f>N(O372)*IFERROR(VLOOKUP($C372,Assumptions!$A$4:$G$7,2,FALSE),0)</f>
        <v/>
      </c>
      <c r="AA372" s="3">
        <f>N(S372)*IFERROR(VLOOKUP($C372,Assumptions!$A$4:$G$7,3,FALSE),0)*Assumptions!$B$11</f>
        <v/>
      </c>
      <c r="AB372" s="3">
        <f>N(N372)*IFERROR(VLOOKUP($C372,Assumptions!$A$4:$G$7,4,FALSE),0)</f>
        <v/>
      </c>
      <c r="AC372" s="3">
        <f>IF(N(U372)=0,0,V372*IFERROR(VLOOKUP($C372,Assumptions!$A$4:$G$7,5,FALSE),0)*90/N(U372))</f>
        <v/>
      </c>
      <c r="AD372" s="3">
        <f>N(W372)</f>
        <v/>
      </c>
      <c r="AE372" s="3">
        <f>SUM(Y372:AD372)</f>
        <v/>
      </c>
      <c r="AF372" s="3">
        <f>N(AE372)*N(M372)/90</f>
        <v/>
      </c>
      <c r="AG372" s="3">
        <f>IFERROR(AF372-VLOOKUP($C372,Assumptions!$A$29:$C$32,3,FALSE),"")</f>
        <v/>
      </c>
      <c r="AH372" s="3">
        <f>IFERROR(AG372/F372,"")</f>
        <v/>
      </c>
      <c r="AI372">
        <f>IF(AND($E372=TRUE,$C372="GKP"),AF372,"")</f>
        <v/>
      </c>
      <c r="AJ372">
        <f>IF(AND($E372=TRUE,$C372="DEF"),AF372,"")</f>
        <v/>
      </c>
      <c r="AK372">
        <f>IF(AND($E372=TRUE,$C372="MID"),AF372,"")</f>
        <v/>
      </c>
      <c r="AL372">
        <f>IF(AND($E372=TRUE,$C372="FWD"),AF372,"")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b">
        <v>1</v>
      </c>
      <c r="F373" s="2" t="n">
        <v>5</v>
      </c>
      <c r="G373" t="inlineStr">
        <is>
          <t>a</t>
        </is>
      </c>
      <c r="I373" s="2" t="n">
        <v>47</v>
      </c>
      <c r="J373" t="n">
        <v>3</v>
      </c>
      <c r="K373" s="3" t="n">
        <v>116</v>
      </c>
      <c r="L373" t="inlineStr">
        <is>
          <t>flat</t>
        </is>
      </c>
      <c r="M373" s="4" t="n">
        <v>47</v>
      </c>
      <c r="N373" s="4" t="n">
        <v>0.237</v>
      </c>
      <c r="O373" s="3" t="n">
        <v>0.09569999999999999</v>
      </c>
      <c r="P373" t="inlineStr">
        <is>
          <t>adjusted xGOT</t>
        </is>
      </c>
      <c r="Q373" s="3" t="n">
        <v>0.994</v>
      </c>
      <c r="R373" s="3" t="n">
        <v>0</v>
      </c>
      <c r="S373" s="3" t="n">
        <v>0.0479</v>
      </c>
      <c r="T373" s="3" t="n">
        <v>8.521000000000001</v>
      </c>
      <c r="U373" s="4" t="n">
        <v>85</v>
      </c>
      <c r="V373" s="3">
        <f>IF(OR(N(T373)=0,N(U373)=0),0,1-POISSON(IFERROR(VLOOKUP($C373,Assumptions!$A$4:$G$7,7,FALSE),99)-1,N(T373)*N(U373)/90,TRUE))</f>
        <v/>
      </c>
      <c r="W373" s="3" t="n">
        <v>0</v>
      </c>
      <c r="X373" s="3" t="n">
        <v>5.745</v>
      </c>
      <c r="Y373" s="3">
        <f>IF(X373="",IFERROR(VLOOKUP($C373,Assumptions!$A$4:$G$7,6,FALSE),0),X373)</f>
        <v/>
      </c>
      <c r="Z373" s="3">
        <f>N(O373)*IFERROR(VLOOKUP($C373,Assumptions!$A$4:$G$7,2,FALSE),0)</f>
        <v/>
      </c>
      <c r="AA373" s="3">
        <f>N(S373)*IFERROR(VLOOKUP($C373,Assumptions!$A$4:$G$7,3,FALSE),0)*Assumptions!$B$11</f>
        <v/>
      </c>
      <c r="AB373" s="3">
        <f>N(N373)*IFERROR(VLOOKUP($C373,Assumptions!$A$4:$G$7,4,FALSE),0)</f>
        <v/>
      </c>
      <c r="AC373" s="3">
        <f>IF(N(U373)=0,0,V373*IFERROR(VLOOKUP($C373,Assumptions!$A$4:$G$7,5,FALSE),0)*90/N(U373))</f>
        <v/>
      </c>
      <c r="AD373" s="3">
        <f>N(W373)</f>
        <v/>
      </c>
      <c r="AE373" s="3">
        <f>SUM(Y373:AD373)</f>
        <v/>
      </c>
      <c r="AF373" s="3">
        <f>N(AE373)*N(M373)/90</f>
        <v/>
      </c>
      <c r="AG373" s="3">
        <f>IFERROR(AF373-VLOOKUP($C373,Assumptions!$A$29:$C$32,3,FALSE),"")</f>
        <v/>
      </c>
      <c r="AH373" s="3">
        <f>IFERROR(AG373/F373,"")</f>
        <v/>
      </c>
      <c r="AI373">
        <f>IF(AND($E373=TRUE,$C373="GKP"),AF373,"")</f>
        <v/>
      </c>
      <c r="AJ373">
        <f>IF(AND($E373=TRUE,$C373="DEF"),AF373,"")</f>
        <v/>
      </c>
      <c r="AK373">
        <f>IF(AND($E373=TRUE,$C373="MID"),AF373,"")</f>
        <v/>
      </c>
      <c r="AL373">
        <f>IF(AND($E373=TRUE,$C373="FWD"),AF373,"")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b">
        <v>1</v>
      </c>
      <c r="F374" s="2" t="n">
        <v>4</v>
      </c>
      <c r="G374" t="inlineStr">
        <is>
          <t>a</t>
        </is>
      </c>
      <c r="I374" s="2" t="n">
        <v>142</v>
      </c>
      <c r="J374" t="n">
        <v>3</v>
      </c>
      <c r="K374" s="3" t="n">
        <v>112</v>
      </c>
      <c r="L374" t="inlineStr">
        <is>
          <t>flat</t>
        </is>
      </c>
      <c r="M374" s="4" t="n">
        <v>142</v>
      </c>
      <c r="N374" s="4" t="n">
        <v>0.237</v>
      </c>
      <c r="O374" s="3" t="n">
        <v>0.0127</v>
      </c>
      <c r="P374" t="inlineStr">
        <is>
          <t>adjusted xGOT</t>
        </is>
      </c>
      <c r="Q374" s="3" t="n">
        <v>1.022</v>
      </c>
      <c r="R374" s="3" t="n">
        <v>0</v>
      </c>
      <c r="S374" s="3" t="n">
        <v>0.0736</v>
      </c>
      <c r="T374" s="3" t="n">
        <v>7.045</v>
      </c>
      <c r="U374" s="4" t="n">
        <v>71</v>
      </c>
      <c r="V374" s="3">
        <f>IF(OR(N(T374)=0,N(U374)=0),0,1-POISSON(IFERROR(VLOOKUP($C374,Assumptions!$A$4:$G$7,7,FALSE),99)-1,N(T374)*N(U374)/90,TRUE))</f>
        <v/>
      </c>
      <c r="W374" s="3" t="n">
        <v>0</v>
      </c>
      <c r="X374" s="3" t="n">
        <v>2.535</v>
      </c>
      <c r="Y374" s="3">
        <f>IF(X374="",IFERROR(VLOOKUP($C374,Assumptions!$A$4:$G$7,6,FALSE),0),X374)</f>
        <v/>
      </c>
      <c r="Z374" s="3">
        <f>N(O374)*IFERROR(VLOOKUP($C374,Assumptions!$A$4:$G$7,2,FALSE),0)</f>
        <v/>
      </c>
      <c r="AA374" s="3">
        <f>N(S374)*IFERROR(VLOOKUP($C374,Assumptions!$A$4:$G$7,3,FALSE),0)*Assumptions!$B$11</f>
        <v/>
      </c>
      <c r="AB374" s="3">
        <f>N(N374)*IFERROR(VLOOKUP($C374,Assumptions!$A$4:$G$7,4,FALSE),0)</f>
        <v/>
      </c>
      <c r="AC374" s="3">
        <f>IF(N(U374)=0,0,V374*IFERROR(VLOOKUP($C374,Assumptions!$A$4:$G$7,5,FALSE),0)*90/N(U374))</f>
        <v/>
      </c>
      <c r="AD374" s="3">
        <f>N(W374)</f>
        <v/>
      </c>
      <c r="AE374" s="3">
        <f>SUM(Y374:AD374)</f>
        <v/>
      </c>
      <c r="AF374" s="3">
        <f>N(AE374)*N(M374)/90</f>
        <v/>
      </c>
      <c r="AG374" s="3">
        <f>IFERROR(AF374-VLOOKUP($C374,Assumptions!$A$29:$C$32,3,FALSE),"")</f>
        <v/>
      </c>
      <c r="AH374" s="3">
        <f>IFERROR(AG374/F374,"")</f>
        <v/>
      </c>
      <c r="AI374">
        <f>IF(AND($E374=TRUE,$C374="GKP"),AF374,"")</f>
        <v/>
      </c>
      <c r="AJ374">
        <f>IF(AND($E374=TRUE,$C374="DEF"),AF374,"")</f>
        <v/>
      </c>
      <c r="AK374">
        <f>IF(AND($E374=TRUE,$C374="MID"),AF374,"")</f>
        <v/>
      </c>
      <c r="AL374">
        <f>IF(AND($E374=TRUE,$C374="FWD"),AF374,"")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b">
        <v>1</v>
      </c>
      <c r="F375" s="2" t="n">
        <v>5</v>
      </c>
      <c r="G375" t="inlineStr">
        <is>
          <t>u</t>
        </is>
      </c>
      <c r="H375" t="inlineStr">
        <is>
          <t>Has joined Elche on loan for the rest of the season</t>
        </is>
      </c>
      <c r="I375" s="2" t="n">
        <v>81</v>
      </c>
      <c r="J375" t="n">
        <v>3</v>
      </c>
      <c r="K375" s="3" t="n"/>
      <c r="M375" s="4" t="n">
        <v>81</v>
      </c>
      <c r="N375" s="4" t="n">
        <v>0.263</v>
      </c>
      <c r="O375" s="3" t="n">
        <v>0.0678</v>
      </c>
      <c r="P375" t="inlineStr">
        <is>
          <t>adjusted xGOT</t>
        </is>
      </c>
      <c r="Q375" s="3" t="n">
        <v>1.012</v>
      </c>
      <c r="R375" s="3" t="n">
        <v>7.7</v>
      </c>
      <c r="S375" s="3" t="n">
        <v>0.3226</v>
      </c>
      <c r="T375" s="3" t="n">
        <v>8.384</v>
      </c>
      <c r="U375" s="4" t="n">
        <v>81</v>
      </c>
      <c r="V375" s="3">
        <f>IF(OR(N(T375)=0,N(U375)=0),0,1-POISSON(IFERROR(VLOOKUP($C375,Assumptions!$A$4:$G$7,7,FALSE),99)-1,N(T375)*N(U375)/90,TRUE))</f>
        <v/>
      </c>
      <c r="W375" s="3" t="n">
        <v>0</v>
      </c>
      <c r="X375" s="3" t="n">
        <v>4.444</v>
      </c>
      <c r="Y375" s="3">
        <f>IF(X375="",IFERROR(VLOOKUP($C375,Assumptions!$A$4:$G$7,6,FALSE),0),X375)</f>
        <v/>
      </c>
      <c r="Z375" s="3">
        <f>N(O375)*IFERROR(VLOOKUP($C375,Assumptions!$A$4:$G$7,2,FALSE),0)</f>
        <v/>
      </c>
      <c r="AA375" s="3">
        <f>N(S375)*IFERROR(VLOOKUP($C375,Assumptions!$A$4:$G$7,3,FALSE),0)*Assumptions!$B$11</f>
        <v/>
      </c>
      <c r="AB375" s="3">
        <f>N(N375)*IFERROR(VLOOKUP($C375,Assumptions!$A$4:$G$7,4,FALSE),0)</f>
        <v/>
      </c>
      <c r="AC375" s="3">
        <f>IF(N(U375)=0,0,V375*IFERROR(VLOOKUP($C375,Assumptions!$A$4:$G$7,5,FALSE),0)*90/N(U375))</f>
        <v/>
      </c>
      <c r="AD375" s="3">
        <f>N(W375)</f>
        <v/>
      </c>
      <c r="AE375" s="3">
        <f>SUM(Y375:AD375)</f>
        <v/>
      </c>
      <c r="AF375" s="3">
        <f>N(AE375)*N(M375)/90</f>
        <v/>
      </c>
      <c r="AG375" s="3">
        <f>IFERROR(AF375-VLOOKUP($C375,Assumptions!$A$29:$C$32,3,FALSE),"")</f>
        <v/>
      </c>
      <c r="AH375" s="3">
        <f>IFERROR(AG375/F375,"")</f>
        <v/>
      </c>
      <c r="AI375">
        <f>IF(AND($E375=TRUE,$C375="GKP"),AF375,"")</f>
        <v/>
      </c>
      <c r="AJ375">
        <f>IF(AND($E375=TRUE,$C375="DEF"),AF375,"")</f>
        <v/>
      </c>
      <c r="AK375">
        <f>IF(AND($E375=TRUE,$C375="MID"),AF375,"")</f>
        <v/>
      </c>
      <c r="AL375">
        <f>IF(AND($E375=TRUE,$C375="FWD"),AF375,"")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b">
        <v>1</v>
      </c>
      <c r="F376" s="2" t="n">
        <v>6.5</v>
      </c>
      <c r="G376" t="inlineStr">
        <is>
          <t>a</t>
        </is>
      </c>
      <c r="I376" s="2" t="n">
        <v>34</v>
      </c>
      <c r="J376" t="n">
        <v>3</v>
      </c>
      <c r="K376" s="3" t="n">
        <v>1060</v>
      </c>
      <c r="L376" t="inlineStr">
        <is>
          <t>flat</t>
        </is>
      </c>
      <c r="M376" s="4" t="n">
        <v>34</v>
      </c>
      <c r="N376" s="4" t="n">
        <v>0.237</v>
      </c>
      <c r="O376" s="3" t="n">
        <v>0.5903</v>
      </c>
      <c r="P376" t="inlineStr">
        <is>
          <t>adjusted xGOT</t>
        </is>
      </c>
      <c r="Q376" s="3" t="n">
        <v>1.06</v>
      </c>
      <c r="R376" s="3" t="n">
        <v>20.8</v>
      </c>
      <c r="S376" s="3" t="n">
        <v>0.0794</v>
      </c>
      <c r="T376" s="3" t="n">
        <v>8.787000000000001</v>
      </c>
      <c r="U376" s="4" t="n">
        <v>85</v>
      </c>
      <c r="V376" s="3">
        <f>IF(OR(N(T376)=0,N(U376)=0),0,1-POISSON(IFERROR(VLOOKUP($C376,Assumptions!$A$4:$G$7,7,FALSE),99)-1,N(T376)*N(U376)/90,TRUE))</f>
        <v/>
      </c>
      <c r="W376" s="3" t="n">
        <v>0</v>
      </c>
      <c r="X376" s="3" t="n">
        <v>7.941</v>
      </c>
      <c r="Y376" s="3">
        <f>IF(X376="",IFERROR(VLOOKUP($C376,Assumptions!$A$4:$G$7,6,FALSE),0),X376)</f>
        <v/>
      </c>
      <c r="Z376" s="3">
        <f>N(O376)*IFERROR(VLOOKUP($C376,Assumptions!$A$4:$G$7,2,FALSE),0)</f>
        <v/>
      </c>
      <c r="AA376" s="3">
        <f>N(S376)*IFERROR(VLOOKUP($C376,Assumptions!$A$4:$G$7,3,FALSE),0)*Assumptions!$B$11</f>
        <v/>
      </c>
      <c r="AB376" s="3">
        <f>N(N376)*IFERROR(VLOOKUP($C376,Assumptions!$A$4:$G$7,4,FALSE),0)</f>
        <v/>
      </c>
      <c r="AC376" s="3">
        <f>IF(N(U376)=0,0,V376*IFERROR(VLOOKUP($C376,Assumptions!$A$4:$G$7,5,FALSE),0)*90/N(U376))</f>
        <v/>
      </c>
      <c r="AD376" s="3">
        <f>N(W376)</f>
        <v/>
      </c>
      <c r="AE376" s="3">
        <f>SUM(Y376:AD376)</f>
        <v/>
      </c>
      <c r="AF376" s="3">
        <f>N(AE376)*N(M376)/90</f>
        <v/>
      </c>
      <c r="AG376" s="3">
        <f>IFERROR(AF376-VLOOKUP($C376,Assumptions!$A$29:$C$32,3,FALSE),"")</f>
        <v/>
      </c>
      <c r="AH376" s="3">
        <f>IFERROR(AG376/F376,"")</f>
        <v/>
      </c>
      <c r="AI376">
        <f>IF(AND($E376=TRUE,$C376="GKP"),AF376,"")</f>
        <v/>
      </c>
      <c r="AJ376">
        <f>IF(AND($E376=TRUE,$C376="DEF"),AF376,"")</f>
        <v/>
      </c>
      <c r="AK376">
        <f>IF(AND($E376=TRUE,$C376="MID"),AF376,"")</f>
        <v/>
      </c>
      <c r="AL376">
        <f>IF(AND($E376=TRUE,$C376="FWD"),AF376,"")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b">
        <v>1</v>
      </c>
      <c r="F377" s="2" t="n">
        <v>5</v>
      </c>
      <c r="G377" t="inlineStr">
        <is>
          <t>a</t>
        </is>
      </c>
      <c r="I377" s="2" t="n">
        <v>40</v>
      </c>
      <c r="J377" t="n">
        <v>3</v>
      </c>
      <c r="K377" s="3" t="n">
        <v>14</v>
      </c>
      <c r="L377" t="inlineStr">
        <is>
          <t>flat</t>
        </is>
      </c>
      <c r="M377" s="4" t="n">
        <v>40</v>
      </c>
      <c r="N377" s="4" t="n">
        <v>0.21</v>
      </c>
      <c r="O377" s="3" t="n">
        <v>0.2228</v>
      </c>
      <c r="P377" t="inlineStr">
        <is>
          <t>adjusted xGOT</t>
        </is>
      </c>
      <c r="Q377" s="3" t="n">
        <v>0.988</v>
      </c>
      <c r="R377" s="3" t="n">
        <v>0.1</v>
      </c>
      <c r="S377" s="3" t="n">
        <v>0.0112</v>
      </c>
      <c r="T377" s="3" t="n">
        <v>8.481</v>
      </c>
      <c r="U377" s="4" t="n">
        <v>85</v>
      </c>
      <c r="V377" s="3">
        <f>IF(OR(N(T377)=0,N(U377)=0),0,1-POISSON(IFERROR(VLOOKUP($C377,Assumptions!$A$4:$G$7,7,FALSE),99)-1,N(T377)*N(U377)/90,TRUE))</f>
        <v/>
      </c>
      <c r="W377" s="3" t="n">
        <v>0</v>
      </c>
      <c r="X377" s="3" t="n">
        <v>6.75</v>
      </c>
      <c r="Y377" s="3">
        <f>IF(X377="",IFERROR(VLOOKUP($C377,Assumptions!$A$4:$G$7,6,FALSE),0),X377)</f>
        <v/>
      </c>
      <c r="Z377" s="3">
        <f>N(O377)*IFERROR(VLOOKUP($C377,Assumptions!$A$4:$G$7,2,FALSE),0)</f>
        <v/>
      </c>
      <c r="AA377" s="3">
        <f>N(S377)*IFERROR(VLOOKUP($C377,Assumptions!$A$4:$G$7,3,FALSE),0)*Assumptions!$B$11</f>
        <v/>
      </c>
      <c r="AB377" s="3">
        <f>N(N377)*IFERROR(VLOOKUP($C377,Assumptions!$A$4:$G$7,4,FALSE),0)</f>
        <v/>
      </c>
      <c r="AC377" s="3">
        <f>IF(N(U377)=0,0,V377*IFERROR(VLOOKUP($C377,Assumptions!$A$4:$G$7,5,FALSE),0)*90/N(U377))</f>
        <v/>
      </c>
      <c r="AD377" s="3">
        <f>N(W377)</f>
        <v/>
      </c>
      <c r="AE377" s="3">
        <f>SUM(Y377:AD377)</f>
        <v/>
      </c>
      <c r="AF377" s="3">
        <f>N(AE377)*N(M377)/90</f>
        <v/>
      </c>
      <c r="AG377" s="3">
        <f>IFERROR(AF377-VLOOKUP($C377,Assumptions!$A$29:$C$32,3,FALSE),"")</f>
        <v/>
      </c>
      <c r="AH377" s="3">
        <f>IFERROR(AG377/F377,"")</f>
        <v/>
      </c>
      <c r="AI377">
        <f>IF(AND($E377=TRUE,$C377="GKP"),AF377,"")</f>
        <v/>
      </c>
      <c r="AJ377">
        <f>IF(AND($E377=TRUE,$C377="DEF"),AF377,"")</f>
        <v/>
      </c>
      <c r="AK377">
        <f>IF(AND($E377=TRUE,$C377="MID"),AF377,"")</f>
        <v/>
      </c>
      <c r="AL377">
        <f>IF(AND($E377=TRUE,$C377="FWD"),AF377,"")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b">
        <v>1</v>
      </c>
      <c r="F378" s="2" t="n">
        <v>5</v>
      </c>
      <c r="G378" t="inlineStr">
        <is>
          <t>a</t>
        </is>
      </c>
      <c r="I378" s="2" t="n">
        <v>107</v>
      </c>
      <c r="J378" t="n">
        <v>3</v>
      </c>
      <c r="K378" s="3" t="n">
        <v>0</v>
      </c>
      <c r="L378" t="inlineStr">
        <is>
          <t>flat</t>
        </is>
      </c>
      <c r="M378" s="4" t="n">
        <v>107</v>
      </c>
      <c r="N378" s="4" t="n">
        <v>0.21</v>
      </c>
      <c r="O378" s="3" t="n">
        <v>0.0252</v>
      </c>
      <c r="P378" t="inlineStr">
        <is>
          <t>adjusted xGOT</t>
        </is>
      </c>
      <c r="Q378" s="3" t="n">
        <v>0.996</v>
      </c>
      <c r="R378" s="3" t="n">
        <v>0</v>
      </c>
      <c r="S378" s="3" t="n">
        <v>0.0567</v>
      </c>
      <c r="T378" s="3" t="n">
        <v>8.664</v>
      </c>
      <c r="U378" s="4" t="n">
        <v>85</v>
      </c>
      <c r="V378" s="3">
        <f>IF(OR(N(T378)=0,N(U378)=0),0,1-POISSON(IFERROR(VLOOKUP($C378,Assumptions!$A$4:$G$7,7,FALSE),99)-1,N(T378)*N(U378)/90,TRUE))</f>
        <v/>
      </c>
      <c r="W378" s="3" t="n">
        <v>0</v>
      </c>
      <c r="X378" s="3" t="n">
        <v>2.523</v>
      </c>
      <c r="Y378" s="3">
        <f>IF(X378="",IFERROR(VLOOKUP($C378,Assumptions!$A$4:$G$7,6,FALSE),0),X378)</f>
        <v/>
      </c>
      <c r="Z378" s="3">
        <f>N(O378)*IFERROR(VLOOKUP($C378,Assumptions!$A$4:$G$7,2,FALSE),0)</f>
        <v/>
      </c>
      <c r="AA378" s="3">
        <f>N(S378)*IFERROR(VLOOKUP($C378,Assumptions!$A$4:$G$7,3,FALSE),0)*Assumptions!$B$11</f>
        <v/>
      </c>
      <c r="AB378" s="3">
        <f>N(N378)*IFERROR(VLOOKUP($C378,Assumptions!$A$4:$G$7,4,FALSE),0)</f>
        <v/>
      </c>
      <c r="AC378" s="3">
        <f>IF(N(U378)=0,0,V378*IFERROR(VLOOKUP($C378,Assumptions!$A$4:$G$7,5,FALSE),0)*90/N(U378))</f>
        <v/>
      </c>
      <c r="AD378" s="3">
        <f>N(W378)</f>
        <v/>
      </c>
      <c r="AE378" s="3">
        <f>SUM(Y378:AD378)</f>
        <v/>
      </c>
      <c r="AF378" s="3">
        <f>N(AE378)*N(M378)/90</f>
        <v/>
      </c>
      <c r="AG378" s="3">
        <f>IFERROR(AF378-VLOOKUP($C378,Assumptions!$A$29:$C$32,3,FALSE),"")</f>
        <v/>
      </c>
      <c r="AH378" s="3">
        <f>IFERROR(AG378/F378,"")</f>
        <v/>
      </c>
      <c r="AI378">
        <f>IF(AND($E378=TRUE,$C378="GKP"),AF378,"")</f>
        <v/>
      </c>
      <c r="AJ378">
        <f>IF(AND($E378=TRUE,$C378="DEF"),AF378,"")</f>
        <v/>
      </c>
      <c r="AK378">
        <f>IF(AND($E378=TRUE,$C378="MID"),AF378,"")</f>
        <v/>
      </c>
      <c r="AL378">
        <f>IF(AND($E378=TRUE,$C378="FWD"),AF378,"")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b">
        <v>1</v>
      </c>
      <c r="F379" s="2" t="n">
        <v>4</v>
      </c>
      <c r="G379" t="inlineStr">
        <is>
          <t>a</t>
        </is>
      </c>
      <c r="I379" s="2" t="n">
        <v>34</v>
      </c>
      <c r="J379" t="n">
        <v>3</v>
      </c>
      <c r="K379" s="3" t="n">
        <v>0</v>
      </c>
      <c r="L379" t="inlineStr">
        <is>
          <t>flat</t>
        </is>
      </c>
      <c r="M379" s="4" t="n">
        <v>34</v>
      </c>
      <c r="N379" s="4" t="n">
        <v>0.29</v>
      </c>
      <c r="O379" s="3" t="n">
        <v>0</v>
      </c>
      <c r="P379" t="inlineStr">
        <is>
          <t>blended xG</t>
        </is>
      </c>
      <c r="Q379" s="3" t="n">
        <v>1</v>
      </c>
      <c r="R379" s="3" t="n">
        <v>0</v>
      </c>
      <c r="S379" s="3" t="n">
        <v>0</v>
      </c>
      <c r="T379" s="3" t="n">
        <v>7.458</v>
      </c>
      <c r="U379" s="4" t="n">
        <v>85</v>
      </c>
      <c r="V379" s="3">
        <f>IF(OR(N(T379)=0,N(U379)=0),0,1-POISSON(IFERROR(VLOOKUP($C379,Assumptions!$A$4:$G$7,7,FALSE),99)-1,N(T379)*N(U379)/90,TRUE))</f>
        <v/>
      </c>
      <c r="W379" s="3" t="n">
        <v>0</v>
      </c>
      <c r="X379" s="3" t="n">
        <v>7.941</v>
      </c>
      <c r="Y379" s="3">
        <f>IF(X379="",IFERROR(VLOOKUP($C379,Assumptions!$A$4:$G$7,6,FALSE),0),X379)</f>
        <v/>
      </c>
      <c r="Z379" s="3">
        <f>N(O379)*IFERROR(VLOOKUP($C379,Assumptions!$A$4:$G$7,2,FALSE),0)</f>
        <v/>
      </c>
      <c r="AA379" s="3">
        <f>N(S379)*IFERROR(VLOOKUP($C379,Assumptions!$A$4:$G$7,3,FALSE),0)*Assumptions!$B$11</f>
        <v/>
      </c>
      <c r="AB379" s="3">
        <f>N(N379)*IFERROR(VLOOKUP($C379,Assumptions!$A$4:$G$7,4,FALSE),0)</f>
        <v/>
      </c>
      <c r="AC379" s="3">
        <f>IF(N(U379)=0,0,V379*IFERROR(VLOOKUP($C379,Assumptions!$A$4:$G$7,5,FALSE),0)*90/N(U379))</f>
        <v/>
      </c>
      <c r="AD379" s="3">
        <f>N(W379)</f>
        <v/>
      </c>
      <c r="AE379" s="3">
        <f>SUM(Y379:AD379)</f>
        <v/>
      </c>
      <c r="AF379" s="3">
        <f>N(AE379)*N(M379)/90</f>
        <v/>
      </c>
      <c r="AG379" s="3">
        <f>IFERROR(AF379-VLOOKUP($C379,Assumptions!$A$29:$C$32,3,FALSE),"")</f>
        <v/>
      </c>
      <c r="AH379" s="3">
        <f>IFERROR(AG379/F379,"")</f>
        <v/>
      </c>
      <c r="AI379">
        <f>IF(AND($E379=TRUE,$C379="GKP"),AF379,"")</f>
        <v/>
      </c>
      <c r="AJ379">
        <f>IF(AND($E379=TRUE,$C379="DEF"),AF379,"")</f>
        <v/>
      </c>
      <c r="AK379">
        <f>IF(AND($E379=TRUE,$C379="MID"),AF379,"")</f>
        <v/>
      </c>
      <c r="AL379">
        <f>IF(AND($E379=TRUE,$C379="FWD"),AF379,"")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b">
        <v>1</v>
      </c>
      <c r="F380" s="2" t="n">
        <v>4.5</v>
      </c>
      <c r="G380" t="inlineStr">
        <is>
          <t>a</t>
        </is>
      </c>
      <c r="I380" s="2" t="n">
        <v>100</v>
      </c>
      <c r="J380" t="n">
        <v>3</v>
      </c>
      <c r="K380" s="3" t="n">
        <v>0</v>
      </c>
      <c r="L380" t="inlineStr">
        <is>
          <t>flat</t>
        </is>
      </c>
      <c r="M380" s="4" t="n">
        <v>100</v>
      </c>
      <c r="N380" s="4" t="n">
        <v>0.237</v>
      </c>
      <c r="O380" s="3" t="n">
        <v>0.3015</v>
      </c>
      <c r="P380" t="inlineStr">
        <is>
          <t>adjusted xGOT</t>
        </is>
      </c>
      <c r="Q380" s="3" t="n">
        <v>0.958</v>
      </c>
      <c r="R380" s="3" t="n">
        <v>0.4</v>
      </c>
      <c r="S380" s="3" t="n">
        <v>0</v>
      </c>
      <c r="T380" s="3" t="n">
        <v>7.626</v>
      </c>
      <c r="U380" s="4" t="n">
        <v>100</v>
      </c>
      <c r="V380" s="3">
        <f>IF(OR(N(T380)=0,N(U380)=0),0,1-POISSON(IFERROR(VLOOKUP($C380,Assumptions!$A$4:$G$7,7,FALSE),99)-1,N(T380)*N(U380)/90,TRUE))</f>
        <v/>
      </c>
      <c r="W380" s="3" t="n">
        <v>0</v>
      </c>
      <c r="X380" s="3" t="n">
        <v>3.6</v>
      </c>
      <c r="Y380" s="3">
        <f>IF(X380="",IFERROR(VLOOKUP($C380,Assumptions!$A$4:$G$7,6,FALSE),0),X380)</f>
        <v/>
      </c>
      <c r="Z380" s="3">
        <f>N(O380)*IFERROR(VLOOKUP($C380,Assumptions!$A$4:$G$7,2,FALSE),0)</f>
        <v/>
      </c>
      <c r="AA380" s="3">
        <f>N(S380)*IFERROR(VLOOKUP($C380,Assumptions!$A$4:$G$7,3,FALSE),0)*Assumptions!$B$11</f>
        <v/>
      </c>
      <c r="AB380" s="3">
        <f>N(N380)*IFERROR(VLOOKUP($C380,Assumptions!$A$4:$G$7,4,FALSE),0)</f>
        <v/>
      </c>
      <c r="AC380" s="3">
        <f>IF(N(U380)=0,0,V380*IFERROR(VLOOKUP($C380,Assumptions!$A$4:$G$7,5,FALSE),0)*90/N(U380))</f>
        <v/>
      </c>
      <c r="AD380" s="3">
        <f>N(W380)</f>
        <v/>
      </c>
      <c r="AE380" s="3">
        <f>SUM(Y380:AD380)</f>
        <v/>
      </c>
      <c r="AF380" s="3">
        <f>N(AE380)*N(M380)/90</f>
        <v/>
      </c>
      <c r="AG380" s="3">
        <f>IFERROR(AF380-VLOOKUP($C380,Assumptions!$A$29:$C$32,3,FALSE),"")</f>
        <v/>
      </c>
      <c r="AH380" s="3">
        <f>IFERROR(AG380/F380,"")</f>
        <v/>
      </c>
      <c r="AI380">
        <f>IF(AND($E380=TRUE,$C380="GKP"),AF380,"")</f>
        <v/>
      </c>
      <c r="AJ380">
        <f>IF(AND($E380=TRUE,$C380="DEF"),AF380,"")</f>
        <v/>
      </c>
      <c r="AK380">
        <f>IF(AND($E380=TRUE,$C380="MID"),AF380,"")</f>
        <v/>
      </c>
      <c r="AL380">
        <f>IF(AND($E380=TRUE,$C380="FWD"),AF380,"")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b">
        <v>1</v>
      </c>
      <c r="F381" s="2" t="n">
        <v>4</v>
      </c>
      <c r="G381" t="inlineStr">
        <is>
          <t>a</t>
        </is>
      </c>
      <c r="I381" s="2" t="n">
        <v>165</v>
      </c>
      <c r="J381" t="n">
        <v>3</v>
      </c>
      <c r="K381" s="3" t="n">
        <v>0</v>
      </c>
      <c r="L381" t="inlineStr">
        <is>
          <t>flat</t>
        </is>
      </c>
      <c r="M381" s="4" t="n">
        <v>165</v>
      </c>
      <c r="N381" s="4" t="n">
        <v>0.237</v>
      </c>
      <c r="O381" s="3" t="n">
        <v>0</v>
      </c>
      <c r="P381" t="inlineStr">
        <is>
          <t>blended xG</t>
        </is>
      </c>
      <c r="Q381" s="3" t="n">
        <v>1</v>
      </c>
      <c r="R381" s="3" t="n">
        <v>0</v>
      </c>
      <c r="S381" s="3" t="n">
        <v>0.0027</v>
      </c>
      <c r="T381" s="3" t="n">
        <v>7.574</v>
      </c>
      <c r="U381" s="4" t="n">
        <v>82.5</v>
      </c>
      <c r="V381" s="3">
        <f>IF(OR(N(T381)=0,N(U381)=0),0,1-POISSON(IFERROR(VLOOKUP($C381,Assumptions!$A$4:$G$7,7,FALSE),99)-1,N(T381)*N(U381)/90,TRUE))</f>
        <v/>
      </c>
      <c r="W381" s="3" t="n">
        <v>0</v>
      </c>
      <c r="X381" s="3" t="n">
        <v>2.182</v>
      </c>
      <c r="Y381" s="3">
        <f>IF(X381="",IFERROR(VLOOKUP($C381,Assumptions!$A$4:$G$7,6,FALSE),0),X381)</f>
        <v/>
      </c>
      <c r="Z381" s="3">
        <f>N(O381)*IFERROR(VLOOKUP($C381,Assumptions!$A$4:$G$7,2,FALSE),0)</f>
        <v/>
      </c>
      <c r="AA381" s="3">
        <f>N(S381)*IFERROR(VLOOKUP($C381,Assumptions!$A$4:$G$7,3,FALSE),0)*Assumptions!$B$11</f>
        <v/>
      </c>
      <c r="AB381" s="3">
        <f>N(N381)*IFERROR(VLOOKUP($C381,Assumptions!$A$4:$G$7,4,FALSE),0)</f>
        <v/>
      </c>
      <c r="AC381" s="3">
        <f>IF(N(U381)=0,0,V381*IFERROR(VLOOKUP($C381,Assumptions!$A$4:$G$7,5,FALSE),0)*90/N(U381))</f>
        <v/>
      </c>
      <c r="AD381" s="3">
        <f>N(W381)</f>
        <v/>
      </c>
      <c r="AE381" s="3">
        <f>SUM(Y381:AD381)</f>
        <v/>
      </c>
      <c r="AF381" s="3">
        <f>N(AE381)*N(M381)/90</f>
        <v/>
      </c>
      <c r="AG381" s="3">
        <f>IFERROR(AF381-VLOOKUP($C381,Assumptions!$A$29:$C$32,3,FALSE),"")</f>
        <v/>
      </c>
      <c r="AH381" s="3">
        <f>IFERROR(AG381/F381,"")</f>
        <v/>
      </c>
      <c r="AI381">
        <f>IF(AND($E381=TRUE,$C381="GKP"),AF381,"")</f>
        <v/>
      </c>
      <c r="AJ381">
        <f>IF(AND($E381=TRUE,$C381="DEF"),AF381,"")</f>
        <v/>
      </c>
      <c r="AK381">
        <f>IF(AND($E381=TRUE,$C381="MID"),AF381,"")</f>
        <v/>
      </c>
      <c r="AL381">
        <f>IF(AND($E381=TRUE,$C381="FWD"),AF381,"")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b">
        <v>1</v>
      </c>
      <c r="F382" s="2" t="n">
        <v>4</v>
      </c>
      <c r="G382" t="inlineStr">
        <is>
          <t>u</t>
        </is>
      </c>
      <c r="H382" t="inlineStr">
        <is>
          <t>Has joined FC Kaiserslautern on loan for the rest of the season</t>
        </is>
      </c>
      <c r="I382" s="2" t="n">
        <v>7</v>
      </c>
      <c r="J382" t="n">
        <v>2</v>
      </c>
      <c r="K382" s="3" t="n"/>
      <c r="M382" s="4" t="n">
        <v>7</v>
      </c>
      <c r="N382" s="4" t="n">
        <v>0.21</v>
      </c>
      <c r="O382" s="3" t="n">
        <v>0</v>
      </c>
      <c r="P382" t="inlineStr">
        <is>
          <t>blended xG</t>
        </is>
      </c>
      <c r="Q382" s="3" t="n">
        <v>1</v>
      </c>
      <c r="R382" s="3" t="n">
        <v>0</v>
      </c>
      <c r="S382" s="3" t="n">
        <v>0</v>
      </c>
      <c r="T382" s="3" t="n">
        <v>8.106</v>
      </c>
      <c r="U382" s="4" t="n">
        <v>85</v>
      </c>
      <c r="V382" s="3">
        <f>IF(OR(N(T382)=0,N(U382)=0),0,1-POISSON(IFERROR(VLOOKUP($C382,Assumptions!$A$4:$G$7,7,FALSE),99)-1,N(T382)*N(U382)/90,TRUE))</f>
        <v/>
      </c>
      <c r="W382" s="3" t="n">
        <v>0</v>
      </c>
      <c r="X382" s="3" t="n">
        <v>25.714</v>
      </c>
      <c r="Y382" s="3">
        <f>IF(X382="",IFERROR(VLOOKUP($C382,Assumptions!$A$4:$G$7,6,FALSE),0),X382)</f>
        <v/>
      </c>
      <c r="Z382" s="3">
        <f>N(O382)*IFERROR(VLOOKUP($C382,Assumptions!$A$4:$G$7,2,FALSE),0)</f>
        <v/>
      </c>
      <c r="AA382" s="3">
        <f>N(S382)*IFERROR(VLOOKUP($C382,Assumptions!$A$4:$G$7,3,FALSE),0)*Assumptions!$B$11</f>
        <v/>
      </c>
      <c r="AB382" s="3">
        <f>N(N382)*IFERROR(VLOOKUP($C382,Assumptions!$A$4:$G$7,4,FALSE),0)</f>
        <v/>
      </c>
      <c r="AC382" s="3">
        <f>IF(N(U382)=0,0,V382*IFERROR(VLOOKUP($C382,Assumptions!$A$4:$G$7,5,FALSE),0)*90/N(U382))</f>
        <v/>
      </c>
      <c r="AD382" s="3">
        <f>N(W382)</f>
        <v/>
      </c>
      <c r="AE382" s="3">
        <f>SUM(Y382:AD382)</f>
        <v/>
      </c>
      <c r="AF382" s="3">
        <f>N(AE382)*N(M382)/90</f>
        <v/>
      </c>
      <c r="AG382" s="3">
        <f>IFERROR(AF382-VLOOKUP($C382,Assumptions!$A$29:$C$32,3,FALSE),"")</f>
        <v/>
      </c>
      <c r="AH382" s="3">
        <f>IFERROR(AG382/F382,"")</f>
        <v/>
      </c>
      <c r="AI382">
        <f>IF(AND($E382=TRUE,$C382="GKP"),AF382,"")</f>
        <v/>
      </c>
      <c r="AJ382">
        <f>IF(AND($E382=TRUE,$C382="DEF"),AF382,"")</f>
        <v/>
      </c>
      <c r="AK382">
        <f>IF(AND($E382=TRUE,$C382="MID"),AF382,"")</f>
        <v/>
      </c>
      <c r="AL382">
        <f>IF(AND($E382=TRUE,$C382="FWD"),AF382,"")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b">
        <v>1</v>
      </c>
      <c r="F383" s="2" t="n">
        <v>4.5</v>
      </c>
      <c r="G383" t="inlineStr">
        <is>
          <t>a</t>
        </is>
      </c>
      <c r="I383" s="2" t="n">
        <v>7</v>
      </c>
      <c r="J383" t="n">
        <v>2</v>
      </c>
      <c r="K383" s="3" t="n">
        <v>0</v>
      </c>
      <c r="L383" t="inlineStr">
        <is>
          <t>flat</t>
        </is>
      </c>
      <c r="M383" s="4" t="n">
        <v>7</v>
      </c>
      <c r="N383" s="4" t="n">
        <v>0.316</v>
      </c>
      <c r="O383" s="3" t="n">
        <v>0</v>
      </c>
      <c r="P383" t="inlineStr">
        <is>
          <t>blended xG</t>
        </is>
      </c>
      <c r="Q383" s="3" t="n">
        <v>1</v>
      </c>
      <c r="R383" s="3" t="n">
        <v>0</v>
      </c>
      <c r="S383" s="3" t="n">
        <v>0</v>
      </c>
      <c r="T383" s="3" t="n">
        <v>8.866</v>
      </c>
      <c r="U383" s="4" t="n">
        <v>85</v>
      </c>
      <c r="V383" s="3">
        <f>IF(OR(N(T383)=0,N(U383)=0),0,1-POISSON(IFERROR(VLOOKUP($C383,Assumptions!$A$4:$G$7,7,FALSE),99)-1,N(T383)*N(U383)/90,TRUE))</f>
        <v/>
      </c>
      <c r="W383" s="3" t="n">
        <v>0</v>
      </c>
      <c r="X383" s="3" t="n">
        <v>25.714</v>
      </c>
      <c r="Y383" s="3">
        <f>IF(X383="",IFERROR(VLOOKUP($C383,Assumptions!$A$4:$G$7,6,FALSE),0),X383)</f>
        <v/>
      </c>
      <c r="Z383" s="3">
        <f>N(O383)*IFERROR(VLOOKUP($C383,Assumptions!$A$4:$G$7,2,FALSE),0)</f>
        <v/>
      </c>
      <c r="AA383" s="3">
        <f>N(S383)*IFERROR(VLOOKUP($C383,Assumptions!$A$4:$G$7,3,FALSE),0)*Assumptions!$B$11</f>
        <v/>
      </c>
      <c r="AB383" s="3">
        <f>N(N383)*IFERROR(VLOOKUP($C383,Assumptions!$A$4:$G$7,4,FALSE),0)</f>
        <v/>
      </c>
      <c r="AC383" s="3">
        <f>IF(N(U383)=0,0,V383*IFERROR(VLOOKUP($C383,Assumptions!$A$4:$G$7,5,FALSE),0)*90/N(U383))</f>
        <v/>
      </c>
      <c r="AD383" s="3">
        <f>N(W383)</f>
        <v/>
      </c>
      <c r="AE383" s="3">
        <f>SUM(Y383:AD383)</f>
        <v/>
      </c>
      <c r="AF383" s="3">
        <f>N(AE383)*N(M383)/90</f>
        <v/>
      </c>
      <c r="AG383" s="3">
        <f>IFERROR(AF383-VLOOKUP($C383,Assumptions!$A$29:$C$32,3,FALSE),"")</f>
        <v/>
      </c>
      <c r="AH383" s="3">
        <f>IFERROR(AG383/F383,"")</f>
        <v/>
      </c>
      <c r="AI383">
        <f>IF(AND($E383=TRUE,$C383="GKP"),AF383,"")</f>
        <v/>
      </c>
      <c r="AJ383">
        <f>IF(AND($E383=TRUE,$C383="DEF"),AF383,"")</f>
        <v/>
      </c>
      <c r="AK383">
        <f>IF(AND($E383=TRUE,$C383="MID"),AF383,"")</f>
        <v/>
      </c>
      <c r="AL383">
        <f>IF(AND($E383=TRUE,$C383="FWD"),AF383,"")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b">
        <v>1</v>
      </c>
      <c r="F384" s="2" t="n">
        <v>5</v>
      </c>
      <c r="G384" t="inlineStr">
        <is>
          <t>a</t>
        </is>
      </c>
      <c r="I384" s="2" t="n">
        <v>90</v>
      </c>
      <c r="J384" t="n">
        <v>2</v>
      </c>
      <c r="K384" s="3" t="n">
        <v>35</v>
      </c>
      <c r="L384" t="inlineStr">
        <is>
          <t>flat</t>
        </is>
      </c>
      <c r="M384" s="4" t="n">
        <v>90</v>
      </c>
      <c r="N384" s="4" t="n">
        <v>0.5</v>
      </c>
      <c r="O384" s="3" t="n">
        <v>0</v>
      </c>
      <c r="P384" t="inlineStr">
        <is>
          <t>adjusted xGOT</t>
        </is>
      </c>
      <c r="Q384" s="3" t="n">
        <v>0.993</v>
      </c>
      <c r="R384" s="3" t="n">
        <v>0.1</v>
      </c>
      <c r="S384" s="3" t="n">
        <v>0</v>
      </c>
      <c r="T384" s="3" t="n">
        <v>0</v>
      </c>
      <c r="U384" s="4" t="n">
        <v>90</v>
      </c>
      <c r="V384" s="3">
        <f>IF(OR(N(T384)=0,N(U384)=0),0,1-POISSON(IFERROR(VLOOKUP($C384,Assumptions!$A$4:$G$7,7,FALSE),99)-1,N(T384)*N(U384)/90,TRUE))</f>
        <v/>
      </c>
      <c r="W384" s="3" t="n">
        <v>0</v>
      </c>
      <c r="X384" s="3" t="n">
        <v>2</v>
      </c>
      <c r="Y384" s="3">
        <f>IF(X384="",IFERROR(VLOOKUP($C384,Assumptions!$A$4:$G$7,6,FALSE),0),X384)</f>
        <v/>
      </c>
      <c r="Z384" s="3">
        <f>N(O384)*IFERROR(VLOOKUP($C384,Assumptions!$A$4:$G$7,2,FALSE),0)</f>
        <v/>
      </c>
      <c r="AA384" s="3">
        <f>N(S384)*IFERROR(VLOOKUP($C384,Assumptions!$A$4:$G$7,3,FALSE),0)*Assumptions!$B$11</f>
        <v/>
      </c>
      <c r="AB384" s="3">
        <f>N(N384)*IFERROR(VLOOKUP($C384,Assumptions!$A$4:$G$7,4,FALSE),0)</f>
        <v/>
      </c>
      <c r="AC384" s="3">
        <f>IF(N(U384)=0,0,V384*IFERROR(VLOOKUP($C384,Assumptions!$A$4:$G$7,5,FALSE),0)*90/N(U384))</f>
        <v/>
      </c>
      <c r="AD384" s="3">
        <f>N(W384)</f>
        <v/>
      </c>
      <c r="AE384" s="3">
        <f>SUM(Y384:AD384)</f>
        <v/>
      </c>
      <c r="AF384" s="3">
        <f>N(AE384)*N(M384)/90</f>
        <v/>
      </c>
      <c r="AG384" s="3">
        <f>IFERROR(AF384-VLOOKUP($C384,Assumptions!$A$29:$C$32,3,FALSE),"")</f>
        <v/>
      </c>
      <c r="AH384" s="3">
        <f>IFERROR(AG384/F384,"")</f>
        <v/>
      </c>
      <c r="AI384">
        <f>IF(AND($E384=TRUE,$C384="GKP"),AF384,"")</f>
        <v/>
      </c>
      <c r="AJ384">
        <f>IF(AND($E384=TRUE,$C384="DEF"),AF384,"")</f>
        <v/>
      </c>
      <c r="AK384">
        <f>IF(AND($E384=TRUE,$C384="MID"),AF384,"")</f>
        <v/>
      </c>
      <c r="AL384">
        <f>IF(AND($E384=TRUE,$C384="FWD"),AF384,"")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b">
        <v>1</v>
      </c>
      <c r="F385" s="2" t="n">
        <v>4.5</v>
      </c>
      <c r="G385" t="inlineStr">
        <is>
          <t>a</t>
        </is>
      </c>
      <c r="I385" s="2" t="n">
        <v>25</v>
      </c>
      <c r="J385" t="n">
        <v>2</v>
      </c>
      <c r="K385" s="3" t="n">
        <v>0</v>
      </c>
      <c r="L385" t="inlineStr">
        <is>
          <t>flat</t>
        </is>
      </c>
      <c r="M385" s="4" t="n">
        <v>25</v>
      </c>
      <c r="N385" s="4" t="n">
        <v>0.421</v>
      </c>
      <c r="O385" s="3" t="n">
        <v>0</v>
      </c>
      <c r="P385" t="inlineStr">
        <is>
          <t>blended xG</t>
        </is>
      </c>
      <c r="Q385" s="3" t="n">
        <v>1</v>
      </c>
      <c r="R385" s="3" t="n">
        <v>0</v>
      </c>
      <c r="S385" s="3" t="n">
        <v>0.7591</v>
      </c>
      <c r="T385" s="3" t="n">
        <v>8.41</v>
      </c>
      <c r="U385" s="4" t="n">
        <v>85</v>
      </c>
      <c r="V385" s="3">
        <f>IF(OR(N(T385)=0,N(U385)=0),0,1-POISSON(IFERROR(VLOOKUP($C385,Assumptions!$A$4:$G$7,7,FALSE),99)-1,N(T385)*N(U385)/90,TRUE))</f>
        <v/>
      </c>
      <c r="W385" s="3" t="n">
        <v>0</v>
      </c>
      <c r="X385" s="3" t="n">
        <v>7.2</v>
      </c>
      <c r="Y385" s="3">
        <f>IF(X385="",IFERROR(VLOOKUP($C385,Assumptions!$A$4:$G$7,6,FALSE),0),X385)</f>
        <v/>
      </c>
      <c r="Z385" s="3">
        <f>N(O385)*IFERROR(VLOOKUP($C385,Assumptions!$A$4:$G$7,2,FALSE),0)</f>
        <v/>
      </c>
      <c r="AA385" s="3">
        <f>N(S385)*IFERROR(VLOOKUP($C385,Assumptions!$A$4:$G$7,3,FALSE),0)*Assumptions!$B$11</f>
        <v/>
      </c>
      <c r="AB385" s="3">
        <f>N(N385)*IFERROR(VLOOKUP($C385,Assumptions!$A$4:$G$7,4,FALSE),0)</f>
        <v/>
      </c>
      <c r="AC385" s="3">
        <f>IF(N(U385)=0,0,V385*IFERROR(VLOOKUP($C385,Assumptions!$A$4:$G$7,5,FALSE),0)*90/N(U385))</f>
        <v/>
      </c>
      <c r="AD385" s="3">
        <f>N(W385)</f>
        <v/>
      </c>
      <c r="AE385" s="3">
        <f>SUM(Y385:AD385)</f>
        <v/>
      </c>
      <c r="AF385" s="3">
        <f>N(AE385)*N(M385)/90</f>
        <v/>
      </c>
      <c r="AG385" s="3">
        <f>IFERROR(AF385-VLOOKUP($C385,Assumptions!$A$29:$C$32,3,FALSE),"")</f>
        <v/>
      </c>
      <c r="AH385" s="3">
        <f>IFERROR(AG385/F385,"")</f>
        <v/>
      </c>
      <c r="AI385">
        <f>IF(AND($E385=TRUE,$C385="GKP"),AF385,"")</f>
        <v/>
      </c>
      <c r="AJ385">
        <f>IF(AND($E385=TRUE,$C385="DEF"),AF385,"")</f>
        <v/>
      </c>
      <c r="AK385">
        <f>IF(AND($E385=TRUE,$C385="MID"),AF385,"")</f>
        <v/>
      </c>
      <c r="AL385">
        <f>IF(AND($E385=TRUE,$C385="FWD"),AF385,"")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b">
        <v>1</v>
      </c>
      <c r="F386" s="2" t="n">
        <v>5</v>
      </c>
      <c r="G386" t="inlineStr">
        <is>
          <t>a</t>
        </is>
      </c>
      <c r="I386" s="2" t="n">
        <v>2</v>
      </c>
      <c r="J386" t="n">
        <v>2</v>
      </c>
      <c r="K386" s="3" t="n">
        <v>0</v>
      </c>
      <c r="L386" t="inlineStr">
        <is>
          <t>flat</t>
        </is>
      </c>
      <c r="M386" s="4" t="n">
        <v>2</v>
      </c>
      <c r="N386" s="4" t="n">
        <v>0.263</v>
      </c>
      <c r="O386" s="3" t="n">
        <v>3.87</v>
      </c>
      <c r="P386" t="inlineStr">
        <is>
          <t>adjusted xGOT</t>
        </is>
      </c>
      <c r="Q386" s="3" t="n">
        <v>1.077</v>
      </c>
      <c r="R386" s="3" t="n">
        <v>1.7</v>
      </c>
      <c r="S386" s="3" t="n">
        <v>0</v>
      </c>
      <c r="T386" s="3" t="n">
        <v>8.678000000000001</v>
      </c>
      <c r="U386" s="4" t="n">
        <v>85</v>
      </c>
      <c r="V386" s="3">
        <f>IF(OR(N(T386)=0,N(U386)=0),0,1-POISSON(IFERROR(VLOOKUP($C386,Assumptions!$A$4:$G$7,7,FALSE),99)-1,N(T386)*N(U386)/90,TRUE))</f>
        <v/>
      </c>
      <c r="W386" s="3" t="n">
        <v>0</v>
      </c>
      <c r="X386" s="3" t="n">
        <v>90</v>
      </c>
      <c r="Y386" s="3">
        <f>IF(X386="",IFERROR(VLOOKUP($C386,Assumptions!$A$4:$G$7,6,FALSE),0),X386)</f>
        <v/>
      </c>
      <c r="Z386" s="3">
        <f>N(O386)*IFERROR(VLOOKUP($C386,Assumptions!$A$4:$G$7,2,FALSE),0)</f>
        <v/>
      </c>
      <c r="AA386" s="3">
        <f>N(S386)*IFERROR(VLOOKUP($C386,Assumptions!$A$4:$G$7,3,FALSE),0)*Assumptions!$B$11</f>
        <v/>
      </c>
      <c r="AB386" s="3">
        <f>N(N386)*IFERROR(VLOOKUP($C386,Assumptions!$A$4:$G$7,4,FALSE),0)</f>
        <v/>
      </c>
      <c r="AC386" s="3">
        <f>IF(N(U386)=0,0,V386*IFERROR(VLOOKUP($C386,Assumptions!$A$4:$G$7,5,FALSE),0)*90/N(U386))</f>
        <v/>
      </c>
      <c r="AD386" s="3">
        <f>N(W386)</f>
        <v/>
      </c>
      <c r="AE386" s="3">
        <f>SUM(Y386:AD386)</f>
        <v/>
      </c>
      <c r="AF386" s="3">
        <f>N(AE386)*N(M386)/90</f>
        <v/>
      </c>
      <c r="AG386" s="3">
        <f>IFERROR(AF386-VLOOKUP($C386,Assumptions!$A$29:$C$32,3,FALSE),"")</f>
        <v/>
      </c>
      <c r="AH386" s="3">
        <f>IFERROR(AG386/F386,"")</f>
        <v/>
      </c>
      <c r="AI386">
        <f>IF(AND($E386=TRUE,$C386="GKP"),AF386,"")</f>
        <v/>
      </c>
      <c r="AJ386">
        <f>IF(AND($E386=TRUE,$C386="DEF"),AF386,"")</f>
        <v/>
      </c>
      <c r="AK386">
        <f>IF(AND($E386=TRUE,$C386="MID"),AF386,"")</f>
        <v/>
      </c>
      <c r="AL386">
        <f>IF(AND($E386=TRUE,$C386="FWD"),AF386,"")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b">
        <v>1</v>
      </c>
      <c r="F387" s="2" t="n">
        <v>4.5</v>
      </c>
      <c r="G387" t="inlineStr">
        <is>
          <t>a</t>
        </is>
      </c>
      <c r="I387" s="2" t="n">
        <v>17</v>
      </c>
      <c r="J387" t="n">
        <v>2</v>
      </c>
      <c r="K387" s="3" t="n">
        <v>52</v>
      </c>
      <c r="L387" t="inlineStr">
        <is>
          <t>flat</t>
        </is>
      </c>
      <c r="M387" s="4" t="n">
        <v>17</v>
      </c>
      <c r="N387" s="4" t="n">
        <v>0.21</v>
      </c>
      <c r="O387" s="3" t="n">
        <v>0</v>
      </c>
      <c r="P387" t="inlineStr">
        <is>
          <t>blended xG</t>
        </is>
      </c>
      <c r="Q387" s="3" t="n">
        <v>1</v>
      </c>
      <c r="R387" s="3" t="n">
        <v>0</v>
      </c>
      <c r="S387" s="3" t="n">
        <v>0.0265</v>
      </c>
      <c r="T387" s="3" t="n">
        <v>8.622999999999999</v>
      </c>
      <c r="U387" s="4" t="n">
        <v>85</v>
      </c>
      <c r="V387" s="3">
        <f>IF(OR(N(T387)=0,N(U387)=0),0,1-POISSON(IFERROR(VLOOKUP($C387,Assumptions!$A$4:$G$7,7,FALSE),99)-1,N(T387)*N(U387)/90,TRUE))</f>
        <v/>
      </c>
      <c r="W387" s="3" t="n">
        <v>0</v>
      </c>
      <c r="X387" s="3" t="n">
        <v>10.588</v>
      </c>
      <c r="Y387" s="3">
        <f>IF(X387="",IFERROR(VLOOKUP($C387,Assumptions!$A$4:$G$7,6,FALSE),0),X387)</f>
        <v/>
      </c>
      <c r="Z387" s="3">
        <f>N(O387)*IFERROR(VLOOKUP($C387,Assumptions!$A$4:$G$7,2,FALSE),0)</f>
        <v/>
      </c>
      <c r="AA387" s="3">
        <f>N(S387)*IFERROR(VLOOKUP($C387,Assumptions!$A$4:$G$7,3,FALSE),0)*Assumptions!$B$11</f>
        <v/>
      </c>
      <c r="AB387" s="3">
        <f>N(N387)*IFERROR(VLOOKUP($C387,Assumptions!$A$4:$G$7,4,FALSE),0)</f>
        <v/>
      </c>
      <c r="AC387" s="3">
        <f>IF(N(U387)=0,0,V387*IFERROR(VLOOKUP($C387,Assumptions!$A$4:$G$7,5,FALSE),0)*90/N(U387))</f>
        <v/>
      </c>
      <c r="AD387" s="3">
        <f>N(W387)</f>
        <v/>
      </c>
      <c r="AE387" s="3">
        <f>SUM(Y387:AD387)</f>
        <v/>
      </c>
      <c r="AF387" s="3">
        <f>N(AE387)*N(M387)/90</f>
        <v/>
      </c>
      <c r="AG387" s="3">
        <f>IFERROR(AF387-VLOOKUP($C387,Assumptions!$A$29:$C$32,3,FALSE),"")</f>
        <v/>
      </c>
      <c r="AH387" s="3">
        <f>IFERROR(AG387/F387,"")</f>
        <v/>
      </c>
      <c r="AI387">
        <f>IF(AND($E387=TRUE,$C387="GKP"),AF387,"")</f>
        <v/>
      </c>
      <c r="AJ387">
        <f>IF(AND($E387=TRUE,$C387="DEF"),AF387,"")</f>
        <v/>
      </c>
      <c r="AK387">
        <f>IF(AND($E387=TRUE,$C387="MID"),AF387,"")</f>
        <v/>
      </c>
      <c r="AL387">
        <f>IF(AND($E387=TRUE,$C387="FWD"),AF387,"")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b">
        <v>1</v>
      </c>
      <c r="F388" s="2" t="n">
        <v>4.5</v>
      </c>
      <c r="G388" t="inlineStr">
        <is>
          <t>a</t>
        </is>
      </c>
      <c r="I388" s="2" t="n">
        <v>133</v>
      </c>
      <c r="J388" t="n">
        <v>2</v>
      </c>
      <c r="K388" s="3" t="n">
        <v>147</v>
      </c>
      <c r="L388" t="inlineStr">
        <is>
          <t>flat</t>
        </is>
      </c>
      <c r="M388" s="4" t="n">
        <v>133</v>
      </c>
      <c r="N388" s="4" t="n">
        <v>0.29</v>
      </c>
      <c r="O388" s="3" t="n">
        <v>0</v>
      </c>
      <c r="P388" t="inlineStr">
        <is>
          <t>blended xG</t>
        </is>
      </c>
      <c r="Q388" s="3" t="n">
        <v>1</v>
      </c>
      <c r="R388" s="3" t="n">
        <v>0</v>
      </c>
      <c r="S388" s="3" t="n">
        <v>0.0034</v>
      </c>
      <c r="T388" s="3" t="n">
        <v>7.753</v>
      </c>
      <c r="U388" s="4" t="n">
        <v>133</v>
      </c>
      <c r="V388" s="3">
        <f>IF(OR(N(T388)=0,N(U388)=0),0,1-POISSON(IFERROR(VLOOKUP($C388,Assumptions!$A$4:$G$7,7,FALSE),99)-1,N(T388)*N(U388)/90,TRUE))</f>
        <v/>
      </c>
      <c r="W388" s="3" t="n">
        <v>0</v>
      </c>
      <c r="X388" s="3" t="n">
        <v>2.03</v>
      </c>
      <c r="Y388" s="3">
        <f>IF(X388="",IFERROR(VLOOKUP($C388,Assumptions!$A$4:$G$7,6,FALSE),0),X388)</f>
        <v/>
      </c>
      <c r="Z388" s="3">
        <f>N(O388)*IFERROR(VLOOKUP($C388,Assumptions!$A$4:$G$7,2,FALSE),0)</f>
        <v/>
      </c>
      <c r="AA388" s="3">
        <f>N(S388)*IFERROR(VLOOKUP($C388,Assumptions!$A$4:$G$7,3,FALSE),0)*Assumptions!$B$11</f>
        <v/>
      </c>
      <c r="AB388" s="3">
        <f>N(N388)*IFERROR(VLOOKUP($C388,Assumptions!$A$4:$G$7,4,FALSE),0)</f>
        <v/>
      </c>
      <c r="AC388" s="3">
        <f>IF(N(U388)=0,0,V388*IFERROR(VLOOKUP($C388,Assumptions!$A$4:$G$7,5,FALSE),0)*90/N(U388))</f>
        <v/>
      </c>
      <c r="AD388" s="3">
        <f>N(W388)</f>
        <v/>
      </c>
      <c r="AE388" s="3">
        <f>SUM(Y388:AD388)</f>
        <v/>
      </c>
      <c r="AF388" s="3">
        <f>N(AE388)*N(M388)/90</f>
        <v/>
      </c>
      <c r="AG388" s="3">
        <f>IFERROR(AF388-VLOOKUP($C388,Assumptions!$A$29:$C$32,3,FALSE),"")</f>
        <v/>
      </c>
      <c r="AH388" s="3">
        <f>IFERROR(AG388/F388,"")</f>
        <v/>
      </c>
      <c r="AI388">
        <f>IF(AND($E388=TRUE,$C388="GKP"),AF388,"")</f>
        <v/>
      </c>
      <c r="AJ388">
        <f>IF(AND($E388=TRUE,$C388="DEF"),AF388,"")</f>
        <v/>
      </c>
      <c r="AK388">
        <f>IF(AND($E388=TRUE,$C388="MID"),AF388,"")</f>
        <v/>
      </c>
      <c r="AL388">
        <f>IF(AND($E388=TRUE,$C388="FWD"),AF388,"")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b">
        <v>1</v>
      </c>
      <c r="F389" s="2" t="n">
        <v>4.5</v>
      </c>
      <c r="G389" t="inlineStr">
        <is>
          <t>a</t>
        </is>
      </c>
      <c r="I389" s="2" t="n">
        <v>25</v>
      </c>
      <c r="J389" t="n">
        <v>2</v>
      </c>
      <c r="K389" s="3" t="n">
        <v>19</v>
      </c>
      <c r="L389" t="inlineStr">
        <is>
          <t>flat</t>
        </is>
      </c>
      <c r="M389" s="4" t="n">
        <v>25</v>
      </c>
      <c r="N389" s="4" t="n">
        <v>0.237</v>
      </c>
      <c r="O389" s="3" t="n">
        <v>0.144</v>
      </c>
      <c r="P389" t="inlineStr">
        <is>
          <t>adjusted xGOT</t>
        </is>
      </c>
      <c r="Q389" s="3" t="n">
        <v>0.995</v>
      </c>
      <c r="R389" s="3" t="n">
        <v>0</v>
      </c>
      <c r="S389" s="3" t="n">
        <v>0.018</v>
      </c>
      <c r="T389" s="3" t="n">
        <v>8.41</v>
      </c>
      <c r="U389" s="4" t="n">
        <v>85</v>
      </c>
      <c r="V389" s="3">
        <f>IF(OR(N(T389)=0,N(U389)=0),0,1-POISSON(IFERROR(VLOOKUP($C389,Assumptions!$A$4:$G$7,7,FALSE),99)-1,N(T389)*N(U389)/90,TRUE))</f>
        <v/>
      </c>
      <c r="W389" s="3" t="n">
        <v>0</v>
      </c>
      <c r="X389" s="3" t="n">
        <v>7.2</v>
      </c>
      <c r="Y389" s="3">
        <f>IF(X389="",IFERROR(VLOOKUP($C389,Assumptions!$A$4:$G$7,6,FALSE),0),X389)</f>
        <v/>
      </c>
      <c r="Z389" s="3">
        <f>N(O389)*IFERROR(VLOOKUP($C389,Assumptions!$A$4:$G$7,2,FALSE),0)</f>
        <v/>
      </c>
      <c r="AA389" s="3">
        <f>N(S389)*IFERROR(VLOOKUP($C389,Assumptions!$A$4:$G$7,3,FALSE),0)*Assumptions!$B$11</f>
        <v/>
      </c>
      <c r="AB389" s="3">
        <f>N(N389)*IFERROR(VLOOKUP($C389,Assumptions!$A$4:$G$7,4,FALSE),0)</f>
        <v/>
      </c>
      <c r="AC389" s="3">
        <f>IF(N(U389)=0,0,V389*IFERROR(VLOOKUP($C389,Assumptions!$A$4:$G$7,5,FALSE),0)*90/N(U389))</f>
        <v/>
      </c>
      <c r="AD389" s="3">
        <f>N(W389)</f>
        <v/>
      </c>
      <c r="AE389" s="3">
        <f>SUM(Y389:AD389)</f>
        <v/>
      </c>
      <c r="AF389" s="3">
        <f>N(AE389)*N(M389)/90</f>
        <v/>
      </c>
      <c r="AG389" s="3">
        <f>IFERROR(AF389-VLOOKUP($C389,Assumptions!$A$29:$C$32,3,FALSE),"")</f>
        <v/>
      </c>
      <c r="AH389" s="3">
        <f>IFERROR(AG389/F389,"")</f>
        <v/>
      </c>
      <c r="AI389">
        <f>IF(AND($E389=TRUE,$C389="GKP"),AF389,"")</f>
        <v/>
      </c>
      <c r="AJ389">
        <f>IF(AND($E389=TRUE,$C389="DEF"),AF389,"")</f>
        <v/>
      </c>
      <c r="AK389">
        <f>IF(AND($E389=TRUE,$C389="MID"),AF389,"")</f>
        <v/>
      </c>
      <c r="AL389">
        <f>IF(AND($E389=TRUE,$C389="FWD"),AF389,"")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b">
        <v>1</v>
      </c>
      <c r="F390" s="2" t="n">
        <v>4.5</v>
      </c>
      <c r="G390" t="inlineStr">
        <is>
          <t>a</t>
        </is>
      </c>
      <c r="I390" s="2" t="n">
        <v>7</v>
      </c>
      <c r="J390" t="n">
        <v>2</v>
      </c>
      <c r="K390" s="3" t="n">
        <v>0</v>
      </c>
      <c r="L390" t="inlineStr">
        <is>
          <t>flat</t>
        </is>
      </c>
      <c r="M390" s="4" t="n">
        <v>7</v>
      </c>
      <c r="N390" s="4" t="n">
        <v>0.237</v>
      </c>
      <c r="O390" s="3" t="n">
        <v>0</v>
      </c>
      <c r="P390" t="inlineStr">
        <is>
          <t>adjusted xGOT</t>
        </is>
      </c>
      <c r="Q390" s="3" t="n">
        <v>0.995</v>
      </c>
      <c r="R390" s="3" t="n">
        <v>0</v>
      </c>
      <c r="S390" s="3" t="n">
        <v>0.0643</v>
      </c>
      <c r="T390" s="3" t="n">
        <v>4.871</v>
      </c>
      <c r="U390" s="4" t="n">
        <v>85</v>
      </c>
      <c r="V390" s="3">
        <f>IF(OR(N(T390)=0,N(U390)=0),0,1-POISSON(IFERROR(VLOOKUP($C390,Assumptions!$A$4:$G$7,7,FALSE),99)-1,N(T390)*N(U390)/90,TRUE))</f>
        <v/>
      </c>
      <c r="W390" s="3" t="n">
        <v>0</v>
      </c>
      <c r="X390" s="3" t="n">
        <v>25.714</v>
      </c>
      <c r="Y390" s="3">
        <f>IF(X390="",IFERROR(VLOOKUP($C390,Assumptions!$A$4:$G$7,6,FALSE),0),X390)</f>
        <v/>
      </c>
      <c r="Z390" s="3">
        <f>N(O390)*IFERROR(VLOOKUP($C390,Assumptions!$A$4:$G$7,2,FALSE),0)</f>
        <v/>
      </c>
      <c r="AA390" s="3">
        <f>N(S390)*IFERROR(VLOOKUP($C390,Assumptions!$A$4:$G$7,3,FALSE),0)*Assumptions!$B$11</f>
        <v/>
      </c>
      <c r="AB390" s="3">
        <f>N(N390)*IFERROR(VLOOKUP($C390,Assumptions!$A$4:$G$7,4,FALSE),0)</f>
        <v/>
      </c>
      <c r="AC390" s="3">
        <f>IF(N(U390)=0,0,V390*IFERROR(VLOOKUP($C390,Assumptions!$A$4:$G$7,5,FALSE),0)*90/N(U390))</f>
        <v/>
      </c>
      <c r="AD390" s="3">
        <f>N(W390)</f>
        <v/>
      </c>
      <c r="AE390" s="3">
        <f>SUM(Y390:AD390)</f>
        <v/>
      </c>
      <c r="AF390" s="3">
        <f>N(AE390)*N(M390)/90</f>
        <v/>
      </c>
      <c r="AG390" s="3">
        <f>IFERROR(AF390-VLOOKUP($C390,Assumptions!$A$29:$C$32,3,FALSE),"")</f>
        <v/>
      </c>
      <c r="AH390" s="3">
        <f>IFERROR(AG390/F390,"")</f>
        <v/>
      </c>
      <c r="AI390">
        <f>IF(AND($E390=TRUE,$C390="GKP"),AF390,"")</f>
        <v/>
      </c>
      <c r="AJ390">
        <f>IF(AND($E390=TRUE,$C390="DEF"),AF390,"")</f>
        <v/>
      </c>
      <c r="AK390">
        <f>IF(AND($E390=TRUE,$C390="MID"),AF390,"")</f>
        <v/>
      </c>
      <c r="AL390">
        <f>IF(AND($E390=TRUE,$C390="FWD"),AF390,"")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b">
        <v>1</v>
      </c>
      <c r="F391" s="2" t="n">
        <v>4.5</v>
      </c>
      <c r="G391" t="inlineStr">
        <is>
          <t>u</t>
        </is>
      </c>
      <c r="H391" t="inlineStr">
        <is>
          <t>Has joined Bristol City on loan for the rest of the season</t>
        </is>
      </c>
      <c r="I391" s="2" t="n">
        <v>90</v>
      </c>
      <c r="J391" t="n">
        <v>2</v>
      </c>
      <c r="K391" s="3" t="n"/>
      <c r="M391" s="4" t="n">
        <v>90</v>
      </c>
      <c r="N391" s="4" t="n">
        <v>0.316</v>
      </c>
      <c r="O391" s="3" t="n">
        <v>0.02</v>
      </c>
      <c r="P391" t="inlineStr">
        <is>
          <t>adjusted xGOT</t>
        </is>
      </c>
      <c r="Q391" s="3" t="n">
        <v>0.998</v>
      </c>
      <c r="R391" s="3" t="n">
        <v>0</v>
      </c>
      <c r="S391" s="3" t="n">
        <v>0.229</v>
      </c>
      <c r="T391" s="3" t="n">
        <v>8.401999999999999</v>
      </c>
      <c r="U391" s="4" t="n">
        <v>90</v>
      </c>
      <c r="V391" s="3">
        <f>IF(OR(N(T391)=0,N(U391)=0),0,1-POISSON(IFERROR(VLOOKUP($C391,Assumptions!$A$4:$G$7,7,FALSE),99)-1,N(T391)*N(U391)/90,TRUE))</f>
        <v/>
      </c>
      <c r="W391" s="3" t="n">
        <v>0</v>
      </c>
      <c r="X391" s="3" t="n">
        <v>2</v>
      </c>
      <c r="Y391" s="3">
        <f>IF(X391="",IFERROR(VLOOKUP($C391,Assumptions!$A$4:$G$7,6,FALSE),0),X391)</f>
        <v/>
      </c>
      <c r="Z391" s="3">
        <f>N(O391)*IFERROR(VLOOKUP($C391,Assumptions!$A$4:$G$7,2,FALSE),0)</f>
        <v/>
      </c>
      <c r="AA391" s="3">
        <f>N(S391)*IFERROR(VLOOKUP($C391,Assumptions!$A$4:$G$7,3,FALSE),0)*Assumptions!$B$11</f>
        <v/>
      </c>
      <c r="AB391" s="3">
        <f>N(N391)*IFERROR(VLOOKUP($C391,Assumptions!$A$4:$G$7,4,FALSE),0)</f>
        <v/>
      </c>
      <c r="AC391" s="3">
        <f>IF(N(U391)=0,0,V391*IFERROR(VLOOKUP($C391,Assumptions!$A$4:$G$7,5,FALSE),0)*90/N(U391))</f>
        <v/>
      </c>
      <c r="AD391" s="3">
        <f>N(W391)</f>
        <v/>
      </c>
      <c r="AE391" s="3">
        <f>SUM(Y391:AD391)</f>
        <v/>
      </c>
      <c r="AF391" s="3">
        <f>N(AE391)*N(M391)/90</f>
        <v/>
      </c>
      <c r="AG391" s="3">
        <f>IFERROR(AF391-VLOOKUP($C391,Assumptions!$A$29:$C$32,3,FALSE),"")</f>
        <v/>
      </c>
      <c r="AH391" s="3">
        <f>IFERROR(AG391/F391,"")</f>
        <v/>
      </c>
      <c r="AI391">
        <f>IF(AND($E391=TRUE,$C391="GKP"),AF391,"")</f>
        <v/>
      </c>
      <c r="AJ391">
        <f>IF(AND($E391=TRUE,$C391="DEF"),AF391,"")</f>
        <v/>
      </c>
      <c r="AK391">
        <f>IF(AND($E391=TRUE,$C391="MID"),AF391,"")</f>
        <v/>
      </c>
      <c r="AL391">
        <f>IF(AND($E391=TRUE,$C391="FWD"),AF391,"")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b">
        <v>1</v>
      </c>
      <c r="F392" s="2" t="n">
        <v>4</v>
      </c>
      <c r="G392" t="inlineStr">
        <is>
          <t>a</t>
        </is>
      </c>
      <c r="I392" s="2" t="n">
        <v>1</v>
      </c>
      <c r="J392" t="n">
        <v>1</v>
      </c>
      <c r="K392" s="3" t="n">
        <v>0</v>
      </c>
      <c r="L392" t="inlineStr">
        <is>
          <t>flat</t>
        </is>
      </c>
      <c r="M392" s="4" t="n">
        <v>1</v>
      </c>
      <c r="N392" s="4" t="n">
        <v>0.237</v>
      </c>
      <c r="O392" s="3" t="n">
        <v>0</v>
      </c>
      <c r="P392" t="inlineStr">
        <is>
          <t>blended xG</t>
        </is>
      </c>
      <c r="Q392" s="3" t="n">
        <v>1</v>
      </c>
      <c r="R392" s="3" t="n">
        <v>0</v>
      </c>
      <c r="S392" s="3" t="n">
        <v>0</v>
      </c>
      <c r="T392" s="3" t="n">
        <v>7.674</v>
      </c>
      <c r="U392" s="4" t="n">
        <v>85</v>
      </c>
      <c r="V392" s="3">
        <f>IF(OR(N(T392)=0,N(U392)=0),0,1-POISSON(IFERROR(VLOOKUP($C392,Assumptions!$A$4:$G$7,7,FALSE),99)-1,N(T392)*N(U392)/90,TRUE))</f>
        <v/>
      </c>
      <c r="W392" s="3" t="n">
        <v>0</v>
      </c>
      <c r="X392" s="3" t="n">
        <v>90</v>
      </c>
      <c r="Y392" s="3">
        <f>IF(X392="",IFERROR(VLOOKUP($C392,Assumptions!$A$4:$G$7,6,FALSE),0),X392)</f>
        <v/>
      </c>
      <c r="Z392" s="3">
        <f>N(O392)*IFERROR(VLOOKUP($C392,Assumptions!$A$4:$G$7,2,FALSE),0)</f>
        <v/>
      </c>
      <c r="AA392" s="3">
        <f>N(S392)*IFERROR(VLOOKUP($C392,Assumptions!$A$4:$G$7,3,FALSE),0)*Assumptions!$B$11</f>
        <v/>
      </c>
      <c r="AB392" s="3">
        <f>N(N392)*IFERROR(VLOOKUP($C392,Assumptions!$A$4:$G$7,4,FALSE),0)</f>
        <v/>
      </c>
      <c r="AC392" s="3">
        <f>IF(N(U392)=0,0,V392*IFERROR(VLOOKUP($C392,Assumptions!$A$4:$G$7,5,FALSE),0)*90/N(U392))</f>
        <v/>
      </c>
      <c r="AD392" s="3">
        <f>N(W392)</f>
        <v/>
      </c>
      <c r="AE392" s="3">
        <f>SUM(Y392:AD392)</f>
        <v/>
      </c>
      <c r="AF392" s="3">
        <f>N(AE392)*N(M392)/90</f>
        <v/>
      </c>
      <c r="AG392" s="3">
        <f>IFERROR(AF392-VLOOKUP($C392,Assumptions!$A$29:$C$32,3,FALSE),"")</f>
        <v/>
      </c>
      <c r="AH392" s="3">
        <f>IFERROR(AG392/F392,"")</f>
        <v/>
      </c>
      <c r="AI392">
        <f>IF(AND($E392=TRUE,$C392="GKP"),AF392,"")</f>
        <v/>
      </c>
      <c r="AJ392">
        <f>IF(AND($E392=TRUE,$C392="DEF"),AF392,"")</f>
        <v/>
      </c>
      <c r="AK392">
        <f>IF(AND($E392=TRUE,$C392="MID"),AF392,"")</f>
        <v/>
      </c>
      <c r="AL392">
        <f>IF(AND($E392=TRUE,$C392="FWD"),AF392,"")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b">
        <v>1</v>
      </c>
      <c r="F393" s="2" t="n">
        <v>4.5</v>
      </c>
      <c r="G393" t="inlineStr">
        <is>
          <t>a</t>
        </is>
      </c>
      <c r="I393" s="2" t="n">
        <v>1</v>
      </c>
      <c r="J393" t="n">
        <v>1</v>
      </c>
      <c r="K393" s="3" t="n">
        <v>0</v>
      </c>
      <c r="L393" t="inlineStr">
        <is>
          <t>flat</t>
        </is>
      </c>
      <c r="M393" s="4" t="n">
        <v>1</v>
      </c>
      <c r="N393" s="4" t="n">
        <v>0.263</v>
      </c>
      <c r="O393" s="3" t="n">
        <v>0</v>
      </c>
      <c r="P393" t="inlineStr">
        <is>
          <t>blended xG</t>
        </is>
      </c>
      <c r="Q393" s="3" t="n">
        <v>1</v>
      </c>
      <c r="R393" s="3" t="n">
        <v>0</v>
      </c>
      <c r="S393" s="3" t="n">
        <v>0</v>
      </c>
      <c r="T393" s="3" t="n">
        <v>8.565</v>
      </c>
      <c r="U393" s="4" t="n">
        <v>85</v>
      </c>
      <c r="V393" s="3">
        <f>IF(OR(N(T393)=0,N(U393)=0),0,1-POISSON(IFERROR(VLOOKUP($C393,Assumptions!$A$4:$G$7,7,FALSE),99)-1,N(T393)*N(U393)/90,TRUE))</f>
        <v/>
      </c>
      <c r="W393" s="3" t="n">
        <v>0</v>
      </c>
      <c r="X393" s="3" t="n">
        <v>90</v>
      </c>
      <c r="Y393" s="3">
        <f>IF(X393="",IFERROR(VLOOKUP($C393,Assumptions!$A$4:$G$7,6,FALSE),0),X393)</f>
        <v/>
      </c>
      <c r="Z393" s="3">
        <f>N(O393)*IFERROR(VLOOKUP($C393,Assumptions!$A$4:$G$7,2,FALSE),0)</f>
        <v/>
      </c>
      <c r="AA393" s="3">
        <f>N(S393)*IFERROR(VLOOKUP($C393,Assumptions!$A$4:$G$7,3,FALSE),0)*Assumptions!$B$11</f>
        <v/>
      </c>
      <c r="AB393" s="3">
        <f>N(N393)*IFERROR(VLOOKUP($C393,Assumptions!$A$4:$G$7,4,FALSE),0)</f>
        <v/>
      </c>
      <c r="AC393" s="3">
        <f>IF(N(U393)=0,0,V393*IFERROR(VLOOKUP($C393,Assumptions!$A$4:$G$7,5,FALSE),0)*90/N(U393))</f>
        <v/>
      </c>
      <c r="AD393" s="3">
        <f>N(W393)</f>
        <v/>
      </c>
      <c r="AE393" s="3">
        <f>SUM(Y393:AD393)</f>
        <v/>
      </c>
      <c r="AF393" s="3">
        <f>N(AE393)*N(M393)/90</f>
        <v/>
      </c>
      <c r="AG393" s="3">
        <f>IFERROR(AF393-VLOOKUP($C393,Assumptions!$A$29:$C$32,3,FALSE),"")</f>
        <v/>
      </c>
      <c r="AH393" s="3">
        <f>IFERROR(AG393/F393,"")</f>
        <v/>
      </c>
      <c r="AI393">
        <f>IF(AND($E393=TRUE,$C393="GKP"),AF393,"")</f>
        <v/>
      </c>
      <c r="AJ393">
        <f>IF(AND($E393=TRUE,$C393="DEF"),AF393,"")</f>
        <v/>
      </c>
      <c r="AK393">
        <f>IF(AND($E393=TRUE,$C393="MID"),AF393,"")</f>
        <v/>
      </c>
      <c r="AL393">
        <f>IF(AND($E393=TRUE,$C393="FWD"),AF393,"")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b">
        <v>1</v>
      </c>
      <c r="F394" s="2" t="n">
        <v>4.5</v>
      </c>
      <c r="G394" t="inlineStr">
        <is>
          <t>a</t>
        </is>
      </c>
      <c r="I394" s="2" t="n">
        <v>16</v>
      </c>
      <c r="J394" t="n">
        <v>1</v>
      </c>
      <c r="K394" s="3" t="n">
        <v>0</v>
      </c>
      <c r="L394" t="inlineStr">
        <is>
          <t>flat</t>
        </is>
      </c>
      <c r="M394" s="4" t="n">
        <v>16</v>
      </c>
      <c r="N394" s="4" t="n">
        <v>0.237</v>
      </c>
      <c r="O394" s="3" t="n">
        <v>0</v>
      </c>
      <c r="P394" t="inlineStr">
        <is>
          <t>blended xG</t>
        </is>
      </c>
      <c r="Q394" s="3" t="n">
        <v>1</v>
      </c>
      <c r="R394" s="3" t="n">
        <v>0</v>
      </c>
      <c r="S394" s="3" t="n">
        <v>0</v>
      </c>
      <c r="T394" s="3" t="n">
        <v>8.513</v>
      </c>
      <c r="U394" s="4" t="n">
        <v>85</v>
      </c>
      <c r="V394" s="3">
        <f>IF(OR(N(T394)=0,N(U394)=0),0,1-POISSON(IFERROR(VLOOKUP($C394,Assumptions!$A$4:$G$7,7,FALSE),99)-1,N(T394)*N(U394)/90,TRUE))</f>
        <v/>
      </c>
      <c r="W394" s="3" t="n">
        <v>0</v>
      </c>
      <c r="X394" s="3" t="n">
        <v>5.625</v>
      </c>
      <c r="Y394" s="3">
        <f>IF(X394="",IFERROR(VLOOKUP($C394,Assumptions!$A$4:$G$7,6,FALSE),0),X394)</f>
        <v/>
      </c>
      <c r="Z394" s="3">
        <f>N(O394)*IFERROR(VLOOKUP($C394,Assumptions!$A$4:$G$7,2,FALSE),0)</f>
        <v/>
      </c>
      <c r="AA394" s="3">
        <f>N(S394)*IFERROR(VLOOKUP($C394,Assumptions!$A$4:$G$7,3,FALSE),0)*Assumptions!$B$11</f>
        <v/>
      </c>
      <c r="AB394" s="3">
        <f>N(N394)*IFERROR(VLOOKUP($C394,Assumptions!$A$4:$G$7,4,FALSE),0)</f>
        <v/>
      </c>
      <c r="AC394" s="3">
        <f>IF(N(U394)=0,0,V394*IFERROR(VLOOKUP($C394,Assumptions!$A$4:$G$7,5,FALSE),0)*90/N(U394))</f>
        <v/>
      </c>
      <c r="AD394" s="3">
        <f>N(W394)</f>
        <v/>
      </c>
      <c r="AE394" s="3">
        <f>SUM(Y394:AD394)</f>
        <v/>
      </c>
      <c r="AF394" s="3">
        <f>N(AE394)*N(M394)/90</f>
        <v/>
      </c>
      <c r="AG394" s="3">
        <f>IFERROR(AF394-VLOOKUP($C394,Assumptions!$A$29:$C$32,3,FALSE),"")</f>
        <v/>
      </c>
      <c r="AH394" s="3">
        <f>IFERROR(AG394/F394,"")</f>
        <v/>
      </c>
      <c r="AI394">
        <f>IF(AND($E394=TRUE,$C394="GKP"),AF394,"")</f>
        <v/>
      </c>
      <c r="AJ394">
        <f>IF(AND($E394=TRUE,$C394="DEF"),AF394,"")</f>
        <v/>
      </c>
      <c r="AK394">
        <f>IF(AND($E394=TRUE,$C394="MID"),AF394,"")</f>
        <v/>
      </c>
      <c r="AL394">
        <f>IF(AND($E394=TRUE,$C394="FWD"),AF394,"")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b">
        <v>1</v>
      </c>
      <c r="F395" s="2" t="n">
        <v>4.5</v>
      </c>
      <c r="G395" t="inlineStr">
        <is>
          <t>a</t>
        </is>
      </c>
      <c r="I395" s="2" t="n">
        <v>13</v>
      </c>
      <c r="J395" t="n">
        <v>1</v>
      </c>
      <c r="K395" s="3" t="n">
        <v>0</v>
      </c>
      <c r="L395" t="inlineStr">
        <is>
          <t>flat</t>
        </is>
      </c>
      <c r="M395" s="4" t="n">
        <v>13</v>
      </c>
      <c r="N395" s="4" t="n">
        <v>0.21</v>
      </c>
      <c r="O395" s="3" t="n">
        <v>0.2077</v>
      </c>
      <c r="P395" t="inlineStr">
        <is>
          <t>adjusted xGOT</t>
        </is>
      </c>
      <c r="Q395" s="3" t="n">
        <v>0.996</v>
      </c>
      <c r="R395" s="3" t="n">
        <v>0</v>
      </c>
      <c r="S395" s="3" t="n">
        <v>0</v>
      </c>
      <c r="T395" s="3" t="n">
        <v>4.708</v>
      </c>
      <c r="U395" s="4" t="n">
        <v>85</v>
      </c>
      <c r="V395" s="3">
        <f>IF(OR(N(T395)=0,N(U395)=0),0,1-POISSON(IFERROR(VLOOKUP($C395,Assumptions!$A$4:$G$7,7,FALSE),99)-1,N(T395)*N(U395)/90,TRUE))</f>
        <v/>
      </c>
      <c r="W395" s="3" t="n">
        <v>0</v>
      </c>
      <c r="X395" s="3" t="n">
        <v>6.923</v>
      </c>
      <c r="Y395" s="3">
        <f>IF(X395="",IFERROR(VLOOKUP($C395,Assumptions!$A$4:$G$7,6,FALSE),0),X395)</f>
        <v/>
      </c>
      <c r="Z395" s="3">
        <f>N(O395)*IFERROR(VLOOKUP($C395,Assumptions!$A$4:$G$7,2,FALSE),0)</f>
        <v/>
      </c>
      <c r="AA395" s="3">
        <f>N(S395)*IFERROR(VLOOKUP($C395,Assumptions!$A$4:$G$7,3,FALSE),0)*Assumptions!$B$11</f>
        <v/>
      </c>
      <c r="AB395" s="3">
        <f>N(N395)*IFERROR(VLOOKUP($C395,Assumptions!$A$4:$G$7,4,FALSE),0)</f>
        <v/>
      </c>
      <c r="AC395" s="3">
        <f>IF(N(U395)=0,0,V395*IFERROR(VLOOKUP($C395,Assumptions!$A$4:$G$7,5,FALSE),0)*90/N(U395))</f>
        <v/>
      </c>
      <c r="AD395" s="3">
        <f>N(W395)</f>
        <v/>
      </c>
      <c r="AE395" s="3">
        <f>SUM(Y395:AD395)</f>
        <v/>
      </c>
      <c r="AF395" s="3">
        <f>N(AE395)*N(M395)/90</f>
        <v/>
      </c>
      <c r="AG395" s="3">
        <f>IFERROR(AF395-VLOOKUP($C395,Assumptions!$A$29:$C$32,3,FALSE),"")</f>
        <v/>
      </c>
      <c r="AH395" s="3">
        <f>IFERROR(AG395/F395,"")</f>
        <v/>
      </c>
      <c r="AI395">
        <f>IF(AND($E395=TRUE,$C395="GKP"),AF395,"")</f>
        <v/>
      </c>
      <c r="AJ395">
        <f>IF(AND($E395=TRUE,$C395="DEF"),AF395,"")</f>
        <v/>
      </c>
      <c r="AK395">
        <f>IF(AND($E395=TRUE,$C395="MID"),AF395,"")</f>
        <v/>
      </c>
      <c r="AL395">
        <f>IF(AND($E395=TRUE,$C395="FWD"),AF395,"")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b">
        <v>1</v>
      </c>
      <c r="F396" s="2" t="n">
        <v>4.5</v>
      </c>
      <c r="G396" t="inlineStr">
        <is>
          <t>a</t>
        </is>
      </c>
      <c r="I396" s="2" t="n">
        <v>1</v>
      </c>
      <c r="J396" t="n">
        <v>1</v>
      </c>
      <c r="K396" s="3" t="n">
        <v>0</v>
      </c>
      <c r="L396" t="inlineStr">
        <is>
          <t>flat</t>
        </is>
      </c>
      <c r="M396" s="4" t="n">
        <v>1</v>
      </c>
      <c r="N396" s="4" t="n">
        <v>0.263</v>
      </c>
      <c r="O396" s="3" t="n">
        <v>0</v>
      </c>
      <c r="P396" t="inlineStr">
        <is>
          <t>blended xG</t>
        </is>
      </c>
      <c r="Q396" s="3" t="n">
        <v>1</v>
      </c>
      <c r="R396" s="3" t="n">
        <v>0</v>
      </c>
      <c r="S396" s="3" t="n">
        <v>0</v>
      </c>
      <c r="T396" s="3" t="n">
        <v>4.786</v>
      </c>
      <c r="U396" s="4" t="n">
        <v>85</v>
      </c>
      <c r="V396" s="3">
        <f>IF(OR(N(T396)=0,N(U396)=0),0,1-POISSON(IFERROR(VLOOKUP($C396,Assumptions!$A$4:$G$7,7,FALSE),99)-1,N(T396)*N(U396)/90,TRUE))</f>
        <v/>
      </c>
      <c r="W396" s="3" t="n">
        <v>0</v>
      </c>
      <c r="X396" s="3" t="n">
        <v>90</v>
      </c>
      <c r="Y396" s="3">
        <f>IF(X396="",IFERROR(VLOOKUP($C396,Assumptions!$A$4:$G$7,6,FALSE),0),X396)</f>
        <v/>
      </c>
      <c r="Z396" s="3">
        <f>N(O396)*IFERROR(VLOOKUP($C396,Assumptions!$A$4:$G$7,2,FALSE),0)</f>
        <v/>
      </c>
      <c r="AA396" s="3">
        <f>N(S396)*IFERROR(VLOOKUP($C396,Assumptions!$A$4:$G$7,3,FALSE),0)*Assumptions!$B$11</f>
        <v/>
      </c>
      <c r="AB396" s="3">
        <f>N(N396)*IFERROR(VLOOKUP($C396,Assumptions!$A$4:$G$7,4,FALSE),0)</f>
        <v/>
      </c>
      <c r="AC396" s="3">
        <f>IF(N(U396)=0,0,V396*IFERROR(VLOOKUP($C396,Assumptions!$A$4:$G$7,5,FALSE),0)*90/N(U396))</f>
        <v/>
      </c>
      <c r="AD396" s="3">
        <f>N(W396)</f>
        <v/>
      </c>
      <c r="AE396" s="3">
        <f>SUM(Y396:AD396)</f>
        <v/>
      </c>
      <c r="AF396" s="3">
        <f>N(AE396)*N(M396)/90</f>
        <v/>
      </c>
      <c r="AG396" s="3">
        <f>IFERROR(AF396-VLOOKUP($C396,Assumptions!$A$29:$C$32,3,FALSE),"")</f>
        <v/>
      </c>
      <c r="AH396" s="3">
        <f>IFERROR(AG396/F396,"")</f>
        <v/>
      </c>
      <c r="AI396">
        <f>IF(AND($E396=TRUE,$C396="GKP"),AF396,"")</f>
        <v/>
      </c>
      <c r="AJ396">
        <f>IF(AND($E396=TRUE,$C396="DEF"),AF396,"")</f>
        <v/>
      </c>
      <c r="AK396">
        <f>IF(AND($E396=TRUE,$C396="MID"),AF396,"")</f>
        <v/>
      </c>
      <c r="AL396">
        <f>IF(AND($E396=TRUE,$C396="FWD"),AF396,"")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b">
        <v>1</v>
      </c>
      <c r="F397" s="2" t="n">
        <v>4.5</v>
      </c>
      <c r="G397" t="inlineStr">
        <is>
          <t>a</t>
        </is>
      </c>
      <c r="I397" s="2" t="n">
        <v>1</v>
      </c>
      <c r="J397" t="n">
        <v>1</v>
      </c>
      <c r="K397" s="3" t="n">
        <v>0</v>
      </c>
      <c r="L397" t="inlineStr">
        <is>
          <t>flat</t>
        </is>
      </c>
      <c r="M397" s="4" t="n">
        <v>1</v>
      </c>
      <c r="N397" s="4" t="n">
        <v>0.237</v>
      </c>
      <c r="O397" s="3" t="n">
        <v>0</v>
      </c>
      <c r="P397" t="inlineStr">
        <is>
          <t>adjusted xGOT</t>
        </is>
      </c>
      <c r="Q397" s="3" t="n">
        <v>1.017</v>
      </c>
      <c r="R397" s="3" t="n">
        <v>0.1</v>
      </c>
      <c r="S397" s="3" t="n">
        <v>0</v>
      </c>
      <c r="T397" s="3" t="n">
        <v>4.911</v>
      </c>
      <c r="U397" s="4" t="n">
        <v>85</v>
      </c>
      <c r="V397" s="3">
        <f>IF(OR(N(T397)=0,N(U397)=0),0,1-POISSON(IFERROR(VLOOKUP($C397,Assumptions!$A$4:$G$7,7,FALSE),99)-1,N(T397)*N(U397)/90,TRUE))</f>
        <v/>
      </c>
      <c r="W397" s="3" t="n">
        <v>0</v>
      </c>
      <c r="X397" s="3" t="n">
        <v>90</v>
      </c>
      <c r="Y397" s="3">
        <f>IF(X397="",IFERROR(VLOOKUP($C397,Assumptions!$A$4:$G$7,6,FALSE),0),X397)</f>
        <v/>
      </c>
      <c r="Z397" s="3">
        <f>N(O397)*IFERROR(VLOOKUP($C397,Assumptions!$A$4:$G$7,2,FALSE),0)</f>
        <v/>
      </c>
      <c r="AA397" s="3">
        <f>N(S397)*IFERROR(VLOOKUP($C397,Assumptions!$A$4:$G$7,3,FALSE),0)*Assumptions!$B$11</f>
        <v/>
      </c>
      <c r="AB397" s="3">
        <f>N(N397)*IFERROR(VLOOKUP($C397,Assumptions!$A$4:$G$7,4,FALSE),0)</f>
        <v/>
      </c>
      <c r="AC397" s="3">
        <f>IF(N(U397)=0,0,V397*IFERROR(VLOOKUP($C397,Assumptions!$A$4:$G$7,5,FALSE),0)*90/N(U397))</f>
        <v/>
      </c>
      <c r="AD397" s="3">
        <f>N(W397)</f>
        <v/>
      </c>
      <c r="AE397" s="3">
        <f>SUM(Y397:AD397)</f>
        <v/>
      </c>
      <c r="AF397" s="3">
        <f>N(AE397)*N(M397)/90</f>
        <v/>
      </c>
      <c r="AG397" s="3">
        <f>IFERROR(AF397-VLOOKUP($C397,Assumptions!$A$29:$C$32,3,FALSE),"")</f>
        <v/>
      </c>
      <c r="AH397" s="3">
        <f>IFERROR(AG397/F397,"")</f>
        <v/>
      </c>
      <c r="AI397">
        <f>IF(AND($E397=TRUE,$C397="GKP"),AF397,"")</f>
        <v/>
      </c>
      <c r="AJ397">
        <f>IF(AND($E397=TRUE,$C397="DEF"),AF397,"")</f>
        <v/>
      </c>
      <c r="AK397">
        <f>IF(AND($E397=TRUE,$C397="MID"),AF397,"")</f>
        <v/>
      </c>
      <c r="AL397">
        <f>IF(AND($E397=TRUE,$C397="FWD"),AF397,"")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b">
        <v>1</v>
      </c>
      <c r="F398" s="2" t="n">
        <v>4.5</v>
      </c>
      <c r="G398" t="inlineStr">
        <is>
          <t>a</t>
        </is>
      </c>
      <c r="I398" s="2" t="n">
        <v>15</v>
      </c>
      <c r="J398" t="n">
        <v>1</v>
      </c>
      <c r="K398" s="3" t="n">
        <v>0</v>
      </c>
      <c r="L398" t="inlineStr">
        <is>
          <t>flat</t>
        </is>
      </c>
      <c r="M398" s="4" t="n">
        <v>15</v>
      </c>
      <c r="N398" s="4" t="n">
        <v>0.21</v>
      </c>
      <c r="O398" s="3" t="n">
        <v>0</v>
      </c>
      <c r="P398" t="inlineStr">
        <is>
          <t>blended xG</t>
        </is>
      </c>
      <c r="Q398" s="3" t="n">
        <v>1</v>
      </c>
      <c r="R398" s="3" t="n">
        <v>0</v>
      </c>
      <c r="S398" s="3" t="n">
        <v>0.1394</v>
      </c>
      <c r="T398" s="3" t="n">
        <v>8.401999999999999</v>
      </c>
      <c r="U398" s="4" t="n">
        <v>85</v>
      </c>
      <c r="V398" s="3">
        <f>IF(OR(N(T398)=0,N(U398)=0),0,1-POISSON(IFERROR(VLOOKUP($C398,Assumptions!$A$4:$G$7,7,FALSE),99)-1,N(T398)*N(U398)/90,TRUE))</f>
        <v/>
      </c>
      <c r="W398" s="3" t="n">
        <v>0</v>
      </c>
      <c r="X398" s="3" t="n">
        <v>6</v>
      </c>
      <c r="Y398" s="3">
        <f>IF(X398="",IFERROR(VLOOKUP($C398,Assumptions!$A$4:$G$7,6,FALSE),0),X398)</f>
        <v/>
      </c>
      <c r="Z398" s="3">
        <f>N(O398)*IFERROR(VLOOKUP($C398,Assumptions!$A$4:$G$7,2,FALSE),0)</f>
        <v/>
      </c>
      <c r="AA398" s="3">
        <f>N(S398)*IFERROR(VLOOKUP($C398,Assumptions!$A$4:$G$7,3,FALSE),0)*Assumptions!$B$11</f>
        <v/>
      </c>
      <c r="AB398" s="3">
        <f>N(N398)*IFERROR(VLOOKUP($C398,Assumptions!$A$4:$G$7,4,FALSE),0)</f>
        <v/>
      </c>
      <c r="AC398" s="3">
        <f>IF(N(U398)=0,0,V398*IFERROR(VLOOKUP($C398,Assumptions!$A$4:$G$7,5,FALSE),0)*90/N(U398))</f>
        <v/>
      </c>
      <c r="AD398" s="3">
        <f>N(W398)</f>
        <v/>
      </c>
      <c r="AE398" s="3">
        <f>SUM(Y398:AD398)</f>
        <v/>
      </c>
      <c r="AF398" s="3">
        <f>N(AE398)*N(M398)/90</f>
        <v/>
      </c>
      <c r="AG398" s="3">
        <f>IFERROR(AF398-VLOOKUP($C398,Assumptions!$A$29:$C$32,3,FALSE),"")</f>
        <v/>
      </c>
      <c r="AH398" s="3">
        <f>IFERROR(AG398/F398,"")</f>
        <v/>
      </c>
      <c r="AI398">
        <f>IF(AND($E398=TRUE,$C398="GKP"),AF398,"")</f>
        <v/>
      </c>
      <c r="AJ398">
        <f>IF(AND($E398=TRUE,$C398="DEF"),AF398,"")</f>
        <v/>
      </c>
      <c r="AK398">
        <f>IF(AND($E398=TRUE,$C398="MID"),AF398,"")</f>
        <v/>
      </c>
      <c r="AL398">
        <f>IF(AND($E398=TRUE,$C398="FWD"),AF398,"")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b">
        <v>1</v>
      </c>
      <c r="F399" s="2" t="n">
        <v>5</v>
      </c>
      <c r="G399" t="inlineStr">
        <is>
          <t>a</t>
        </is>
      </c>
      <c r="I399" s="2" t="n">
        <v>38</v>
      </c>
      <c r="J399" t="n">
        <v>1</v>
      </c>
      <c r="K399" s="3" t="n">
        <v>125</v>
      </c>
      <c r="L399" t="inlineStr">
        <is>
          <t>flat</t>
        </is>
      </c>
      <c r="M399" s="4" t="n">
        <v>38</v>
      </c>
      <c r="N399" s="4" t="n">
        <v>0.29</v>
      </c>
      <c r="O399" s="3" t="n">
        <v>0</v>
      </c>
      <c r="P399" t="inlineStr">
        <is>
          <t>blended xG</t>
        </is>
      </c>
      <c r="Q399" s="3" t="n">
        <v>1</v>
      </c>
      <c r="R399" s="3" t="n">
        <v>0</v>
      </c>
      <c r="S399" s="3" t="n">
        <v>0.0474</v>
      </c>
      <c r="T399" s="3" t="n">
        <v>8.503</v>
      </c>
      <c r="U399" s="4" t="n">
        <v>38</v>
      </c>
      <c r="V399" s="3">
        <f>IF(OR(N(T399)=0,N(U399)=0),0,1-POISSON(IFERROR(VLOOKUP($C399,Assumptions!$A$4:$G$7,7,FALSE),99)-1,N(T399)*N(U399)/90,TRUE))</f>
        <v/>
      </c>
      <c r="W399" s="3" t="n">
        <v>0</v>
      </c>
      <c r="X399" s="3" t="n">
        <v>2.368</v>
      </c>
      <c r="Y399" s="3">
        <f>IF(X399="",IFERROR(VLOOKUP($C399,Assumptions!$A$4:$G$7,6,FALSE),0),X399)</f>
        <v/>
      </c>
      <c r="Z399" s="3">
        <f>N(O399)*IFERROR(VLOOKUP($C399,Assumptions!$A$4:$G$7,2,FALSE),0)</f>
        <v/>
      </c>
      <c r="AA399" s="3">
        <f>N(S399)*IFERROR(VLOOKUP($C399,Assumptions!$A$4:$G$7,3,FALSE),0)*Assumptions!$B$11</f>
        <v/>
      </c>
      <c r="AB399" s="3">
        <f>N(N399)*IFERROR(VLOOKUP($C399,Assumptions!$A$4:$G$7,4,FALSE),0)</f>
        <v/>
      </c>
      <c r="AC399" s="3">
        <f>IF(N(U399)=0,0,V399*IFERROR(VLOOKUP($C399,Assumptions!$A$4:$G$7,5,FALSE),0)*90/N(U399))</f>
        <v/>
      </c>
      <c r="AD399" s="3">
        <f>N(W399)</f>
        <v/>
      </c>
      <c r="AE399" s="3">
        <f>SUM(Y399:AD399)</f>
        <v/>
      </c>
      <c r="AF399" s="3">
        <f>N(AE399)*N(M399)/90</f>
        <v/>
      </c>
      <c r="AG399" s="3">
        <f>IFERROR(AF399-VLOOKUP($C399,Assumptions!$A$29:$C$32,3,FALSE),"")</f>
        <v/>
      </c>
      <c r="AH399" s="3">
        <f>IFERROR(AG399/F399,"")</f>
        <v/>
      </c>
      <c r="AI399">
        <f>IF(AND($E399=TRUE,$C399="GKP"),AF399,"")</f>
        <v/>
      </c>
      <c r="AJ399">
        <f>IF(AND($E399=TRUE,$C399="DEF"),AF399,"")</f>
        <v/>
      </c>
      <c r="AK399">
        <f>IF(AND($E399=TRUE,$C399="MID"),AF399,"")</f>
        <v/>
      </c>
      <c r="AL399">
        <f>IF(AND($E399=TRUE,$C399="FWD"),AF399,"")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b">
        <v>1</v>
      </c>
      <c r="F400" s="2" t="n">
        <v>4</v>
      </c>
      <c r="G400" t="inlineStr">
        <is>
          <t>a</t>
        </is>
      </c>
      <c r="I400" s="2" t="n">
        <v>1</v>
      </c>
      <c r="J400" t="n">
        <v>1</v>
      </c>
      <c r="K400" s="3" t="n">
        <v>0</v>
      </c>
      <c r="L400" t="inlineStr">
        <is>
          <t>flat</t>
        </is>
      </c>
      <c r="M400" s="4" t="n">
        <v>1</v>
      </c>
      <c r="N400" s="4" t="n">
        <v>0.237</v>
      </c>
      <c r="O400" s="3" t="n">
        <v>0</v>
      </c>
      <c r="P400" t="inlineStr">
        <is>
          <t>blended xG</t>
        </is>
      </c>
      <c r="Q400" s="3" t="n">
        <v>1</v>
      </c>
      <c r="R400" s="3" t="n">
        <v>0</v>
      </c>
      <c r="S400" s="3" t="n">
        <v>0</v>
      </c>
      <c r="T400" s="3" t="n">
        <v>7.674</v>
      </c>
      <c r="U400" s="4" t="n">
        <v>85</v>
      </c>
      <c r="V400" s="3">
        <f>IF(OR(N(T400)=0,N(U400)=0),0,1-POISSON(IFERROR(VLOOKUP($C400,Assumptions!$A$4:$G$7,7,FALSE),99)-1,N(T400)*N(U400)/90,TRUE))</f>
        <v/>
      </c>
      <c r="W400" s="3" t="n">
        <v>0</v>
      </c>
      <c r="X400" s="3" t="n">
        <v>90</v>
      </c>
      <c r="Y400" s="3">
        <f>IF(X400="",IFERROR(VLOOKUP($C400,Assumptions!$A$4:$G$7,6,FALSE),0),X400)</f>
        <v/>
      </c>
      <c r="Z400" s="3">
        <f>N(O400)*IFERROR(VLOOKUP($C400,Assumptions!$A$4:$G$7,2,FALSE),0)</f>
        <v/>
      </c>
      <c r="AA400" s="3">
        <f>N(S400)*IFERROR(VLOOKUP($C400,Assumptions!$A$4:$G$7,3,FALSE),0)*Assumptions!$B$11</f>
        <v/>
      </c>
      <c r="AB400" s="3">
        <f>N(N400)*IFERROR(VLOOKUP($C400,Assumptions!$A$4:$G$7,4,FALSE),0)</f>
        <v/>
      </c>
      <c r="AC400" s="3">
        <f>IF(N(U400)=0,0,V400*IFERROR(VLOOKUP($C400,Assumptions!$A$4:$G$7,5,FALSE),0)*90/N(U400))</f>
        <v/>
      </c>
      <c r="AD400" s="3">
        <f>N(W400)</f>
        <v/>
      </c>
      <c r="AE400" s="3">
        <f>SUM(Y400:AD400)</f>
        <v/>
      </c>
      <c r="AF400" s="3">
        <f>N(AE400)*N(M400)/90</f>
        <v/>
      </c>
      <c r="AG400" s="3">
        <f>IFERROR(AF400-VLOOKUP($C400,Assumptions!$A$29:$C$32,3,FALSE),"")</f>
        <v/>
      </c>
      <c r="AH400" s="3">
        <f>IFERROR(AG400/F400,"")</f>
        <v/>
      </c>
      <c r="AI400">
        <f>IF(AND($E400=TRUE,$C400="GKP"),AF400,"")</f>
        <v/>
      </c>
      <c r="AJ400">
        <f>IF(AND($E400=TRUE,$C400="DEF"),AF400,"")</f>
        <v/>
      </c>
      <c r="AK400">
        <f>IF(AND($E400=TRUE,$C400="MID"),AF400,"")</f>
        <v/>
      </c>
      <c r="AL400">
        <f>IF(AND($E400=TRUE,$C400="FWD"),AF400,"")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b">
        <v>1</v>
      </c>
      <c r="F401" s="2" t="n">
        <v>4</v>
      </c>
      <c r="G401" t="inlineStr">
        <is>
          <t>u</t>
        </is>
      </c>
      <c r="H401" t="inlineStr">
        <is>
          <t>Has joined Konyaspor permanently</t>
        </is>
      </c>
      <c r="I401" s="2" t="n">
        <v>125</v>
      </c>
      <c r="J401" t="n">
        <v>1</v>
      </c>
      <c r="K401" s="3" t="n"/>
      <c r="M401" s="4" t="n">
        <v>125</v>
      </c>
      <c r="N401" s="4" t="n">
        <v>0.29</v>
      </c>
      <c r="O401" s="3" t="n">
        <v>0.0497</v>
      </c>
      <c r="P401" t="inlineStr">
        <is>
          <t>adjusted xGOT</t>
        </is>
      </c>
      <c r="Q401" s="3" t="n">
        <v>0.991</v>
      </c>
      <c r="R401" s="3" t="n">
        <v>0.1</v>
      </c>
      <c r="S401" s="3" t="n">
        <v>0.0497</v>
      </c>
      <c r="T401" s="3" t="n">
        <v>7.613</v>
      </c>
      <c r="U401" s="4" t="n">
        <v>62.5</v>
      </c>
      <c r="V401" s="3">
        <f>IF(OR(N(T401)=0,N(U401)=0),0,1-POISSON(IFERROR(VLOOKUP($C401,Assumptions!$A$4:$G$7,7,FALSE),99)-1,N(T401)*N(U401)/90,TRUE))</f>
        <v/>
      </c>
      <c r="W401" s="3" t="n">
        <v>0</v>
      </c>
      <c r="X401" s="3" t="n">
        <v>2.16</v>
      </c>
      <c r="Y401" s="3">
        <f>IF(X401="",IFERROR(VLOOKUP($C401,Assumptions!$A$4:$G$7,6,FALSE),0),X401)</f>
        <v/>
      </c>
      <c r="Z401" s="3">
        <f>N(O401)*IFERROR(VLOOKUP($C401,Assumptions!$A$4:$G$7,2,FALSE),0)</f>
        <v/>
      </c>
      <c r="AA401" s="3">
        <f>N(S401)*IFERROR(VLOOKUP($C401,Assumptions!$A$4:$G$7,3,FALSE),0)*Assumptions!$B$11</f>
        <v/>
      </c>
      <c r="AB401" s="3">
        <f>N(N401)*IFERROR(VLOOKUP($C401,Assumptions!$A$4:$G$7,4,FALSE),0)</f>
        <v/>
      </c>
      <c r="AC401" s="3">
        <f>IF(N(U401)=0,0,V401*IFERROR(VLOOKUP($C401,Assumptions!$A$4:$G$7,5,FALSE),0)*90/N(U401))</f>
        <v/>
      </c>
      <c r="AD401" s="3">
        <f>N(W401)</f>
        <v/>
      </c>
      <c r="AE401" s="3">
        <f>SUM(Y401:AD401)</f>
        <v/>
      </c>
      <c r="AF401" s="3">
        <f>N(AE401)*N(M401)/90</f>
        <v/>
      </c>
      <c r="AG401" s="3">
        <f>IFERROR(AF401-VLOOKUP($C401,Assumptions!$A$29:$C$32,3,FALSE),"")</f>
        <v/>
      </c>
      <c r="AH401" s="3">
        <f>IFERROR(AG401/F401,"")</f>
        <v/>
      </c>
      <c r="AI401">
        <f>IF(AND($E401=TRUE,$C401="GKP"),AF401,"")</f>
        <v/>
      </c>
      <c r="AJ401">
        <f>IF(AND($E401=TRUE,$C401="DEF"),AF401,"")</f>
        <v/>
      </c>
      <c r="AK401">
        <f>IF(AND($E401=TRUE,$C401="MID"),AF401,"")</f>
        <v/>
      </c>
      <c r="AL401">
        <f>IF(AND($E401=TRUE,$C401="FWD"),AF401,"")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b">
        <v>1</v>
      </c>
      <c r="F402" s="2" t="n">
        <v>4.5</v>
      </c>
      <c r="G402" t="inlineStr">
        <is>
          <t>a</t>
        </is>
      </c>
      <c r="I402" s="2" t="n">
        <v>14</v>
      </c>
      <c r="J402" t="n">
        <v>1</v>
      </c>
      <c r="K402" s="3" t="n">
        <v>0</v>
      </c>
      <c r="L402" t="inlineStr">
        <is>
          <t>flat</t>
        </is>
      </c>
      <c r="M402" s="4" t="n">
        <v>14</v>
      </c>
      <c r="N402" s="4" t="n">
        <v>0.237</v>
      </c>
      <c r="O402" s="3" t="n">
        <v>0</v>
      </c>
      <c r="P402" t="inlineStr">
        <is>
          <t>blended xG</t>
        </is>
      </c>
      <c r="Q402" s="3" t="n">
        <v>1</v>
      </c>
      <c r="R402" s="3" t="n">
        <v>0</v>
      </c>
      <c r="S402" s="3" t="n">
        <v>0.0321</v>
      </c>
      <c r="T402" s="3" t="n">
        <v>8.659000000000001</v>
      </c>
      <c r="U402" s="4" t="n">
        <v>85</v>
      </c>
      <c r="V402" s="3">
        <f>IF(OR(N(T402)=0,N(U402)=0),0,1-POISSON(IFERROR(VLOOKUP($C402,Assumptions!$A$4:$G$7,7,FALSE),99)-1,N(T402)*N(U402)/90,TRUE))</f>
        <v/>
      </c>
      <c r="W402" s="3" t="n">
        <v>0</v>
      </c>
      <c r="X402" s="3" t="n">
        <v>6.429</v>
      </c>
      <c r="Y402" s="3">
        <f>IF(X402="",IFERROR(VLOOKUP($C402,Assumptions!$A$4:$G$7,6,FALSE),0),X402)</f>
        <v/>
      </c>
      <c r="Z402" s="3">
        <f>N(O402)*IFERROR(VLOOKUP($C402,Assumptions!$A$4:$G$7,2,FALSE),0)</f>
        <v/>
      </c>
      <c r="AA402" s="3">
        <f>N(S402)*IFERROR(VLOOKUP($C402,Assumptions!$A$4:$G$7,3,FALSE),0)*Assumptions!$B$11</f>
        <v/>
      </c>
      <c r="AB402" s="3">
        <f>N(N402)*IFERROR(VLOOKUP($C402,Assumptions!$A$4:$G$7,4,FALSE),0)</f>
        <v/>
      </c>
      <c r="AC402" s="3">
        <f>IF(N(U402)=0,0,V402*IFERROR(VLOOKUP($C402,Assumptions!$A$4:$G$7,5,FALSE),0)*90/N(U402))</f>
        <v/>
      </c>
      <c r="AD402" s="3">
        <f>N(W402)</f>
        <v/>
      </c>
      <c r="AE402" s="3">
        <f>SUM(Y402:AD402)</f>
        <v/>
      </c>
      <c r="AF402" s="3">
        <f>N(AE402)*N(M402)/90</f>
        <v/>
      </c>
      <c r="AG402" s="3">
        <f>IFERROR(AF402-VLOOKUP($C402,Assumptions!$A$29:$C$32,3,FALSE),"")</f>
        <v/>
      </c>
      <c r="AH402" s="3">
        <f>IFERROR(AG402/F402,"")</f>
        <v/>
      </c>
      <c r="AI402">
        <f>IF(AND($E402=TRUE,$C402="GKP"),AF402,"")</f>
        <v/>
      </c>
      <c r="AJ402">
        <f>IF(AND($E402=TRUE,$C402="DEF"),AF402,"")</f>
        <v/>
      </c>
      <c r="AK402">
        <f>IF(AND($E402=TRUE,$C402="MID"),AF402,"")</f>
        <v/>
      </c>
      <c r="AL402">
        <f>IF(AND($E402=TRUE,$C402="FWD"),AF402,"")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b">
        <v>1</v>
      </c>
      <c r="F403" s="2" t="n">
        <v>4.5</v>
      </c>
      <c r="G403" t="inlineStr">
        <is>
          <t>a</t>
        </is>
      </c>
      <c r="I403" s="2" t="n">
        <v>26</v>
      </c>
      <c r="J403" t="n">
        <v>1</v>
      </c>
      <c r="K403" s="3" t="n">
        <v>12</v>
      </c>
      <c r="L403" t="inlineStr">
        <is>
          <t>flat</t>
        </is>
      </c>
      <c r="M403" s="4" t="n">
        <v>26</v>
      </c>
      <c r="N403" s="4" t="n">
        <v>0.237</v>
      </c>
      <c r="O403" s="3" t="n">
        <v>0</v>
      </c>
      <c r="P403" t="inlineStr">
        <is>
          <t>blended xG</t>
        </is>
      </c>
      <c r="Q403" s="3" t="n">
        <v>1</v>
      </c>
      <c r="R403" s="3" t="n">
        <v>0</v>
      </c>
      <c r="S403" s="3" t="n">
        <v>0.0173</v>
      </c>
      <c r="T403" s="3" t="n">
        <v>9.243</v>
      </c>
      <c r="U403" s="4" t="n">
        <v>85</v>
      </c>
      <c r="V403" s="3">
        <f>IF(OR(N(T403)=0,N(U403)=0),0,1-POISSON(IFERROR(VLOOKUP($C403,Assumptions!$A$4:$G$7,7,FALSE),99)-1,N(T403)*N(U403)/90,TRUE))</f>
        <v/>
      </c>
      <c r="W403" s="3" t="n">
        <v>0</v>
      </c>
      <c r="X403" s="3" t="n">
        <v>10.385</v>
      </c>
      <c r="Y403" s="3">
        <f>IF(X403="",IFERROR(VLOOKUP($C403,Assumptions!$A$4:$G$7,6,FALSE),0),X403)</f>
        <v/>
      </c>
      <c r="Z403" s="3">
        <f>N(O403)*IFERROR(VLOOKUP($C403,Assumptions!$A$4:$G$7,2,FALSE),0)</f>
        <v/>
      </c>
      <c r="AA403" s="3">
        <f>N(S403)*IFERROR(VLOOKUP($C403,Assumptions!$A$4:$G$7,3,FALSE),0)*Assumptions!$B$11</f>
        <v/>
      </c>
      <c r="AB403" s="3">
        <f>N(N403)*IFERROR(VLOOKUP($C403,Assumptions!$A$4:$G$7,4,FALSE),0)</f>
        <v/>
      </c>
      <c r="AC403" s="3">
        <f>IF(N(U403)=0,0,V403*IFERROR(VLOOKUP($C403,Assumptions!$A$4:$G$7,5,FALSE),0)*90/N(U403))</f>
        <v/>
      </c>
      <c r="AD403" s="3">
        <f>N(W403)</f>
        <v/>
      </c>
      <c r="AE403" s="3">
        <f>SUM(Y403:AD403)</f>
        <v/>
      </c>
      <c r="AF403" s="3">
        <f>N(AE403)*N(M403)/90</f>
        <v/>
      </c>
      <c r="AG403" s="3">
        <f>IFERROR(AF403-VLOOKUP($C403,Assumptions!$A$29:$C$32,3,FALSE),"")</f>
        <v/>
      </c>
      <c r="AH403" s="3">
        <f>IFERROR(AG403/F403,"")</f>
        <v/>
      </c>
      <c r="AI403">
        <f>IF(AND($E403=TRUE,$C403="GKP"),AF403,"")</f>
        <v/>
      </c>
      <c r="AJ403">
        <f>IF(AND($E403=TRUE,$C403="DEF"),AF403,"")</f>
        <v/>
      </c>
      <c r="AK403">
        <f>IF(AND($E403=TRUE,$C403="MID"),AF403,"")</f>
        <v/>
      </c>
      <c r="AL403">
        <f>IF(AND($E403=TRUE,$C403="FWD"),AF403,"")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b">
        <v>1</v>
      </c>
      <c r="F404" s="2" t="n">
        <v>4.5</v>
      </c>
      <c r="G404" t="inlineStr">
        <is>
          <t>a</t>
        </is>
      </c>
      <c r="I404" s="2" t="n">
        <v>90</v>
      </c>
      <c r="J404" t="n">
        <v>1</v>
      </c>
      <c r="K404" s="3" t="n">
        <v>35</v>
      </c>
      <c r="L404" t="inlineStr">
        <is>
          <t>flat</t>
        </is>
      </c>
      <c r="M404" s="4" t="n">
        <v>90</v>
      </c>
      <c r="N404" s="4" t="n">
        <v>0.263</v>
      </c>
      <c r="O404" s="3" t="n">
        <v>0</v>
      </c>
      <c r="P404" t="inlineStr">
        <is>
          <t>blended xG</t>
        </is>
      </c>
      <c r="Q404" s="3" t="n">
        <v>1</v>
      </c>
      <c r="R404" s="3" t="n">
        <v>0</v>
      </c>
      <c r="S404" s="3" t="n">
        <v>0</v>
      </c>
      <c r="T404" s="3" t="n">
        <v>0</v>
      </c>
      <c r="U404" s="4" t="n">
        <v>90</v>
      </c>
      <c r="V404" s="3">
        <f>IF(OR(N(T404)=0,N(U404)=0),0,1-POISSON(IFERROR(VLOOKUP($C404,Assumptions!$A$4:$G$7,7,FALSE),99)-1,N(T404)*N(U404)/90,TRUE))</f>
        <v/>
      </c>
      <c r="W404" s="3" t="n">
        <v>0</v>
      </c>
      <c r="X404" s="3" t="n">
        <v>2</v>
      </c>
      <c r="Y404" s="3">
        <f>IF(X404="",IFERROR(VLOOKUP($C404,Assumptions!$A$4:$G$7,6,FALSE),0),X404)</f>
        <v/>
      </c>
      <c r="Z404" s="3">
        <f>N(O404)*IFERROR(VLOOKUP($C404,Assumptions!$A$4:$G$7,2,FALSE),0)</f>
        <v/>
      </c>
      <c r="AA404" s="3">
        <f>N(S404)*IFERROR(VLOOKUP($C404,Assumptions!$A$4:$G$7,3,FALSE),0)*Assumptions!$B$11</f>
        <v/>
      </c>
      <c r="AB404" s="3">
        <f>N(N404)*IFERROR(VLOOKUP($C404,Assumptions!$A$4:$G$7,4,FALSE),0)</f>
        <v/>
      </c>
      <c r="AC404" s="3">
        <f>IF(N(U404)=0,0,V404*IFERROR(VLOOKUP($C404,Assumptions!$A$4:$G$7,5,FALSE),0)*90/N(U404))</f>
        <v/>
      </c>
      <c r="AD404" s="3">
        <f>N(W404)</f>
        <v/>
      </c>
      <c r="AE404" s="3">
        <f>SUM(Y404:AD404)</f>
        <v/>
      </c>
      <c r="AF404" s="3">
        <f>N(AE404)*N(M404)/90</f>
        <v/>
      </c>
      <c r="AG404" s="3">
        <f>IFERROR(AF404-VLOOKUP($C404,Assumptions!$A$29:$C$32,3,FALSE),"")</f>
        <v/>
      </c>
      <c r="AH404" s="3">
        <f>IFERROR(AG404/F404,"")</f>
        <v/>
      </c>
      <c r="AI404">
        <f>IF(AND($E404=TRUE,$C404="GKP"),AF404,"")</f>
        <v/>
      </c>
      <c r="AJ404">
        <f>IF(AND($E404=TRUE,$C404="DEF"),AF404,"")</f>
        <v/>
      </c>
      <c r="AK404">
        <f>IF(AND($E404=TRUE,$C404="MID"),AF404,"")</f>
        <v/>
      </c>
      <c r="AL404">
        <f>IF(AND($E404=TRUE,$C404="FWD"),AF404,"")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b">
        <v>1</v>
      </c>
      <c r="F405" s="2" t="n">
        <v>5</v>
      </c>
      <c r="G405" t="inlineStr">
        <is>
          <t>d</t>
        </is>
      </c>
      <c r="H405" t="inlineStr">
        <is>
          <t>Knee injury - 75% chance of playing</t>
        </is>
      </c>
      <c r="I405" s="2" t="n">
        <v>45</v>
      </c>
      <c r="J405" t="n">
        <v>1</v>
      </c>
      <c r="K405" s="3" t="n">
        <v>0</v>
      </c>
      <c r="L405" t="inlineStr">
        <is>
          <t>flat</t>
        </is>
      </c>
      <c r="M405" s="4" t="n">
        <v>45</v>
      </c>
      <c r="N405" s="4" t="n">
        <v>0.263</v>
      </c>
      <c r="O405" s="3" t="n">
        <v>0</v>
      </c>
      <c r="P405" t="inlineStr">
        <is>
          <t>blended xG</t>
        </is>
      </c>
      <c r="Q405" s="3" t="n">
        <v>1</v>
      </c>
      <c r="R405" s="3" t="n">
        <v>0</v>
      </c>
      <c r="S405" s="3" t="n">
        <v>0.01</v>
      </c>
      <c r="T405" s="3" t="n">
        <v>8.542999999999999</v>
      </c>
      <c r="U405" s="4" t="n">
        <v>45</v>
      </c>
      <c r="V405" s="3">
        <f>IF(OR(N(T405)=0,N(U405)=0),0,1-POISSON(IFERROR(VLOOKUP($C405,Assumptions!$A$4:$G$7,7,FALSE),99)-1,N(T405)*N(U405)/90,TRUE))</f>
        <v/>
      </c>
      <c r="W405" s="3" t="n">
        <v>0</v>
      </c>
      <c r="X405" s="3" t="n">
        <v>2</v>
      </c>
      <c r="Y405" s="3">
        <f>IF(X405="",IFERROR(VLOOKUP($C405,Assumptions!$A$4:$G$7,6,FALSE),0),X405)</f>
        <v/>
      </c>
      <c r="Z405" s="3">
        <f>N(O405)*IFERROR(VLOOKUP($C405,Assumptions!$A$4:$G$7,2,FALSE),0)</f>
        <v/>
      </c>
      <c r="AA405" s="3">
        <f>N(S405)*IFERROR(VLOOKUP($C405,Assumptions!$A$4:$G$7,3,FALSE),0)*Assumptions!$B$11</f>
        <v/>
      </c>
      <c r="AB405" s="3">
        <f>N(N405)*IFERROR(VLOOKUP($C405,Assumptions!$A$4:$G$7,4,FALSE),0)</f>
        <v/>
      </c>
      <c r="AC405" s="3">
        <f>IF(N(U405)=0,0,V405*IFERROR(VLOOKUP($C405,Assumptions!$A$4:$G$7,5,FALSE),0)*90/N(U405))</f>
        <v/>
      </c>
      <c r="AD405" s="3">
        <f>N(W405)</f>
        <v/>
      </c>
      <c r="AE405" s="3">
        <f>SUM(Y405:AD405)</f>
        <v/>
      </c>
      <c r="AF405" s="3">
        <f>N(AE405)*N(M405)/90</f>
        <v/>
      </c>
      <c r="AG405" s="3">
        <f>IFERROR(AF405-VLOOKUP($C405,Assumptions!$A$29:$C$32,3,FALSE),"")</f>
        <v/>
      </c>
      <c r="AH405" s="3">
        <f>IFERROR(AG405/F405,"")</f>
        <v/>
      </c>
      <c r="AI405">
        <f>IF(AND($E405=TRUE,$C405="GKP"),AF405,"")</f>
        <v/>
      </c>
      <c r="AJ405">
        <f>IF(AND($E405=TRUE,$C405="DEF"),AF405,"")</f>
        <v/>
      </c>
      <c r="AK405">
        <f>IF(AND($E405=TRUE,$C405="MID"),AF405,"")</f>
        <v/>
      </c>
      <c r="AL405">
        <f>IF(AND($E405=TRUE,$C405="FWD"),AF405,"")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b">
        <v>1</v>
      </c>
      <c r="F406" s="2" t="n">
        <v>4</v>
      </c>
      <c r="G406" t="inlineStr">
        <is>
          <t>a</t>
        </is>
      </c>
      <c r="I406" s="2" t="n">
        <v>2</v>
      </c>
      <c r="J406" t="n">
        <v>1</v>
      </c>
      <c r="K406" s="3" t="n">
        <v>0</v>
      </c>
      <c r="L406" t="inlineStr">
        <is>
          <t>flat</t>
        </is>
      </c>
      <c r="M406" s="4" t="n">
        <v>2</v>
      </c>
      <c r="N406" s="4" t="n">
        <v>0.21</v>
      </c>
      <c r="O406" s="3" t="n">
        <v>0</v>
      </c>
      <c r="P406" t="inlineStr">
        <is>
          <t>blended xG</t>
        </is>
      </c>
      <c r="Q406" s="3" t="n">
        <v>1</v>
      </c>
      <c r="R406" s="3" t="n">
        <v>0</v>
      </c>
      <c r="S406" s="3" t="n">
        <v>0</v>
      </c>
      <c r="T406" s="3" t="n">
        <v>7.913</v>
      </c>
      <c r="U406" s="4" t="n">
        <v>85</v>
      </c>
      <c r="V406" s="3">
        <f>IF(OR(N(T406)=0,N(U406)=0),0,1-POISSON(IFERROR(VLOOKUP($C406,Assumptions!$A$4:$G$7,7,FALSE),99)-1,N(T406)*N(U406)/90,TRUE))</f>
        <v/>
      </c>
      <c r="W406" s="3" t="n">
        <v>0</v>
      </c>
      <c r="X406" s="3" t="n">
        <v>45</v>
      </c>
      <c r="Y406" s="3">
        <f>IF(X406="",IFERROR(VLOOKUP($C406,Assumptions!$A$4:$G$7,6,FALSE),0),X406)</f>
        <v/>
      </c>
      <c r="Z406" s="3">
        <f>N(O406)*IFERROR(VLOOKUP($C406,Assumptions!$A$4:$G$7,2,FALSE),0)</f>
        <v/>
      </c>
      <c r="AA406" s="3">
        <f>N(S406)*IFERROR(VLOOKUP($C406,Assumptions!$A$4:$G$7,3,FALSE),0)*Assumptions!$B$11</f>
        <v/>
      </c>
      <c r="AB406" s="3">
        <f>N(N406)*IFERROR(VLOOKUP($C406,Assumptions!$A$4:$G$7,4,FALSE),0)</f>
        <v/>
      </c>
      <c r="AC406" s="3">
        <f>IF(N(U406)=0,0,V406*IFERROR(VLOOKUP($C406,Assumptions!$A$4:$G$7,5,FALSE),0)*90/N(U406))</f>
        <v/>
      </c>
      <c r="AD406" s="3">
        <f>N(W406)</f>
        <v/>
      </c>
      <c r="AE406" s="3">
        <f>SUM(Y406:AD406)</f>
        <v/>
      </c>
      <c r="AF406" s="3">
        <f>N(AE406)*N(M406)/90</f>
        <v/>
      </c>
      <c r="AG406" s="3">
        <f>IFERROR(AF406-VLOOKUP($C406,Assumptions!$A$29:$C$32,3,FALSE),"")</f>
        <v/>
      </c>
      <c r="AH406" s="3">
        <f>IFERROR(AG406/F406,"")</f>
        <v/>
      </c>
      <c r="AI406">
        <f>IF(AND($E406=TRUE,$C406="GKP"),AF406,"")</f>
        <v/>
      </c>
      <c r="AJ406">
        <f>IF(AND($E406=TRUE,$C406="DEF"),AF406,"")</f>
        <v/>
      </c>
      <c r="AK406">
        <f>IF(AND($E406=TRUE,$C406="MID"),AF406,"")</f>
        <v/>
      </c>
      <c r="AL406">
        <f>IF(AND($E406=TRUE,$C406="FWD"),AF406,"")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b">
        <v>1</v>
      </c>
      <c r="F407" s="2" t="n">
        <v>5</v>
      </c>
      <c r="G407" t="inlineStr">
        <is>
          <t>a</t>
        </is>
      </c>
      <c r="I407" s="2" t="n">
        <v>0</v>
      </c>
      <c r="J407" t="n">
        <v>0</v>
      </c>
      <c r="K407" s="3" t="n">
        <v>0</v>
      </c>
      <c r="L407" t="inlineStr">
        <is>
          <t>flat</t>
        </is>
      </c>
      <c r="M407" s="4" t="n">
        <v>0</v>
      </c>
      <c r="N407" s="4" t="n">
        <v>0.5</v>
      </c>
      <c r="O407" s="3" t="n"/>
      <c r="P407" t="inlineStr"/>
      <c r="Q407" s="3" t="n"/>
      <c r="R407" s="3" t="n"/>
      <c r="S407" s="3" t="n"/>
      <c r="T407" s="3" t="n">
        <v>0</v>
      </c>
      <c r="U407" s="4" t="n"/>
      <c r="V407" s="3">
        <f>IF(OR(N(T407)=0,N(U407)=0),0,1-POISSON(IFERROR(VLOOKUP($C407,Assumptions!$A$4:$G$7,7,FALSE),99)-1,N(T407)*N(U407)/90,TRUE))</f>
        <v/>
      </c>
      <c r="W407" s="3" t="n"/>
      <c r="X407" s="3" t="n"/>
      <c r="Y407" s="3">
        <f>IF(X407="",IFERROR(VLOOKUP($C407,Assumptions!$A$4:$G$7,6,FALSE),0),X407)</f>
        <v/>
      </c>
      <c r="Z407" s="3">
        <f>N(O407)*IFERROR(VLOOKUP($C407,Assumptions!$A$4:$G$7,2,FALSE),0)</f>
        <v/>
      </c>
      <c r="AA407" s="3">
        <f>N(S407)*IFERROR(VLOOKUP($C407,Assumptions!$A$4:$G$7,3,FALSE),0)*Assumptions!$B$11</f>
        <v/>
      </c>
      <c r="AB407" s="3">
        <f>N(N407)*IFERROR(VLOOKUP($C407,Assumptions!$A$4:$G$7,4,FALSE),0)</f>
        <v/>
      </c>
      <c r="AC407" s="3">
        <f>IF(N(U407)=0,0,V407*IFERROR(VLOOKUP($C407,Assumptions!$A$4:$G$7,5,FALSE),0)*90/N(U407))</f>
        <v/>
      </c>
      <c r="AD407" s="3">
        <f>N(W407)</f>
        <v/>
      </c>
      <c r="AE407" s="3">
        <f>SUM(Y407:AD407)</f>
        <v/>
      </c>
      <c r="AF407" s="3">
        <f>N(AE407)*N(M407)/90</f>
        <v/>
      </c>
      <c r="AG407" s="3">
        <f>IFERROR(AF407-VLOOKUP($C407,Assumptions!$A$29:$C$32,3,FALSE),"")</f>
        <v/>
      </c>
      <c r="AH407" s="3">
        <f>IFERROR(AG407/F407,"")</f>
        <v/>
      </c>
      <c r="AI407">
        <f>IF(AND($E407=TRUE,$C407="GKP"),AF407,"")</f>
        <v/>
      </c>
      <c r="AJ407">
        <f>IF(AND($E407=TRUE,$C407="DEF"),AF407,"")</f>
        <v/>
      </c>
      <c r="AK407">
        <f>IF(AND($E407=TRUE,$C407="MID"),AF407,"")</f>
        <v/>
      </c>
      <c r="AL407">
        <f>IF(AND($E407=TRUE,$C407="FWD"),AF407,"")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b">
        <v>1</v>
      </c>
      <c r="F408" s="2" t="n">
        <v>4.5</v>
      </c>
      <c r="G408" t="inlineStr">
        <is>
          <t>i</t>
        </is>
      </c>
      <c r="H408" t="inlineStr">
        <is>
          <t>Thigh injury - Unknown return date</t>
        </is>
      </c>
      <c r="I408" s="2" t="n">
        <v>0</v>
      </c>
      <c r="J408" t="n">
        <v>0</v>
      </c>
      <c r="K408" s="3" t="n">
        <v>0</v>
      </c>
      <c r="L408" t="inlineStr">
        <is>
          <t>flat</t>
        </is>
      </c>
      <c r="M408" s="4" t="n">
        <v>0</v>
      </c>
      <c r="N408" s="4" t="n">
        <v>0.29</v>
      </c>
      <c r="O408" s="3" t="n"/>
      <c r="P408" t="inlineStr"/>
      <c r="Q408" s="3" t="n"/>
      <c r="R408" s="3" t="n"/>
      <c r="S408" s="3" t="n"/>
      <c r="T408" s="3" t="n"/>
      <c r="U408" s="4" t="n"/>
      <c r="V408" s="3">
        <f>IF(OR(N(T408)=0,N(U408)=0),0,1-POISSON(IFERROR(VLOOKUP($C408,Assumptions!$A$4:$G$7,7,FALSE),99)-1,N(T408)*N(U408)/90,TRUE))</f>
        <v/>
      </c>
      <c r="W408" s="3" t="n"/>
      <c r="X408" s="3" t="n"/>
      <c r="Y408" s="3">
        <f>IF(X408="",IFERROR(VLOOKUP($C408,Assumptions!$A$4:$G$7,6,FALSE),0),X408)</f>
        <v/>
      </c>
      <c r="Z408" s="3">
        <f>N(O408)*IFERROR(VLOOKUP($C408,Assumptions!$A$4:$G$7,2,FALSE),0)</f>
        <v/>
      </c>
      <c r="AA408" s="3">
        <f>N(S408)*IFERROR(VLOOKUP($C408,Assumptions!$A$4:$G$7,3,FALSE),0)*Assumptions!$B$11</f>
        <v/>
      </c>
      <c r="AB408" s="3">
        <f>N(N408)*IFERROR(VLOOKUP($C408,Assumptions!$A$4:$G$7,4,FALSE),0)</f>
        <v/>
      </c>
      <c r="AC408" s="3">
        <f>IF(N(U408)=0,0,V408*IFERROR(VLOOKUP($C408,Assumptions!$A$4:$G$7,5,FALSE),0)*90/N(U408))</f>
        <v/>
      </c>
      <c r="AD408" s="3">
        <f>N(W408)</f>
        <v/>
      </c>
      <c r="AE408" s="3">
        <f>SUM(Y408:AD408)</f>
        <v/>
      </c>
      <c r="AF408" s="3">
        <f>N(AE408)*N(M408)/90</f>
        <v/>
      </c>
      <c r="AG408" s="3">
        <f>IFERROR(AF408-VLOOKUP($C408,Assumptions!$A$29:$C$32,3,FALSE),"")</f>
        <v/>
      </c>
      <c r="AH408" s="3">
        <f>IFERROR(AG408/F408,"")</f>
        <v/>
      </c>
      <c r="AI408">
        <f>IF(AND($E408=TRUE,$C408="GKP"),AF408,"")</f>
        <v/>
      </c>
      <c r="AJ408">
        <f>IF(AND($E408=TRUE,$C408="DEF"),AF408,"")</f>
        <v/>
      </c>
      <c r="AK408">
        <f>IF(AND($E408=TRUE,$C408="MID"),AF408,"")</f>
        <v/>
      </c>
      <c r="AL408">
        <f>IF(AND($E408=TRUE,$C408="FWD"),AF408,"")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b">
        <v>1</v>
      </c>
      <c r="F409" s="2" t="n">
        <v>4.5</v>
      </c>
      <c r="G409" t="inlineStr">
        <is>
          <t>a</t>
        </is>
      </c>
      <c r="I409" s="2" t="n">
        <v>0</v>
      </c>
      <c r="J409" t="n">
        <v>0</v>
      </c>
      <c r="K409" s="3" t="n">
        <v>3317</v>
      </c>
      <c r="L409" t="inlineStr">
        <is>
          <t>flat</t>
        </is>
      </c>
      <c r="M409" s="4" t="n">
        <v>0</v>
      </c>
      <c r="N409" s="4" t="n"/>
      <c r="O409" s="3" t="n"/>
      <c r="P409" t="inlineStr"/>
      <c r="Q409" s="3" t="n"/>
      <c r="R409" s="3" t="n"/>
      <c r="S409" s="3" t="n"/>
      <c r="T409" s="3" t="n">
        <v>0</v>
      </c>
      <c r="U409" s="4" t="n"/>
      <c r="V409" s="3">
        <f>IF(OR(N(T409)=0,N(U409)=0),0,1-POISSON(IFERROR(VLOOKUP($C409,Assumptions!$A$4:$G$7,7,FALSE),99)-1,N(T409)*N(U409)/90,TRUE))</f>
        <v/>
      </c>
      <c r="W409" s="3" t="n"/>
      <c r="X409" s="3" t="n"/>
      <c r="Y409" s="3">
        <f>IF(X409="",IFERROR(VLOOKUP($C409,Assumptions!$A$4:$G$7,6,FALSE),0),X409)</f>
        <v/>
      </c>
      <c r="Z409" s="3">
        <f>N(O409)*IFERROR(VLOOKUP($C409,Assumptions!$A$4:$G$7,2,FALSE),0)</f>
        <v/>
      </c>
      <c r="AA409" s="3">
        <f>N(S409)*IFERROR(VLOOKUP($C409,Assumptions!$A$4:$G$7,3,FALSE),0)*Assumptions!$B$11</f>
        <v/>
      </c>
      <c r="AB409" s="3">
        <f>N(N409)*IFERROR(VLOOKUP($C409,Assumptions!$A$4:$G$7,4,FALSE),0)</f>
        <v/>
      </c>
      <c r="AC409" s="3">
        <f>IF(N(U409)=0,0,V409*IFERROR(VLOOKUP($C409,Assumptions!$A$4:$G$7,5,FALSE),0)*90/N(U409))</f>
        <v/>
      </c>
      <c r="AD409" s="3">
        <f>N(W409)</f>
        <v/>
      </c>
      <c r="AE409" s="3">
        <f>SUM(Y409:AD409)</f>
        <v/>
      </c>
      <c r="AF409" s="3">
        <f>N(AE409)*N(M409)/90</f>
        <v/>
      </c>
      <c r="AG409" s="3">
        <f>IFERROR(AF409-VLOOKUP($C409,Assumptions!$A$29:$C$32,3,FALSE),"")</f>
        <v/>
      </c>
      <c r="AH409" s="3">
        <f>IFERROR(AG409/F409,"")</f>
        <v/>
      </c>
      <c r="AI409">
        <f>IF(AND($E409=TRUE,$C409="GKP"),AF409,"")</f>
        <v/>
      </c>
      <c r="AJ409">
        <f>IF(AND($E409=TRUE,$C409="DEF"),AF409,"")</f>
        <v/>
      </c>
      <c r="AK409">
        <f>IF(AND($E409=TRUE,$C409="MID"),AF409,"")</f>
        <v/>
      </c>
      <c r="AL409">
        <f>IF(AND($E409=TRUE,$C409="FWD"),AF409,"")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b">
        <v>1</v>
      </c>
      <c r="F410" s="2" t="n">
        <v>4</v>
      </c>
      <c r="G410" t="inlineStr">
        <is>
          <t>a</t>
        </is>
      </c>
      <c r="I410" s="2" t="n">
        <v>0</v>
      </c>
      <c r="J410" t="n">
        <v>0</v>
      </c>
      <c r="K410" s="3" t="n">
        <v>0</v>
      </c>
      <c r="L410" t="inlineStr">
        <is>
          <t>flat</t>
        </is>
      </c>
      <c r="M410" s="4" t="n">
        <v>0</v>
      </c>
      <c r="N410" s="4" t="n">
        <v>0.21</v>
      </c>
      <c r="O410" s="3" t="n"/>
      <c r="P410" t="inlineStr"/>
      <c r="Q410" s="3" t="n"/>
      <c r="R410" s="3" t="n"/>
      <c r="S410" s="3" t="n"/>
      <c r="T410" s="3" t="n">
        <v>0</v>
      </c>
      <c r="U410" s="4" t="n"/>
      <c r="V410" s="3">
        <f>IF(OR(N(T410)=0,N(U410)=0),0,1-POISSON(IFERROR(VLOOKUP($C410,Assumptions!$A$4:$G$7,7,FALSE),99)-1,N(T410)*N(U410)/90,TRUE))</f>
        <v/>
      </c>
      <c r="W410" s="3" t="n"/>
      <c r="X410" s="3" t="n"/>
      <c r="Y410" s="3">
        <f>IF(X410="",IFERROR(VLOOKUP($C410,Assumptions!$A$4:$G$7,6,FALSE),0),X410)</f>
        <v/>
      </c>
      <c r="Z410" s="3">
        <f>N(O410)*IFERROR(VLOOKUP($C410,Assumptions!$A$4:$G$7,2,FALSE),0)</f>
        <v/>
      </c>
      <c r="AA410" s="3">
        <f>N(S410)*IFERROR(VLOOKUP($C410,Assumptions!$A$4:$G$7,3,FALSE),0)*Assumptions!$B$11</f>
        <v/>
      </c>
      <c r="AB410" s="3">
        <f>N(N410)*IFERROR(VLOOKUP($C410,Assumptions!$A$4:$G$7,4,FALSE),0)</f>
        <v/>
      </c>
      <c r="AC410" s="3">
        <f>IF(N(U410)=0,0,V410*IFERROR(VLOOKUP($C410,Assumptions!$A$4:$G$7,5,FALSE),0)*90/N(U410))</f>
        <v/>
      </c>
      <c r="AD410" s="3">
        <f>N(W410)</f>
        <v/>
      </c>
      <c r="AE410" s="3">
        <f>SUM(Y410:AD410)</f>
        <v/>
      </c>
      <c r="AF410" s="3">
        <f>N(AE410)*N(M410)/90</f>
        <v/>
      </c>
      <c r="AG410" s="3">
        <f>IFERROR(AF410-VLOOKUP($C410,Assumptions!$A$29:$C$32,3,FALSE),"")</f>
        <v/>
      </c>
      <c r="AH410" s="3">
        <f>IFERROR(AG410/F410,"")</f>
        <v/>
      </c>
      <c r="AI410">
        <f>IF(AND($E410=TRUE,$C410="GKP"),AF410,"")</f>
        <v/>
      </c>
      <c r="AJ410">
        <f>IF(AND($E410=TRUE,$C410="DEF"),AF410,"")</f>
        <v/>
      </c>
      <c r="AK410">
        <f>IF(AND($E410=TRUE,$C410="MID"),AF410,"")</f>
        <v/>
      </c>
      <c r="AL410">
        <f>IF(AND($E410=TRUE,$C410="FWD"),AF410,"")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b">
        <v>1</v>
      </c>
      <c r="F411" s="2" t="n">
        <v>4</v>
      </c>
      <c r="G411" t="inlineStr">
        <is>
          <t>u</t>
        </is>
      </c>
      <c r="H411" t="inlineStr">
        <is>
          <t>Has joined Wrexham permanently</t>
        </is>
      </c>
      <c r="I411" s="2" t="n">
        <v>0</v>
      </c>
      <c r="J411" t="n">
        <v>0</v>
      </c>
      <c r="K411" s="3" t="n"/>
      <c r="M411" s="4" t="n">
        <v>0</v>
      </c>
      <c r="N411" s="4" t="n">
        <v>0.29</v>
      </c>
      <c r="O411" s="3" t="n"/>
      <c r="P411" t="inlineStr"/>
      <c r="Q411" s="3" t="n"/>
      <c r="R411" s="3" t="n"/>
      <c r="S411" s="3" t="n"/>
      <c r="T411" s="3" t="n">
        <v>0</v>
      </c>
      <c r="U411" s="4" t="n"/>
      <c r="V411" s="3">
        <f>IF(OR(N(T411)=0,N(U411)=0),0,1-POISSON(IFERROR(VLOOKUP($C411,Assumptions!$A$4:$G$7,7,FALSE),99)-1,N(T411)*N(U411)/90,TRUE))</f>
        <v/>
      </c>
      <c r="W411" s="3" t="n"/>
      <c r="X411" s="3" t="n"/>
      <c r="Y411" s="3">
        <f>IF(X411="",IFERROR(VLOOKUP($C411,Assumptions!$A$4:$G$7,6,FALSE),0),X411)</f>
        <v/>
      </c>
      <c r="Z411" s="3">
        <f>N(O411)*IFERROR(VLOOKUP($C411,Assumptions!$A$4:$G$7,2,FALSE),0)</f>
        <v/>
      </c>
      <c r="AA411" s="3">
        <f>N(S411)*IFERROR(VLOOKUP($C411,Assumptions!$A$4:$G$7,3,FALSE),0)*Assumptions!$B$11</f>
        <v/>
      </c>
      <c r="AB411" s="3">
        <f>N(N411)*IFERROR(VLOOKUP($C411,Assumptions!$A$4:$G$7,4,FALSE),0)</f>
        <v/>
      </c>
      <c r="AC411" s="3">
        <f>IF(N(U411)=0,0,V411*IFERROR(VLOOKUP($C411,Assumptions!$A$4:$G$7,5,FALSE),0)*90/N(U411))</f>
        <v/>
      </c>
      <c r="AD411" s="3">
        <f>N(W411)</f>
        <v/>
      </c>
      <c r="AE411" s="3">
        <f>SUM(Y411:AD411)</f>
        <v/>
      </c>
      <c r="AF411" s="3">
        <f>N(AE411)*N(M411)/90</f>
        <v/>
      </c>
      <c r="AG411" s="3">
        <f>IFERROR(AF411-VLOOKUP($C411,Assumptions!$A$29:$C$32,3,FALSE),"")</f>
        <v/>
      </c>
      <c r="AH411" s="3">
        <f>IFERROR(AG411/F411,"")</f>
        <v/>
      </c>
      <c r="AI411">
        <f>IF(AND($E411=TRUE,$C411="GKP"),AF411,"")</f>
        <v/>
      </c>
      <c r="AJ411">
        <f>IF(AND($E411=TRUE,$C411="DEF"),AF411,"")</f>
        <v/>
      </c>
      <c r="AK411">
        <f>IF(AND($E411=TRUE,$C411="MID"),AF411,"")</f>
        <v/>
      </c>
      <c r="AL411">
        <f>IF(AND($E411=TRUE,$C411="FWD"),AF411,"")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b">
        <v>1</v>
      </c>
      <c r="F412" s="2" t="n">
        <v>5</v>
      </c>
      <c r="G412" t="inlineStr">
        <is>
          <t>a</t>
        </is>
      </c>
      <c r="I412" s="2" t="n">
        <v>0</v>
      </c>
      <c r="J412" t="n">
        <v>0</v>
      </c>
      <c r="K412" s="3" t="n">
        <v>35</v>
      </c>
      <c r="L412" t="inlineStr">
        <is>
          <t>flat</t>
        </is>
      </c>
      <c r="M412" s="4" t="n">
        <v>0</v>
      </c>
      <c r="N412" s="4" t="n">
        <v>0.29</v>
      </c>
      <c r="O412" s="3" t="n"/>
      <c r="P412" t="inlineStr"/>
      <c r="Q412" s="3" t="n"/>
      <c r="R412" s="3" t="n"/>
      <c r="S412" s="3" t="n"/>
      <c r="T412" s="3" t="n">
        <v>0</v>
      </c>
      <c r="U412" s="4" t="n"/>
      <c r="V412" s="3">
        <f>IF(OR(N(T412)=0,N(U412)=0),0,1-POISSON(IFERROR(VLOOKUP($C412,Assumptions!$A$4:$G$7,7,FALSE),99)-1,N(T412)*N(U412)/90,TRUE))</f>
        <v/>
      </c>
      <c r="W412" s="3" t="n"/>
      <c r="X412" s="3" t="n"/>
      <c r="Y412" s="3">
        <f>IF(X412="",IFERROR(VLOOKUP($C412,Assumptions!$A$4:$G$7,6,FALSE),0),X412)</f>
        <v/>
      </c>
      <c r="Z412" s="3">
        <f>N(O412)*IFERROR(VLOOKUP($C412,Assumptions!$A$4:$G$7,2,FALSE),0)</f>
        <v/>
      </c>
      <c r="AA412" s="3">
        <f>N(S412)*IFERROR(VLOOKUP($C412,Assumptions!$A$4:$G$7,3,FALSE),0)*Assumptions!$B$11</f>
        <v/>
      </c>
      <c r="AB412" s="3">
        <f>N(N412)*IFERROR(VLOOKUP($C412,Assumptions!$A$4:$G$7,4,FALSE),0)</f>
        <v/>
      </c>
      <c r="AC412" s="3">
        <f>IF(N(U412)=0,0,V412*IFERROR(VLOOKUP($C412,Assumptions!$A$4:$G$7,5,FALSE),0)*90/N(U412))</f>
        <v/>
      </c>
      <c r="AD412" s="3">
        <f>N(W412)</f>
        <v/>
      </c>
      <c r="AE412" s="3">
        <f>SUM(Y412:AD412)</f>
        <v/>
      </c>
      <c r="AF412" s="3">
        <f>N(AE412)*N(M412)/90</f>
        <v/>
      </c>
      <c r="AG412" s="3">
        <f>IFERROR(AF412-VLOOKUP($C412,Assumptions!$A$29:$C$32,3,FALSE),"")</f>
        <v/>
      </c>
      <c r="AH412" s="3">
        <f>IFERROR(AG412/F412,"")</f>
        <v/>
      </c>
      <c r="AI412">
        <f>IF(AND($E412=TRUE,$C412="GKP"),AF412,"")</f>
        <v/>
      </c>
      <c r="AJ412">
        <f>IF(AND($E412=TRUE,$C412="DEF"),AF412,"")</f>
        <v/>
      </c>
      <c r="AK412">
        <f>IF(AND($E412=TRUE,$C412="MID"),AF412,"")</f>
        <v/>
      </c>
      <c r="AL412">
        <f>IF(AND($E412=TRUE,$C412="FWD"),AF412,"")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b">
        <v>1</v>
      </c>
      <c r="F413" s="2" t="n">
        <v>5</v>
      </c>
      <c r="G413" t="inlineStr">
        <is>
          <t>a</t>
        </is>
      </c>
      <c r="I413" s="2" t="n">
        <v>0</v>
      </c>
      <c r="J413" t="n">
        <v>0</v>
      </c>
      <c r="K413" s="3" t="n">
        <v>1708</v>
      </c>
      <c r="L413" t="inlineStr">
        <is>
          <t>flat</t>
        </is>
      </c>
      <c r="M413" s="4" t="n">
        <v>0</v>
      </c>
      <c r="N413" s="4" t="n">
        <v>0.263</v>
      </c>
      <c r="O413" s="3" t="n"/>
      <c r="P413" t="inlineStr"/>
      <c r="Q413" s="3" t="n"/>
      <c r="R413" s="3" t="n"/>
      <c r="S413" s="3" t="n"/>
      <c r="T413" s="3" t="n"/>
      <c r="U413" s="4" t="n"/>
      <c r="V413" s="3">
        <f>IF(OR(N(T413)=0,N(U413)=0),0,1-POISSON(IFERROR(VLOOKUP($C413,Assumptions!$A$4:$G$7,7,FALSE),99)-1,N(T413)*N(U413)/90,TRUE))</f>
        <v/>
      </c>
      <c r="W413" s="3" t="n"/>
      <c r="X413" s="3" t="n"/>
      <c r="Y413" s="3">
        <f>IF(X413="",IFERROR(VLOOKUP($C413,Assumptions!$A$4:$G$7,6,FALSE),0),X413)</f>
        <v/>
      </c>
      <c r="Z413" s="3">
        <f>N(O413)*IFERROR(VLOOKUP($C413,Assumptions!$A$4:$G$7,2,FALSE),0)</f>
        <v/>
      </c>
      <c r="AA413" s="3">
        <f>N(S413)*IFERROR(VLOOKUP($C413,Assumptions!$A$4:$G$7,3,FALSE),0)*Assumptions!$B$11</f>
        <v/>
      </c>
      <c r="AB413" s="3">
        <f>N(N413)*IFERROR(VLOOKUP($C413,Assumptions!$A$4:$G$7,4,FALSE),0)</f>
        <v/>
      </c>
      <c r="AC413" s="3">
        <f>IF(N(U413)=0,0,V413*IFERROR(VLOOKUP($C413,Assumptions!$A$4:$G$7,5,FALSE),0)*90/N(U413))</f>
        <v/>
      </c>
      <c r="AD413" s="3">
        <f>N(W413)</f>
        <v/>
      </c>
      <c r="AE413" s="3">
        <f>SUM(Y413:AD413)</f>
        <v/>
      </c>
      <c r="AF413" s="3">
        <f>N(AE413)*N(M413)/90</f>
        <v/>
      </c>
      <c r="AG413" s="3">
        <f>IFERROR(AF413-VLOOKUP($C413,Assumptions!$A$29:$C$32,3,FALSE),"")</f>
        <v/>
      </c>
      <c r="AH413" s="3">
        <f>IFERROR(AG413/F413,"")</f>
        <v/>
      </c>
      <c r="AI413">
        <f>IF(AND($E413=TRUE,$C413="GKP"),AF413,"")</f>
        <v/>
      </c>
      <c r="AJ413">
        <f>IF(AND($E413=TRUE,$C413="DEF"),AF413,"")</f>
        <v/>
      </c>
      <c r="AK413">
        <f>IF(AND($E413=TRUE,$C413="MID"),AF413,"")</f>
        <v/>
      </c>
      <c r="AL413">
        <f>IF(AND($E413=TRUE,$C413="FWD"),AF413,"")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b">
        <v>1</v>
      </c>
      <c r="F414" s="2" t="n">
        <v>4</v>
      </c>
      <c r="G414" t="inlineStr">
        <is>
          <t>a</t>
        </is>
      </c>
      <c r="I414" s="2" t="n">
        <v>0</v>
      </c>
      <c r="J414" t="n">
        <v>0</v>
      </c>
      <c r="K414" s="3" t="n">
        <v>0</v>
      </c>
      <c r="L414" t="inlineStr">
        <is>
          <t>flat</t>
        </is>
      </c>
      <c r="M414" s="4" t="n">
        <v>0</v>
      </c>
      <c r="N414" s="4" t="n">
        <v>0.237</v>
      </c>
      <c r="O414" s="3" t="n"/>
      <c r="P414" t="inlineStr"/>
      <c r="Q414" s="3" t="n"/>
      <c r="R414" s="3" t="n"/>
      <c r="S414" s="3" t="n"/>
      <c r="T414" s="3" t="n">
        <v>0</v>
      </c>
      <c r="U414" s="4" t="n"/>
      <c r="V414" s="3">
        <f>IF(OR(N(T414)=0,N(U414)=0),0,1-POISSON(IFERROR(VLOOKUP($C414,Assumptions!$A$4:$G$7,7,FALSE),99)-1,N(T414)*N(U414)/90,TRUE))</f>
        <v/>
      </c>
      <c r="W414" s="3" t="n"/>
      <c r="X414" s="3" t="n"/>
      <c r="Y414" s="3">
        <f>IF(X414="",IFERROR(VLOOKUP($C414,Assumptions!$A$4:$G$7,6,FALSE),0),X414)</f>
        <v/>
      </c>
      <c r="Z414" s="3">
        <f>N(O414)*IFERROR(VLOOKUP($C414,Assumptions!$A$4:$G$7,2,FALSE),0)</f>
        <v/>
      </c>
      <c r="AA414" s="3">
        <f>N(S414)*IFERROR(VLOOKUP($C414,Assumptions!$A$4:$G$7,3,FALSE),0)*Assumptions!$B$11</f>
        <v/>
      </c>
      <c r="AB414" s="3">
        <f>N(N414)*IFERROR(VLOOKUP($C414,Assumptions!$A$4:$G$7,4,FALSE),0)</f>
        <v/>
      </c>
      <c r="AC414" s="3">
        <f>IF(N(U414)=0,0,V414*IFERROR(VLOOKUP($C414,Assumptions!$A$4:$G$7,5,FALSE),0)*90/N(U414))</f>
        <v/>
      </c>
      <c r="AD414" s="3">
        <f>N(W414)</f>
        <v/>
      </c>
      <c r="AE414" s="3">
        <f>SUM(Y414:AD414)</f>
        <v/>
      </c>
      <c r="AF414" s="3">
        <f>N(AE414)*N(M414)/90</f>
        <v/>
      </c>
      <c r="AG414" s="3">
        <f>IFERROR(AF414-VLOOKUP($C414,Assumptions!$A$29:$C$32,3,FALSE),"")</f>
        <v/>
      </c>
      <c r="AH414" s="3">
        <f>IFERROR(AG414/F414,"")</f>
        <v/>
      </c>
      <c r="AI414">
        <f>IF(AND($E414=TRUE,$C414="GKP"),AF414,"")</f>
        <v/>
      </c>
      <c r="AJ414">
        <f>IF(AND($E414=TRUE,$C414="DEF"),AF414,"")</f>
        <v/>
      </c>
      <c r="AK414">
        <f>IF(AND($E414=TRUE,$C414="MID"),AF414,"")</f>
        <v/>
      </c>
      <c r="AL414">
        <f>IF(AND($E414=TRUE,$C414="FWD"),AF414,"")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b">
        <v>1</v>
      </c>
      <c r="F415" s="2" t="n">
        <v>5</v>
      </c>
      <c r="G415" t="inlineStr">
        <is>
          <t>a</t>
        </is>
      </c>
      <c r="I415" s="2" t="n">
        <v>0</v>
      </c>
      <c r="J415" t="n">
        <v>0</v>
      </c>
      <c r="K415" s="3" t="n">
        <v>256</v>
      </c>
      <c r="L415" t="inlineStr">
        <is>
          <t>flat</t>
        </is>
      </c>
      <c r="M415" s="4" t="n">
        <v>0</v>
      </c>
      <c r="N415" s="4" t="n">
        <v>0.263</v>
      </c>
      <c r="O415" s="3" t="n"/>
      <c r="P415" t="inlineStr"/>
      <c r="Q415" s="3" t="n"/>
      <c r="R415" s="3" t="n"/>
      <c r="S415" s="3" t="n"/>
      <c r="T415" s="3" t="n"/>
      <c r="U415" s="4" t="n"/>
      <c r="V415" s="3">
        <f>IF(OR(N(T415)=0,N(U415)=0),0,1-POISSON(IFERROR(VLOOKUP($C415,Assumptions!$A$4:$G$7,7,FALSE),99)-1,N(T415)*N(U415)/90,TRUE))</f>
        <v/>
      </c>
      <c r="W415" s="3" t="n"/>
      <c r="X415" s="3" t="n"/>
      <c r="Y415" s="3">
        <f>IF(X415="",IFERROR(VLOOKUP($C415,Assumptions!$A$4:$G$7,6,FALSE),0),X415)</f>
        <v/>
      </c>
      <c r="Z415" s="3">
        <f>N(O415)*IFERROR(VLOOKUP($C415,Assumptions!$A$4:$G$7,2,FALSE),0)</f>
        <v/>
      </c>
      <c r="AA415" s="3">
        <f>N(S415)*IFERROR(VLOOKUP($C415,Assumptions!$A$4:$G$7,3,FALSE),0)*Assumptions!$B$11</f>
        <v/>
      </c>
      <c r="AB415" s="3">
        <f>N(N415)*IFERROR(VLOOKUP($C415,Assumptions!$A$4:$G$7,4,FALSE),0)</f>
        <v/>
      </c>
      <c r="AC415" s="3">
        <f>IF(N(U415)=0,0,V415*IFERROR(VLOOKUP($C415,Assumptions!$A$4:$G$7,5,FALSE),0)*90/N(U415))</f>
        <v/>
      </c>
      <c r="AD415" s="3">
        <f>N(W415)</f>
        <v/>
      </c>
      <c r="AE415" s="3">
        <f>SUM(Y415:AD415)</f>
        <v/>
      </c>
      <c r="AF415" s="3">
        <f>N(AE415)*N(M415)/90</f>
        <v/>
      </c>
      <c r="AG415" s="3">
        <f>IFERROR(AF415-VLOOKUP($C415,Assumptions!$A$29:$C$32,3,FALSE),"")</f>
        <v/>
      </c>
      <c r="AH415" s="3">
        <f>IFERROR(AG415/F415,"")</f>
        <v/>
      </c>
      <c r="AI415">
        <f>IF(AND($E415=TRUE,$C415="GKP"),AF415,"")</f>
        <v/>
      </c>
      <c r="AJ415">
        <f>IF(AND($E415=TRUE,$C415="DEF"),AF415,"")</f>
        <v/>
      </c>
      <c r="AK415">
        <f>IF(AND($E415=TRUE,$C415="MID"),AF415,"")</f>
        <v/>
      </c>
      <c r="AL415">
        <f>IF(AND($E415=TRUE,$C415="FWD"),AF415,"")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b">
        <v>1</v>
      </c>
      <c r="F416" s="2" t="n">
        <v>4</v>
      </c>
      <c r="G416" t="inlineStr">
        <is>
          <t>a</t>
        </is>
      </c>
      <c r="I416" s="2" t="n">
        <v>0</v>
      </c>
      <c r="J416" t="n">
        <v>0</v>
      </c>
      <c r="K416" s="3" t="n">
        <v>0</v>
      </c>
      <c r="L416" t="inlineStr">
        <is>
          <t>flat</t>
        </is>
      </c>
      <c r="M416" s="4" t="n">
        <v>0</v>
      </c>
      <c r="N416" s="4" t="n">
        <v>0.237</v>
      </c>
      <c r="O416" s="3" t="n"/>
      <c r="P416" t="inlineStr"/>
      <c r="Q416" s="3" t="n"/>
      <c r="R416" s="3" t="n"/>
      <c r="S416" s="3" t="n"/>
      <c r="T416" s="3" t="n"/>
      <c r="U416" s="4" t="n"/>
      <c r="V416" s="3">
        <f>IF(OR(N(T416)=0,N(U416)=0),0,1-POISSON(IFERROR(VLOOKUP($C416,Assumptions!$A$4:$G$7,7,FALSE),99)-1,N(T416)*N(U416)/90,TRUE))</f>
        <v/>
      </c>
      <c r="W416" s="3" t="n"/>
      <c r="X416" s="3" t="n"/>
      <c r="Y416" s="3">
        <f>IF(X416="",IFERROR(VLOOKUP($C416,Assumptions!$A$4:$G$7,6,FALSE),0),X416)</f>
        <v/>
      </c>
      <c r="Z416" s="3">
        <f>N(O416)*IFERROR(VLOOKUP($C416,Assumptions!$A$4:$G$7,2,FALSE),0)</f>
        <v/>
      </c>
      <c r="AA416" s="3">
        <f>N(S416)*IFERROR(VLOOKUP($C416,Assumptions!$A$4:$G$7,3,FALSE),0)*Assumptions!$B$11</f>
        <v/>
      </c>
      <c r="AB416" s="3">
        <f>N(N416)*IFERROR(VLOOKUP($C416,Assumptions!$A$4:$G$7,4,FALSE),0)</f>
        <v/>
      </c>
      <c r="AC416" s="3">
        <f>IF(N(U416)=0,0,V416*IFERROR(VLOOKUP($C416,Assumptions!$A$4:$G$7,5,FALSE),0)*90/N(U416))</f>
        <v/>
      </c>
      <c r="AD416" s="3">
        <f>N(W416)</f>
        <v/>
      </c>
      <c r="AE416" s="3">
        <f>SUM(Y416:AD416)</f>
        <v/>
      </c>
      <c r="AF416" s="3">
        <f>N(AE416)*N(M416)/90</f>
        <v/>
      </c>
      <c r="AG416" s="3">
        <f>IFERROR(AF416-VLOOKUP($C416,Assumptions!$A$29:$C$32,3,FALSE),"")</f>
        <v/>
      </c>
      <c r="AH416" s="3">
        <f>IFERROR(AG416/F416,"")</f>
        <v/>
      </c>
      <c r="AI416">
        <f>IF(AND($E416=TRUE,$C416="GKP"),AF416,"")</f>
        <v/>
      </c>
      <c r="AJ416">
        <f>IF(AND($E416=TRUE,$C416="DEF"),AF416,"")</f>
        <v/>
      </c>
      <c r="AK416">
        <f>IF(AND($E416=TRUE,$C416="MID"),AF416,"")</f>
        <v/>
      </c>
      <c r="AL416">
        <f>IF(AND($E416=TRUE,$C416="FWD"),AF416,"")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b">
        <v>1</v>
      </c>
      <c r="F417" s="2" t="n">
        <v>7</v>
      </c>
      <c r="G417" t="inlineStr">
        <is>
          <t>a</t>
        </is>
      </c>
      <c r="I417" s="2" t="n">
        <v>0</v>
      </c>
      <c r="J417" t="n">
        <v>0</v>
      </c>
      <c r="K417" s="3" t="n">
        <v>176</v>
      </c>
      <c r="L417" t="inlineStr">
        <is>
          <t>flat</t>
        </is>
      </c>
      <c r="M417" s="4" t="n">
        <v>0</v>
      </c>
      <c r="N417" s="4" t="n">
        <v>0.21</v>
      </c>
      <c r="O417" s="3" t="n"/>
      <c r="P417" t="inlineStr"/>
      <c r="Q417" s="3" t="n"/>
      <c r="R417" s="3" t="n"/>
      <c r="S417" s="3" t="n"/>
      <c r="T417" s="3" t="n"/>
      <c r="U417" s="4" t="n"/>
      <c r="V417" s="3">
        <f>IF(OR(N(T417)=0,N(U417)=0),0,1-POISSON(IFERROR(VLOOKUP($C417,Assumptions!$A$4:$G$7,7,FALSE),99)-1,N(T417)*N(U417)/90,TRUE))</f>
        <v/>
      </c>
      <c r="W417" s="3" t="n"/>
      <c r="X417" s="3" t="n"/>
      <c r="Y417" s="3">
        <f>IF(X417="",IFERROR(VLOOKUP($C417,Assumptions!$A$4:$G$7,6,FALSE),0),X417)</f>
        <v/>
      </c>
      <c r="Z417" s="3">
        <f>N(O417)*IFERROR(VLOOKUP($C417,Assumptions!$A$4:$G$7,2,FALSE),0)</f>
        <v/>
      </c>
      <c r="AA417" s="3">
        <f>N(S417)*IFERROR(VLOOKUP($C417,Assumptions!$A$4:$G$7,3,FALSE),0)*Assumptions!$B$11</f>
        <v/>
      </c>
      <c r="AB417" s="3">
        <f>N(N417)*IFERROR(VLOOKUP($C417,Assumptions!$A$4:$G$7,4,FALSE),0)</f>
        <v/>
      </c>
      <c r="AC417" s="3">
        <f>IF(N(U417)=0,0,V417*IFERROR(VLOOKUP($C417,Assumptions!$A$4:$G$7,5,FALSE),0)*90/N(U417))</f>
        <v/>
      </c>
      <c r="AD417" s="3">
        <f>N(W417)</f>
        <v/>
      </c>
      <c r="AE417" s="3">
        <f>SUM(Y417:AD417)</f>
        <v/>
      </c>
      <c r="AF417" s="3">
        <f>N(AE417)*N(M417)/90</f>
        <v/>
      </c>
      <c r="AG417" s="3">
        <f>IFERROR(AF417-VLOOKUP($C417,Assumptions!$A$29:$C$32,3,FALSE),"")</f>
        <v/>
      </c>
      <c r="AH417" s="3">
        <f>IFERROR(AG417/F417,"")</f>
        <v/>
      </c>
      <c r="AI417">
        <f>IF(AND($E417=TRUE,$C417="GKP"),AF417,"")</f>
        <v/>
      </c>
      <c r="AJ417">
        <f>IF(AND($E417=TRUE,$C417="DEF"),AF417,"")</f>
        <v/>
      </c>
      <c r="AK417">
        <f>IF(AND($E417=TRUE,$C417="MID"),AF417,"")</f>
        <v/>
      </c>
      <c r="AL417">
        <f>IF(AND($E417=TRUE,$C417="FWD"),AF417,"")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b">
        <v>1</v>
      </c>
      <c r="F418" s="2" t="n">
        <v>4.5</v>
      </c>
      <c r="G418" t="inlineStr">
        <is>
          <t>a</t>
        </is>
      </c>
      <c r="I418" s="2" t="n">
        <v>0</v>
      </c>
      <c r="J418" t="n">
        <v>0</v>
      </c>
      <c r="K418" s="3" t="n">
        <v>0</v>
      </c>
      <c r="L418" t="inlineStr">
        <is>
          <t>flat</t>
        </is>
      </c>
      <c r="M418" s="4" t="n">
        <v>0</v>
      </c>
      <c r="N418" s="4" t="n">
        <v>0.421</v>
      </c>
      <c r="O418" s="3" t="n"/>
      <c r="P418" t="inlineStr"/>
      <c r="Q418" s="3" t="n"/>
      <c r="R418" s="3" t="n"/>
      <c r="S418" s="3" t="n"/>
      <c r="T418" s="3" t="n"/>
      <c r="U418" s="4" t="n"/>
      <c r="V418" s="3">
        <f>IF(OR(N(T418)=0,N(U418)=0),0,1-POISSON(IFERROR(VLOOKUP($C418,Assumptions!$A$4:$G$7,7,FALSE),99)-1,N(T418)*N(U418)/90,TRUE))</f>
        <v/>
      </c>
      <c r="W418" s="3" t="n"/>
      <c r="X418" s="3" t="n"/>
      <c r="Y418" s="3">
        <f>IF(X418="",IFERROR(VLOOKUP($C418,Assumptions!$A$4:$G$7,6,FALSE),0),X418)</f>
        <v/>
      </c>
      <c r="Z418" s="3">
        <f>N(O418)*IFERROR(VLOOKUP($C418,Assumptions!$A$4:$G$7,2,FALSE),0)</f>
        <v/>
      </c>
      <c r="AA418" s="3">
        <f>N(S418)*IFERROR(VLOOKUP($C418,Assumptions!$A$4:$G$7,3,FALSE),0)*Assumptions!$B$11</f>
        <v/>
      </c>
      <c r="AB418" s="3">
        <f>N(N418)*IFERROR(VLOOKUP($C418,Assumptions!$A$4:$G$7,4,FALSE),0)</f>
        <v/>
      </c>
      <c r="AC418" s="3">
        <f>IF(N(U418)=0,0,V418*IFERROR(VLOOKUP($C418,Assumptions!$A$4:$G$7,5,FALSE),0)*90/N(U418))</f>
        <v/>
      </c>
      <c r="AD418" s="3">
        <f>N(W418)</f>
        <v/>
      </c>
      <c r="AE418" s="3">
        <f>SUM(Y418:AD418)</f>
        <v/>
      </c>
      <c r="AF418" s="3">
        <f>N(AE418)*N(M418)/90</f>
        <v/>
      </c>
      <c r="AG418" s="3">
        <f>IFERROR(AF418-VLOOKUP($C418,Assumptions!$A$29:$C$32,3,FALSE),"")</f>
        <v/>
      </c>
      <c r="AH418" s="3">
        <f>IFERROR(AG418/F418,"")</f>
        <v/>
      </c>
      <c r="AI418">
        <f>IF(AND($E418=TRUE,$C418="GKP"),AF418,"")</f>
        <v/>
      </c>
      <c r="AJ418">
        <f>IF(AND($E418=TRUE,$C418="DEF"),AF418,"")</f>
        <v/>
      </c>
      <c r="AK418">
        <f>IF(AND($E418=TRUE,$C418="MID"),AF418,"")</f>
        <v/>
      </c>
      <c r="AL418">
        <f>IF(AND($E418=TRUE,$C418="FWD"),AF418,"")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b">
        <v>1</v>
      </c>
      <c r="F419" s="2" t="n">
        <v>4.5</v>
      </c>
      <c r="G419" t="inlineStr">
        <is>
          <t>a</t>
        </is>
      </c>
      <c r="I419" s="2" t="n">
        <v>0</v>
      </c>
      <c r="J419" t="n">
        <v>0</v>
      </c>
      <c r="K419" s="3" t="n">
        <v>274</v>
      </c>
      <c r="L419" t="inlineStr">
        <is>
          <t>flat</t>
        </is>
      </c>
      <c r="M419" s="4" t="n">
        <v>0</v>
      </c>
      <c r="N419" s="4" t="n">
        <v>0.237</v>
      </c>
      <c r="O419" s="3" t="n"/>
      <c r="P419" t="inlineStr"/>
      <c r="Q419" s="3" t="n"/>
      <c r="R419" s="3" t="n"/>
      <c r="S419" s="3" t="n"/>
      <c r="T419" s="3" t="n">
        <v>0</v>
      </c>
      <c r="U419" s="4" t="n"/>
      <c r="V419" s="3">
        <f>IF(OR(N(T419)=0,N(U419)=0),0,1-POISSON(IFERROR(VLOOKUP($C419,Assumptions!$A$4:$G$7,7,FALSE),99)-1,N(T419)*N(U419)/90,TRUE))</f>
        <v/>
      </c>
      <c r="W419" s="3" t="n"/>
      <c r="X419" s="3" t="n"/>
      <c r="Y419" s="3">
        <f>IF(X419="",IFERROR(VLOOKUP($C419,Assumptions!$A$4:$G$7,6,FALSE),0),X419)</f>
        <v/>
      </c>
      <c r="Z419" s="3">
        <f>N(O419)*IFERROR(VLOOKUP($C419,Assumptions!$A$4:$G$7,2,FALSE),0)</f>
        <v/>
      </c>
      <c r="AA419" s="3">
        <f>N(S419)*IFERROR(VLOOKUP($C419,Assumptions!$A$4:$G$7,3,FALSE),0)*Assumptions!$B$11</f>
        <v/>
      </c>
      <c r="AB419" s="3">
        <f>N(N419)*IFERROR(VLOOKUP($C419,Assumptions!$A$4:$G$7,4,FALSE),0)</f>
        <v/>
      </c>
      <c r="AC419" s="3">
        <f>IF(N(U419)=0,0,V419*IFERROR(VLOOKUP($C419,Assumptions!$A$4:$G$7,5,FALSE),0)*90/N(U419))</f>
        <v/>
      </c>
      <c r="AD419" s="3">
        <f>N(W419)</f>
        <v/>
      </c>
      <c r="AE419" s="3">
        <f>SUM(Y419:AD419)</f>
        <v/>
      </c>
      <c r="AF419" s="3">
        <f>N(AE419)*N(M419)/90</f>
        <v/>
      </c>
      <c r="AG419" s="3">
        <f>IFERROR(AF419-VLOOKUP($C419,Assumptions!$A$29:$C$32,3,FALSE),"")</f>
        <v/>
      </c>
      <c r="AH419" s="3">
        <f>IFERROR(AG419/F419,"")</f>
        <v/>
      </c>
      <c r="AI419">
        <f>IF(AND($E419=TRUE,$C419="GKP"),AF419,"")</f>
        <v/>
      </c>
      <c r="AJ419">
        <f>IF(AND($E419=TRUE,$C419="DEF"),AF419,"")</f>
        <v/>
      </c>
      <c r="AK419">
        <f>IF(AND($E419=TRUE,$C419="MID"),AF419,"")</f>
        <v/>
      </c>
      <c r="AL419">
        <f>IF(AND($E419=TRUE,$C419="FWD"),AF419,"")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b">
        <v>1</v>
      </c>
      <c r="F420" s="2" t="n">
        <v>4</v>
      </c>
      <c r="G420" t="inlineStr">
        <is>
          <t>a</t>
        </is>
      </c>
      <c r="I420" s="2" t="n">
        <v>0</v>
      </c>
      <c r="J420" t="n">
        <v>0</v>
      </c>
      <c r="K420" s="3" t="n">
        <v>0</v>
      </c>
      <c r="L420" t="inlineStr">
        <is>
          <t>flat</t>
        </is>
      </c>
      <c r="M420" s="4" t="n">
        <v>0</v>
      </c>
      <c r="N420" s="4" t="n">
        <v>0.316</v>
      </c>
      <c r="O420" s="3" t="n"/>
      <c r="P420" t="inlineStr"/>
      <c r="Q420" s="3" t="n"/>
      <c r="R420" s="3" t="n"/>
      <c r="S420" s="3" t="n"/>
      <c r="T420" s="3" t="n">
        <v>0</v>
      </c>
      <c r="U420" s="4" t="n"/>
      <c r="V420" s="3">
        <f>IF(OR(N(T420)=0,N(U420)=0),0,1-POISSON(IFERROR(VLOOKUP($C420,Assumptions!$A$4:$G$7,7,FALSE),99)-1,N(T420)*N(U420)/90,TRUE))</f>
        <v/>
      </c>
      <c r="W420" s="3" t="n"/>
      <c r="X420" s="3" t="n"/>
      <c r="Y420" s="3">
        <f>IF(X420="",IFERROR(VLOOKUP($C420,Assumptions!$A$4:$G$7,6,FALSE),0),X420)</f>
        <v/>
      </c>
      <c r="Z420" s="3">
        <f>N(O420)*IFERROR(VLOOKUP($C420,Assumptions!$A$4:$G$7,2,FALSE),0)</f>
        <v/>
      </c>
      <c r="AA420" s="3">
        <f>N(S420)*IFERROR(VLOOKUP($C420,Assumptions!$A$4:$G$7,3,FALSE),0)*Assumptions!$B$11</f>
        <v/>
      </c>
      <c r="AB420" s="3">
        <f>N(N420)*IFERROR(VLOOKUP($C420,Assumptions!$A$4:$G$7,4,FALSE),0)</f>
        <v/>
      </c>
      <c r="AC420" s="3">
        <f>IF(N(U420)=0,0,V420*IFERROR(VLOOKUP($C420,Assumptions!$A$4:$G$7,5,FALSE),0)*90/N(U420))</f>
        <v/>
      </c>
      <c r="AD420" s="3">
        <f>N(W420)</f>
        <v/>
      </c>
      <c r="AE420" s="3">
        <f>SUM(Y420:AD420)</f>
        <v/>
      </c>
      <c r="AF420" s="3">
        <f>N(AE420)*N(M420)/90</f>
        <v/>
      </c>
      <c r="AG420" s="3">
        <f>IFERROR(AF420-VLOOKUP($C420,Assumptions!$A$29:$C$32,3,FALSE),"")</f>
        <v/>
      </c>
      <c r="AH420" s="3">
        <f>IFERROR(AG420/F420,"")</f>
        <v/>
      </c>
      <c r="AI420">
        <f>IF(AND($E420=TRUE,$C420="GKP"),AF420,"")</f>
        <v/>
      </c>
      <c r="AJ420">
        <f>IF(AND($E420=TRUE,$C420="DEF"),AF420,"")</f>
        <v/>
      </c>
      <c r="AK420">
        <f>IF(AND($E420=TRUE,$C420="MID"),AF420,"")</f>
        <v/>
      </c>
      <c r="AL420">
        <f>IF(AND($E420=TRUE,$C420="FWD"),AF420,"")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b">
        <v>1</v>
      </c>
      <c r="F421" s="2" t="n">
        <v>4.5</v>
      </c>
      <c r="G421" t="inlineStr">
        <is>
          <t>a</t>
        </is>
      </c>
      <c r="I421" s="2" t="n">
        <v>0</v>
      </c>
      <c r="J421" t="n">
        <v>0</v>
      </c>
      <c r="K421" s="3" t="n">
        <v>0</v>
      </c>
      <c r="L421" t="inlineStr">
        <is>
          <t>flat</t>
        </is>
      </c>
      <c r="M421" s="4" t="n">
        <v>0</v>
      </c>
      <c r="N421" s="4" t="n">
        <v>0.237</v>
      </c>
      <c r="O421" s="3" t="n"/>
      <c r="P421" t="inlineStr"/>
      <c r="Q421" s="3" t="n"/>
      <c r="R421" s="3" t="n"/>
      <c r="S421" s="3" t="n"/>
      <c r="T421" s="3" t="n"/>
      <c r="U421" s="4" t="n"/>
      <c r="V421" s="3">
        <f>IF(OR(N(T421)=0,N(U421)=0),0,1-POISSON(IFERROR(VLOOKUP($C421,Assumptions!$A$4:$G$7,7,FALSE),99)-1,N(T421)*N(U421)/90,TRUE))</f>
        <v/>
      </c>
      <c r="W421" s="3" t="n"/>
      <c r="X421" s="3" t="n"/>
      <c r="Y421" s="3">
        <f>IF(X421="",IFERROR(VLOOKUP($C421,Assumptions!$A$4:$G$7,6,FALSE),0),X421)</f>
        <v/>
      </c>
      <c r="Z421" s="3">
        <f>N(O421)*IFERROR(VLOOKUP($C421,Assumptions!$A$4:$G$7,2,FALSE),0)</f>
        <v/>
      </c>
      <c r="AA421" s="3">
        <f>N(S421)*IFERROR(VLOOKUP($C421,Assumptions!$A$4:$G$7,3,FALSE),0)*Assumptions!$B$11</f>
        <v/>
      </c>
      <c r="AB421" s="3">
        <f>N(N421)*IFERROR(VLOOKUP($C421,Assumptions!$A$4:$G$7,4,FALSE),0)</f>
        <v/>
      </c>
      <c r="AC421" s="3">
        <f>IF(N(U421)=0,0,V421*IFERROR(VLOOKUP($C421,Assumptions!$A$4:$G$7,5,FALSE),0)*90/N(U421))</f>
        <v/>
      </c>
      <c r="AD421" s="3">
        <f>N(W421)</f>
        <v/>
      </c>
      <c r="AE421" s="3">
        <f>SUM(Y421:AD421)</f>
        <v/>
      </c>
      <c r="AF421" s="3">
        <f>N(AE421)*N(M421)/90</f>
        <v/>
      </c>
      <c r="AG421" s="3">
        <f>IFERROR(AF421-VLOOKUP($C421,Assumptions!$A$29:$C$32,3,FALSE),"")</f>
        <v/>
      </c>
      <c r="AH421" s="3">
        <f>IFERROR(AG421/F421,"")</f>
        <v/>
      </c>
      <c r="AI421">
        <f>IF(AND($E421=TRUE,$C421="GKP"),AF421,"")</f>
        <v/>
      </c>
      <c r="AJ421">
        <f>IF(AND($E421=TRUE,$C421="DEF"),AF421,"")</f>
        <v/>
      </c>
      <c r="AK421">
        <f>IF(AND($E421=TRUE,$C421="MID"),AF421,"")</f>
        <v/>
      </c>
      <c r="AL421">
        <f>IF(AND($E421=TRUE,$C421="FWD"),AF421,"")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b">
        <v>1</v>
      </c>
      <c r="F422" s="2" t="n">
        <v>4</v>
      </c>
      <c r="G422" t="inlineStr">
        <is>
          <t>a</t>
        </is>
      </c>
      <c r="I422" s="2" t="n">
        <v>0</v>
      </c>
      <c r="J422" t="n">
        <v>0</v>
      </c>
      <c r="K422" s="3" t="n">
        <v>35</v>
      </c>
      <c r="L422" t="inlineStr">
        <is>
          <t>flat</t>
        </is>
      </c>
      <c r="M422" s="4" t="n">
        <v>0</v>
      </c>
      <c r="N422" s="4" t="n">
        <v>0.29</v>
      </c>
      <c r="O422" s="3" t="n"/>
      <c r="P422" t="inlineStr"/>
      <c r="Q422" s="3" t="n"/>
      <c r="R422" s="3" t="n"/>
      <c r="S422" s="3" t="n"/>
      <c r="T422" s="3" t="n">
        <v>0</v>
      </c>
      <c r="U422" s="4" t="n"/>
      <c r="V422" s="3">
        <f>IF(OR(N(T422)=0,N(U422)=0),0,1-POISSON(IFERROR(VLOOKUP($C422,Assumptions!$A$4:$G$7,7,FALSE),99)-1,N(T422)*N(U422)/90,TRUE))</f>
        <v/>
      </c>
      <c r="W422" s="3" t="n"/>
      <c r="X422" s="3" t="n"/>
      <c r="Y422" s="3">
        <f>IF(X422="",IFERROR(VLOOKUP($C422,Assumptions!$A$4:$G$7,6,FALSE),0),X422)</f>
        <v/>
      </c>
      <c r="Z422" s="3">
        <f>N(O422)*IFERROR(VLOOKUP($C422,Assumptions!$A$4:$G$7,2,FALSE),0)</f>
        <v/>
      </c>
      <c r="AA422" s="3">
        <f>N(S422)*IFERROR(VLOOKUP($C422,Assumptions!$A$4:$G$7,3,FALSE),0)*Assumptions!$B$11</f>
        <v/>
      </c>
      <c r="AB422" s="3">
        <f>N(N422)*IFERROR(VLOOKUP($C422,Assumptions!$A$4:$G$7,4,FALSE),0)</f>
        <v/>
      </c>
      <c r="AC422" s="3">
        <f>IF(N(U422)=0,0,V422*IFERROR(VLOOKUP($C422,Assumptions!$A$4:$G$7,5,FALSE),0)*90/N(U422))</f>
        <v/>
      </c>
      <c r="AD422" s="3">
        <f>N(W422)</f>
        <v/>
      </c>
      <c r="AE422" s="3">
        <f>SUM(Y422:AD422)</f>
        <v/>
      </c>
      <c r="AF422" s="3">
        <f>N(AE422)*N(M422)/90</f>
        <v/>
      </c>
      <c r="AG422" s="3">
        <f>IFERROR(AF422-VLOOKUP($C422,Assumptions!$A$29:$C$32,3,FALSE),"")</f>
        <v/>
      </c>
      <c r="AH422" s="3">
        <f>IFERROR(AG422/F422,"")</f>
        <v/>
      </c>
      <c r="AI422">
        <f>IF(AND($E422=TRUE,$C422="GKP"),AF422,"")</f>
        <v/>
      </c>
      <c r="AJ422">
        <f>IF(AND($E422=TRUE,$C422="DEF"),AF422,"")</f>
        <v/>
      </c>
      <c r="AK422">
        <f>IF(AND($E422=TRUE,$C422="MID"),AF422,"")</f>
        <v/>
      </c>
      <c r="AL422">
        <f>IF(AND($E422=TRUE,$C422="FWD"),AF422,"")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b">
        <v>1</v>
      </c>
      <c r="F423" s="2" t="n">
        <v>4</v>
      </c>
      <c r="G423" t="inlineStr">
        <is>
          <t>a</t>
        </is>
      </c>
      <c r="I423" s="2" t="n">
        <v>0</v>
      </c>
      <c r="J423" t="n">
        <v>0</v>
      </c>
      <c r="K423" s="3" t="n">
        <v>421</v>
      </c>
      <c r="L423" t="inlineStr">
        <is>
          <t>flat</t>
        </is>
      </c>
      <c r="M423" s="4" t="n">
        <v>0</v>
      </c>
      <c r="N423" s="4" t="n"/>
      <c r="O423" s="3" t="n"/>
      <c r="P423" t="inlineStr"/>
      <c r="Q423" s="3" t="n"/>
      <c r="R423" s="3" t="n"/>
      <c r="S423" s="3" t="n"/>
      <c r="T423" s="3" t="n"/>
      <c r="U423" s="4" t="n"/>
      <c r="V423" s="3">
        <f>IF(OR(N(T423)=0,N(U423)=0),0,1-POISSON(IFERROR(VLOOKUP($C423,Assumptions!$A$4:$G$7,7,FALSE),99)-1,N(T423)*N(U423)/90,TRUE))</f>
        <v/>
      </c>
      <c r="W423" s="3" t="n"/>
      <c r="X423" s="3" t="n"/>
      <c r="Y423" s="3">
        <f>IF(X423="",IFERROR(VLOOKUP($C423,Assumptions!$A$4:$G$7,6,FALSE),0),X423)</f>
        <v/>
      </c>
      <c r="Z423" s="3">
        <f>N(O423)*IFERROR(VLOOKUP($C423,Assumptions!$A$4:$G$7,2,FALSE),0)</f>
        <v/>
      </c>
      <c r="AA423" s="3">
        <f>N(S423)*IFERROR(VLOOKUP($C423,Assumptions!$A$4:$G$7,3,FALSE),0)*Assumptions!$B$11</f>
        <v/>
      </c>
      <c r="AB423" s="3">
        <f>N(N423)*IFERROR(VLOOKUP($C423,Assumptions!$A$4:$G$7,4,FALSE),0)</f>
        <v/>
      </c>
      <c r="AC423" s="3">
        <f>IF(N(U423)=0,0,V423*IFERROR(VLOOKUP($C423,Assumptions!$A$4:$G$7,5,FALSE),0)*90/N(U423))</f>
        <v/>
      </c>
      <c r="AD423" s="3">
        <f>N(W423)</f>
        <v/>
      </c>
      <c r="AE423" s="3">
        <f>SUM(Y423:AD423)</f>
        <v/>
      </c>
      <c r="AF423" s="3">
        <f>N(AE423)*N(M423)/90</f>
        <v/>
      </c>
      <c r="AG423" s="3">
        <f>IFERROR(AF423-VLOOKUP($C423,Assumptions!$A$29:$C$32,3,FALSE),"")</f>
        <v/>
      </c>
      <c r="AH423" s="3">
        <f>IFERROR(AG423/F423,"")</f>
        <v/>
      </c>
      <c r="AI423">
        <f>IF(AND($E423=TRUE,$C423="GKP"),AF423,"")</f>
        <v/>
      </c>
      <c r="AJ423">
        <f>IF(AND($E423=TRUE,$C423="DEF"),AF423,"")</f>
        <v/>
      </c>
      <c r="AK423">
        <f>IF(AND($E423=TRUE,$C423="MID"),AF423,"")</f>
        <v/>
      </c>
      <c r="AL423">
        <f>IF(AND($E423=TRUE,$C423="FWD"),AF423,"")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b">
        <v>1</v>
      </c>
      <c r="F424" s="2" t="n">
        <v>5</v>
      </c>
      <c r="G424" t="inlineStr">
        <is>
          <t>a</t>
        </is>
      </c>
      <c r="I424" s="2" t="n">
        <v>0</v>
      </c>
      <c r="J424" t="n">
        <v>0</v>
      </c>
      <c r="K424" s="3" t="n">
        <v>0</v>
      </c>
      <c r="L424" t="inlineStr">
        <is>
          <t>flat</t>
        </is>
      </c>
      <c r="M424" s="4" t="n">
        <v>0</v>
      </c>
      <c r="N424" s="4" t="n">
        <v>0.421</v>
      </c>
      <c r="O424" s="3" t="n"/>
      <c r="P424" t="inlineStr"/>
      <c r="Q424" s="3" t="n"/>
      <c r="R424" s="3" t="n"/>
      <c r="S424" s="3" t="n"/>
      <c r="T424" s="3" t="n"/>
      <c r="U424" s="4" t="n"/>
      <c r="V424" s="3">
        <f>IF(OR(N(T424)=0,N(U424)=0),0,1-POISSON(IFERROR(VLOOKUP($C424,Assumptions!$A$4:$G$7,7,FALSE),99)-1,N(T424)*N(U424)/90,TRUE))</f>
        <v/>
      </c>
      <c r="W424" s="3" t="n"/>
      <c r="X424" s="3" t="n"/>
      <c r="Y424" s="3">
        <f>IF(X424="",IFERROR(VLOOKUP($C424,Assumptions!$A$4:$G$7,6,FALSE),0),X424)</f>
        <v/>
      </c>
      <c r="Z424" s="3">
        <f>N(O424)*IFERROR(VLOOKUP($C424,Assumptions!$A$4:$G$7,2,FALSE),0)</f>
        <v/>
      </c>
      <c r="AA424" s="3">
        <f>N(S424)*IFERROR(VLOOKUP($C424,Assumptions!$A$4:$G$7,3,FALSE),0)*Assumptions!$B$11</f>
        <v/>
      </c>
      <c r="AB424" s="3">
        <f>N(N424)*IFERROR(VLOOKUP($C424,Assumptions!$A$4:$G$7,4,FALSE),0)</f>
        <v/>
      </c>
      <c r="AC424" s="3">
        <f>IF(N(U424)=0,0,V424*IFERROR(VLOOKUP($C424,Assumptions!$A$4:$G$7,5,FALSE),0)*90/N(U424))</f>
        <v/>
      </c>
      <c r="AD424" s="3">
        <f>N(W424)</f>
        <v/>
      </c>
      <c r="AE424" s="3">
        <f>SUM(Y424:AD424)</f>
        <v/>
      </c>
      <c r="AF424" s="3">
        <f>N(AE424)*N(M424)/90</f>
        <v/>
      </c>
      <c r="AG424" s="3">
        <f>IFERROR(AF424-VLOOKUP($C424,Assumptions!$A$29:$C$32,3,FALSE),"")</f>
        <v/>
      </c>
      <c r="AH424" s="3">
        <f>IFERROR(AG424/F424,"")</f>
        <v/>
      </c>
      <c r="AI424">
        <f>IF(AND($E424=TRUE,$C424="GKP"),AF424,"")</f>
        <v/>
      </c>
      <c r="AJ424">
        <f>IF(AND($E424=TRUE,$C424="DEF"),AF424,"")</f>
        <v/>
      </c>
      <c r="AK424">
        <f>IF(AND($E424=TRUE,$C424="MID"),AF424,"")</f>
        <v/>
      </c>
      <c r="AL424">
        <f>IF(AND($E424=TRUE,$C424="FWD"),AF424,"")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b">
        <v>1</v>
      </c>
      <c r="F425" s="2" t="n">
        <v>4.5</v>
      </c>
      <c r="G425" t="inlineStr">
        <is>
          <t>a</t>
        </is>
      </c>
      <c r="I425" s="2" t="n">
        <v>0</v>
      </c>
      <c r="J425" t="n">
        <v>0</v>
      </c>
      <c r="K425" s="3" t="n">
        <v>0</v>
      </c>
      <c r="L425" t="inlineStr">
        <is>
          <t>flat</t>
        </is>
      </c>
      <c r="M425" s="4" t="n">
        <v>0</v>
      </c>
      <c r="N425" s="4" t="n">
        <v>0.29</v>
      </c>
      <c r="O425" s="3" t="n"/>
      <c r="P425" t="inlineStr"/>
      <c r="Q425" s="3" t="n"/>
      <c r="R425" s="3" t="n"/>
      <c r="S425" s="3" t="n"/>
      <c r="T425" s="3" t="n">
        <v>0</v>
      </c>
      <c r="U425" s="4" t="n"/>
      <c r="V425" s="3">
        <f>IF(OR(N(T425)=0,N(U425)=0),0,1-POISSON(IFERROR(VLOOKUP($C425,Assumptions!$A$4:$G$7,7,FALSE),99)-1,N(T425)*N(U425)/90,TRUE))</f>
        <v/>
      </c>
      <c r="W425" s="3" t="n"/>
      <c r="X425" s="3" t="n"/>
      <c r="Y425" s="3">
        <f>IF(X425="",IFERROR(VLOOKUP($C425,Assumptions!$A$4:$G$7,6,FALSE),0),X425)</f>
        <v/>
      </c>
      <c r="Z425" s="3">
        <f>N(O425)*IFERROR(VLOOKUP($C425,Assumptions!$A$4:$G$7,2,FALSE),0)</f>
        <v/>
      </c>
      <c r="AA425" s="3">
        <f>N(S425)*IFERROR(VLOOKUP($C425,Assumptions!$A$4:$G$7,3,FALSE),0)*Assumptions!$B$11</f>
        <v/>
      </c>
      <c r="AB425" s="3">
        <f>N(N425)*IFERROR(VLOOKUP($C425,Assumptions!$A$4:$G$7,4,FALSE),0)</f>
        <v/>
      </c>
      <c r="AC425" s="3">
        <f>IF(N(U425)=0,0,V425*IFERROR(VLOOKUP($C425,Assumptions!$A$4:$G$7,5,FALSE),0)*90/N(U425))</f>
        <v/>
      </c>
      <c r="AD425" s="3">
        <f>N(W425)</f>
        <v/>
      </c>
      <c r="AE425" s="3">
        <f>SUM(Y425:AD425)</f>
        <v/>
      </c>
      <c r="AF425" s="3">
        <f>N(AE425)*N(M425)/90</f>
        <v/>
      </c>
      <c r="AG425" s="3">
        <f>IFERROR(AF425-VLOOKUP($C425,Assumptions!$A$29:$C$32,3,FALSE),"")</f>
        <v/>
      </c>
      <c r="AH425" s="3">
        <f>IFERROR(AG425/F425,"")</f>
        <v/>
      </c>
      <c r="AI425">
        <f>IF(AND($E425=TRUE,$C425="GKP"),AF425,"")</f>
        <v/>
      </c>
      <c r="AJ425">
        <f>IF(AND($E425=TRUE,$C425="DEF"),AF425,"")</f>
        <v/>
      </c>
      <c r="AK425">
        <f>IF(AND($E425=TRUE,$C425="MID"),AF425,"")</f>
        <v/>
      </c>
      <c r="AL425">
        <f>IF(AND($E425=TRUE,$C425="FWD"),AF425,"")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b">
        <v>1</v>
      </c>
      <c r="F426" s="2" t="n">
        <v>4.5</v>
      </c>
      <c r="G426" t="inlineStr">
        <is>
          <t>a</t>
        </is>
      </c>
      <c r="I426" s="2" t="n">
        <v>0</v>
      </c>
      <c r="J426" t="n">
        <v>0</v>
      </c>
      <c r="K426" s="3" t="n">
        <v>0</v>
      </c>
      <c r="L426" t="inlineStr">
        <is>
          <t>flat</t>
        </is>
      </c>
      <c r="M426" s="4" t="n">
        <v>0</v>
      </c>
      <c r="N426" s="4" t="n">
        <v>0.421</v>
      </c>
      <c r="O426" s="3" t="n"/>
      <c r="P426" t="inlineStr"/>
      <c r="Q426" s="3" t="n"/>
      <c r="R426" s="3" t="n"/>
      <c r="S426" s="3" t="n"/>
      <c r="T426" s="3" t="n">
        <v>0</v>
      </c>
      <c r="U426" s="4" t="n"/>
      <c r="V426" s="3">
        <f>IF(OR(N(T426)=0,N(U426)=0),0,1-POISSON(IFERROR(VLOOKUP($C426,Assumptions!$A$4:$G$7,7,FALSE),99)-1,N(T426)*N(U426)/90,TRUE))</f>
        <v/>
      </c>
      <c r="W426" s="3" t="n"/>
      <c r="X426" s="3" t="n"/>
      <c r="Y426" s="3">
        <f>IF(X426="",IFERROR(VLOOKUP($C426,Assumptions!$A$4:$G$7,6,FALSE),0),X426)</f>
        <v/>
      </c>
      <c r="Z426" s="3">
        <f>N(O426)*IFERROR(VLOOKUP($C426,Assumptions!$A$4:$G$7,2,FALSE),0)</f>
        <v/>
      </c>
      <c r="AA426" s="3">
        <f>N(S426)*IFERROR(VLOOKUP($C426,Assumptions!$A$4:$G$7,3,FALSE),0)*Assumptions!$B$11</f>
        <v/>
      </c>
      <c r="AB426" s="3">
        <f>N(N426)*IFERROR(VLOOKUP($C426,Assumptions!$A$4:$G$7,4,FALSE),0)</f>
        <v/>
      </c>
      <c r="AC426" s="3">
        <f>IF(N(U426)=0,0,V426*IFERROR(VLOOKUP($C426,Assumptions!$A$4:$G$7,5,FALSE),0)*90/N(U426))</f>
        <v/>
      </c>
      <c r="AD426" s="3">
        <f>N(W426)</f>
        <v/>
      </c>
      <c r="AE426" s="3">
        <f>SUM(Y426:AD426)</f>
        <v/>
      </c>
      <c r="AF426" s="3">
        <f>N(AE426)*N(M426)/90</f>
        <v/>
      </c>
      <c r="AG426" s="3">
        <f>IFERROR(AF426-VLOOKUP($C426,Assumptions!$A$29:$C$32,3,FALSE),"")</f>
        <v/>
      </c>
      <c r="AH426" s="3">
        <f>IFERROR(AG426/F426,"")</f>
        <v/>
      </c>
      <c r="AI426">
        <f>IF(AND($E426=TRUE,$C426="GKP"),AF426,"")</f>
        <v/>
      </c>
      <c r="AJ426">
        <f>IF(AND($E426=TRUE,$C426="DEF"),AF426,"")</f>
        <v/>
      </c>
      <c r="AK426">
        <f>IF(AND($E426=TRUE,$C426="MID"),AF426,"")</f>
        <v/>
      </c>
      <c r="AL426">
        <f>IF(AND($E426=TRUE,$C426="FWD"),AF426,"")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b">
        <v>1</v>
      </c>
      <c r="F427" s="2" t="n">
        <v>4</v>
      </c>
      <c r="G427" t="inlineStr">
        <is>
          <t>i</t>
        </is>
      </c>
      <c r="H427" t="inlineStr">
        <is>
          <t>Knee injury - Unknown return date</t>
        </is>
      </c>
      <c r="I427" s="2" t="n">
        <v>0</v>
      </c>
      <c r="J427" t="n">
        <v>0</v>
      </c>
      <c r="K427" s="3" t="n">
        <v>28</v>
      </c>
      <c r="L427" t="inlineStr">
        <is>
          <t>flat</t>
        </is>
      </c>
      <c r="M427" s="4" t="n">
        <v>0</v>
      </c>
      <c r="N427" s="4" t="n">
        <v>0.263</v>
      </c>
      <c r="O427" s="3" t="n"/>
      <c r="P427" t="inlineStr"/>
      <c r="Q427" s="3" t="n"/>
      <c r="R427" s="3" t="n"/>
      <c r="S427" s="3" t="n"/>
      <c r="T427" s="3" t="n"/>
      <c r="U427" s="4" t="n"/>
      <c r="V427" s="3">
        <f>IF(OR(N(T427)=0,N(U427)=0),0,1-POISSON(IFERROR(VLOOKUP($C427,Assumptions!$A$4:$G$7,7,FALSE),99)-1,N(T427)*N(U427)/90,TRUE))</f>
        <v/>
      </c>
      <c r="W427" s="3" t="n"/>
      <c r="X427" s="3" t="n"/>
      <c r="Y427" s="3">
        <f>IF(X427="",IFERROR(VLOOKUP($C427,Assumptions!$A$4:$G$7,6,FALSE),0),X427)</f>
        <v/>
      </c>
      <c r="Z427" s="3">
        <f>N(O427)*IFERROR(VLOOKUP($C427,Assumptions!$A$4:$G$7,2,FALSE),0)</f>
        <v/>
      </c>
      <c r="AA427" s="3">
        <f>N(S427)*IFERROR(VLOOKUP($C427,Assumptions!$A$4:$G$7,3,FALSE),0)*Assumptions!$B$11</f>
        <v/>
      </c>
      <c r="AB427" s="3">
        <f>N(N427)*IFERROR(VLOOKUP($C427,Assumptions!$A$4:$G$7,4,FALSE),0)</f>
        <v/>
      </c>
      <c r="AC427" s="3">
        <f>IF(N(U427)=0,0,V427*IFERROR(VLOOKUP($C427,Assumptions!$A$4:$G$7,5,FALSE),0)*90/N(U427))</f>
        <v/>
      </c>
      <c r="AD427" s="3">
        <f>N(W427)</f>
        <v/>
      </c>
      <c r="AE427" s="3">
        <f>SUM(Y427:AD427)</f>
        <v/>
      </c>
      <c r="AF427" s="3">
        <f>N(AE427)*N(M427)/90</f>
        <v/>
      </c>
      <c r="AG427" s="3">
        <f>IFERROR(AF427-VLOOKUP($C427,Assumptions!$A$29:$C$32,3,FALSE),"")</f>
        <v/>
      </c>
      <c r="AH427" s="3">
        <f>IFERROR(AG427/F427,"")</f>
        <v/>
      </c>
      <c r="AI427">
        <f>IF(AND($E427=TRUE,$C427="GKP"),AF427,"")</f>
        <v/>
      </c>
      <c r="AJ427">
        <f>IF(AND($E427=TRUE,$C427="DEF"),AF427,"")</f>
        <v/>
      </c>
      <c r="AK427">
        <f>IF(AND($E427=TRUE,$C427="MID"),AF427,"")</f>
        <v/>
      </c>
      <c r="AL427">
        <f>IF(AND($E427=TRUE,$C427="FWD"),AF427,"")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b">
        <v>1</v>
      </c>
      <c r="F428" s="2" t="n">
        <v>4</v>
      </c>
      <c r="G428" t="inlineStr">
        <is>
          <t>a</t>
        </is>
      </c>
      <c r="I428" s="2" t="n">
        <v>0</v>
      </c>
      <c r="J428" t="n">
        <v>0</v>
      </c>
      <c r="K428" s="3" t="n">
        <v>11</v>
      </c>
      <c r="L428" t="inlineStr">
        <is>
          <t>flat</t>
        </is>
      </c>
      <c r="M428" s="4" t="n">
        <v>0</v>
      </c>
      <c r="N428" s="4" t="n">
        <v>0.237</v>
      </c>
      <c r="O428" s="3" t="n"/>
      <c r="P428" t="inlineStr"/>
      <c r="Q428" s="3" t="n"/>
      <c r="R428" s="3" t="n"/>
      <c r="S428" s="3" t="n"/>
      <c r="T428" s="3" t="n">
        <v>0</v>
      </c>
      <c r="U428" s="4" t="n"/>
      <c r="V428" s="3">
        <f>IF(OR(N(T428)=0,N(U428)=0),0,1-POISSON(IFERROR(VLOOKUP($C428,Assumptions!$A$4:$G$7,7,FALSE),99)-1,N(T428)*N(U428)/90,TRUE))</f>
        <v/>
      </c>
      <c r="W428" s="3" t="n"/>
      <c r="X428" s="3" t="n"/>
      <c r="Y428" s="3">
        <f>IF(X428="",IFERROR(VLOOKUP($C428,Assumptions!$A$4:$G$7,6,FALSE),0),X428)</f>
        <v/>
      </c>
      <c r="Z428" s="3">
        <f>N(O428)*IFERROR(VLOOKUP($C428,Assumptions!$A$4:$G$7,2,FALSE),0)</f>
        <v/>
      </c>
      <c r="AA428" s="3">
        <f>N(S428)*IFERROR(VLOOKUP($C428,Assumptions!$A$4:$G$7,3,FALSE),0)*Assumptions!$B$11</f>
        <v/>
      </c>
      <c r="AB428" s="3">
        <f>N(N428)*IFERROR(VLOOKUP($C428,Assumptions!$A$4:$G$7,4,FALSE),0)</f>
        <v/>
      </c>
      <c r="AC428" s="3">
        <f>IF(N(U428)=0,0,V428*IFERROR(VLOOKUP($C428,Assumptions!$A$4:$G$7,5,FALSE),0)*90/N(U428))</f>
        <v/>
      </c>
      <c r="AD428" s="3">
        <f>N(W428)</f>
        <v/>
      </c>
      <c r="AE428" s="3">
        <f>SUM(Y428:AD428)</f>
        <v/>
      </c>
      <c r="AF428" s="3">
        <f>N(AE428)*N(M428)/90</f>
        <v/>
      </c>
      <c r="AG428" s="3">
        <f>IFERROR(AF428-VLOOKUP($C428,Assumptions!$A$29:$C$32,3,FALSE),"")</f>
        <v/>
      </c>
      <c r="AH428" s="3">
        <f>IFERROR(AG428/F428,"")</f>
        <v/>
      </c>
      <c r="AI428">
        <f>IF(AND($E428=TRUE,$C428="GKP"),AF428,"")</f>
        <v/>
      </c>
      <c r="AJ428">
        <f>IF(AND($E428=TRUE,$C428="DEF"),AF428,"")</f>
        <v/>
      </c>
      <c r="AK428">
        <f>IF(AND($E428=TRUE,$C428="MID"),AF428,"")</f>
        <v/>
      </c>
      <c r="AL428">
        <f>IF(AND($E428=TRUE,$C428="FWD"),AF428,"")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b">
        <v>1</v>
      </c>
      <c r="F429" s="2" t="n">
        <v>4.5</v>
      </c>
      <c r="G429" t="inlineStr">
        <is>
          <t>a</t>
        </is>
      </c>
      <c r="I429" s="2" t="n">
        <v>0</v>
      </c>
      <c r="J429" t="n">
        <v>0</v>
      </c>
      <c r="K429" s="3" t="n">
        <v>0</v>
      </c>
      <c r="L429" t="inlineStr">
        <is>
          <t>flat</t>
        </is>
      </c>
      <c r="M429" s="4" t="n">
        <v>0</v>
      </c>
      <c r="N429" s="4" t="n">
        <v>0.21</v>
      </c>
      <c r="O429" s="3" t="n"/>
      <c r="P429" t="inlineStr"/>
      <c r="Q429" s="3" t="n"/>
      <c r="R429" s="3" t="n"/>
      <c r="S429" s="3" t="n"/>
      <c r="T429" s="3" t="n">
        <v>0</v>
      </c>
      <c r="U429" s="4" t="n"/>
      <c r="V429" s="3">
        <f>IF(OR(N(T429)=0,N(U429)=0),0,1-POISSON(IFERROR(VLOOKUP($C429,Assumptions!$A$4:$G$7,7,FALSE),99)-1,N(T429)*N(U429)/90,TRUE))</f>
        <v/>
      </c>
      <c r="W429" s="3" t="n"/>
      <c r="X429" s="3" t="n"/>
      <c r="Y429" s="3">
        <f>IF(X429="",IFERROR(VLOOKUP($C429,Assumptions!$A$4:$G$7,6,FALSE),0),X429)</f>
        <v/>
      </c>
      <c r="Z429" s="3">
        <f>N(O429)*IFERROR(VLOOKUP($C429,Assumptions!$A$4:$G$7,2,FALSE),0)</f>
        <v/>
      </c>
      <c r="AA429" s="3">
        <f>N(S429)*IFERROR(VLOOKUP($C429,Assumptions!$A$4:$G$7,3,FALSE),0)*Assumptions!$B$11</f>
        <v/>
      </c>
      <c r="AB429" s="3">
        <f>N(N429)*IFERROR(VLOOKUP($C429,Assumptions!$A$4:$G$7,4,FALSE),0)</f>
        <v/>
      </c>
      <c r="AC429" s="3">
        <f>IF(N(U429)=0,0,V429*IFERROR(VLOOKUP($C429,Assumptions!$A$4:$G$7,5,FALSE),0)*90/N(U429))</f>
        <v/>
      </c>
      <c r="AD429" s="3">
        <f>N(W429)</f>
        <v/>
      </c>
      <c r="AE429" s="3">
        <f>SUM(Y429:AD429)</f>
        <v/>
      </c>
      <c r="AF429" s="3">
        <f>N(AE429)*N(M429)/90</f>
        <v/>
      </c>
      <c r="AG429" s="3">
        <f>IFERROR(AF429-VLOOKUP($C429,Assumptions!$A$29:$C$32,3,FALSE),"")</f>
        <v/>
      </c>
      <c r="AH429" s="3">
        <f>IFERROR(AG429/F429,"")</f>
        <v/>
      </c>
      <c r="AI429">
        <f>IF(AND($E429=TRUE,$C429="GKP"),AF429,"")</f>
        <v/>
      </c>
      <c r="AJ429">
        <f>IF(AND($E429=TRUE,$C429="DEF"),AF429,"")</f>
        <v/>
      </c>
      <c r="AK429">
        <f>IF(AND($E429=TRUE,$C429="MID"),AF429,"")</f>
        <v/>
      </c>
      <c r="AL429">
        <f>IF(AND($E429=TRUE,$C429="FWD"),AF429,"")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b">
        <v>1</v>
      </c>
      <c r="F430" s="2" t="n">
        <v>4</v>
      </c>
      <c r="G430" t="inlineStr">
        <is>
          <t>a</t>
        </is>
      </c>
      <c r="I430" s="2" t="n">
        <v>0</v>
      </c>
      <c r="J430" t="n">
        <v>0</v>
      </c>
      <c r="K430" s="3" t="n">
        <v>35</v>
      </c>
      <c r="L430" t="inlineStr">
        <is>
          <t>flat</t>
        </is>
      </c>
      <c r="M430" s="4" t="n">
        <v>0</v>
      </c>
      <c r="N430" s="4" t="n">
        <v>0.263</v>
      </c>
      <c r="O430" s="3" t="n"/>
      <c r="P430" t="inlineStr"/>
      <c r="Q430" s="3" t="n"/>
      <c r="R430" s="3" t="n"/>
      <c r="S430" s="3" t="n"/>
      <c r="T430" s="3" t="n">
        <v>0</v>
      </c>
      <c r="U430" s="4" t="n"/>
      <c r="V430" s="3">
        <f>IF(OR(N(T430)=0,N(U430)=0),0,1-POISSON(IFERROR(VLOOKUP($C430,Assumptions!$A$4:$G$7,7,FALSE),99)-1,N(T430)*N(U430)/90,TRUE))</f>
        <v/>
      </c>
      <c r="W430" s="3" t="n"/>
      <c r="X430" s="3" t="n"/>
      <c r="Y430" s="3">
        <f>IF(X430="",IFERROR(VLOOKUP($C430,Assumptions!$A$4:$G$7,6,FALSE),0),X430)</f>
        <v/>
      </c>
      <c r="Z430" s="3">
        <f>N(O430)*IFERROR(VLOOKUP($C430,Assumptions!$A$4:$G$7,2,FALSE),0)</f>
        <v/>
      </c>
      <c r="AA430" s="3">
        <f>N(S430)*IFERROR(VLOOKUP($C430,Assumptions!$A$4:$G$7,3,FALSE),0)*Assumptions!$B$11</f>
        <v/>
      </c>
      <c r="AB430" s="3">
        <f>N(N430)*IFERROR(VLOOKUP($C430,Assumptions!$A$4:$G$7,4,FALSE),0)</f>
        <v/>
      </c>
      <c r="AC430" s="3">
        <f>IF(N(U430)=0,0,V430*IFERROR(VLOOKUP($C430,Assumptions!$A$4:$G$7,5,FALSE),0)*90/N(U430))</f>
        <v/>
      </c>
      <c r="AD430" s="3">
        <f>N(W430)</f>
        <v/>
      </c>
      <c r="AE430" s="3">
        <f>SUM(Y430:AD430)</f>
        <v/>
      </c>
      <c r="AF430" s="3">
        <f>N(AE430)*N(M430)/90</f>
        <v/>
      </c>
      <c r="AG430" s="3">
        <f>IFERROR(AF430-VLOOKUP($C430,Assumptions!$A$29:$C$32,3,FALSE),"")</f>
        <v/>
      </c>
      <c r="AH430" s="3">
        <f>IFERROR(AG430/F430,"")</f>
        <v/>
      </c>
      <c r="AI430">
        <f>IF(AND($E430=TRUE,$C430="GKP"),AF430,"")</f>
        <v/>
      </c>
      <c r="AJ430">
        <f>IF(AND($E430=TRUE,$C430="DEF"),AF430,"")</f>
        <v/>
      </c>
      <c r="AK430">
        <f>IF(AND($E430=TRUE,$C430="MID"),AF430,"")</f>
        <v/>
      </c>
      <c r="AL430">
        <f>IF(AND($E430=TRUE,$C430="FWD"),AF430,"")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b">
        <v>1</v>
      </c>
      <c r="F431" s="2" t="n">
        <v>4</v>
      </c>
      <c r="G431" t="inlineStr">
        <is>
          <t>a</t>
        </is>
      </c>
      <c r="I431" s="2" t="n">
        <v>0</v>
      </c>
      <c r="J431" t="n">
        <v>0</v>
      </c>
      <c r="K431" s="3" t="n">
        <v>0</v>
      </c>
      <c r="L431" t="inlineStr">
        <is>
          <t>flat</t>
        </is>
      </c>
      <c r="M431" s="4" t="n">
        <v>0</v>
      </c>
      <c r="N431" s="4" t="n">
        <v>0.29</v>
      </c>
      <c r="O431" s="3" t="n"/>
      <c r="P431" t="inlineStr"/>
      <c r="Q431" s="3" t="n"/>
      <c r="R431" s="3" t="n"/>
      <c r="S431" s="3" t="n"/>
      <c r="T431" s="3" t="n">
        <v>0</v>
      </c>
      <c r="U431" s="4" t="n"/>
      <c r="V431" s="3">
        <f>IF(OR(N(T431)=0,N(U431)=0),0,1-POISSON(IFERROR(VLOOKUP($C431,Assumptions!$A$4:$G$7,7,FALSE),99)-1,N(T431)*N(U431)/90,TRUE))</f>
        <v/>
      </c>
      <c r="W431" s="3" t="n"/>
      <c r="X431" s="3" t="n"/>
      <c r="Y431" s="3">
        <f>IF(X431="",IFERROR(VLOOKUP($C431,Assumptions!$A$4:$G$7,6,FALSE),0),X431)</f>
        <v/>
      </c>
      <c r="Z431" s="3">
        <f>N(O431)*IFERROR(VLOOKUP($C431,Assumptions!$A$4:$G$7,2,FALSE),0)</f>
        <v/>
      </c>
      <c r="AA431" s="3">
        <f>N(S431)*IFERROR(VLOOKUP($C431,Assumptions!$A$4:$G$7,3,FALSE),0)*Assumptions!$B$11</f>
        <v/>
      </c>
      <c r="AB431" s="3">
        <f>N(N431)*IFERROR(VLOOKUP($C431,Assumptions!$A$4:$G$7,4,FALSE),0)</f>
        <v/>
      </c>
      <c r="AC431" s="3">
        <f>IF(N(U431)=0,0,V431*IFERROR(VLOOKUP($C431,Assumptions!$A$4:$G$7,5,FALSE),0)*90/N(U431))</f>
        <v/>
      </c>
      <c r="AD431" s="3">
        <f>N(W431)</f>
        <v/>
      </c>
      <c r="AE431" s="3">
        <f>SUM(Y431:AD431)</f>
        <v/>
      </c>
      <c r="AF431" s="3">
        <f>N(AE431)*N(M431)/90</f>
        <v/>
      </c>
      <c r="AG431" s="3">
        <f>IFERROR(AF431-VLOOKUP($C431,Assumptions!$A$29:$C$32,3,FALSE),"")</f>
        <v/>
      </c>
      <c r="AH431" s="3">
        <f>IFERROR(AG431/F431,"")</f>
        <v/>
      </c>
      <c r="AI431">
        <f>IF(AND($E431=TRUE,$C431="GKP"),AF431,"")</f>
        <v/>
      </c>
      <c r="AJ431">
        <f>IF(AND($E431=TRUE,$C431="DEF"),AF431,"")</f>
        <v/>
      </c>
      <c r="AK431">
        <f>IF(AND($E431=TRUE,$C431="MID"),AF431,"")</f>
        <v/>
      </c>
      <c r="AL431">
        <f>IF(AND($E431=TRUE,$C431="FWD"),AF431,"")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b">
        <v>1</v>
      </c>
      <c r="F432" s="2" t="n">
        <v>5</v>
      </c>
      <c r="G432" t="inlineStr">
        <is>
          <t>a</t>
        </is>
      </c>
      <c r="I432" s="2" t="n">
        <v>0</v>
      </c>
      <c r="J432" t="n">
        <v>0</v>
      </c>
      <c r="K432" s="3" t="n">
        <v>0</v>
      </c>
      <c r="L432" t="inlineStr">
        <is>
          <t>flat</t>
        </is>
      </c>
      <c r="M432" s="4" t="n">
        <v>0</v>
      </c>
      <c r="N432" s="4" t="n">
        <v>0.316</v>
      </c>
      <c r="O432" s="3" t="n"/>
      <c r="P432" t="inlineStr"/>
      <c r="Q432" s="3" t="n"/>
      <c r="R432" s="3" t="n"/>
      <c r="S432" s="3" t="n"/>
      <c r="T432" s="3" t="n"/>
      <c r="U432" s="4" t="n"/>
      <c r="V432" s="3">
        <f>IF(OR(N(T432)=0,N(U432)=0),0,1-POISSON(IFERROR(VLOOKUP($C432,Assumptions!$A$4:$G$7,7,FALSE),99)-1,N(T432)*N(U432)/90,TRUE))</f>
        <v/>
      </c>
      <c r="W432" s="3" t="n"/>
      <c r="X432" s="3" t="n"/>
      <c r="Y432" s="3">
        <f>IF(X432="",IFERROR(VLOOKUP($C432,Assumptions!$A$4:$G$7,6,FALSE),0),X432)</f>
        <v/>
      </c>
      <c r="Z432" s="3">
        <f>N(O432)*IFERROR(VLOOKUP($C432,Assumptions!$A$4:$G$7,2,FALSE),0)</f>
        <v/>
      </c>
      <c r="AA432" s="3">
        <f>N(S432)*IFERROR(VLOOKUP($C432,Assumptions!$A$4:$G$7,3,FALSE),0)*Assumptions!$B$11</f>
        <v/>
      </c>
      <c r="AB432" s="3">
        <f>N(N432)*IFERROR(VLOOKUP($C432,Assumptions!$A$4:$G$7,4,FALSE),0)</f>
        <v/>
      </c>
      <c r="AC432" s="3">
        <f>IF(N(U432)=0,0,V432*IFERROR(VLOOKUP($C432,Assumptions!$A$4:$G$7,5,FALSE),0)*90/N(U432))</f>
        <v/>
      </c>
      <c r="AD432" s="3">
        <f>N(W432)</f>
        <v/>
      </c>
      <c r="AE432" s="3">
        <f>SUM(Y432:AD432)</f>
        <v/>
      </c>
      <c r="AF432" s="3">
        <f>N(AE432)*N(M432)/90</f>
        <v/>
      </c>
      <c r="AG432" s="3">
        <f>IFERROR(AF432-VLOOKUP($C432,Assumptions!$A$29:$C$32,3,FALSE),"")</f>
        <v/>
      </c>
      <c r="AH432" s="3">
        <f>IFERROR(AG432/F432,"")</f>
        <v/>
      </c>
      <c r="AI432">
        <f>IF(AND($E432=TRUE,$C432="GKP"),AF432,"")</f>
        <v/>
      </c>
      <c r="AJ432">
        <f>IF(AND($E432=TRUE,$C432="DEF"),AF432,"")</f>
        <v/>
      </c>
      <c r="AK432">
        <f>IF(AND($E432=TRUE,$C432="MID"),AF432,"")</f>
        <v/>
      </c>
      <c r="AL432">
        <f>IF(AND($E432=TRUE,$C432="FWD"),AF432,"")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b">
        <v>1</v>
      </c>
      <c r="F433" s="2" t="n">
        <v>5</v>
      </c>
      <c r="G433" t="inlineStr">
        <is>
          <t>a</t>
        </is>
      </c>
      <c r="I433" s="2" t="n">
        <v>0</v>
      </c>
      <c r="J433" t="n">
        <v>0</v>
      </c>
      <c r="K433" s="3" t="n">
        <v>0</v>
      </c>
      <c r="L433" t="inlineStr">
        <is>
          <t>flat</t>
        </is>
      </c>
      <c r="M433" s="4" t="n">
        <v>0</v>
      </c>
      <c r="N433" s="4" t="n">
        <v>0.21</v>
      </c>
      <c r="O433" s="3" t="n"/>
      <c r="P433" t="inlineStr"/>
      <c r="Q433" s="3" t="n"/>
      <c r="R433" s="3" t="n"/>
      <c r="S433" s="3" t="n"/>
      <c r="T433" s="3" t="n"/>
      <c r="U433" s="4" t="n"/>
      <c r="V433" s="3">
        <f>IF(OR(N(T433)=0,N(U433)=0),0,1-POISSON(IFERROR(VLOOKUP($C433,Assumptions!$A$4:$G$7,7,FALSE),99)-1,N(T433)*N(U433)/90,TRUE))</f>
        <v/>
      </c>
      <c r="W433" s="3" t="n"/>
      <c r="X433" s="3" t="n"/>
      <c r="Y433" s="3">
        <f>IF(X433="",IFERROR(VLOOKUP($C433,Assumptions!$A$4:$G$7,6,FALSE),0),X433)</f>
        <v/>
      </c>
      <c r="Z433" s="3">
        <f>N(O433)*IFERROR(VLOOKUP($C433,Assumptions!$A$4:$G$7,2,FALSE),0)</f>
        <v/>
      </c>
      <c r="AA433" s="3">
        <f>N(S433)*IFERROR(VLOOKUP($C433,Assumptions!$A$4:$G$7,3,FALSE),0)*Assumptions!$B$11</f>
        <v/>
      </c>
      <c r="AB433" s="3">
        <f>N(N433)*IFERROR(VLOOKUP($C433,Assumptions!$A$4:$G$7,4,FALSE),0)</f>
        <v/>
      </c>
      <c r="AC433" s="3">
        <f>IF(N(U433)=0,0,V433*IFERROR(VLOOKUP($C433,Assumptions!$A$4:$G$7,5,FALSE),0)*90/N(U433))</f>
        <v/>
      </c>
      <c r="AD433" s="3">
        <f>N(W433)</f>
        <v/>
      </c>
      <c r="AE433" s="3">
        <f>SUM(Y433:AD433)</f>
        <v/>
      </c>
      <c r="AF433" s="3">
        <f>N(AE433)*N(M433)/90</f>
        <v/>
      </c>
      <c r="AG433" s="3">
        <f>IFERROR(AF433-VLOOKUP($C433,Assumptions!$A$29:$C$32,3,FALSE),"")</f>
        <v/>
      </c>
      <c r="AH433" s="3">
        <f>IFERROR(AG433/F433,"")</f>
        <v/>
      </c>
      <c r="AI433">
        <f>IF(AND($E433=TRUE,$C433="GKP"),AF433,"")</f>
        <v/>
      </c>
      <c r="AJ433">
        <f>IF(AND($E433=TRUE,$C433="DEF"),AF433,"")</f>
        <v/>
      </c>
      <c r="AK433">
        <f>IF(AND($E433=TRUE,$C433="MID"),AF433,"")</f>
        <v/>
      </c>
      <c r="AL433">
        <f>IF(AND($E433=TRUE,$C433="FWD"),AF433,"")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b">
        <v>1</v>
      </c>
      <c r="F434" s="2" t="n">
        <v>6.5</v>
      </c>
      <c r="G434" t="inlineStr">
        <is>
          <t>i</t>
        </is>
      </c>
      <c r="H434" t="inlineStr">
        <is>
          <t>Knee injury - Unknown return date</t>
        </is>
      </c>
      <c r="I434" s="2" t="n">
        <v>0</v>
      </c>
      <c r="J434" t="n">
        <v>0</v>
      </c>
      <c r="K434" s="3" t="n">
        <v>280</v>
      </c>
      <c r="L434" t="inlineStr">
        <is>
          <t>flat</t>
        </is>
      </c>
      <c r="M434" s="4" t="n">
        <v>0</v>
      </c>
      <c r="N434" s="4" t="n">
        <v>0.237</v>
      </c>
      <c r="O434" s="3" t="n"/>
      <c r="P434" t="inlineStr"/>
      <c r="Q434" s="3" t="n"/>
      <c r="R434" s="3" t="n"/>
      <c r="S434" s="3" t="n"/>
      <c r="T434" s="3" t="n"/>
      <c r="U434" s="4" t="n"/>
      <c r="V434" s="3">
        <f>IF(OR(N(T434)=0,N(U434)=0),0,1-POISSON(IFERROR(VLOOKUP($C434,Assumptions!$A$4:$G$7,7,FALSE),99)-1,N(T434)*N(U434)/90,TRUE))</f>
        <v/>
      </c>
      <c r="W434" s="3" t="n"/>
      <c r="X434" s="3" t="n"/>
      <c r="Y434" s="3">
        <f>IF(X434="",IFERROR(VLOOKUP($C434,Assumptions!$A$4:$G$7,6,FALSE),0),X434)</f>
        <v/>
      </c>
      <c r="Z434" s="3">
        <f>N(O434)*IFERROR(VLOOKUP($C434,Assumptions!$A$4:$G$7,2,FALSE),0)</f>
        <v/>
      </c>
      <c r="AA434" s="3">
        <f>N(S434)*IFERROR(VLOOKUP($C434,Assumptions!$A$4:$G$7,3,FALSE),0)*Assumptions!$B$11</f>
        <v/>
      </c>
      <c r="AB434" s="3">
        <f>N(N434)*IFERROR(VLOOKUP($C434,Assumptions!$A$4:$G$7,4,FALSE),0)</f>
        <v/>
      </c>
      <c r="AC434" s="3">
        <f>IF(N(U434)=0,0,V434*IFERROR(VLOOKUP($C434,Assumptions!$A$4:$G$7,5,FALSE),0)*90/N(U434))</f>
        <v/>
      </c>
      <c r="AD434" s="3">
        <f>N(W434)</f>
        <v/>
      </c>
      <c r="AE434" s="3">
        <f>SUM(Y434:AD434)</f>
        <v/>
      </c>
      <c r="AF434" s="3">
        <f>N(AE434)*N(M434)/90</f>
        <v/>
      </c>
      <c r="AG434" s="3">
        <f>IFERROR(AF434-VLOOKUP($C434,Assumptions!$A$29:$C$32,3,FALSE),"")</f>
        <v/>
      </c>
      <c r="AH434" s="3">
        <f>IFERROR(AG434/F434,"")</f>
        <v/>
      </c>
      <c r="AI434">
        <f>IF(AND($E434=TRUE,$C434="GKP"),AF434,"")</f>
        <v/>
      </c>
      <c r="AJ434">
        <f>IF(AND($E434=TRUE,$C434="DEF"),AF434,"")</f>
        <v/>
      </c>
      <c r="AK434">
        <f>IF(AND($E434=TRUE,$C434="MID"),AF434,"")</f>
        <v/>
      </c>
      <c r="AL434">
        <f>IF(AND($E434=TRUE,$C434="FWD"),AF434,"")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b">
        <v>1</v>
      </c>
      <c r="F435" s="2" t="n">
        <v>4.5</v>
      </c>
      <c r="G435" t="inlineStr">
        <is>
          <t>a</t>
        </is>
      </c>
      <c r="I435" s="2" t="n">
        <v>0</v>
      </c>
      <c r="J435" t="n">
        <v>0</v>
      </c>
      <c r="K435" s="3" t="n">
        <v>0</v>
      </c>
      <c r="L435" t="inlineStr">
        <is>
          <t>flat</t>
        </is>
      </c>
      <c r="M435" s="4" t="n">
        <v>0</v>
      </c>
      <c r="N435" s="4" t="n">
        <v>0.263</v>
      </c>
      <c r="O435" s="3" t="n"/>
      <c r="P435" t="inlineStr"/>
      <c r="Q435" s="3" t="n"/>
      <c r="R435" s="3" t="n"/>
      <c r="S435" s="3" t="n"/>
      <c r="T435" s="3" t="n"/>
      <c r="U435" s="4" t="n"/>
      <c r="V435" s="3">
        <f>IF(OR(N(T435)=0,N(U435)=0),0,1-POISSON(IFERROR(VLOOKUP($C435,Assumptions!$A$4:$G$7,7,FALSE),99)-1,N(T435)*N(U435)/90,TRUE))</f>
        <v/>
      </c>
      <c r="W435" s="3" t="n"/>
      <c r="X435" s="3" t="n"/>
      <c r="Y435" s="3">
        <f>IF(X435="",IFERROR(VLOOKUP($C435,Assumptions!$A$4:$G$7,6,FALSE),0),X435)</f>
        <v/>
      </c>
      <c r="Z435" s="3">
        <f>N(O435)*IFERROR(VLOOKUP($C435,Assumptions!$A$4:$G$7,2,FALSE),0)</f>
        <v/>
      </c>
      <c r="AA435" s="3">
        <f>N(S435)*IFERROR(VLOOKUP($C435,Assumptions!$A$4:$G$7,3,FALSE),0)*Assumptions!$B$11</f>
        <v/>
      </c>
      <c r="AB435" s="3">
        <f>N(N435)*IFERROR(VLOOKUP($C435,Assumptions!$A$4:$G$7,4,FALSE),0)</f>
        <v/>
      </c>
      <c r="AC435" s="3">
        <f>IF(N(U435)=0,0,V435*IFERROR(VLOOKUP($C435,Assumptions!$A$4:$G$7,5,FALSE),0)*90/N(U435))</f>
        <v/>
      </c>
      <c r="AD435" s="3">
        <f>N(W435)</f>
        <v/>
      </c>
      <c r="AE435" s="3">
        <f>SUM(Y435:AD435)</f>
        <v/>
      </c>
      <c r="AF435" s="3">
        <f>N(AE435)*N(M435)/90</f>
        <v/>
      </c>
      <c r="AG435" s="3">
        <f>IFERROR(AF435-VLOOKUP($C435,Assumptions!$A$29:$C$32,3,FALSE),"")</f>
        <v/>
      </c>
      <c r="AH435" s="3">
        <f>IFERROR(AG435/F435,"")</f>
        <v/>
      </c>
      <c r="AI435">
        <f>IF(AND($E435=TRUE,$C435="GKP"),AF435,"")</f>
        <v/>
      </c>
      <c r="AJ435">
        <f>IF(AND($E435=TRUE,$C435="DEF"),AF435,"")</f>
        <v/>
      </c>
      <c r="AK435">
        <f>IF(AND($E435=TRUE,$C435="MID"),AF435,"")</f>
        <v/>
      </c>
      <c r="AL435">
        <f>IF(AND($E435=TRUE,$C435="FWD"),AF435,"")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b">
        <v>1</v>
      </c>
      <c r="F436" s="2" t="n">
        <v>5</v>
      </c>
      <c r="G436" t="inlineStr">
        <is>
          <t>a</t>
        </is>
      </c>
      <c r="I436" s="2" t="n">
        <v>0</v>
      </c>
      <c r="J436" t="n">
        <v>0</v>
      </c>
      <c r="K436" s="3" t="n">
        <v>0</v>
      </c>
      <c r="L436" t="inlineStr">
        <is>
          <t>flat</t>
        </is>
      </c>
      <c r="M436" s="4" t="n">
        <v>0</v>
      </c>
      <c r="N436" s="4" t="n">
        <v>0.316</v>
      </c>
      <c r="O436" s="3" t="n"/>
      <c r="P436" t="inlineStr"/>
      <c r="Q436" s="3" t="n"/>
      <c r="R436" s="3" t="n"/>
      <c r="S436" s="3" t="n"/>
      <c r="T436" s="3" t="n"/>
      <c r="U436" s="4" t="n"/>
      <c r="V436" s="3">
        <f>IF(OR(N(T436)=0,N(U436)=0),0,1-POISSON(IFERROR(VLOOKUP($C436,Assumptions!$A$4:$G$7,7,FALSE),99)-1,N(T436)*N(U436)/90,TRUE))</f>
        <v/>
      </c>
      <c r="W436" s="3" t="n"/>
      <c r="X436" s="3" t="n"/>
      <c r="Y436" s="3">
        <f>IF(X436="",IFERROR(VLOOKUP($C436,Assumptions!$A$4:$G$7,6,FALSE),0),X436)</f>
        <v/>
      </c>
      <c r="Z436" s="3">
        <f>N(O436)*IFERROR(VLOOKUP($C436,Assumptions!$A$4:$G$7,2,FALSE),0)</f>
        <v/>
      </c>
      <c r="AA436" s="3">
        <f>N(S436)*IFERROR(VLOOKUP($C436,Assumptions!$A$4:$G$7,3,FALSE),0)*Assumptions!$B$11</f>
        <v/>
      </c>
      <c r="AB436" s="3">
        <f>N(N436)*IFERROR(VLOOKUP($C436,Assumptions!$A$4:$G$7,4,FALSE),0)</f>
        <v/>
      </c>
      <c r="AC436" s="3">
        <f>IF(N(U436)=0,0,V436*IFERROR(VLOOKUP($C436,Assumptions!$A$4:$G$7,5,FALSE),0)*90/N(U436))</f>
        <v/>
      </c>
      <c r="AD436" s="3">
        <f>N(W436)</f>
        <v/>
      </c>
      <c r="AE436" s="3">
        <f>SUM(Y436:AD436)</f>
        <v/>
      </c>
      <c r="AF436" s="3">
        <f>N(AE436)*N(M436)/90</f>
        <v/>
      </c>
      <c r="AG436" s="3">
        <f>IFERROR(AF436-VLOOKUP($C436,Assumptions!$A$29:$C$32,3,FALSE),"")</f>
        <v/>
      </c>
      <c r="AH436" s="3">
        <f>IFERROR(AG436/F436,"")</f>
        <v/>
      </c>
      <c r="AI436">
        <f>IF(AND($E436=TRUE,$C436="GKP"),AF436,"")</f>
        <v/>
      </c>
      <c r="AJ436">
        <f>IF(AND($E436=TRUE,$C436="DEF"),AF436,"")</f>
        <v/>
      </c>
      <c r="AK436">
        <f>IF(AND($E436=TRUE,$C436="MID"),AF436,"")</f>
        <v/>
      </c>
      <c r="AL436">
        <f>IF(AND($E436=TRUE,$C436="FWD"),AF436,"")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b">
        <v>1</v>
      </c>
      <c r="F437" s="2" t="n">
        <v>5</v>
      </c>
      <c r="G437" t="inlineStr">
        <is>
          <t>i</t>
        </is>
      </c>
      <c r="H437" t="inlineStr">
        <is>
          <t>Hamstring injury - Expected back 23 Aug</t>
        </is>
      </c>
      <c r="I437" s="2" t="n">
        <v>0</v>
      </c>
      <c r="J437" t="n">
        <v>0</v>
      </c>
      <c r="K437" s="3" t="n">
        <v>0</v>
      </c>
      <c r="L437" t="inlineStr">
        <is>
          <t>flat</t>
        </is>
      </c>
      <c r="M437" s="4" t="n">
        <v>0</v>
      </c>
      <c r="N437" s="4" t="n">
        <v>0.263</v>
      </c>
      <c r="O437" s="3" t="n"/>
      <c r="P437" t="inlineStr"/>
      <c r="Q437" s="3" t="n"/>
      <c r="R437" s="3" t="n"/>
      <c r="S437" s="3" t="n"/>
      <c r="T437" s="3" t="n"/>
      <c r="U437" s="4" t="n"/>
      <c r="V437" s="3">
        <f>IF(OR(N(T437)=0,N(U437)=0),0,1-POISSON(IFERROR(VLOOKUP($C437,Assumptions!$A$4:$G$7,7,FALSE),99)-1,N(T437)*N(U437)/90,TRUE))</f>
        <v/>
      </c>
      <c r="W437" s="3" t="n"/>
      <c r="X437" s="3" t="n"/>
      <c r="Y437" s="3">
        <f>IF(X437="",IFERROR(VLOOKUP($C437,Assumptions!$A$4:$G$7,6,FALSE),0),X437)</f>
        <v/>
      </c>
      <c r="Z437" s="3">
        <f>N(O437)*IFERROR(VLOOKUP($C437,Assumptions!$A$4:$G$7,2,FALSE),0)</f>
        <v/>
      </c>
      <c r="AA437" s="3">
        <f>N(S437)*IFERROR(VLOOKUP($C437,Assumptions!$A$4:$G$7,3,FALSE),0)*Assumptions!$B$11</f>
        <v/>
      </c>
      <c r="AB437" s="3">
        <f>N(N437)*IFERROR(VLOOKUP($C437,Assumptions!$A$4:$G$7,4,FALSE),0)</f>
        <v/>
      </c>
      <c r="AC437" s="3">
        <f>IF(N(U437)=0,0,V437*IFERROR(VLOOKUP($C437,Assumptions!$A$4:$G$7,5,FALSE),0)*90/N(U437))</f>
        <v/>
      </c>
      <c r="AD437" s="3">
        <f>N(W437)</f>
        <v/>
      </c>
      <c r="AE437" s="3">
        <f>SUM(Y437:AD437)</f>
        <v/>
      </c>
      <c r="AF437" s="3">
        <f>N(AE437)*N(M437)/90</f>
        <v/>
      </c>
      <c r="AG437" s="3">
        <f>IFERROR(AF437-VLOOKUP($C437,Assumptions!$A$29:$C$32,3,FALSE),"")</f>
        <v/>
      </c>
      <c r="AH437" s="3">
        <f>IFERROR(AG437/F437,"")</f>
        <v/>
      </c>
      <c r="AI437">
        <f>IF(AND($E437=TRUE,$C437="GKP"),AF437,"")</f>
        <v/>
      </c>
      <c r="AJ437">
        <f>IF(AND($E437=TRUE,$C437="DEF"),AF437,"")</f>
        <v/>
      </c>
      <c r="AK437">
        <f>IF(AND($E437=TRUE,$C437="MID"),AF437,"")</f>
        <v/>
      </c>
      <c r="AL437">
        <f>IF(AND($E437=TRUE,$C437="FWD"),AF437,"")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b">
        <v>1</v>
      </c>
      <c r="F438" s="2" t="n">
        <v>4</v>
      </c>
      <c r="G438" t="inlineStr">
        <is>
          <t>a</t>
        </is>
      </c>
      <c r="I438" s="2" t="n">
        <v>0</v>
      </c>
      <c r="J438" t="n">
        <v>0</v>
      </c>
      <c r="K438" s="3" t="n">
        <v>0</v>
      </c>
      <c r="L438" t="inlineStr">
        <is>
          <t>flat</t>
        </is>
      </c>
      <c r="M438" s="4" t="n">
        <v>0</v>
      </c>
      <c r="N438" s="4" t="n">
        <v>0.263</v>
      </c>
      <c r="O438" s="3" t="n"/>
      <c r="P438" t="inlineStr"/>
      <c r="Q438" s="3" t="n"/>
      <c r="R438" s="3" t="n"/>
      <c r="S438" s="3" t="n"/>
      <c r="T438" s="3" t="n"/>
      <c r="U438" s="4" t="n"/>
      <c r="V438" s="3">
        <f>IF(OR(N(T438)=0,N(U438)=0),0,1-POISSON(IFERROR(VLOOKUP($C438,Assumptions!$A$4:$G$7,7,FALSE),99)-1,N(T438)*N(U438)/90,TRUE))</f>
        <v/>
      </c>
      <c r="W438" s="3" t="n"/>
      <c r="X438" s="3" t="n"/>
      <c r="Y438" s="3">
        <f>IF(X438="",IFERROR(VLOOKUP($C438,Assumptions!$A$4:$G$7,6,FALSE),0),X438)</f>
        <v/>
      </c>
      <c r="Z438" s="3">
        <f>N(O438)*IFERROR(VLOOKUP($C438,Assumptions!$A$4:$G$7,2,FALSE),0)</f>
        <v/>
      </c>
      <c r="AA438" s="3">
        <f>N(S438)*IFERROR(VLOOKUP($C438,Assumptions!$A$4:$G$7,3,FALSE),0)*Assumptions!$B$11</f>
        <v/>
      </c>
      <c r="AB438" s="3">
        <f>N(N438)*IFERROR(VLOOKUP($C438,Assumptions!$A$4:$G$7,4,FALSE),0)</f>
        <v/>
      </c>
      <c r="AC438" s="3">
        <f>IF(N(U438)=0,0,V438*IFERROR(VLOOKUP($C438,Assumptions!$A$4:$G$7,5,FALSE),0)*90/N(U438))</f>
        <v/>
      </c>
      <c r="AD438" s="3">
        <f>N(W438)</f>
        <v/>
      </c>
      <c r="AE438" s="3">
        <f>SUM(Y438:AD438)</f>
        <v/>
      </c>
      <c r="AF438" s="3">
        <f>N(AE438)*N(M438)/90</f>
        <v/>
      </c>
      <c r="AG438" s="3">
        <f>IFERROR(AF438-VLOOKUP($C438,Assumptions!$A$29:$C$32,3,FALSE),"")</f>
        <v/>
      </c>
      <c r="AH438" s="3">
        <f>IFERROR(AG438/F438,"")</f>
        <v/>
      </c>
      <c r="AI438">
        <f>IF(AND($E438=TRUE,$C438="GKP"),AF438,"")</f>
        <v/>
      </c>
      <c r="AJ438">
        <f>IF(AND($E438=TRUE,$C438="DEF"),AF438,"")</f>
        <v/>
      </c>
      <c r="AK438">
        <f>IF(AND($E438=TRUE,$C438="MID"),AF438,"")</f>
        <v/>
      </c>
      <c r="AL438">
        <f>IF(AND($E438=TRUE,$C438="FWD"),AF438,"")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b">
        <v>1</v>
      </c>
      <c r="F439" s="2" t="n">
        <v>6.5</v>
      </c>
      <c r="G439" t="inlineStr">
        <is>
          <t>a</t>
        </is>
      </c>
      <c r="I439" s="2" t="n">
        <v>0</v>
      </c>
      <c r="J439" t="n">
        <v>0</v>
      </c>
      <c r="K439" s="3" t="n">
        <v>10</v>
      </c>
      <c r="L439" t="inlineStr">
        <is>
          <t>flat</t>
        </is>
      </c>
      <c r="M439" s="4" t="n">
        <v>0</v>
      </c>
      <c r="N439" s="4" t="n">
        <v>0.237</v>
      </c>
      <c r="O439" s="3" t="n"/>
      <c r="P439" t="inlineStr"/>
      <c r="Q439" s="3" t="n"/>
      <c r="R439" s="3" t="n"/>
      <c r="S439" s="3" t="n"/>
      <c r="T439" s="3" t="n"/>
      <c r="U439" s="4" t="n"/>
      <c r="V439" s="3">
        <f>IF(OR(N(T439)=0,N(U439)=0),0,1-POISSON(IFERROR(VLOOKUP($C439,Assumptions!$A$4:$G$7,7,FALSE),99)-1,N(T439)*N(U439)/90,TRUE))</f>
        <v/>
      </c>
      <c r="W439" s="3" t="n"/>
      <c r="X439" s="3" t="n"/>
      <c r="Y439" s="3">
        <f>IF(X439="",IFERROR(VLOOKUP($C439,Assumptions!$A$4:$G$7,6,FALSE),0),X439)</f>
        <v/>
      </c>
      <c r="Z439" s="3">
        <f>N(O439)*IFERROR(VLOOKUP($C439,Assumptions!$A$4:$G$7,2,FALSE),0)</f>
        <v/>
      </c>
      <c r="AA439" s="3">
        <f>N(S439)*IFERROR(VLOOKUP($C439,Assumptions!$A$4:$G$7,3,FALSE),0)*Assumptions!$B$11</f>
        <v/>
      </c>
      <c r="AB439" s="3">
        <f>N(N439)*IFERROR(VLOOKUP($C439,Assumptions!$A$4:$G$7,4,FALSE),0)</f>
        <v/>
      </c>
      <c r="AC439" s="3">
        <f>IF(N(U439)=0,0,V439*IFERROR(VLOOKUP($C439,Assumptions!$A$4:$G$7,5,FALSE),0)*90/N(U439))</f>
        <v/>
      </c>
      <c r="AD439" s="3">
        <f>N(W439)</f>
        <v/>
      </c>
      <c r="AE439" s="3">
        <f>SUM(Y439:AD439)</f>
        <v/>
      </c>
      <c r="AF439" s="3">
        <f>N(AE439)*N(M439)/90</f>
        <v/>
      </c>
      <c r="AG439" s="3">
        <f>IFERROR(AF439-VLOOKUP($C439,Assumptions!$A$29:$C$32,3,FALSE),"")</f>
        <v/>
      </c>
      <c r="AH439" s="3">
        <f>IFERROR(AG439/F439,"")</f>
        <v/>
      </c>
      <c r="AI439">
        <f>IF(AND($E439=TRUE,$C439="GKP"),AF439,"")</f>
        <v/>
      </c>
      <c r="AJ439">
        <f>IF(AND($E439=TRUE,$C439="DEF"),AF439,"")</f>
        <v/>
      </c>
      <c r="AK439">
        <f>IF(AND($E439=TRUE,$C439="MID"),AF439,"")</f>
        <v/>
      </c>
      <c r="AL439">
        <f>IF(AND($E439=TRUE,$C439="FWD"),AF439,"")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b">
        <v>1</v>
      </c>
      <c r="F440" s="2" t="n">
        <v>4.5</v>
      </c>
      <c r="G440" t="inlineStr">
        <is>
          <t>i</t>
        </is>
      </c>
      <c r="H440" t="inlineStr">
        <is>
          <t>Knee injury - Unknown return date</t>
        </is>
      </c>
      <c r="I440" s="2" t="n">
        <v>0</v>
      </c>
      <c r="J440" t="n">
        <v>0</v>
      </c>
      <c r="K440" s="3" t="n">
        <v>0</v>
      </c>
      <c r="L440" t="inlineStr">
        <is>
          <t>flat</t>
        </is>
      </c>
      <c r="M440" s="4" t="n">
        <v>0</v>
      </c>
      <c r="N440" s="4" t="n">
        <v>0.21</v>
      </c>
      <c r="O440" s="3" t="n"/>
      <c r="P440" t="inlineStr"/>
      <c r="Q440" s="3" t="n"/>
      <c r="R440" s="3" t="n"/>
      <c r="S440" s="3" t="n"/>
      <c r="T440" s="3" t="n"/>
      <c r="U440" s="4" t="n"/>
      <c r="V440" s="3">
        <f>IF(OR(N(T440)=0,N(U440)=0),0,1-POISSON(IFERROR(VLOOKUP($C440,Assumptions!$A$4:$G$7,7,FALSE),99)-1,N(T440)*N(U440)/90,TRUE))</f>
        <v/>
      </c>
      <c r="W440" s="3" t="n"/>
      <c r="X440" s="3" t="n"/>
      <c r="Y440" s="3">
        <f>IF(X440="",IFERROR(VLOOKUP($C440,Assumptions!$A$4:$G$7,6,FALSE),0),X440)</f>
        <v/>
      </c>
      <c r="Z440" s="3">
        <f>N(O440)*IFERROR(VLOOKUP($C440,Assumptions!$A$4:$G$7,2,FALSE),0)</f>
        <v/>
      </c>
      <c r="AA440" s="3">
        <f>N(S440)*IFERROR(VLOOKUP($C440,Assumptions!$A$4:$G$7,3,FALSE),0)*Assumptions!$B$11</f>
        <v/>
      </c>
      <c r="AB440" s="3">
        <f>N(N440)*IFERROR(VLOOKUP($C440,Assumptions!$A$4:$G$7,4,FALSE),0)</f>
        <v/>
      </c>
      <c r="AC440" s="3">
        <f>IF(N(U440)=0,0,V440*IFERROR(VLOOKUP($C440,Assumptions!$A$4:$G$7,5,FALSE),0)*90/N(U440))</f>
        <v/>
      </c>
      <c r="AD440" s="3">
        <f>N(W440)</f>
        <v/>
      </c>
      <c r="AE440" s="3">
        <f>SUM(Y440:AD440)</f>
        <v/>
      </c>
      <c r="AF440" s="3">
        <f>N(AE440)*N(M440)/90</f>
        <v/>
      </c>
      <c r="AG440" s="3">
        <f>IFERROR(AF440-VLOOKUP($C440,Assumptions!$A$29:$C$32,3,FALSE),"")</f>
        <v/>
      </c>
      <c r="AH440" s="3">
        <f>IFERROR(AG440/F440,"")</f>
        <v/>
      </c>
      <c r="AI440">
        <f>IF(AND($E440=TRUE,$C440="GKP"),AF440,"")</f>
        <v/>
      </c>
      <c r="AJ440">
        <f>IF(AND($E440=TRUE,$C440="DEF"),AF440,"")</f>
        <v/>
      </c>
      <c r="AK440">
        <f>IF(AND($E440=TRUE,$C440="MID"),AF440,"")</f>
        <v/>
      </c>
      <c r="AL440">
        <f>IF(AND($E440=TRUE,$C440="FWD"),AF440,"")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b">
        <v>1</v>
      </c>
      <c r="F441" s="2" t="n">
        <v>4.5</v>
      </c>
      <c r="G441" t="inlineStr">
        <is>
          <t>a</t>
        </is>
      </c>
      <c r="I441" s="2" t="n">
        <v>0</v>
      </c>
      <c r="J441" t="n">
        <v>0</v>
      </c>
      <c r="K441" s="3" t="n">
        <v>0</v>
      </c>
      <c r="L441" t="inlineStr">
        <is>
          <t>flat</t>
        </is>
      </c>
      <c r="M441" s="4" t="n">
        <v>0</v>
      </c>
      <c r="N441" s="4" t="n">
        <v>0.263</v>
      </c>
      <c r="O441" s="3" t="n"/>
      <c r="P441" t="inlineStr"/>
      <c r="Q441" s="3" t="n"/>
      <c r="R441" s="3" t="n"/>
      <c r="S441" s="3" t="n"/>
      <c r="T441" s="3" t="n"/>
      <c r="U441" s="4" t="n"/>
      <c r="V441" s="3">
        <f>IF(OR(N(T441)=0,N(U441)=0),0,1-POISSON(IFERROR(VLOOKUP($C441,Assumptions!$A$4:$G$7,7,FALSE),99)-1,N(T441)*N(U441)/90,TRUE))</f>
        <v/>
      </c>
      <c r="W441" s="3" t="n"/>
      <c r="X441" s="3" t="n"/>
      <c r="Y441" s="3">
        <f>IF(X441="",IFERROR(VLOOKUP($C441,Assumptions!$A$4:$G$7,6,FALSE),0),X441)</f>
        <v/>
      </c>
      <c r="Z441" s="3">
        <f>N(O441)*IFERROR(VLOOKUP($C441,Assumptions!$A$4:$G$7,2,FALSE),0)</f>
        <v/>
      </c>
      <c r="AA441" s="3">
        <f>N(S441)*IFERROR(VLOOKUP($C441,Assumptions!$A$4:$G$7,3,FALSE),0)*Assumptions!$B$11</f>
        <v/>
      </c>
      <c r="AB441" s="3">
        <f>N(N441)*IFERROR(VLOOKUP($C441,Assumptions!$A$4:$G$7,4,FALSE),0)</f>
        <v/>
      </c>
      <c r="AC441" s="3">
        <f>IF(N(U441)=0,0,V441*IFERROR(VLOOKUP($C441,Assumptions!$A$4:$G$7,5,FALSE),0)*90/N(U441))</f>
        <v/>
      </c>
      <c r="AD441" s="3">
        <f>N(W441)</f>
        <v/>
      </c>
      <c r="AE441" s="3">
        <f>SUM(Y441:AD441)</f>
        <v/>
      </c>
      <c r="AF441" s="3">
        <f>N(AE441)*N(M441)/90</f>
        <v/>
      </c>
      <c r="AG441" s="3">
        <f>IFERROR(AF441-VLOOKUP($C441,Assumptions!$A$29:$C$32,3,FALSE),"")</f>
        <v/>
      </c>
      <c r="AH441" s="3">
        <f>IFERROR(AG441/F441,"")</f>
        <v/>
      </c>
      <c r="AI441">
        <f>IF(AND($E441=TRUE,$C441="GKP"),AF441,"")</f>
        <v/>
      </c>
      <c r="AJ441">
        <f>IF(AND($E441=TRUE,$C441="DEF"),AF441,"")</f>
        <v/>
      </c>
      <c r="AK441">
        <f>IF(AND($E441=TRUE,$C441="MID"),AF441,"")</f>
        <v/>
      </c>
      <c r="AL441">
        <f>IF(AND($E441=TRUE,$C441="FWD"),AF441,"")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b">
        <v>1</v>
      </c>
      <c r="F442" s="2" t="n">
        <v>4</v>
      </c>
      <c r="G442" t="inlineStr">
        <is>
          <t>a</t>
        </is>
      </c>
      <c r="I442" s="2" t="n">
        <v>0</v>
      </c>
      <c r="J442" t="n">
        <v>0</v>
      </c>
      <c r="K442" s="3" t="n">
        <v>0</v>
      </c>
      <c r="L442" t="inlineStr">
        <is>
          <t>flat</t>
        </is>
      </c>
      <c r="M442" s="4" t="n">
        <v>0</v>
      </c>
      <c r="N442" s="4" t="n">
        <v>0.237</v>
      </c>
      <c r="O442" s="3" t="n"/>
      <c r="P442" t="inlineStr"/>
      <c r="Q442" s="3" t="n"/>
      <c r="R442" s="3" t="n"/>
      <c r="S442" s="3" t="n"/>
      <c r="T442" s="3" t="n">
        <v>0</v>
      </c>
      <c r="U442" s="4" t="n"/>
      <c r="V442" s="3">
        <f>IF(OR(N(T442)=0,N(U442)=0),0,1-POISSON(IFERROR(VLOOKUP($C442,Assumptions!$A$4:$G$7,7,FALSE),99)-1,N(T442)*N(U442)/90,TRUE))</f>
        <v/>
      </c>
      <c r="W442" s="3" t="n"/>
      <c r="X442" s="3" t="n"/>
      <c r="Y442" s="3">
        <f>IF(X442="",IFERROR(VLOOKUP($C442,Assumptions!$A$4:$G$7,6,FALSE),0),X442)</f>
        <v/>
      </c>
      <c r="Z442" s="3">
        <f>N(O442)*IFERROR(VLOOKUP($C442,Assumptions!$A$4:$G$7,2,FALSE),0)</f>
        <v/>
      </c>
      <c r="AA442" s="3">
        <f>N(S442)*IFERROR(VLOOKUP($C442,Assumptions!$A$4:$G$7,3,FALSE),0)*Assumptions!$B$11</f>
        <v/>
      </c>
      <c r="AB442" s="3">
        <f>N(N442)*IFERROR(VLOOKUP($C442,Assumptions!$A$4:$G$7,4,FALSE),0)</f>
        <v/>
      </c>
      <c r="AC442" s="3">
        <f>IF(N(U442)=0,0,V442*IFERROR(VLOOKUP($C442,Assumptions!$A$4:$G$7,5,FALSE),0)*90/N(U442))</f>
        <v/>
      </c>
      <c r="AD442" s="3">
        <f>N(W442)</f>
        <v/>
      </c>
      <c r="AE442" s="3">
        <f>SUM(Y442:AD442)</f>
        <v/>
      </c>
      <c r="AF442" s="3">
        <f>N(AE442)*N(M442)/90</f>
        <v/>
      </c>
      <c r="AG442" s="3">
        <f>IFERROR(AF442-VLOOKUP($C442,Assumptions!$A$29:$C$32,3,FALSE),"")</f>
        <v/>
      </c>
      <c r="AH442" s="3">
        <f>IFERROR(AG442/F442,"")</f>
        <v/>
      </c>
      <c r="AI442">
        <f>IF(AND($E442=TRUE,$C442="GKP"),AF442,"")</f>
        <v/>
      </c>
      <c r="AJ442">
        <f>IF(AND($E442=TRUE,$C442="DEF"),AF442,"")</f>
        <v/>
      </c>
      <c r="AK442">
        <f>IF(AND($E442=TRUE,$C442="MID"),AF442,"")</f>
        <v/>
      </c>
      <c r="AL442">
        <f>IF(AND($E442=TRUE,$C442="FWD"),AF442,"")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b">
        <v>1</v>
      </c>
      <c r="F443" s="2" t="n">
        <v>4.5</v>
      </c>
      <c r="G443" t="inlineStr">
        <is>
          <t>i</t>
        </is>
      </c>
      <c r="H443" t="inlineStr">
        <is>
          <t>Unspecified injury - Unknown return date</t>
        </is>
      </c>
      <c r="I443" s="2" t="n">
        <v>0</v>
      </c>
      <c r="J443" t="n">
        <v>0</v>
      </c>
      <c r="K443" s="3" t="n">
        <v>0</v>
      </c>
      <c r="L443" t="inlineStr">
        <is>
          <t>flat</t>
        </is>
      </c>
      <c r="M443" s="4" t="n">
        <v>0</v>
      </c>
      <c r="N443" s="4" t="n">
        <v>0.263</v>
      </c>
      <c r="O443" s="3" t="n"/>
      <c r="P443" t="inlineStr"/>
      <c r="Q443" s="3" t="n"/>
      <c r="R443" s="3" t="n"/>
      <c r="S443" s="3" t="n"/>
      <c r="T443" s="3" t="n"/>
      <c r="U443" s="4" t="n"/>
      <c r="V443" s="3">
        <f>IF(OR(N(T443)=0,N(U443)=0),0,1-POISSON(IFERROR(VLOOKUP($C443,Assumptions!$A$4:$G$7,7,FALSE),99)-1,N(T443)*N(U443)/90,TRUE))</f>
        <v/>
      </c>
      <c r="W443" s="3" t="n"/>
      <c r="X443" s="3" t="n"/>
      <c r="Y443" s="3">
        <f>IF(X443="",IFERROR(VLOOKUP($C443,Assumptions!$A$4:$G$7,6,FALSE),0),X443)</f>
        <v/>
      </c>
      <c r="Z443" s="3">
        <f>N(O443)*IFERROR(VLOOKUP($C443,Assumptions!$A$4:$G$7,2,FALSE),0)</f>
        <v/>
      </c>
      <c r="AA443" s="3">
        <f>N(S443)*IFERROR(VLOOKUP($C443,Assumptions!$A$4:$G$7,3,FALSE),0)*Assumptions!$B$11</f>
        <v/>
      </c>
      <c r="AB443" s="3">
        <f>N(N443)*IFERROR(VLOOKUP($C443,Assumptions!$A$4:$G$7,4,FALSE),0)</f>
        <v/>
      </c>
      <c r="AC443" s="3">
        <f>IF(N(U443)=0,0,V443*IFERROR(VLOOKUP($C443,Assumptions!$A$4:$G$7,5,FALSE),0)*90/N(U443))</f>
        <v/>
      </c>
      <c r="AD443" s="3">
        <f>N(W443)</f>
        <v/>
      </c>
      <c r="AE443" s="3">
        <f>SUM(Y443:AD443)</f>
        <v/>
      </c>
      <c r="AF443" s="3">
        <f>N(AE443)*N(M443)/90</f>
        <v/>
      </c>
      <c r="AG443" s="3">
        <f>IFERROR(AF443-VLOOKUP($C443,Assumptions!$A$29:$C$32,3,FALSE),"")</f>
        <v/>
      </c>
      <c r="AH443" s="3">
        <f>IFERROR(AG443/F443,"")</f>
        <v/>
      </c>
      <c r="AI443">
        <f>IF(AND($E443=TRUE,$C443="GKP"),AF443,"")</f>
        <v/>
      </c>
      <c r="AJ443">
        <f>IF(AND($E443=TRUE,$C443="DEF"),AF443,"")</f>
        <v/>
      </c>
      <c r="AK443">
        <f>IF(AND($E443=TRUE,$C443="MID"),AF443,"")</f>
        <v/>
      </c>
      <c r="AL443">
        <f>IF(AND($E443=TRUE,$C443="FWD"),AF443,"")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b">
        <v>1</v>
      </c>
      <c r="F444" s="2" t="n">
        <v>5</v>
      </c>
      <c r="G444" t="inlineStr">
        <is>
          <t>a</t>
        </is>
      </c>
      <c r="I444" s="2" t="n">
        <v>0</v>
      </c>
      <c r="J444" t="n">
        <v>0</v>
      </c>
      <c r="K444" s="3" t="n">
        <v>0</v>
      </c>
      <c r="L444" t="inlineStr">
        <is>
          <t>flat</t>
        </is>
      </c>
      <c r="M444" s="4" t="n">
        <v>0</v>
      </c>
      <c r="N444" s="4" t="n">
        <v>0.421</v>
      </c>
      <c r="O444" s="3" t="n"/>
      <c r="P444" t="inlineStr"/>
      <c r="Q444" s="3" t="n"/>
      <c r="R444" s="3" t="n"/>
      <c r="S444" s="3" t="n"/>
      <c r="T444" s="3" t="n"/>
      <c r="U444" s="4" t="n"/>
      <c r="V444" s="3">
        <f>IF(OR(N(T444)=0,N(U444)=0),0,1-POISSON(IFERROR(VLOOKUP($C444,Assumptions!$A$4:$G$7,7,FALSE),99)-1,N(T444)*N(U444)/90,TRUE))</f>
        <v/>
      </c>
      <c r="W444" s="3" t="n"/>
      <c r="X444" s="3" t="n"/>
      <c r="Y444" s="3">
        <f>IF(X444="",IFERROR(VLOOKUP($C444,Assumptions!$A$4:$G$7,6,FALSE),0),X444)</f>
        <v/>
      </c>
      <c r="Z444" s="3">
        <f>N(O444)*IFERROR(VLOOKUP($C444,Assumptions!$A$4:$G$7,2,FALSE),0)</f>
        <v/>
      </c>
      <c r="AA444" s="3">
        <f>N(S444)*IFERROR(VLOOKUP($C444,Assumptions!$A$4:$G$7,3,FALSE),0)*Assumptions!$B$11</f>
        <v/>
      </c>
      <c r="AB444" s="3">
        <f>N(N444)*IFERROR(VLOOKUP($C444,Assumptions!$A$4:$G$7,4,FALSE),0)</f>
        <v/>
      </c>
      <c r="AC444" s="3">
        <f>IF(N(U444)=0,0,V444*IFERROR(VLOOKUP($C444,Assumptions!$A$4:$G$7,5,FALSE),0)*90/N(U444))</f>
        <v/>
      </c>
      <c r="AD444" s="3">
        <f>N(W444)</f>
        <v/>
      </c>
      <c r="AE444" s="3">
        <f>SUM(Y444:AD444)</f>
        <v/>
      </c>
      <c r="AF444" s="3">
        <f>N(AE444)*N(M444)/90</f>
        <v/>
      </c>
      <c r="AG444" s="3">
        <f>IFERROR(AF444-VLOOKUP($C444,Assumptions!$A$29:$C$32,3,FALSE),"")</f>
        <v/>
      </c>
      <c r="AH444" s="3">
        <f>IFERROR(AG444/F444,"")</f>
        <v/>
      </c>
      <c r="AI444">
        <f>IF(AND($E444=TRUE,$C444="GKP"),AF444,"")</f>
        <v/>
      </c>
      <c r="AJ444">
        <f>IF(AND($E444=TRUE,$C444="DEF"),AF444,"")</f>
        <v/>
      </c>
      <c r="AK444">
        <f>IF(AND($E444=TRUE,$C444="MID"),AF444,"")</f>
        <v/>
      </c>
      <c r="AL444">
        <f>IF(AND($E444=TRUE,$C444="FWD"),AF444,"")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b">
        <v>1</v>
      </c>
      <c r="F445" s="2" t="n">
        <v>5</v>
      </c>
      <c r="G445" t="inlineStr">
        <is>
          <t>a</t>
        </is>
      </c>
      <c r="I445" s="2" t="n">
        <v>0</v>
      </c>
      <c r="J445" t="n">
        <v>0</v>
      </c>
      <c r="K445" s="3" t="n">
        <v>0</v>
      </c>
      <c r="L445" t="inlineStr">
        <is>
          <t>flat</t>
        </is>
      </c>
      <c r="M445" s="4" t="n">
        <v>0</v>
      </c>
      <c r="N445" s="4" t="n">
        <v>0.237</v>
      </c>
      <c r="O445" s="3" t="n"/>
      <c r="P445" t="inlineStr"/>
      <c r="Q445" s="3" t="n"/>
      <c r="R445" s="3" t="n"/>
      <c r="S445" s="3" t="n"/>
      <c r="T445" s="3" t="n"/>
      <c r="U445" s="4" t="n"/>
      <c r="V445" s="3">
        <f>IF(OR(N(T445)=0,N(U445)=0),0,1-POISSON(IFERROR(VLOOKUP($C445,Assumptions!$A$4:$G$7,7,FALSE),99)-1,N(T445)*N(U445)/90,TRUE))</f>
        <v/>
      </c>
      <c r="W445" s="3" t="n"/>
      <c r="X445" s="3" t="n"/>
      <c r="Y445" s="3">
        <f>IF(X445="",IFERROR(VLOOKUP($C445,Assumptions!$A$4:$G$7,6,FALSE),0),X445)</f>
        <v/>
      </c>
      <c r="Z445" s="3">
        <f>N(O445)*IFERROR(VLOOKUP($C445,Assumptions!$A$4:$G$7,2,FALSE),0)</f>
        <v/>
      </c>
      <c r="AA445" s="3">
        <f>N(S445)*IFERROR(VLOOKUP($C445,Assumptions!$A$4:$G$7,3,FALSE),0)*Assumptions!$B$11</f>
        <v/>
      </c>
      <c r="AB445" s="3">
        <f>N(N445)*IFERROR(VLOOKUP($C445,Assumptions!$A$4:$G$7,4,FALSE),0)</f>
        <v/>
      </c>
      <c r="AC445" s="3">
        <f>IF(N(U445)=0,0,V445*IFERROR(VLOOKUP($C445,Assumptions!$A$4:$G$7,5,FALSE),0)*90/N(U445))</f>
        <v/>
      </c>
      <c r="AD445" s="3">
        <f>N(W445)</f>
        <v/>
      </c>
      <c r="AE445" s="3">
        <f>SUM(Y445:AD445)</f>
        <v/>
      </c>
      <c r="AF445" s="3">
        <f>N(AE445)*N(M445)/90</f>
        <v/>
      </c>
      <c r="AG445" s="3">
        <f>IFERROR(AF445-VLOOKUP($C445,Assumptions!$A$29:$C$32,3,FALSE),"")</f>
        <v/>
      </c>
      <c r="AH445" s="3">
        <f>IFERROR(AG445/F445,"")</f>
        <v/>
      </c>
      <c r="AI445">
        <f>IF(AND($E445=TRUE,$C445="GKP"),AF445,"")</f>
        <v/>
      </c>
      <c r="AJ445">
        <f>IF(AND($E445=TRUE,$C445="DEF"),AF445,"")</f>
        <v/>
      </c>
      <c r="AK445">
        <f>IF(AND($E445=TRUE,$C445="MID"),AF445,"")</f>
        <v/>
      </c>
      <c r="AL445">
        <f>IF(AND($E445=TRUE,$C445="FWD"),AF445,"")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b">
        <v>1</v>
      </c>
      <c r="F446" s="2" t="n">
        <v>4</v>
      </c>
      <c r="G446" t="inlineStr">
        <is>
          <t>a</t>
        </is>
      </c>
      <c r="I446" s="2" t="n">
        <v>0</v>
      </c>
      <c r="J446" t="n">
        <v>0</v>
      </c>
      <c r="K446" s="3" t="n">
        <v>0</v>
      </c>
      <c r="L446" t="inlineStr">
        <is>
          <t>flat</t>
        </is>
      </c>
      <c r="M446" s="4" t="n">
        <v>0</v>
      </c>
      <c r="N446" s="4" t="n">
        <v>0.29</v>
      </c>
      <c r="O446" s="3" t="n"/>
      <c r="P446" t="inlineStr"/>
      <c r="Q446" s="3" t="n"/>
      <c r="R446" s="3" t="n"/>
      <c r="S446" s="3" t="n"/>
      <c r="T446" s="3" t="n"/>
      <c r="U446" s="4" t="n"/>
      <c r="V446" s="3">
        <f>IF(OR(N(T446)=0,N(U446)=0),0,1-POISSON(IFERROR(VLOOKUP($C446,Assumptions!$A$4:$G$7,7,FALSE),99)-1,N(T446)*N(U446)/90,TRUE))</f>
        <v/>
      </c>
      <c r="W446" s="3" t="n"/>
      <c r="X446" s="3" t="n"/>
      <c r="Y446" s="3">
        <f>IF(X446="",IFERROR(VLOOKUP($C446,Assumptions!$A$4:$G$7,6,FALSE),0),X446)</f>
        <v/>
      </c>
      <c r="Z446" s="3">
        <f>N(O446)*IFERROR(VLOOKUP($C446,Assumptions!$A$4:$G$7,2,FALSE),0)</f>
        <v/>
      </c>
      <c r="AA446" s="3">
        <f>N(S446)*IFERROR(VLOOKUP($C446,Assumptions!$A$4:$G$7,3,FALSE),0)*Assumptions!$B$11</f>
        <v/>
      </c>
      <c r="AB446" s="3">
        <f>N(N446)*IFERROR(VLOOKUP($C446,Assumptions!$A$4:$G$7,4,FALSE),0)</f>
        <v/>
      </c>
      <c r="AC446" s="3">
        <f>IF(N(U446)=0,0,V446*IFERROR(VLOOKUP($C446,Assumptions!$A$4:$G$7,5,FALSE),0)*90/N(U446))</f>
        <v/>
      </c>
      <c r="AD446" s="3">
        <f>N(W446)</f>
        <v/>
      </c>
      <c r="AE446" s="3">
        <f>SUM(Y446:AD446)</f>
        <v/>
      </c>
      <c r="AF446" s="3">
        <f>N(AE446)*N(M446)/90</f>
        <v/>
      </c>
      <c r="AG446" s="3">
        <f>IFERROR(AF446-VLOOKUP($C446,Assumptions!$A$29:$C$32,3,FALSE),"")</f>
        <v/>
      </c>
      <c r="AH446" s="3">
        <f>IFERROR(AG446/F446,"")</f>
        <v/>
      </c>
      <c r="AI446">
        <f>IF(AND($E446=TRUE,$C446="GKP"),AF446,"")</f>
        <v/>
      </c>
      <c r="AJ446">
        <f>IF(AND($E446=TRUE,$C446="DEF"),AF446,"")</f>
        <v/>
      </c>
      <c r="AK446">
        <f>IF(AND($E446=TRUE,$C446="MID"),AF446,"")</f>
        <v/>
      </c>
      <c r="AL446">
        <f>IF(AND($E446=TRUE,$C446="FWD"),AF446,"")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b">
        <v>1</v>
      </c>
      <c r="F447" s="2" t="n">
        <v>5</v>
      </c>
      <c r="G447" t="inlineStr">
        <is>
          <t>a</t>
        </is>
      </c>
      <c r="I447" s="2" t="n">
        <v>0</v>
      </c>
      <c r="J447" t="n">
        <v>0</v>
      </c>
      <c r="K447" s="3" t="n">
        <v>0</v>
      </c>
      <c r="L447" t="inlineStr">
        <is>
          <t>flat</t>
        </is>
      </c>
      <c r="M447" s="4" t="n">
        <v>0</v>
      </c>
      <c r="N447" s="4" t="n">
        <v>0.21</v>
      </c>
      <c r="O447" s="3" t="n"/>
      <c r="P447" t="inlineStr"/>
      <c r="Q447" s="3" t="n"/>
      <c r="R447" s="3" t="n"/>
      <c r="S447" s="3" t="n"/>
      <c r="T447" s="3" t="n"/>
      <c r="U447" s="4" t="n"/>
      <c r="V447" s="3">
        <f>IF(OR(N(T447)=0,N(U447)=0),0,1-POISSON(IFERROR(VLOOKUP($C447,Assumptions!$A$4:$G$7,7,FALSE),99)-1,N(T447)*N(U447)/90,TRUE))</f>
        <v/>
      </c>
      <c r="W447" s="3" t="n"/>
      <c r="X447" s="3" t="n"/>
      <c r="Y447" s="3">
        <f>IF(X447="",IFERROR(VLOOKUP($C447,Assumptions!$A$4:$G$7,6,FALSE),0),X447)</f>
        <v/>
      </c>
      <c r="Z447" s="3">
        <f>N(O447)*IFERROR(VLOOKUP($C447,Assumptions!$A$4:$G$7,2,FALSE),0)</f>
        <v/>
      </c>
      <c r="AA447" s="3">
        <f>N(S447)*IFERROR(VLOOKUP($C447,Assumptions!$A$4:$G$7,3,FALSE),0)*Assumptions!$B$11</f>
        <v/>
      </c>
      <c r="AB447" s="3">
        <f>N(N447)*IFERROR(VLOOKUP($C447,Assumptions!$A$4:$G$7,4,FALSE),0)</f>
        <v/>
      </c>
      <c r="AC447" s="3">
        <f>IF(N(U447)=0,0,V447*IFERROR(VLOOKUP($C447,Assumptions!$A$4:$G$7,5,FALSE),0)*90/N(U447))</f>
        <v/>
      </c>
      <c r="AD447" s="3">
        <f>N(W447)</f>
        <v/>
      </c>
      <c r="AE447" s="3">
        <f>SUM(Y447:AD447)</f>
        <v/>
      </c>
      <c r="AF447" s="3">
        <f>N(AE447)*N(M447)/90</f>
        <v/>
      </c>
      <c r="AG447" s="3">
        <f>IFERROR(AF447-VLOOKUP($C447,Assumptions!$A$29:$C$32,3,FALSE),"")</f>
        <v/>
      </c>
      <c r="AH447" s="3">
        <f>IFERROR(AG447/F447,"")</f>
        <v/>
      </c>
      <c r="AI447">
        <f>IF(AND($E447=TRUE,$C447="GKP"),AF447,"")</f>
        <v/>
      </c>
      <c r="AJ447">
        <f>IF(AND($E447=TRUE,$C447="DEF"),AF447,"")</f>
        <v/>
      </c>
      <c r="AK447">
        <f>IF(AND($E447=TRUE,$C447="MID"),AF447,"")</f>
        <v/>
      </c>
      <c r="AL447">
        <f>IF(AND($E447=TRUE,$C447="FWD"),AF447,"")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b">
        <v>1</v>
      </c>
      <c r="F448" s="2" t="n">
        <v>4.5</v>
      </c>
      <c r="G448" t="inlineStr">
        <is>
          <t>a</t>
        </is>
      </c>
      <c r="I448" s="2" t="n">
        <v>0</v>
      </c>
      <c r="J448" t="n">
        <v>0</v>
      </c>
      <c r="K448" s="3" t="n">
        <v>0</v>
      </c>
      <c r="L448" t="inlineStr">
        <is>
          <t>flat</t>
        </is>
      </c>
      <c r="M448" s="4" t="n">
        <v>0</v>
      </c>
      <c r="N448" s="4" t="n">
        <v>0.21</v>
      </c>
      <c r="O448" s="3" t="n"/>
      <c r="P448" t="inlineStr"/>
      <c r="Q448" s="3" t="n"/>
      <c r="R448" s="3" t="n"/>
      <c r="S448" s="3" t="n"/>
      <c r="T448" s="3" t="n"/>
      <c r="U448" s="4" t="n"/>
      <c r="V448" s="3">
        <f>IF(OR(N(T448)=0,N(U448)=0),0,1-POISSON(IFERROR(VLOOKUP($C448,Assumptions!$A$4:$G$7,7,FALSE),99)-1,N(T448)*N(U448)/90,TRUE))</f>
        <v/>
      </c>
      <c r="W448" s="3" t="n"/>
      <c r="X448" s="3" t="n"/>
      <c r="Y448" s="3">
        <f>IF(X448="",IFERROR(VLOOKUP($C448,Assumptions!$A$4:$G$7,6,FALSE),0),X448)</f>
        <v/>
      </c>
      <c r="Z448" s="3">
        <f>N(O448)*IFERROR(VLOOKUP($C448,Assumptions!$A$4:$G$7,2,FALSE),0)</f>
        <v/>
      </c>
      <c r="AA448" s="3">
        <f>N(S448)*IFERROR(VLOOKUP($C448,Assumptions!$A$4:$G$7,3,FALSE),0)*Assumptions!$B$11</f>
        <v/>
      </c>
      <c r="AB448" s="3">
        <f>N(N448)*IFERROR(VLOOKUP($C448,Assumptions!$A$4:$G$7,4,FALSE),0)</f>
        <v/>
      </c>
      <c r="AC448" s="3">
        <f>IF(N(U448)=0,0,V448*IFERROR(VLOOKUP($C448,Assumptions!$A$4:$G$7,5,FALSE),0)*90/N(U448))</f>
        <v/>
      </c>
      <c r="AD448" s="3">
        <f>N(W448)</f>
        <v/>
      </c>
      <c r="AE448" s="3">
        <f>SUM(Y448:AD448)</f>
        <v/>
      </c>
      <c r="AF448" s="3">
        <f>N(AE448)*N(M448)/90</f>
        <v/>
      </c>
      <c r="AG448" s="3">
        <f>IFERROR(AF448-VLOOKUP($C448,Assumptions!$A$29:$C$32,3,FALSE),"")</f>
        <v/>
      </c>
      <c r="AH448" s="3">
        <f>IFERROR(AG448/F448,"")</f>
        <v/>
      </c>
      <c r="AI448">
        <f>IF(AND($E448=TRUE,$C448="GKP"),AF448,"")</f>
        <v/>
      </c>
      <c r="AJ448">
        <f>IF(AND($E448=TRUE,$C448="DEF"),AF448,"")</f>
        <v/>
      </c>
      <c r="AK448">
        <f>IF(AND($E448=TRUE,$C448="MID"),AF448,"")</f>
        <v/>
      </c>
      <c r="AL448">
        <f>IF(AND($E448=TRUE,$C448="FWD"),AF448,"")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b">
        <v>1</v>
      </c>
      <c r="F449" s="2" t="n">
        <v>4</v>
      </c>
      <c r="G449" t="inlineStr">
        <is>
          <t>a</t>
        </is>
      </c>
      <c r="I449" s="2" t="n">
        <v>0</v>
      </c>
      <c r="J449" t="n">
        <v>0</v>
      </c>
      <c r="K449" s="3" t="n">
        <v>103</v>
      </c>
      <c r="L449" t="inlineStr">
        <is>
          <t>flat</t>
        </is>
      </c>
      <c r="M449" s="4" t="n">
        <v>0</v>
      </c>
      <c r="N449" s="4" t="n">
        <v>0.263</v>
      </c>
      <c r="O449" s="3" t="n"/>
      <c r="P449" t="inlineStr"/>
      <c r="Q449" s="3" t="n"/>
      <c r="R449" s="3" t="n"/>
      <c r="S449" s="3" t="n"/>
      <c r="T449" s="3" t="n"/>
      <c r="U449" s="4" t="n"/>
      <c r="V449" s="3">
        <f>IF(OR(N(T449)=0,N(U449)=0),0,1-POISSON(IFERROR(VLOOKUP($C449,Assumptions!$A$4:$G$7,7,FALSE),99)-1,N(T449)*N(U449)/90,TRUE))</f>
        <v/>
      </c>
      <c r="W449" s="3" t="n"/>
      <c r="X449" s="3" t="n"/>
      <c r="Y449" s="3">
        <f>IF(X449="",IFERROR(VLOOKUP($C449,Assumptions!$A$4:$G$7,6,FALSE),0),X449)</f>
        <v/>
      </c>
      <c r="Z449" s="3">
        <f>N(O449)*IFERROR(VLOOKUP($C449,Assumptions!$A$4:$G$7,2,FALSE),0)</f>
        <v/>
      </c>
      <c r="AA449" s="3">
        <f>N(S449)*IFERROR(VLOOKUP($C449,Assumptions!$A$4:$G$7,3,FALSE),0)*Assumptions!$B$11</f>
        <v/>
      </c>
      <c r="AB449" s="3">
        <f>N(N449)*IFERROR(VLOOKUP($C449,Assumptions!$A$4:$G$7,4,FALSE),0)</f>
        <v/>
      </c>
      <c r="AC449" s="3">
        <f>IF(N(U449)=0,0,V449*IFERROR(VLOOKUP($C449,Assumptions!$A$4:$G$7,5,FALSE),0)*90/N(U449))</f>
        <v/>
      </c>
      <c r="AD449" s="3">
        <f>N(W449)</f>
        <v/>
      </c>
      <c r="AE449" s="3">
        <f>SUM(Y449:AD449)</f>
        <v/>
      </c>
      <c r="AF449" s="3">
        <f>N(AE449)*N(M449)/90</f>
        <v/>
      </c>
      <c r="AG449" s="3">
        <f>IFERROR(AF449-VLOOKUP($C449,Assumptions!$A$29:$C$32,3,FALSE),"")</f>
        <v/>
      </c>
      <c r="AH449" s="3">
        <f>IFERROR(AG449/F449,"")</f>
        <v/>
      </c>
      <c r="AI449">
        <f>IF(AND($E449=TRUE,$C449="GKP"),AF449,"")</f>
        <v/>
      </c>
      <c r="AJ449">
        <f>IF(AND($E449=TRUE,$C449="DEF"),AF449,"")</f>
        <v/>
      </c>
      <c r="AK449">
        <f>IF(AND($E449=TRUE,$C449="MID"),AF449,"")</f>
        <v/>
      </c>
      <c r="AL449">
        <f>IF(AND($E449=TRUE,$C449="FWD"),AF449,"")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b">
        <v>1</v>
      </c>
      <c r="F450" s="2" t="n">
        <v>5</v>
      </c>
      <c r="G450" t="inlineStr">
        <is>
          <t>i</t>
        </is>
      </c>
      <c r="H450" t="inlineStr">
        <is>
          <t>Ankle injury - Expected back 10 Oct</t>
        </is>
      </c>
      <c r="I450" s="2" t="n">
        <v>0</v>
      </c>
      <c r="J450" t="n">
        <v>0</v>
      </c>
      <c r="K450" s="3" t="n">
        <v>0</v>
      </c>
      <c r="L450" t="inlineStr">
        <is>
          <t>flat</t>
        </is>
      </c>
      <c r="M450" s="4" t="n">
        <v>0</v>
      </c>
      <c r="N450" s="4" t="n">
        <v>0.263</v>
      </c>
      <c r="O450" s="3" t="n"/>
      <c r="P450" t="inlineStr"/>
      <c r="Q450" s="3" t="n"/>
      <c r="R450" s="3" t="n"/>
      <c r="S450" s="3" t="n"/>
      <c r="T450" s="3" t="n"/>
      <c r="U450" s="4" t="n"/>
      <c r="V450" s="3">
        <f>IF(OR(N(T450)=0,N(U450)=0),0,1-POISSON(IFERROR(VLOOKUP($C450,Assumptions!$A$4:$G$7,7,FALSE),99)-1,N(T450)*N(U450)/90,TRUE))</f>
        <v/>
      </c>
      <c r="W450" s="3" t="n"/>
      <c r="X450" s="3" t="n"/>
      <c r="Y450" s="3">
        <f>IF(X450="",IFERROR(VLOOKUP($C450,Assumptions!$A$4:$G$7,6,FALSE),0),X450)</f>
        <v/>
      </c>
      <c r="Z450" s="3">
        <f>N(O450)*IFERROR(VLOOKUP($C450,Assumptions!$A$4:$G$7,2,FALSE),0)</f>
        <v/>
      </c>
      <c r="AA450" s="3">
        <f>N(S450)*IFERROR(VLOOKUP($C450,Assumptions!$A$4:$G$7,3,FALSE),0)*Assumptions!$B$11</f>
        <v/>
      </c>
      <c r="AB450" s="3">
        <f>N(N450)*IFERROR(VLOOKUP($C450,Assumptions!$A$4:$G$7,4,FALSE),0)</f>
        <v/>
      </c>
      <c r="AC450" s="3">
        <f>IF(N(U450)=0,0,V450*IFERROR(VLOOKUP($C450,Assumptions!$A$4:$G$7,5,FALSE),0)*90/N(U450))</f>
        <v/>
      </c>
      <c r="AD450" s="3">
        <f>N(W450)</f>
        <v/>
      </c>
      <c r="AE450" s="3">
        <f>SUM(Y450:AD450)</f>
        <v/>
      </c>
      <c r="AF450" s="3">
        <f>N(AE450)*N(M450)/90</f>
        <v/>
      </c>
      <c r="AG450" s="3">
        <f>IFERROR(AF450-VLOOKUP($C450,Assumptions!$A$29:$C$32,3,FALSE),"")</f>
        <v/>
      </c>
      <c r="AH450" s="3">
        <f>IFERROR(AG450/F450,"")</f>
        <v/>
      </c>
      <c r="AI450">
        <f>IF(AND($E450=TRUE,$C450="GKP"),AF450,"")</f>
        <v/>
      </c>
      <c r="AJ450">
        <f>IF(AND($E450=TRUE,$C450="DEF"),AF450,"")</f>
        <v/>
      </c>
      <c r="AK450">
        <f>IF(AND($E450=TRUE,$C450="MID"),AF450,"")</f>
        <v/>
      </c>
      <c r="AL450">
        <f>IF(AND($E450=TRUE,$C450="FWD"),AF450,"")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b">
        <v>1</v>
      </c>
      <c r="F451" s="2" t="n">
        <v>4</v>
      </c>
      <c r="G451" t="inlineStr">
        <is>
          <t>a</t>
        </is>
      </c>
      <c r="I451" s="2" t="n">
        <v>0</v>
      </c>
      <c r="J451" t="n">
        <v>0</v>
      </c>
      <c r="K451" s="3" t="n">
        <v>79</v>
      </c>
      <c r="L451" t="inlineStr">
        <is>
          <t>flat</t>
        </is>
      </c>
      <c r="M451" s="4" t="n">
        <v>0</v>
      </c>
      <c r="N451" s="4" t="n">
        <v>0.21</v>
      </c>
      <c r="O451" s="3" t="n"/>
      <c r="P451" t="inlineStr"/>
      <c r="Q451" s="3" t="n"/>
      <c r="R451" s="3" t="n"/>
      <c r="S451" s="3" t="n"/>
      <c r="T451" s="3" t="n"/>
      <c r="U451" s="4" t="n"/>
      <c r="V451" s="3">
        <f>IF(OR(N(T451)=0,N(U451)=0),0,1-POISSON(IFERROR(VLOOKUP($C451,Assumptions!$A$4:$G$7,7,FALSE),99)-1,N(T451)*N(U451)/90,TRUE))</f>
        <v/>
      </c>
      <c r="W451" s="3" t="n"/>
      <c r="X451" s="3" t="n"/>
      <c r="Y451" s="3">
        <f>IF(X451="",IFERROR(VLOOKUP($C451,Assumptions!$A$4:$G$7,6,FALSE),0),X451)</f>
        <v/>
      </c>
      <c r="Z451" s="3">
        <f>N(O451)*IFERROR(VLOOKUP($C451,Assumptions!$A$4:$G$7,2,FALSE),0)</f>
        <v/>
      </c>
      <c r="AA451" s="3">
        <f>N(S451)*IFERROR(VLOOKUP($C451,Assumptions!$A$4:$G$7,3,FALSE),0)*Assumptions!$B$11</f>
        <v/>
      </c>
      <c r="AB451" s="3">
        <f>N(N451)*IFERROR(VLOOKUP($C451,Assumptions!$A$4:$G$7,4,FALSE),0)</f>
        <v/>
      </c>
      <c r="AC451" s="3">
        <f>IF(N(U451)=0,0,V451*IFERROR(VLOOKUP($C451,Assumptions!$A$4:$G$7,5,FALSE),0)*90/N(U451))</f>
        <v/>
      </c>
      <c r="AD451" s="3">
        <f>N(W451)</f>
        <v/>
      </c>
      <c r="AE451" s="3">
        <f>SUM(Y451:AD451)</f>
        <v/>
      </c>
      <c r="AF451" s="3">
        <f>N(AE451)*N(M451)/90</f>
        <v/>
      </c>
      <c r="AG451" s="3">
        <f>IFERROR(AF451-VLOOKUP($C451,Assumptions!$A$29:$C$32,3,FALSE),"")</f>
        <v/>
      </c>
      <c r="AH451" s="3">
        <f>IFERROR(AG451/F451,"")</f>
        <v/>
      </c>
      <c r="AI451">
        <f>IF(AND($E451=TRUE,$C451="GKP"),AF451,"")</f>
        <v/>
      </c>
      <c r="AJ451">
        <f>IF(AND($E451=TRUE,$C451="DEF"),AF451,"")</f>
        <v/>
      </c>
      <c r="AK451">
        <f>IF(AND($E451=TRUE,$C451="MID"),AF451,"")</f>
        <v/>
      </c>
      <c r="AL451">
        <f>IF(AND($E451=TRUE,$C451="FWD"),AF451,"")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b">
        <v>1</v>
      </c>
      <c r="F452" s="2" t="n">
        <v>4</v>
      </c>
      <c r="G452" t="inlineStr">
        <is>
          <t>u</t>
        </is>
      </c>
      <c r="H452" t="inlineStr">
        <is>
          <t>Has joined KV Mechelen on loan for the rest of the season</t>
        </is>
      </c>
      <c r="I452" s="2" t="n">
        <v>0</v>
      </c>
      <c r="J452" t="n">
        <v>0</v>
      </c>
      <c r="K452" s="3" t="n"/>
      <c r="M452" s="4" t="n">
        <v>0</v>
      </c>
      <c r="N452" s="4" t="n">
        <v>0.29</v>
      </c>
      <c r="O452" s="3" t="n"/>
      <c r="P452" t="inlineStr"/>
      <c r="Q452" s="3" t="n"/>
      <c r="R452" s="3" t="n"/>
      <c r="S452" s="3" t="n"/>
      <c r="T452" s="3" t="n"/>
      <c r="U452" s="4" t="n"/>
      <c r="V452" s="3">
        <f>IF(OR(N(T452)=0,N(U452)=0),0,1-POISSON(IFERROR(VLOOKUP($C452,Assumptions!$A$4:$G$7,7,FALSE),99)-1,N(T452)*N(U452)/90,TRUE))</f>
        <v/>
      </c>
      <c r="W452" s="3" t="n"/>
      <c r="X452" s="3" t="n"/>
      <c r="Y452" s="3">
        <f>IF(X452="",IFERROR(VLOOKUP($C452,Assumptions!$A$4:$G$7,6,FALSE),0),X452)</f>
        <v/>
      </c>
      <c r="Z452" s="3">
        <f>N(O452)*IFERROR(VLOOKUP($C452,Assumptions!$A$4:$G$7,2,FALSE),0)</f>
        <v/>
      </c>
      <c r="AA452" s="3">
        <f>N(S452)*IFERROR(VLOOKUP($C452,Assumptions!$A$4:$G$7,3,FALSE),0)*Assumptions!$B$11</f>
        <v/>
      </c>
      <c r="AB452" s="3">
        <f>N(N452)*IFERROR(VLOOKUP($C452,Assumptions!$A$4:$G$7,4,FALSE),0)</f>
        <v/>
      </c>
      <c r="AC452" s="3">
        <f>IF(N(U452)=0,0,V452*IFERROR(VLOOKUP($C452,Assumptions!$A$4:$G$7,5,FALSE),0)*90/N(U452))</f>
        <v/>
      </c>
      <c r="AD452" s="3">
        <f>N(W452)</f>
        <v/>
      </c>
      <c r="AE452" s="3">
        <f>SUM(Y452:AD452)</f>
        <v/>
      </c>
      <c r="AF452" s="3">
        <f>N(AE452)*N(M452)/90</f>
        <v/>
      </c>
      <c r="AG452" s="3">
        <f>IFERROR(AF452-VLOOKUP($C452,Assumptions!$A$29:$C$32,3,FALSE),"")</f>
        <v/>
      </c>
      <c r="AH452" s="3">
        <f>IFERROR(AG452/F452,"")</f>
        <v/>
      </c>
      <c r="AI452">
        <f>IF(AND($E452=TRUE,$C452="GKP"),AF452,"")</f>
        <v/>
      </c>
      <c r="AJ452">
        <f>IF(AND($E452=TRUE,$C452="DEF"),AF452,"")</f>
        <v/>
      </c>
      <c r="AK452">
        <f>IF(AND($E452=TRUE,$C452="MID"),AF452,"")</f>
        <v/>
      </c>
      <c r="AL452">
        <f>IF(AND($E452=TRUE,$C452="FWD"),AF452,"")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b">
        <v>1</v>
      </c>
      <c r="F453" s="2" t="n">
        <v>4</v>
      </c>
      <c r="G453" t="inlineStr">
        <is>
          <t>a</t>
        </is>
      </c>
      <c r="I453" s="2" t="n">
        <v>0</v>
      </c>
      <c r="J453" t="n">
        <v>0</v>
      </c>
      <c r="K453" s="3" t="n">
        <v>0</v>
      </c>
      <c r="L453" t="inlineStr">
        <is>
          <t>flat</t>
        </is>
      </c>
      <c r="M453" s="4" t="n">
        <v>0</v>
      </c>
      <c r="N453" s="4" t="n">
        <v>0.263</v>
      </c>
      <c r="O453" s="3" t="n"/>
      <c r="P453" t="inlineStr"/>
      <c r="Q453" s="3" t="n"/>
      <c r="R453" s="3" t="n"/>
      <c r="S453" s="3" t="n"/>
      <c r="T453" s="3" t="n">
        <v>0</v>
      </c>
      <c r="U453" s="4" t="n"/>
      <c r="V453" s="3">
        <f>IF(OR(N(T453)=0,N(U453)=0),0,1-POISSON(IFERROR(VLOOKUP($C453,Assumptions!$A$4:$G$7,7,FALSE),99)-1,N(T453)*N(U453)/90,TRUE))</f>
        <v/>
      </c>
      <c r="W453" s="3" t="n"/>
      <c r="X453" s="3" t="n"/>
      <c r="Y453" s="3">
        <f>IF(X453="",IFERROR(VLOOKUP($C453,Assumptions!$A$4:$G$7,6,FALSE),0),X453)</f>
        <v/>
      </c>
      <c r="Z453" s="3">
        <f>N(O453)*IFERROR(VLOOKUP($C453,Assumptions!$A$4:$G$7,2,FALSE),0)</f>
        <v/>
      </c>
      <c r="AA453" s="3">
        <f>N(S453)*IFERROR(VLOOKUP($C453,Assumptions!$A$4:$G$7,3,FALSE),0)*Assumptions!$B$11</f>
        <v/>
      </c>
      <c r="AB453" s="3">
        <f>N(N453)*IFERROR(VLOOKUP($C453,Assumptions!$A$4:$G$7,4,FALSE),0)</f>
        <v/>
      </c>
      <c r="AC453" s="3">
        <f>IF(N(U453)=0,0,V453*IFERROR(VLOOKUP($C453,Assumptions!$A$4:$G$7,5,FALSE),0)*90/N(U453))</f>
        <v/>
      </c>
      <c r="AD453" s="3">
        <f>N(W453)</f>
        <v/>
      </c>
      <c r="AE453" s="3">
        <f>SUM(Y453:AD453)</f>
        <v/>
      </c>
      <c r="AF453" s="3">
        <f>N(AE453)*N(M453)/90</f>
        <v/>
      </c>
      <c r="AG453" s="3">
        <f>IFERROR(AF453-VLOOKUP($C453,Assumptions!$A$29:$C$32,3,FALSE),"")</f>
        <v/>
      </c>
      <c r="AH453" s="3">
        <f>IFERROR(AG453/F453,"")</f>
        <v/>
      </c>
      <c r="AI453">
        <f>IF(AND($E453=TRUE,$C453="GKP"),AF453,"")</f>
        <v/>
      </c>
      <c r="AJ453">
        <f>IF(AND($E453=TRUE,$C453="DEF"),AF453,"")</f>
        <v/>
      </c>
      <c r="AK453">
        <f>IF(AND($E453=TRUE,$C453="MID"),AF453,"")</f>
        <v/>
      </c>
      <c r="AL453">
        <f>IF(AND($E453=TRUE,$C453="FWD"),AF453,"")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b">
        <v>1</v>
      </c>
      <c r="F454" s="2" t="n">
        <v>4.5</v>
      </c>
      <c r="G454" t="inlineStr">
        <is>
          <t>a</t>
        </is>
      </c>
      <c r="I454" s="2" t="n">
        <v>0</v>
      </c>
      <c r="J454" t="n">
        <v>0</v>
      </c>
      <c r="K454" s="3" t="n">
        <v>3385</v>
      </c>
      <c r="L454" t="inlineStr">
        <is>
          <t>flat</t>
        </is>
      </c>
      <c r="M454" s="4" t="n">
        <v>0</v>
      </c>
      <c r="N454" s="4" t="n"/>
      <c r="O454" s="3" t="n"/>
      <c r="P454" t="inlineStr"/>
      <c r="Q454" s="3" t="n"/>
      <c r="R454" s="3" t="n"/>
      <c r="S454" s="3" t="n"/>
      <c r="T454" s="3" t="n">
        <v>0</v>
      </c>
      <c r="U454" s="4" t="n"/>
      <c r="V454" s="3">
        <f>IF(OR(N(T454)=0,N(U454)=0),0,1-POISSON(IFERROR(VLOOKUP($C454,Assumptions!$A$4:$G$7,7,FALSE),99)-1,N(T454)*N(U454)/90,TRUE))</f>
        <v/>
      </c>
      <c r="W454" s="3" t="n"/>
      <c r="X454" s="3" t="n"/>
      <c r="Y454" s="3">
        <f>IF(X454="",IFERROR(VLOOKUP($C454,Assumptions!$A$4:$G$7,6,FALSE),0),X454)</f>
        <v/>
      </c>
      <c r="Z454" s="3">
        <f>N(O454)*IFERROR(VLOOKUP($C454,Assumptions!$A$4:$G$7,2,FALSE),0)</f>
        <v/>
      </c>
      <c r="AA454" s="3">
        <f>N(S454)*IFERROR(VLOOKUP($C454,Assumptions!$A$4:$G$7,3,FALSE),0)*Assumptions!$B$11</f>
        <v/>
      </c>
      <c r="AB454" s="3">
        <f>N(N454)*IFERROR(VLOOKUP($C454,Assumptions!$A$4:$G$7,4,FALSE),0)</f>
        <v/>
      </c>
      <c r="AC454" s="3">
        <f>IF(N(U454)=0,0,V454*IFERROR(VLOOKUP($C454,Assumptions!$A$4:$G$7,5,FALSE),0)*90/N(U454))</f>
        <v/>
      </c>
      <c r="AD454" s="3">
        <f>N(W454)</f>
        <v/>
      </c>
      <c r="AE454" s="3">
        <f>SUM(Y454:AD454)</f>
        <v/>
      </c>
      <c r="AF454" s="3">
        <f>N(AE454)*N(M454)/90</f>
        <v/>
      </c>
      <c r="AG454" s="3">
        <f>IFERROR(AF454-VLOOKUP($C454,Assumptions!$A$29:$C$32,3,FALSE),"")</f>
        <v/>
      </c>
      <c r="AH454" s="3">
        <f>IFERROR(AG454/F454,"")</f>
        <v/>
      </c>
      <c r="AI454">
        <f>IF(AND($E454=TRUE,$C454="GKP"),AF454,"")</f>
        <v/>
      </c>
      <c r="AJ454">
        <f>IF(AND($E454=TRUE,$C454="DEF"),AF454,"")</f>
        <v/>
      </c>
      <c r="AK454">
        <f>IF(AND($E454=TRUE,$C454="MID"),AF454,"")</f>
        <v/>
      </c>
      <c r="AL454">
        <f>IF(AND($E454=TRUE,$C454="FWD"),AF454,"")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b">
        <v>1</v>
      </c>
      <c r="F455" s="2" t="n">
        <v>4.5</v>
      </c>
      <c r="G455" t="inlineStr">
        <is>
          <t>i</t>
        </is>
      </c>
      <c r="H455" t="inlineStr">
        <is>
          <t>Thigh injury - Unknown return date</t>
        </is>
      </c>
      <c r="I455" s="2" t="n">
        <v>0</v>
      </c>
      <c r="J455" t="n">
        <v>0</v>
      </c>
      <c r="K455" s="3" t="n">
        <v>0</v>
      </c>
      <c r="L455" t="inlineStr">
        <is>
          <t>flat</t>
        </is>
      </c>
      <c r="M455" s="4" t="n">
        <v>0</v>
      </c>
      <c r="N455" s="4" t="n"/>
      <c r="O455" s="3" t="n"/>
      <c r="P455" t="inlineStr"/>
      <c r="Q455" s="3" t="n"/>
      <c r="R455" s="3" t="n"/>
      <c r="S455" s="3" t="n"/>
      <c r="T455" s="3" t="n"/>
      <c r="U455" s="4" t="n"/>
      <c r="V455" s="3">
        <f>IF(OR(N(T455)=0,N(U455)=0),0,1-POISSON(IFERROR(VLOOKUP($C455,Assumptions!$A$4:$G$7,7,FALSE),99)-1,N(T455)*N(U455)/90,TRUE))</f>
        <v/>
      </c>
      <c r="W455" s="3" t="n"/>
      <c r="X455" s="3" t="n"/>
      <c r="Y455" s="3">
        <f>IF(X455="",IFERROR(VLOOKUP($C455,Assumptions!$A$4:$G$7,6,FALSE),0),X455)</f>
        <v/>
      </c>
      <c r="Z455" s="3">
        <f>N(O455)*IFERROR(VLOOKUP($C455,Assumptions!$A$4:$G$7,2,FALSE),0)</f>
        <v/>
      </c>
      <c r="AA455" s="3">
        <f>N(S455)*IFERROR(VLOOKUP($C455,Assumptions!$A$4:$G$7,3,FALSE),0)*Assumptions!$B$11</f>
        <v/>
      </c>
      <c r="AB455" s="3">
        <f>N(N455)*IFERROR(VLOOKUP($C455,Assumptions!$A$4:$G$7,4,FALSE),0)</f>
        <v/>
      </c>
      <c r="AC455" s="3">
        <f>IF(N(U455)=0,0,V455*IFERROR(VLOOKUP($C455,Assumptions!$A$4:$G$7,5,FALSE),0)*90/N(U455))</f>
        <v/>
      </c>
      <c r="AD455" s="3">
        <f>N(W455)</f>
        <v/>
      </c>
      <c r="AE455" s="3">
        <f>SUM(Y455:AD455)</f>
        <v/>
      </c>
      <c r="AF455" s="3">
        <f>N(AE455)*N(M455)/90</f>
        <v/>
      </c>
      <c r="AG455" s="3">
        <f>IFERROR(AF455-VLOOKUP($C455,Assumptions!$A$29:$C$32,3,FALSE),"")</f>
        <v/>
      </c>
      <c r="AH455" s="3">
        <f>IFERROR(AG455/F455,"")</f>
        <v/>
      </c>
      <c r="AI455">
        <f>IF(AND($E455=TRUE,$C455="GKP"),AF455,"")</f>
        <v/>
      </c>
      <c r="AJ455">
        <f>IF(AND($E455=TRUE,$C455="DEF"),AF455,"")</f>
        <v/>
      </c>
      <c r="AK455">
        <f>IF(AND($E455=TRUE,$C455="MID"),AF455,"")</f>
        <v/>
      </c>
      <c r="AL455">
        <f>IF(AND($E455=TRUE,$C455="FWD"),AF455,"")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b">
        <v>1</v>
      </c>
      <c r="F456" s="2" t="n">
        <v>5</v>
      </c>
      <c r="G456" t="inlineStr">
        <is>
          <t>a</t>
        </is>
      </c>
      <c r="I456" s="2" t="n">
        <v>0</v>
      </c>
      <c r="J456" t="n">
        <v>0</v>
      </c>
      <c r="K456" s="3" t="n">
        <v>0</v>
      </c>
      <c r="L456" t="inlineStr">
        <is>
          <t>flat</t>
        </is>
      </c>
      <c r="M456" s="4" t="n">
        <v>0</v>
      </c>
      <c r="N456" s="4" t="n">
        <v>0.237</v>
      </c>
      <c r="O456" s="3" t="n"/>
      <c r="P456" t="inlineStr"/>
      <c r="Q456" s="3" t="n"/>
      <c r="R456" s="3" t="n"/>
      <c r="S456" s="3" t="n"/>
      <c r="T456" s="3" t="n"/>
      <c r="U456" s="4" t="n"/>
      <c r="V456" s="3">
        <f>IF(OR(N(T456)=0,N(U456)=0),0,1-POISSON(IFERROR(VLOOKUP($C456,Assumptions!$A$4:$G$7,7,FALSE),99)-1,N(T456)*N(U456)/90,TRUE))</f>
        <v/>
      </c>
      <c r="W456" s="3" t="n"/>
      <c r="X456" s="3" t="n"/>
      <c r="Y456" s="3">
        <f>IF(X456="",IFERROR(VLOOKUP($C456,Assumptions!$A$4:$G$7,6,FALSE),0),X456)</f>
        <v/>
      </c>
      <c r="Z456" s="3">
        <f>N(O456)*IFERROR(VLOOKUP($C456,Assumptions!$A$4:$G$7,2,FALSE),0)</f>
        <v/>
      </c>
      <c r="AA456" s="3">
        <f>N(S456)*IFERROR(VLOOKUP($C456,Assumptions!$A$4:$G$7,3,FALSE),0)*Assumptions!$B$11</f>
        <v/>
      </c>
      <c r="AB456" s="3">
        <f>N(N456)*IFERROR(VLOOKUP($C456,Assumptions!$A$4:$G$7,4,FALSE),0)</f>
        <v/>
      </c>
      <c r="AC456" s="3">
        <f>IF(N(U456)=0,0,V456*IFERROR(VLOOKUP($C456,Assumptions!$A$4:$G$7,5,FALSE),0)*90/N(U456))</f>
        <v/>
      </c>
      <c r="AD456" s="3">
        <f>N(W456)</f>
        <v/>
      </c>
      <c r="AE456" s="3">
        <f>SUM(Y456:AD456)</f>
        <v/>
      </c>
      <c r="AF456" s="3">
        <f>N(AE456)*N(M456)/90</f>
        <v/>
      </c>
      <c r="AG456" s="3">
        <f>IFERROR(AF456-VLOOKUP($C456,Assumptions!$A$29:$C$32,3,FALSE),"")</f>
        <v/>
      </c>
      <c r="AH456" s="3">
        <f>IFERROR(AG456/F456,"")</f>
        <v/>
      </c>
      <c r="AI456">
        <f>IF(AND($E456=TRUE,$C456="GKP"),AF456,"")</f>
        <v/>
      </c>
      <c r="AJ456">
        <f>IF(AND($E456=TRUE,$C456="DEF"),AF456,"")</f>
        <v/>
      </c>
      <c r="AK456">
        <f>IF(AND($E456=TRUE,$C456="MID"),AF456,"")</f>
        <v/>
      </c>
      <c r="AL456">
        <f>IF(AND($E456=TRUE,$C456="FWD"),AF456,"")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b">
        <v>1</v>
      </c>
      <c r="F457" s="2" t="n">
        <v>5.5</v>
      </c>
      <c r="G457" t="inlineStr">
        <is>
          <t>a</t>
        </is>
      </c>
      <c r="I457" s="2" t="n">
        <v>0</v>
      </c>
      <c r="J457" t="n">
        <v>0</v>
      </c>
      <c r="K457" s="3" t="n">
        <v>20</v>
      </c>
      <c r="L457" t="inlineStr">
        <is>
          <t>flat</t>
        </is>
      </c>
      <c r="M457" s="4" t="n">
        <v>0</v>
      </c>
      <c r="N457" s="4" t="n">
        <v>0.237</v>
      </c>
      <c r="O457" s="3" t="n"/>
      <c r="P457" t="inlineStr"/>
      <c r="Q457" s="3" t="n"/>
      <c r="R457" s="3" t="n"/>
      <c r="S457" s="3" t="n"/>
      <c r="T457" s="3" t="n"/>
      <c r="U457" s="4" t="n"/>
      <c r="V457" s="3">
        <f>IF(OR(N(T457)=0,N(U457)=0),0,1-POISSON(IFERROR(VLOOKUP($C457,Assumptions!$A$4:$G$7,7,FALSE),99)-1,N(T457)*N(U457)/90,TRUE))</f>
        <v/>
      </c>
      <c r="W457" s="3" t="n"/>
      <c r="X457" s="3" t="n"/>
      <c r="Y457" s="3">
        <f>IF(X457="",IFERROR(VLOOKUP($C457,Assumptions!$A$4:$G$7,6,FALSE),0),X457)</f>
        <v/>
      </c>
      <c r="Z457" s="3">
        <f>N(O457)*IFERROR(VLOOKUP($C457,Assumptions!$A$4:$G$7,2,FALSE),0)</f>
        <v/>
      </c>
      <c r="AA457" s="3">
        <f>N(S457)*IFERROR(VLOOKUP($C457,Assumptions!$A$4:$G$7,3,FALSE),0)*Assumptions!$B$11</f>
        <v/>
      </c>
      <c r="AB457" s="3">
        <f>N(N457)*IFERROR(VLOOKUP($C457,Assumptions!$A$4:$G$7,4,FALSE),0)</f>
        <v/>
      </c>
      <c r="AC457" s="3">
        <f>IF(N(U457)=0,0,V457*IFERROR(VLOOKUP($C457,Assumptions!$A$4:$G$7,5,FALSE),0)*90/N(U457))</f>
        <v/>
      </c>
      <c r="AD457" s="3">
        <f>N(W457)</f>
        <v/>
      </c>
      <c r="AE457" s="3">
        <f>SUM(Y457:AD457)</f>
        <v/>
      </c>
      <c r="AF457" s="3">
        <f>N(AE457)*N(M457)/90</f>
        <v/>
      </c>
      <c r="AG457" s="3">
        <f>IFERROR(AF457-VLOOKUP($C457,Assumptions!$A$29:$C$32,3,FALSE),"")</f>
        <v/>
      </c>
      <c r="AH457" s="3">
        <f>IFERROR(AG457/F457,"")</f>
        <v/>
      </c>
      <c r="AI457">
        <f>IF(AND($E457=TRUE,$C457="GKP"),AF457,"")</f>
        <v/>
      </c>
      <c r="AJ457">
        <f>IF(AND($E457=TRUE,$C457="DEF"),AF457,"")</f>
        <v/>
      </c>
      <c r="AK457">
        <f>IF(AND($E457=TRUE,$C457="MID"),AF457,"")</f>
        <v/>
      </c>
      <c r="AL457">
        <f>IF(AND($E457=TRUE,$C457="FWD"),AF457,"")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b">
        <v>1</v>
      </c>
      <c r="F458" s="2" t="n">
        <v>4.5</v>
      </c>
      <c r="G458" t="inlineStr">
        <is>
          <t>a</t>
        </is>
      </c>
      <c r="I458" s="2" t="n">
        <v>0</v>
      </c>
      <c r="J458" t="n">
        <v>0</v>
      </c>
      <c r="K458" s="3" t="n">
        <v>0</v>
      </c>
      <c r="L458" t="inlineStr">
        <is>
          <t>flat</t>
        </is>
      </c>
      <c r="M458" s="4" t="n">
        <v>0</v>
      </c>
      <c r="N458" s="4" t="n">
        <v>0.237</v>
      </c>
      <c r="O458" s="3" t="n"/>
      <c r="P458" t="inlineStr"/>
      <c r="Q458" s="3" t="n"/>
      <c r="R458" s="3" t="n"/>
      <c r="S458" s="3" t="n"/>
      <c r="T458" s="3" t="n"/>
      <c r="U458" s="4" t="n"/>
      <c r="V458" s="3">
        <f>IF(OR(N(T458)=0,N(U458)=0),0,1-POISSON(IFERROR(VLOOKUP($C458,Assumptions!$A$4:$G$7,7,FALSE),99)-1,N(T458)*N(U458)/90,TRUE))</f>
        <v/>
      </c>
      <c r="W458" s="3" t="n"/>
      <c r="X458" s="3" t="n"/>
      <c r="Y458" s="3">
        <f>IF(X458="",IFERROR(VLOOKUP($C458,Assumptions!$A$4:$G$7,6,FALSE),0),X458)</f>
        <v/>
      </c>
      <c r="Z458" s="3">
        <f>N(O458)*IFERROR(VLOOKUP($C458,Assumptions!$A$4:$G$7,2,FALSE),0)</f>
        <v/>
      </c>
      <c r="AA458" s="3">
        <f>N(S458)*IFERROR(VLOOKUP($C458,Assumptions!$A$4:$G$7,3,FALSE),0)*Assumptions!$B$11</f>
        <v/>
      </c>
      <c r="AB458" s="3">
        <f>N(N458)*IFERROR(VLOOKUP($C458,Assumptions!$A$4:$G$7,4,FALSE),0)</f>
        <v/>
      </c>
      <c r="AC458" s="3">
        <f>IF(N(U458)=0,0,V458*IFERROR(VLOOKUP($C458,Assumptions!$A$4:$G$7,5,FALSE),0)*90/N(U458))</f>
        <v/>
      </c>
      <c r="AD458" s="3">
        <f>N(W458)</f>
        <v/>
      </c>
      <c r="AE458" s="3">
        <f>SUM(Y458:AD458)</f>
        <v/>
      </c>
      <c r="AF458" s="3">
        <f>N(AE458)*N(M458)/90</f>
        <v/>
      </c>
      <c r="AG458" s="3">
        <f>IFERROR(AF458-VLOOKUP($C458,Assumptions!$A$29:$C$32,3,FALSE),"")</f>
        <v/>
      </c>
      <c r="AH458" s="3">
        <f>IFERROR(AG458/F458,"")</f>
        <v/>
      </c>
      <c r="AI458">
        <f>IF(AND($E458=TRUE,$C458="GKP"),AF458,"")</f>
        <v/>
      </c>
      <c r="AJ458">
        <f>IF(AND($E458=TRUE,$C458="DEF"),AF458,"")</f>
        <v/>
      </c>
      <c r="AK458">
        <f>IF(AND($E458=TRUE,$C458="MID"),AF458,"")</f>
        <v/>
      </c>
      <c r="AL458">
        <f>IF(AND($E458=TRUE,$C458="FWD"),AF458,"")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b">
        <v>1</v>
      </c>
      <c r="F459" s="2" t="n">
        <v>5</v>
      </c>
      <c r="G459" t="inlineStr">
        <is>
          <t>a</t>
        </is>
      </c>
      <c r="I459" s="2" t="n">
        <v>0</v>
      </c>
      <c r="J459" t="n">
        <v>0</v>
      </c>
      <c r="K459" s="3" t="n">
        <v>0</v>
      </c>
      <c r="L459" t="inlineStr">
        <is>
          <t>flat</t>
        </is>
      </c>
      <c r="M459" s="4" t="n">
        <v>0</v>
      </c>
      <c r="N459" s="4" t="n">
        <v>0.316</v>
      </c>
      <c r="O459" s="3" t="n"/>
      <c r="P459" t="inlineStr"/>
      <c r="Q459" s="3" t="n"/>
      <c r="R459" s="3" t="n"/>
      <c r="S459" s="3" t="n"/>
      <c r="T459" s="3" t="n"/>
      <c r="U459" s="4" t="n"/>
      <c r="V459" s="3">
        <f>IF(OR(N(T459)=0,N(U459)=0),0,1-POISSON(IFERROR(VLOOKUP($C459,Assumptions!$A$4:$G$7,7,FALSE),99)-1,N(T459)*N(U459)/90,TRUE))</f>
        <v/>
      </c>
      <c r="W459" s="3" t="n"/>
      <c r="X459" s="3" t="n"/>
      <c r="Y459" s="3">
        <f>IF(X459="",IFERROR(VLOOKUP($C459,Assumptions!$A$4:$G$7,6,FALSE),0),X459)</f>
        <v/>
      </c>
      <c r="Z459" s="3">
        <f>N(O459)*IFERROR(VLOOKUP($C459,Assumptions!$A$4:$G$7,2,FALSE),0)</f>
        <v/>
      </c>
      <c r="AA459" s="3">
        <f>N(S459)*IFERROR(VLOOKUP($C459,Assumptions!$A$4:$G$7,3,FALSE),0)*Assumptions!$B$11</f>
        <v/>
      </c>
      <c r="AB459" s="3">
        <f>N(N459)*IFERROR(VLOOKUP($C459,Assumptions!$A$4:$G$7,4,FALSE),0)</f>
        <v/>
      </c>
      <c r="AC459" s="3">
        <f>IF(N(U459)=0,0,V459*IFERROR(VLOOKUP($C459,Assumptions!$A$4:$G$7,5,FALSE),0)*90/N(U459))</f>
        <v/>
      </c>
      <c r="AD459" s="3">
        <f>N(W459)</f>
        <v/>
      </c>
      <c r="AE459" s="3">
        <f>SUM(Y459:AD459)</f>
        <v/>
      </c>
      <c r="AF459" s="3">
        <f>N(AE459)*N(M459)/90</f>
        <v/>
      </c>
      <c r="AG459" s="3">
        <f>IFERROR(AF459-VLOOKUP($C459,Assumptions!$A$29:$C$32,3,FALSE),"")</f>
        <v/>
      </c>
      <c r="AH459" s="3">
        <f>IFERROR(AG459/F459,"")</f>
        <v/>
      </c>
      <c r="AI459">
        <f>IF(AND($E459=TRUE,$C459="GKP"),AF459,"")</f>
        <v/>
      </c>
      <c r="AJ459">
        <f>IF(AND($E459=TRUE,$C459="DEF"),AF459,"")</f>
        <v/>
      </c>
      <c r="AK459">
        <f>IF(AND($E459=TRUE,$C459="MID"),AF459,"")</f>
        <v/>
      </c>
      <c r="AL459">
        <f>IF(AND($E459=TRUE,$C459="FWD"),AF459,"")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b">
        <v>1</v>
      </c>
      <c r="F460" s="2" t="n">
        <v>5.5</v>
      </c>
      <c r="G460" t="inlineStr">
        <is>
          <t>a</t>
        </is>
      </c>
      <c r="I460" s="2" t="n">
        <v>0</v>
      </c>
      <c r="J460" t="n">
        <v>0</v>
      </c>
      <c r="K460" s="3" t="n">
        <v>0</v>
      </c>
      <c r="L460" t="inlineStr">
        <is>
          <t>flat</t>
        </is>
      </c>
      <c r="M460" s="4" t="n">
        <v>0</v>
      </c>
      <c r="N460" s="4" t="n">
        <v>0.5</v>
      </c>
      <c r="O460" s="3" t="n"/>
      <c r="P460" t="inlineStr"/>
      <c r="Q460" s="3" t="n"/>
      <c r="R460" s="3" t="n"/>
      <c r="S460" s="3" t="n"/>
      <c r="T460" s="3" t="n"/>
      <c r="U460" s="4" t="n"/>
      <c r="V460" s="3">
        <f>IF(OR(N(T460)=0,N(U460)=0),0,1-POISSON(IFERROR(VLOOKUP($C460,Assumptions!$A$4:$G$7,7,FALSE),99)-1,N(T460)*N(U460)/90,TRUE))</f>
        <v/>
      </c>
      <c r="W460" s="3" t="n"/>
      <c r="X460" s="3" t="n"/>
      <c r="Y460" s="3">
        <f>IF(X460="",IFERROR(VLOOKUP($C460,Assumptions!$A$4:$G$7,6,FALSE),0),X460)</f>
        <v/>
      </c>
      <c r="Z460" s="3">
        <f>N(O460)*IFERROR(VLOOKUP($C460,Assumptions!$A$4:$G$7,2,FALSE),0)</f>
        <v/>
      </c>
      <c r="AA460" s="3">
        <f>N(S460)*IFERROR(VLOOKUP($C460,Assumptions!$A$4:$G$7,3,FALSE),0)*Assumptions!$B$11</f>
        <v/>
      </c>
      <c r="AB460" s="3">
        <f>N(N460)*IFERROR(VLOOKUP($C460,Assumptions!$A$4:$G$7,4,FALSE),0)</f>
        <v/>
      </c>
      <c r="AC460" s="3">
        <f>IF(N(U460)=0,0,V460*IFERROR(VLOOKUP($C460,Assumptions!$A$4:$G$7,5,FALSE),0)*90/N(U460))</f>
        <v/>
      </c>
      <c r="AD460" s="3">
        <f>N(W460)</f>
        <v/>
      </c>
      <c r="AE460" s="3">
        <f>SUM(Y460:AD460)</f>
        <v/>
      </c>
      <c r="AF460" s="3">
        <f>N(AE460)*N(M460)/90</f>
        <v/>
      </c>
      <c r="AG460" s="3">
        <f>IFERROR(AF460-VLOOKUP($C460,Assumptions!$A$29:$C$32,3,FALSE),"")</f>
        <v/>
      </c>
      <c r="AH460" s="3">
        <f>IFERROR(AG460/F460,"")</f>
        <v/>
      </c>
      <c r="AI460">
        <f>IF(AND($E460=TRUE,$C460="GKP"),AF460,"")</f>
        <v/>
      </c>
      <c r="AJ460">
        <f>IF(AND($E460=TRUE,$C460="DEF"),AF460,"")</f>
        <v/>
      </c>
      <c r="AK460">
        <f>IF(AND($E460=TRUE,$C460="MID"),AF460,"")</f>
        <v/>
      </c>
      <c r="AL460">
        <f>IF(AND($E460=TRUE,$C460="FWD"),AF460,"")</f>
        <v/>
      </c>
    </row>
    <row r="461">
      <c r="A461" t="inlineStr">
        <is>
          <t>James Milner</t>
        </is>
      </c>
      <c r="D461" t="inlineStr">
        <is>
          <t>MID</t>
        </is>
      </c>
      <c r="E461" t="b">
        <v>0</v>
      </c>
      <c r="F461" s="2" t="n"/>
      <c r="I461" s="2" t="n">
        <v>778</v>
      </c>
      <c r="K461" s="3" t="n"/>
      <c r="M461" s="4" t="n">
        <v>778</v>
      </c>
      <c r="N461" s="4" t="n"/>
      <c r="O461" s="3" t="n">
        <v>0.1109</v>
      </c>
      <c r="P461" t="inlineStr">
        <is>
          <t>adjusted xGOT</t>
        </is>
      </c>
      <c r="Q461" s="3" t="n">
        <v>0.931</v>
      </c>
      <c r="R461" s="3" t="n">
        <v>1.9</v>
      </c>
      <c r="S461" s="3" t="n">
        <v>0.07580000000000001</v>
      </c>
      <c r="T461" s="3" t="n">
        <v>8.965</v>
      </c>
      <c r="U461" s="4" t="n">
        <v>110.3</v>
      </c>
      <c r="V461" s="3">
        <f>IF(OR(N(T461)=0,N(U461)=0),0,1-POISSON(IFERROR(VLOOKUP($C461,Assumptions!$A$4:$G$7,7,FALSE),99)-1,N(T461)*N(U461)/90,TRUE))</f>
        <v/>
      </c>
      <c r="W461" s="3" t="n">
        <v>0</v>
      </c>
      <c r="X461" s="3" t="n">
        <v>3.123</v>
      </c>
      <c r="Y461" s="3">
        <f>IF(X461="",IFERROR(VLOOKUP($C461,Assumptions!$A$4:$G$7,6,FALSE),0),X461)</f>
        <v/>
      </c>
      <c r="Z461" s="3">
        <f>N(O461)*IFERROR(VLOOKUP($C461,Assumptions!$A$4:$G$7,2,FALSE),0)</f>
        <v/>
      </c>
      <c r="AA461" s="3">
        <f>N(S461)*IFERROR(VLOOKUP($C461,Assumptions!$A$4:$G$7,3,FALSE),0)*Assumptions!$B$11</f>
        <v/>
      </c>
      <c r="AB461" s="3">
        <f>N(N461)*IFERROR(VLOOKUP($C461,Assumptions!$A$4:$G$7,4,FALSE),0)</f>
        <v/>
      </c>
      <c r="AC461" s="3">
        <f>IF(N(U461)=0,0,V461*IFERROR(VLOOKUP($C461,Assumptions!$A$4:$G$7,5,FALSE),0)*90/N(U461))</f>
        <v/>
      </c>
      <c r="AD461" s="3">
        <f>N(W461)</f>
        <v/>
      </c>
      <c r="AE461" s="3">
        <f>SUM(Y461:AD461)</f>
        <v/>
      </c>
      <c r="AF461" s="3">
        <f>N(AE461)*N(M461)/90</f>
        <v/>
      </c>
      <c r="AG461" s="3">
        <f>IFERROR(AF461-VLOOKUP($C461,Assumptions!$A$29:$C$32,3,FALSE),"")</f>
        <v/>
      </c>
      <c r="AH461" s="3">
        <f>IFERROR(AG461/F461,"")</f>
        <v/>
      </c>
      <c r="AI461">
        <f>IF(AND($E461=TRUE,$C461="GKP"),AF461,"")</f>
        <v/>
      </c>
      <c r="AJ461">
        <f>IF(AND($E461=TRUE,$C461="DEF"),AF461,"")</f>
        <v/>
      </c>
      <c r="AK461">
        <f>IF(AND($E461=TRUE,$C461="MID"),AF461,"")</f>
        <v/>
      </c>
      <c r="AL461">
        <f>IF(AND($E461=TRUE,$C461="FWD"),AF461,"")</f>
        <v/>
      </c>
    </row>
    <row r="462">
      <c r="A462" t="inlineStr">
        <is>
          <t>Ashley Barnes</t>
        </is>
      </c>
      <c r="D462" t="inlineStr">
        <is>
          <t>FWD</t>
        </is>
      </c>
      <c r="E462" t="b">
        <v>0</v>
      </c>
      <c r="F462" s="2" t="n"/>
      <c r="I462" s="2" t="n">
        <v>40</v>
      </c>
      <c r="K462" s="3" t="n"/>
      <c r="M462" s="4" t="n">
        <v>40</v>
      </c>
      <c r="N462" s="4" t="n"/>
      <c r="O462" s="3" t="n">
        <v>0.5738</v>
      </c>
      <c r="P462" t="inlineStr">
        <is>
          <t>adjusted xGOT</t>
        </is>
      </c>
      <c r="Q462" s="3" t="n">
        <v>1.018</v>
      </c>
      <c r="R462" s="3" t="n">
        <v>0.2</v>
      </c>
      <c r="S462" s="3" t="n">
        <v>0</v>
      </c>
      <c r="T462" s="3" t="n">
        <v>4.778</v>
      </c>
      <c r="U462" s="4" t="n">
        <v>85</v>
      </c>
      <c r="V462" s="3">
        <f>IF(OR(N(T462)=0,N(U462)=0),0,1-POISSON(IFERROR(VLOOKUP($C462,Assumptions!$A$4:$G$7,7,FALSE),99)-1,N(T462)*N(U462)/90,TRUE))</f>
        <v/>
      </c>
      <c r="W462" s="3" t="n">
        <v>0</v>
      </c>
      <c r="X462" s="3" t="n">
        <v>15.75</v>
      </c>
      <c r="Y462" s="3">
        <f>IF(X462="",IFERROR(VLOOKUP($C462,Assumptions!$A$4:$G$7,6,FALSE),0),X462)</f>
        <v/>
      </c>
      <c r="Z462" s="3">
        <f>N(O462)*IFERROR(VLOOKUP($C462,Assumptions!$A$4:$G$7,2,FALSE),0)</f>
        <v/>
      </c>
      <c r="AA462" s="3">
        <f>N(S462)*IFERROR(VLOOKUP($C462,Assumptions!$A$4:$G$7,3,FALSE),0)*Assumptions!$B$11</f>
        <v/>
      </c>
      <c r="AB462" s="3">
        <f>N(N462)*IFERROR(VLOOKUP($C462,Assumptions!$A$4:$G$7,4,FALSE),0)</f>
        <v/>
      </c>
      <c r="AC462" s="3">
        <f>IF(N(U462)=0,0,V462*IFERROR(VLOOKUP($C462,Assumptions!$A$4:$G$7,5,FALSE),0)*90/N(U462))</f>
        <v/>
      </c>
      <c r="AD462" s="3">
        <f>N(W462)</f>
        <v/>
      </c>
      <c r="AE462" s="3">
        <f>SUM(Y462:AD462)</f>
        <v/>
      </c>
      <c r="AF462" s="3">
        <f>N(AE462)*N(M462)/90</f>
        <v/>
      </c>
      <c r="AG462" s="3">
        <f>IFERROR(AF462-VLOOKUP($C462,Assumptions!$A$29:$C$32,3,FALSE),"")</f>
        <v/>
      </c>
      <c r="AH462" s="3">
        <f>IFERROR(AG462/F462,"")</f>
        <v/>
      </c>
      <c r="AI462">
        <f>IF(AND($E462=TRUE,$C462="GKP"),AF462,"")</f>
        <v/>
      </c>
      <c r="AJ462">
        <f>IF(AND($E462=TRUE,$C462="DEF"),AF462,"")</f>
        <v/>
      </c>
      <c r="AK462">
        <f>IF(AND($E462=TRUE,$C462="MID"),AF462,"")</f>
        <v/>
      </c>
      <c r="AL462">
        <f>IF(AND($E462=TRUE,$C462="FWD"),AF462,"")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b">
        <v>1</v>
      </c>
      <c r="F463" s="2" t="n">
        <v>4</v>
      </c>
      <c r="G463" t="inlineStr">
        <is>
          <t>a</t>
        </is>
      </c>
      <c r="I463" s="2" t="n"/>
      <c r="K463" s="3" t="n">
        <v>0</v>
      </c>
      <c r="L463" t="inlineStr">
        <is>
          <t>flat</t>
        </is>
      </c>
      <c r="M463" s="4" t="n"/>
      <c r="N463" s="4" t="n"/>
      <c r="O463" s="3" t="n"/>
      <c r="P463" t="inlineStr"/>
      <c r="Q463" s="3" t="n"/>
      <c r="R463" s="3" t="n"/>
      <c r="S463" s="3" t="n"/>
      <c r="T463" s="3" t="n">
        <v>0</v>
      </c>
      <c r="U463" s="4" t="n"/>
      <c r="V463" s="3">
        <f>IF(OR(N(T463)=0,N(U463)=0),0,1-POISSON(IFERROR(VLOOKUP($C463,Assumptions!$A$4:$G$7,7,FALSE),99)-1,N(T463)*N(U463)/90,TRUE))</f>
        <v/>
      </c>
      <c r="W463" s="3" t="n"/>
      <c r="X463" s="3" t="n"/>
      <c r="Y463" s="3">
        <f>IF(X463="",IFERROR(VLOOKUP($C463,Assumptions!$A$4:$G$7,6,FALSE),0),X463)</f>
        <v/>
      </c>
      <c r="Z463" s="3">
        <f>N(O463)*IFERROR(VLOOKUP($C463,Assumptions!$A$4:$G$7,2,FALSE),0)</f>
        <v/>
      </c>
      <c r="AA463" s="3">
        <f>N(S463)*IFERROR(VLOOKUP($C463,Assumptions!$A$4:$G$7,3,FALSE),0)*Assumptions!$B$11</f>
        <v/>
      </c>
      <c r="AB463" s="3">
        <f>N(N463)*IFERROR(VLOOKUP($C463,Assumptions!$A$4:$G$7,4,FALSE),0)</f>
        <v/>
      </c>
      <c r="AC463" s="3">
        <f>IF(N(U463)=0,0,V463*IFERROR(VLOOKUP($C463,Assumptions!$A$4:$G$7,5,FALSE),0)*90/N(U463))</f>
        <v/>
      </c>
      <c r="AD463" s="3">
        <f>N(W463)</f>
        <v/>
      </c>
      <c r="AE463" s="3">
        <f>SUM(Y463:AD463)</f>
        <v/>
      </c>
      <c r="AF463" s="3">
        <f>N(AE463)*N(M463)/90</f>
        <v/>
      </c>
      <c r="AG463" s="3">
        <f>IFERROR(AF463-VLOOKUP($C463,Assumptions!$A$29:$C$32,3,FALSE),"")</f>
        <v/>
      </c>
      <c r="AH463" s="3">
        <f>IFERROR(AG463/F463,"")</f>
        <v/>
      </c>
      <c r="AI463">
        <f>IF(AND($E463=TRUE,$C463="GKP"),AF463,"")</f>
        <v/>
      </c>
      <c r="AJ463">
        <f>IF(AND($E463=TRUE,$C463="DEF"),AF463,"")</f>
        <v/>
      </c>
      <c r="AK463">
        <f>IF(AND($E463=TRUE,$C463="MID"),AF463,"")</f>
        <v/>
      </c>
      <c r="AL463">
        <f>IF(AND($E463=TRUE,$C463="FWD"),AF463,"")</f>
        <v/>
      </c>
    </row>
    <row r="464">
      <c r="A464" t="inlineStr">
        <is>
          <t>Nathaniel Clyne</t>
        </is>
      </c>
      <c r="D464" t="inlineStr">
        <is>
          <t>DEF</t>
        </is>
      </c>
      <c r="E464" t="b">
        <v>0</v>
      </c>
      <c r="F464" s="2" t="n"/>
      <c r="I464" s="2" t="n">
        <v>596</v>
      </c>
      <c r="K464" s="3" t="n"/>
      <c r="M464" s="4" t="n">
        <v>596</v>
      </c>
      <c r="N464" s="4" t="n"/>
      <c r="O464" s="3" t="n">
        <v>0.0599</v>
      </c>
      <c r="P464" t="inlineStr">
        <is>
          <t>adjusted xGOT</t>
        </is>
      </c>
      <c r="Q464" s="3" t="n">
        <v>0.924</v>
      </c>
      <c r="R464" s="3" t="n">
        <v>0.7</v>
      </c>
      <c r="S464" s="3" t="n">
        <v>0.1019</v>
      </c>
      <c r="T464" s="3" t="n">
        <v>7.647</v>
      </c>
      <c r="U464" s="4" t="n">
        <v>84.59999999999999</v>
      </c>
      <c r="V464" s="3">
        <f>IF(OR(N(T464)=0,N(U464)=0),0,1-POISSON(IFERROR(VLOOKUP($C464,Assumptions!$A$4:$G$7,7,FALSE),99)-1,N(T464)*N(U464)/90,TRUE))</f>
        <v/>
      </c>
      <c r="W464" s="3" t="n">
        <v>0.302</v>
      </c>
      <c r="X464" s="3" t="n">
        <v>2.416</v>
      </c>
      <c r="Y464" s="3">
        <f>IF(X464="",IFERROR(VLOOKUP($C464,Assumptions!$A$4:$G$7,6,FALSE),0),X464)</f>
        <v/>
      </c>
      <c r="Z464" s="3">
        <f>N(O464)*IFERROR(VLOOKUP($C464,Assumptions!$A$4:$G$7,2,FALSE),0)</f>
        <v/>
      </c>
      <c r="AA464" s="3">
        <f>N(S464)*IFERROR(VLOOKUP($C464,Assumptions!$A$4:$G$7,3,FALSE),0)*Assumptions!$B$11</f>
        <v/>
      </c>
      <c r="AB464" s="3">
        <f>N(N464)*IFERROR(VLOOKUP($C464,Assumptions!$A$4:$G$7,4,FALSE),0)</f>
        <v/>
      </c>
      <c r="AC464" s="3">
        <f>IF(N(U464)=0,0,V464*IFERROR(VLOOKUP($C464,Assumptions!$A$4:$G$7,5,FALSE),0)*90/N(U464))</f>
        <v/>
      </c>
      <c r="AD464" s="3">
        <f>N(W464)</f>
        <v/>
      </c>
      <c r="AE464" s="3">
        <f>SUM(Y464:AD464)</f>
        <v/>
      </c>
      <c r="AF464" s="3">
        <f>N(AE464)*N(M464)/90</f>
        <v/>
      </c>
      <c r="AG464" s="3">
        <f>IFERROR(AF464-VLOOKUP($C464,Assumptions!$A$29:$C$32,3,FALSE),"")</f>
        <v/>
      </c>
      <c r="AH464" s="3">
        <f>IFERROR(AG464/F464,"")</f>
        <v/>
      </c>
      <c r="AI464">
        <f>IF(AND($E464=TRUE,$C464="GKP"),AF464,"")</f>
        <v/>
      </c>
      <c r="AJ464">
        <f>IF(AND($E464=TRUE,$C464="DEF"),AF464,"")</f>
        <v/>
      </c>
      <c r="AK464">
        <f>IF(AND($E464=TRUE,$C464="MID"),AF464,"")</f>
        <v/>
      </c>
      <c r="AL464">
        <f>IF(AND($E464=TRUE,$C464="FWD"),AF464,"")</f>
        <v/>
      </c>
    </row>
    <row r="465">
      <c r="A465" t="inlineStr">
        <is>
          <t>Kyle Walker</t>
        </is>
      </c>
      <c r="D465" t="inlineStr">
        <is>
          <t>DEF</t>
        </is>
      </c>
      <c r="E465" t="b">
        <v>0</v>
      </c>
      <c r="F465" s="2" t="n"/>
      <c r="I465" s="2" t="n">
        <v>3097</v>
      </c>
      <c r="K465" s="3" t="n"/>
      <c r="M465" s="4" t="n">
        <v>3097</v>
      </c>
      <c r="N465" s="4" t="n"/>
      <c r="O465" s="3" t="n">
        <v>0.004</v>
      </c>
      <c r="P465" t="inlineStr">
        <is>
          <t>adjusted xGOT</t>
        </is>
      </c>
      <c r="Q465" s="3" t="n">
        <v>0.916</v>
      </c>
      <c r="R465" s="3" t="n">
        <v>1.1</v>
      </c>
      <c r="S465" s="3" t="n">
        <v>0.0484</v>
      </c>
      <c r="T465" s="3" t="n">
        <v>6.452</v>
      </c>
      <c r="U465" s="4" t="n">
        <v>88.40000000000001</v>
      </c>
      <c r="V465" s="3">
        <f>IF(OR(N(T465)=0,N(U465)=0),0,1-POISSON(IFERROR(VLOOKUP($C465,Assumptions!$A$4:$G$7,7,FALSE),99)-1,N(T465)*N(U465)/90,TRUE))</f>
        <v/>
      </c>
      <c r="W465" s="3" t="n">
        <v>0.0872</v>
      </c>
      <c r="X465" s="3" t="n">
        <v>2.034</v>
      </c>
      <c r="Y465" s="3">
        <f>IF(X465="",IFERROR(VLOOKUP($C465,Assumptions!$A$4:$G$7,6,FALSE),0),X465)</f>
        <v/>
      </c>
      <c r="Z465" s="3">
        <f>N(O465)*IFERROR(VLOOKUP($C465,Assumptions!$A$4:$G$7,2,FALSE),0)</f>
        <v/>
      </c>
      <c r="AA465" s="3">
        <f>N(S465)*IFERROR(VLOOKUP($C465,Assumptions!$A$4:$G$7,3,FALSE),0)*Assumptions!$B$11</f>
        <v/>
      </c>
      <c r="AB465" s="3">
        <f>N(N465)*IFERROR(VLOOKUP($C465,Assumptions!$A$4:$G$7,4,FALSE),0)</f>
        <v/>
      </c>
      <c r="AC465" s="3">
        <f>IF(N(U465)=0,0,V465*IFERROR(VLOOKUP($C465,Assumptions!$A$4:$G$7,5,FALSE),0)*90/N(U465))</f>
        <v/>
      </c>
      <c r="AD465" s="3">
        <f>N(W465)</f>
        <v/>
      </c>
      <c r="AE465" s="3">
        <f>SUM(Y465:AD465)</f>
        <v/>
      </c>
      <c r="AF465" s="3">
        <f>N(AE465)*N(M465)/90</f>
        <v/>
      </c>
      <c r="AG465" s="3">
        <f>IFERROR(AF465-VLOOKUP($C465,Assumptions!$A$29:$C$32,3,FALSE),"")</f>
        <v/>
      </c>
      <c r="AH465" s="3">
        <f>IFERROR(AG465/F465,"")</f>
        <v/>
      </c>
      <c r="AI465">
        <f>IF(AND($E465=TRUE,$C465="GKP"),AF465,"")</f>
        <v/>
      </c>
      <c r="AJ465">
        <f>IF(AND($E465=TRUE,$C465="DEF"),AF465,"")</f>
        <v/>
      </c>
      <c r="AK465">
        <f>IF(AND($E465=TRUE,$C465="MID"),AF465,"")</f>
        <v/>
      </c>
      <c r="AL465">
        <f>IF(AND($E465=TRUE,$C465="FWD"),AF465,"")</f>
        <v/>
      </c>
    </row>
    <row r="466">
      <c r="A466" t="inlineStr">
        <is>
          <t>Séamus Coleman</t>
        </is>
      </c>
      <c r="D466" t="inlineStr">
        <is>
          <t>DEF</t>
        </is>
      </c>
      <c r="E466" t="b">
        <v>0</v>
      </c>
      <c r="F466" s="2" t="n"/>
      <c r="I466" s="2" t="n">
        <v>20</v>
      </c>
      <c r="K466" s="3" t="n"/>
      <c r="M466" s="4" t="n">
        <v>20</v>
      </c>
      <c r="N466" s="4" t="n"/>
      <c r="O466" s="3" t="n">
        <v>0</v>
      </c>
      <c r="P466" t="inlineStr">
        <is>
          <t>adjusted xGOT</t>
        </is>
      </c>
      <c r="Q466" s="3" t="n">
        <v>0.93</v>
      </c>
      <c r="R466" s="3" t="n">
        <v>0.9</v>
      </c>
      <c r="S466" s="3" t="n">
        <v>0.1706</v>
      </c>
      <c r="T466" s="3" t="n">
        <v>7.731</v>
      </c>
      <c r="U466" s="4" t="n">
        <v>19</v>
      </c>
      <c r="V466" s="3">
        <f>IF(OR(N(T466)=0,N(U466)=0),0,1-POISSON(IFERROR(VLOOKUP($C466,Assumptions!$A$4:$G$7,7,FALSE),99)-1,N(T466)*N(U466)/90,TRUE))</f>
        <v/>
      </c>
      <c r="W466" s="3" t="n">
        <v>0</v>
      </c>
      <c r="X466" s="3" t="n">
        <v>22.5</v>
      </c>
      <c r="Y466" s="3">
        <f>IF(X466="",IFERROR(VLOOKUP($C466,Assumptions!$A$4:$G$7,6,FALSE),0),X466)</f>
        <v/>
      </c>
      <c r="Z466" s="3">
        <f>N(O466)*IFERROR(VLOOKUP($C466,Assumptions!$A$4:$G$7,2,FALSE),0)</f>
        <v/>
      </c>
      <c r="AA466" s="3">
        <f>N(S466)*IFERROR(VLOOKUP($C466,Assumptions!$A$4:$G$7,3,FALSE),0)*Assumptions!$B$11</f>
        <v/>
      </c>
      <c r="AB466" s="3">
        <f>N(N466)*IFERROR(VLOOKUP($C466,Assumptions!$A$4:$G$7,4,FALSE),0)</f>
        <v/>
      </c>
      <c r="AC466" s="3">
        <f>IF(N(U466)=0,0,V466*IFERROR(VLOOKUP($C466,Assumptions!$A$4:$G$7,5,FALSE),0)*90/N(U466))</f>
        <v/>
      </c>
      <c r="AD466" s="3">
        <f>N(W466)</f>
        <v/>
      </c>
      <c r="AE466" s="3">
        <f>SUM(Y466:AD466)</f>
        <v/>
      </c>
      <c r="AF466" s="3">
        <f>N(AE466)*N(M466)/90</f>
        <v/>
      </c>
      <c r="AG466" s="3">
        <f>IFERROR(AF466-VLOOKUP($C466,Assumptions!$A$29:$C$32,3,FALSE),"")</f>
        <v/>
      </c>
      <c r="AH466" s="3">
        <f>IFERROR(AG466/F466,"")</f>
        <v/>
      </c>
      <c r="AI466">
        <f>IF(AND($E466=TRUE,$C466="GKP"),AF466,"")</f>
        <v/>
      </c>
      <c r="AJ466">
        <f>IF(AND($E466=TRUE,$C466="DEF"),AF466,"")</f>
        <v/>
      </c>
      <c r="AK466">
        <f>IF(AND($E466=TRUE,$C466="MID"),AF466,"")</f>
        <v/>
      </c>
      <c r="AL466">
        <f>IF(AND($E466=TRUE,$C466="FWD"),AF466,"")</f>
        <v/>
      </c>
    </row>
    <row r="467">
      <c r="A467" t="inlineStr">
        <is>
          <t>Casemiro</t>
        </is>
      </c>
      <c r="D467" t="inlineStr">
        <is>
          <t>MID</t>
        </is>
      </c>
      <c r="E467" t="b">
        <v>0</v>
      </c>
      <c r="F467" s="2" t="n"/>
      <c r="I467" s="2" t="n">
        <v>2588</v>
      </c>
      <c r="K467" s="3" t="n"/>
      <c r="M467" s="4" t="n">
        <v>2588</v>
      </c>
      <c r="N467" s="4" t="n"/>
      <c r="O467" s="3" t="n">
        <v>0.1734</v>
      </c>
      <c r="P467" t="inlineStr">
        <is>
          <t>adjusted xGOT</t>
        </is>
      </c>
      <c r="Q467" s="3" t="n">
        <v>0.916</v>
      </c>
      <c r="R467" s="3" t="n">
        <v>14.4</v>
      </c>
      <c r="S467" s="3" t="n">
        <v>0.1105</v>
      </c>
      <c r="T467" s="3" t="n">
        <v>11.571</v>
      </c>
      <c r="U467" s="4" t="n">
        <v>78</v>
      </c>
      <c r="V467" s="3">
        <f>IF(OR(N(T467)=0,N(U467)=0),0,1-POISSON(IFERROR(VLOOKUP($C467,Assumptions!$A$4:$G$7,7,FALSE),99)-1,N(T467)*N(U467)/90,TRUE))</f>
        <v/>
      </c>
      <c r="W467" s="3" t="n">
        <v>0.6955</v>
      </c>
      <c r="X467" s="3" t="n">
        <v>2.191</v>
      </c>
      <c r="Y467" s="3">
        <f>IF(X467="",IFERROR(VLOOKUP($C467,Assumptions!$A$4:$G$7,6,FALSE),0),X467)</f>
        <v/>
      </c>
      <c r="Z467" s="3">
        <f>N(O467)*IFERROR(VLOOKUP($C467,Assumptions!$A$4:$G$7,2,FALSE),0)</f>
        <v/>
      </c>
      <c r="AA467" s="3">
        <f>N(S467)*IFERROR(VLOOKUP($C467,Assumptions!$A$4:$G$7,3,FALSE),0)*Assumptions!$B$11</f>
        <v/>
      </c>
      <c r="AB467" s="3">
        <f>N(N467)*IFERROR(VLOOKUP($C467,Assumptions!$A$4:$G$7,4,FALSE),0)</f>
        <v/>
      </c>
      <c r="AC467" s="3">
        <f>IF(N(U467)=0,0,V467*IFERROR(VLOOKUP($C467,Assumptions!$A$4:$G$7,5,FALSE),0)*90/N(U467))</f>
        <v/>
      </c>
      <c r="AD467" s="3">
        <f>N(W467)</f>
        <v/>
      </c>
      <c r="AE467" s="3">
        <f>SUM(Y467:AD467)</f>
        <v/>
      </c>
      <c r="AF467" s="3">
        <f>N(AE467)*N(M467)/90</f>
        <v/>
      </c>
      <c r="AG467" s="3">
        <f>IFERROR(AF467-VLOOKUP($C467,Assumptions!$A$29:$C$32,3,FALSE),"")</f>
        <v/>
      </c>
      <c r="AH467" s="3">
        <f>IFERROR(AG467/F467,"")</f>
        <v/>
      </c>
      <c r="AI467">
        <f>IF(AND($E467=TRUE,$C467="GKP"),AF467,"")</f>
        <v/>
      </c>
      <c r="AJ467">
        <f>IF(AND($E467=TRUE,$C467="DEF"),AF467,"")</f>
        <v/>
      </c>
      <c r="AK467">
        <f>IF(AND($E467=TRUE,$C467="MID"),AF467,"")</f>
        <v/>
      </c>
      <c r="AL467">
        <f>IF(AND($E467=TRUE,$C467="FWD"),AF467,"")</f>
        <v/>
      </c>
    </row>
    <row r="468">
      <c r="A468" t="inlineStr">
        <is>
          <t>Kieran Trippier</t>
        </is>
      </c>
      <c r="D468" t="inlineStr">
        <is>
          <t>DEF</t>
        </is>
      </c>
      <c r="E468" t="b">
        <v>0</v>
      </c>
      <c r="F468" s="2" t="n"/>
      <c r="I468" s="2" t="n">
        <v>1592</v>
      </c>
      <c r="K468" s="3" t="n"/>
      <c r="M468" s="4" t="n">
        <v>1592</v>
      </c>
      <c r="N468" s="4" t="n"/>
      <c r="O468" s="3" t="n">
        <v>0.0047</v>
      </c>
      <c r="P468" t="inlineStr">
        <is>
          <t>adjusted xGOT</t>
        </is>
      </c>
      <c r="Q468" s="3" t="n">
        <v>1.052</v>
      </c>
      <c r="R468" s="3" t="n">
        <v>1.7</v>
      </c>
      <c r="S468" s="3" t="n">
        <v>0.1029</v>
      </c>
      <c r="T468" s="3" t="n">
        <v>5.6</v>
      </c>
      <c r="U468" s="4" t="n">
        <v>88.09999999999999</v>
      </c>
      <c r="V468" s="3">
        <f>IF(OR(N(T468)=0,N(U468)=0),0,1-POISSON(IFERROR(VLOOKUP($C468,Assumptions!$A$4:$G$7,7,FALSE),99)-1,N(T468)*N(U468)/90,TRUE))</f>
        <v/>
      </c>
      <c r="W468" s="3" t="n">
        <v>0.1131</v>
      </c>
      <c r="X468" s="3" t="n">
        <v>2.205</v>
      </c>
      <c r="Y468" s="3">
        <f>IF(X468="",IFERROR(VLOOKUP($C468,Assumptions!$A$4:$G$7,6,FALSE),0),X468)</f>
        <v/>
      </c>
      <c r="Z468" s="3">
        <f>N(O468)*IFERROR(VLOOKUP($C468,Assumptions!$A$4:$G$7,2,FALSE),0)</f>
        <v/>
      </c>
      <c r="AA468" s="3">
        <f>N(S468)*IFERROR(VLOOKUP($C468,Assumptions!$A$4:$G$7,3,FALSE),0)*Assumptions!$B$11</f>
        <v/>
      </c>
      <c r="AB468" s="3">
        <f>N(N468)*IFERROR(VLOOKUP($C468,Assumptions!$A$4:$G$7,4,FALSE),0)</f>
        <v/>
      </c>
      <c r="AC468" s="3">
        <f>IF(N(U468)=0,0,V468*IFERROR(VLOOKUP($C468,Assumptions!$A$4:$G$7,5,FALSE),0)*90/N(U468))</f>
        <v/>
      </c>
      <c r="AD468" s="3">
        <f>N(W468)</f>
        <v/>
      </c>
      <c r="AE468" s="3">
        <f>SUM(Y468:AD468)</f>
        <v/>
      </c>
      <c r="AF468" s="3">
        <f>N(AE468)*N(M468)/90</f>
        <v/>
      </c>
      <c r="AG468" s="3">
        <f>IFERROR(AF468-VLOOKUP($C468,Assumptions!$A$29:$C$32,3,FALSE),"")</f>
        <v/>
      </c>
      <c r="AH468" s="3">
        <f>IFERROR(AG468/F468,"")</f>
        <v/>
      </c>
      <c r="AI468">
        <f>IF(AND($E468=TRUE,$C468="GKP"),AF468,"")</f>
        <v/>
      </c>
      <c r="AJ468">
        <f>IF(AND($E468=TRUE,$C468="DEF"),AF468,"")</f>
        <v/>
      </c>
      <c r="AK468">
        <f>IF(AND($E468=TRUE,$C468="MID"),AF468,"")</f>
        <v/>
      </c>
      <c r="AL468">
        <f>IF(AND($E468=TRUE,$C468="FWD"),AF468,"")</f>
        <v/>
      </c>
    </row>
    <row r="469">
      <c r="A469" t="inlineStr">
        <is>
          <t>Dan Bentley</t>
        </is>
      </c>
      <c r="D469" t="inlineStr">
        <is>
          <t>GKP</t>
        </is>
      </c>
      <c r="E469" t="b">
        <v>0</v>
      </c>
      <c r="F469" s="2" t="n"/>
      <c r="I469" s="2" t="n">
        <v>270</v>
      </c>
      <c r="K469" s="3" t="n"/>
      <c r="M469" s="4" t="n">
        <v>270</v>
      </c>
      <c r="N469" s="4" t="n"/>
      <c r="O469" s="3" t="n">
        <v>0</v>
      </c>
      <c r="P469" t="inlineStr">
        <is>
          <t>blended xG</t>
        </is>
      </c>
      <c r="Q469" s="3" t="n">
        <v>1</v>
      </c>
      <c r="R469" s="3" t="n">
        <v>0</v>
      </c>
      <c r="S469" s="3" t="n">
        <v>0</v>
      </c>
      <c r="T469" s="3" t="n">
        <v>0</v>
      </c>
      <c r="U469" s="4" t="n">
        <v>90</v>
      </c>
      <c r="V469" s="3">
        <f>IF(OR(N(T469)=0,N(U469)=0),0,1-POISSON(IFERROR(VLOOKUP($C469,Assumptions!$A$4:$G$7,7,FALSE),99)-1,N(T469)*N(U469)/90,TRUE))</f>
        <v/>
      </c>
      <c r="W469" s="3" t="n">
        <v>0</v>
      </c>
      <c r="X469" s="3" t="n">
        <v>2</v>
      </c>
      <c r="Y469" s="3">
        <f>IF(X469="",IFERROR(VLOOKUP($C469,Assumptions!$A$4:$G$7,6,FALSE),0),X469)</f>
        <v/>
      </c>
      <c r="Z469" s="3">
        <f>N(O469)*IFERROR(VLOOKUP($C469,Assumptions!$A$4:$G$7,2,FALSE),0)</f>
        <v/>
      </c>
      <c r="AA469" s="3">
        <f>N(S469)*IFERROR(VLOOKUP($C469,Assumptions!$A$4:$G$7,3,FALSE),0)*Assumptions!$B$11</f>
        <v/>
      </c>
      <c r="AB469" s="3">
        <f>N(N469)*IFERROR(VLOOKUP($C469,Assumptions!$A$4:$G$7,4,FALSE),0)</f>
        <v/>
      </c>
      <c r="AC469" s="3">
        <f>IF(N(U469)=0,0,V469*IFERROR(VLOOKUP($C469,Assumptions!$A$4:$G$7,5,FALSE),0)*90/N(U469))</f>
        <v/>
      </c>
      <c r="AD469" s="3">
        <f>N(W469)</f>
        <v/>
      </c>
      <c r="AE469" s="3">
        <f>SUM(Y469:AD469)</f>
        <v/>
      </c>
      <c r="AF469" s="3">
        <f>N(AE469)*N(M469)/90</f>
        <v/>
      </c>
      <c r="AG469" s="3">
        <f>IFERROR(AF469-VLOOKUP($C469,Assumptions!$A$29:$C$32,3,FALSE),"")</f>
        <v/>
      </c>
      <c r="AH469" s="3">
        <f>IFERROR(AG469/F469,"")</f>
        <v/>
      </c>
      <c r="AI469">
        <f>IF(AND($E469=TRUE,$C469="GKP"),AF469,"")</f>
        <v/>
      </c>
      <c r="AJ469">
        <f>IF(AND($E469=TRUE,$C469="DEF"),AF469,"")</f>
        <v/>
      </c>
      <c r="AK469">
        <f>IF(AND($E469=TRUE,$C469="MID"),AF469,"")</f>
        <v/>
      </c>
      <c r="AL469">
        <f>IF(AND($E469=TRUE,$C469="FWD"),AF469,"")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b">
        <v>1</v>
      </c>
      <c r="F470" s="2" t="n">
        <v>4</v>
      </c>
      <c r="G470" t="inlineStr">
        <is>
          <t>a</t>
        </is>
      </c>
      <c r="I470" s="2" t="n"/>
      <c r="K470" s="3" t="n">
        <v>65</v>
      </c>
      <c r="L470" t="inlineStr">
        <is>
          <t>flat</t>
        </is>
      </c>
      <c r="M470" s="4" t="n"/>
      <c r="N470" s="4" t="n"/>
      <c r="O470" s="3" t="n"/>
      <c r="P470" t="inlineStr"/>
      <c r="Q470" s="3" t="n"/>
      <c r="R470" s="3" t="n"/>
      <c r="S470" s="3" t="n"/>
      <c r="T470" s="3" t="n"/>
      <c r="U470" s="4" t="n"/>
      <c r="V470" s="3">
        <f>IF(OR(N(T470)=0,N(U470)=0),0,1-POISSON(IFERROR(VLOOKUP($C470,Assumptions!$A$4:$G$7,7,FALSE),99)-1,N(T470)*N(U470)/90,TRUE))</f>
        <v/>
      </c>
      <c r="W470" s="3" t="n"/>
      <c r="X470" s="3" t="n"/>
      <c r="Y470" s="3">
        <f>IF(X470="",IFERROR(VLOOKUP($C470,Assumptions!$A$4:$G$7,6,FALSE),0),X470)</f>
        <v/>
      </c>
      <c r="Z470" s="3">
        <f>N(O470)*IFERROR(VLOOKUP($C470,Assumptions!$A$4:$G$7,2,FALSE),0)</f>
        <v/>
      </c>
      <c r="AA470" s="3">
        <f>N(S470)*IFERROR(VLOOKUP($C470,Assumptions!$A$4:$G$7,3,FALSE),0)*Assumptions!$B$11</f>
        <v/>
      </c>
      <c r="AB470" s="3">
        <f>N(N470)*IFERROR(VLOOKUP($C470,Assumptions!$A$4:$G$7,4,FALSE),0)</f>
        <v/>
      </c>
      <c r="AC470" s="3">
        <f>IF(N(U470)=0,0,V470*IFERROR(VLOOKUP($C470,Assumptions!$A$4:$G$7,5,FALSE),0)*90/N(U470))</f>
        <v/>
      </c>
      <c r="AD470" s="3">
        <f>N(W470)</f>
        <v/>
      </c>
      <c r="AE470" s="3">
        <f>SUM(Y470:AD470)</f>
        <v/>
      </c>
      <c r="AF470" s="3">
        <f>N(AE470)*N(M470)/90</f>
        <v/>
      </c>
      <c r="AG470" s="3">
        <f>IFERROR(AF470-VLOOKUP($C470,Assumptions!$A$29:$C$32,3,FALSE),"")</f>
        <v/>
      </c>
      <c r="AH470" s="3">
        <f>IFERROR(AG470/F470,"")</f>
        <v/>
      </c>
      <c r="AI470">
        <f>IF(AND($E470=TRUE,$C470="GKP"),AF470,"")</f>
        <v/>
      </c>
      <c r="AJ470">
        <f>IF(AND($E470=TRUE,$C470="DEF"),AF470,"")</f>
        <v/>
      </c>
      <c r="AK470">
        <f>IF(AND($E470=TRUE,$C470="MID"),AF470,"")</f>
        <v/>
      </c>
      <c r="AL470">
        <f>IF(AND($E470=TRUE,$C470="FWD"),AF470,"")</f>
        <v/>
      </c>
    </row>
    <row r="471">
      <c r="A471" t="inlineStr">
        <is>
          <t>Idrissa Gueye</t>
        </is>
      </c>
      <c r="D471" t="inlineStr">
        <is>
          <t>MID</t>
        </is>
      </c>
      <c r="E471" t="b">
        <v>0</v>
      </c>
      <c r="F471" s="2" t="n"/>
      <c r="I471" s="2" t="n">
        <v>2101</v>
      </c>
      <c r="K471" s="3" t="n"/>
      <c r="M471" s="4" t="n">
        <v>2101</v>
      </c>
      <c r="N471" s="4" t="n"/>
      <c r="O471" s="3" t="n">
        <v>0.08790000000000001</v>
      </c>
      <c r="P471" t="inlineStr">
        <is>
          <t>adjusted xGOT</t>
        </is>
      </c>
      <c r="Q471" s="3" t="n">
        <v>1.03</v>
      </c>
      <c r="R471" s="3" t="n">
        <v>5.1</v>
      </c>
      <c r="S471" s="3" t="n">
        <v>0.0726</v>
      </c>
      <c r="T471" s="3" t="n">
        <v>9.167</v>
      </c>
      <c r="U471" s="4" t="n">
        <v>83.8</v>
      </c>
      <c r="V471" s="3">
        <f>IF(OR(N(T471)=0,N(U471)=0),0,1-POISSON(IFERROR(VLOOKUP($C471,Assumptions!$A$4:$G$7,7,FALSE),99)-1,N(T471)*N(U471)/90,TRUE))</f>
        <v/>
      </c>
      <c r="W471" s="3" t="n">
        <v>0.1713</v>
      </c>
      <c r="X471" s="3" t="n">
        <v>2.099</v>
      </c>
      <c r="Y471" s="3">
        <f>IF(X471="",IFERROR(VLOOKUP($C471,Assumptions!$A$4:$G$7,6,FALSE),0),X471)</f>
        <v/>
      </c>
      <c r="Z471" s="3">
        <f>N(O471)*IFERROR(VLOOKUP($C471,Assumptions!$A$4:$G$7,2,FALSE),0)</f>
        <v/>
      </c>
      <c r="AA471" s="3">
        <f>N(S471)*IFERROR(VLOOKUP($C471,Assumptions!$A$4:$G$7,3,FALSE),0)*Assumptions!$B$11</f>
        <v/>
      </c>
      <c r="AB471" s="3">
        <f>N(N471)*IFERROR(VLOOKUP($C471,Assumptions!$A$4:$G$7,4,FALSE),0)</f>
        <v/>
      </c>
      <c r="AC471" s="3">
        <f>IF(N(U471)=0,0,V471*IFERROR(VLOOKUP($C471,Assumptions!$A$4:$G$7,5,FALSE),0)*90/N(U471))</f>
        <v/>
      </c>
      <c r="AD471" s="3">
        <f>N(W471)</f>
        <v/>
      </c>
      <c r="AE471" s="3">
        <f>SUM(Y471:AD471)</f>
        <v/>
      </c>
      <c r="AF471" s="3">
        <f>N(AE471)*N(M471)/90</f>
        <v/>
      </c>
      <c r="AG471" s="3">
        <f>IFERROR(AF471-VLOOKUP($C471,Assumptions!$A$29:$C$32,3,FALSE),"")</f>
        <v/>
      </c>
      <c r="AH471" s="3">
        <f>IFERROR(AG471/F471,"")</f>
        <v/>
      </c>
      <c r="AI471">
        <f>IF(AND($E471=TRUE,$C471="GKP"),AF471,"")</f>
        <v/>
      </c>
      <c r="AJ471">
        <f>IF(AND($E471=TRUE,$C471="DEF"),AF471,"")</f>
        <v/>
      </c>
      <c r="AK471">
        <f>IF(AND($E471=TRUE,$C471="MID"),AF471,"")</f>
        <v/>
      </c>
      <c r="AL471">
        <f>IF(AND($E471=TRUE,$C471="FWD"),AF471,"")</f>
        <v/>
      </c>
    </row>
    <row r="472">
      <c r="A472" t="inlineStr">
        <is>
          <t>Alphonse Areola</t>
        </is>
      </c>
      <c r="D472" t="inlineStr">
        <is>
          <t>GKP</t>
        </is>
      </c>
      <c r="E472" t="b">
        <v>0</v>
      </c>
      <c r="F472" s="2" t="n"/>
      <c r="I472" s="2" t="n">
        <v>1800</v>
      </c>
      <c r="K472" s="3" t="n"/>
      <c r="M472" s="4" t="n">
        <v>1800</v>
      </c>
      <c r="N472" s="4" t="n"/>
      <c r="O472" s="3" t="n">
        <v>0</v>
      </c>
      <c r="P472" t="inlineStr">
        <is>
          <t>blended xG</t>
        </is>
      </c>
      <c r="Q472" s="3" t="n">
        <v>1</v>
      </c>
      <c r="R472" s="3" t="n">
        <v>0</v>
      </c>
      <c r="S472" s="3" t="n">
        <v>0.0011</v>
      </c>
      <c r="T472" s="3" t="n">
        <v>0</v>
      </c>
      <c r="U472" s="4" t="n">
        <v>90</v>
      </c>
      <c r="V472" s="3">
        <f>IF(OR(N(T472)=0,N(U472)=0),0,1-POISSON(IFERROR(VLOOKUP($C472,Assumptions!$A$4:$G$7,7,FALSE),99)-1,N(T472)*N(U472)/90,TRUE))</f>
        <v/>
      </c>
      <c r="W472" s="3" t="n">
        <v>0.1</v>
      </c>
      <c r="X472" s="3" t="n">
        <v>2</v>
      </c>
      <c r="Y472" s="3">
        <f>IF(X472="",IFERROR(VLOOKUP($C472,Assumptions!$A$4:$G$7,6,FALSE),0),X472)</f>
        <v/>
      </c>
      <c r="Z472" s="3">
        <f>N(O472)*IFERROR(VLOOKUP($C472,Assumptions!$A$4:$G$7,2,FALSE),0)</f>
        <v/>
      </c>
      <c r="AA472" s="3">
        <f>N(S472)*IFERROR(VLOOKUP($C472,Assumptions!$A$4:$G$7,3,FALSE),0)*Assumptions!$B$11</f>
        <v/>
      </c>
      <c r="AB472" s="3">
        <f>N(N472)*IFERROR(VLOOKUP($C472,Assumptions!$A$4:$G$7,4,FALSE),0)</f>
        <v/>
      </c>
      <c r="AC472" s="3">
        <f>IF(N(U472)=0,0,V472*IFERROR(VLOOKUP($C472,Assumptions!$A$4:$G$7,5,FALSE),0)*90/N(U472))</f>
        <v/>
      </c>
      <c r="AD472" s="3">
        <f>N(W472)</f>
        <v/>
      </c>
      <c r="AE472" s="3">
        <f>SUM(Y472:AD472)</f>
        <v/>
      </c>
      <c r="AF472" s="3">
        <f>N(AE472)*N(M472)/90</f>
        <v/>
      </c>
      <c r="AG472" s="3">
        <f>IFERROR(AF472-VLOOKUP($C472,Assumptions!$A$29:$C$32,3,FALSE),"")</f>
        <v/>
      </c>
      <c r="AH472" s="3">
        <f>IFERROR(AG472/F472,"")</f>
        <v/>
      </c>
      <c r="AI472">
        <f>IF(AND($E472=TRUE,$C472="GKP"),AF472,"")</f>
        <v/>
      </c>
      <c r="AJ472">
        <f>IF(AND($E472=TRUE,$C472="DEF"),AF472,"")</f>
        <v/>
      </c>
      <c r="AK472">
        <f>IF(AND($E472=TRUE,$C472="MID"),AF472,"")</f>
        <v/>
      </c>
      <c r="AL472">
        <f>IF(AND($E472=TRUE,$C472="FWD"),AF472,"")</f>
        <v/>
      </c>
    </row>
    <row r="473">
      <c r="A473" t="inlineStr">
        <is>
          <t>Matt Doherty</t>
        </is>
      </c>
      <c r="D473" t="inlineStr">
        <is>
          <t>DEF</t>
        </is>
      </c>
      <c r="E473" t="b">
        <v>0</v>
      </c>
      <c r="F473" s="2" t="n"/>
      <c r="I473" s="2" t="n">
        <v>791</v>
      </c>
      <c r="K473" s="3" t="n"/>
      <c r="M473" s="4" t="n">
        <v>791</v>
      </c>
      <c r="N473" s="4" t="n"/>
      <c r="O473" s="3" t="n">
        <v>0.0108</v>
      </c>
      <c r="P473" t="inlineStr">
        <is>
          <t>adjusted xGOT</t>
        </is>
      </c>
      <c r="Q473" s="3" t="n">
        <v>1.061</v>
      </c>
      <c r="R473" s="3" t="n">
        <v>2.8</v>
      </c>
      <c r="S473" s="3" t="n">
        <v>0.0197</v>
      </c>
      <c r="T473" s="3" t="n">
        <v>7.618</v>
      </c>
      <c r="U473" s="4" t="n">
        <v>71.5</v>
      </c>
      <c r="V473" s="3">
        <f>IF(OR(N(T473)=0,N(U473)=0),0,1-POISSON(IFERROR(VLOOKUP($C473,Assumptions!$A$4:$G$7,7,FALSE),99)-1,N(T473)*N(U473)/90,TRUE))</f>
        <v/>
      </c>
      <c r="W473" s="3" t="n">
        <v>0</v>
      </c>
      <c r="X473" s="3" t="n">
        <v>2.162</v>
      </c>
      <c r="Y473" s="3">
        <f>IF(X473="",IFERROR(VLOOKUP($C473,Assumptions!$A$4:$G$7,6,FALSE),0),X473)</f>
        <v/>
      </c>
      <c r="Z473" s="3">
        <f>N(O473)*IFERROR(VLOOKUP($C473,Assumptions!$A$4:$G$7,2,FALSE),0)</f>
        <v/>
      </c>
      <c r="AA473" s="3">
        <f>N(S473)*IFERROR(VLOOKUP($C473,Assumptions!$A$4:$G$7,3,FALSE),0)*Assumptions!$B$11</f>
        <v/>
      </c>
      <c r="AB473" s="3">
        <f>N(N473)*IFERROR(VLOOKUP($C473,Assumptions!$A$4:$G$7,4,FALSE),0)</f>
        <v/>
      </c>
      <c r="AC473" s="3">
        <f>IF(N(U473)=0,0,V473*IFERROR(VLOOKUP($C473,Assumptions!$A$4:$G$7,5,FALSE),0)*90/N(U473))</f>
        <v/>
      </c>
      <c r="AD473" s="3">
        <f>N(W473)</f>
        <v/>
      </c>
      <c r="AE473" s="3">
        <f>SUM(Y473:AD473)</f>
        <v/>
      </c>
      <c r="AF473" s="3">
        <f>N(AE473)*N(M473)/90</f>
        <v/>
      </c>
      <c r="AG473" s="3">
        <f>IFERROR(AF473-VLOOKUP($C473,Assumptions!$A$29:$C$32,3,FALSE),"")</f>
        <v/>
      </c>
      <c r="AH473" s="3">
        <f>IFERROR(AG473/F473,"")</f>
        <v/>
      </c>
      <c r="AI473">
        <f>IF(AND($E473=TRUE,$C473="GKP"),AF473,"")</f>
        <v/>
      </c>
      <c r="AJ473">
        <f>IF(AND($E473=TRUE,$C473="DEF"),AF473,"")</f>
        <v/>
      </c>
      <c r="AK473">
        <f>IF(AND($E473=TRUE,$C473="MID"),AF473,"")</f>
        <v/>
      </c>
      <c r="AL473">
        <f>IF(AND($E473=TRUE,$C473="FWD"),AF473,"")</f>
        <v/>
      </c>
    </row>
    <row r="474">
      <c r="A474" t="inlineStr">
        <is>
          <t>Stefan Ortega</t>
        </is>
      </c>
      <c r="D474" t="inlineStr">
        <is>
          <t>GKP</t>
        </is>
      </c>
      <c r="E474" t="b">
        <v>0</v>
      </c>
      <c r="F474" s="2" t="n"/>
      <c r="I474" s="2" t="n">
        <v>270</v>
      </c>
      <c r="K474" s="3" t="n"/>
      <c r="M474" s="4" t="n">
        <v>270</v>
      </c>
      <c r="N474" s="4" t="n"/>
      <c r="O474" s="3" t="n">
        <v>0</v>
      </c>
      <c r="P474" t="inlineStr">
        <is>
          <t>blended xG</t>
        </is>
      </c>
      <c r="Q474" s="3" t="n">
        <v>1</v>
      </c>
      <c r="R474" s="3" t="n">
        <v>0</v>
      </c>
      <c r="S474" s="3" t="n">
        <v>0</v>
      </c>
      <c r="T474" s="3" t="n">
        <v>0</v>
      </c>
      <c r="U474" s="4" t="n">
        <v>90</v>
      </c>
      <c r="V474" s="3">
        <f>IF(OR(N(T474)=0,N(U474)=0),0,1-POISSON(IFERROR(VLOOKUP($C474,Assumptions!$A$4:$G$7,7,FALSE),99)-1,N(T474)*N(U474)/90,TRUE))</f>
        <v/>
      </c>
      <c r="W474" s="3" t="n">
        <v>0</v>
      </c>
      <c r="X474" s="3" t="n">
        <v>2</v>
      </c>
      <c r="Y474" s="3">
        <f>IF(X474="",IFERROR(VLOOKUP($C474,Assumptions!$A$4:$G$7,6,FALSE),0),X474)</f>
        <v/>
      </c>
      <c r="Z474" s="3">
        <f>N(O474)*IFERROR(VLOOKUP($C474,Assumptions!$A$4:$G$7,2,FALSE),0)</f>
        <v/>
      </c>
      <c r="AA474" s="3">
        <f>N(S474)*IFERROR(VLOOKUP($C474,Assumptions!$A$4:$G$7,3,FALSE),0)*Assumptions!$B$11</f>
        <v/>
      </c>
      <c r="AB474" s="3">
        <f>N(N474)*IFERROR(VLOOKUP($C474,Assumptions!$A$4:$G$7,4,FALSE),0)</f>
        <v/>
      </c>
      <c r="AC474" s="3">
        <f>IF(N(U474)=0,0,V474*IFERROR(VLOOKUP($C474,Assumptions!$A$4:$G$7,5,FALSE),0)*90/N(U474))</f>
        <v/>
      </c>
      <c r="AD474" s="3">
        <f>N(W474)</f>
        <v/>
      </c>
      <c r="AE474" s="3">
        <f>SUM(Y474:AD474)</f>
        <v/>
      </c>
      <c r="AF474" s="3">
        <f>N(AE474)*N(M474)/90</f>
        <v/>
      </c>
      <c r="AG474" s="3">
        <f>IFERROR(AF474-VLOOKUP($C474,Assumptions!$A$29:$C$32,3,FALSE),"")</f>
        <v/>
      </c>
      <c r="AH474" s="3">
        <f>IFERROR(AG474/F474,"")</f>
        <v/>
      </c>
      <c r="AI474">
        <f>IF(AND($E474=TRUE,$C474="GKP"),AF474,"")</f>
        <v/>
      </c>
      <c r="AJ474">
        <f>IF(AND($E474=TRUE,$C474="DEF"),AF474,"")</f>
        <v/>
      </c>
      <c r="AK474">
        <f>IF(AND($E474=TRUE,$C474="MID"),AF474,"")</f>
        <v/>
      </c>
      <c r="AL474">
        <f>IF(AND($E474=TRUE,$C474="FWD"),AF474,"")</f>
        <v/>
      </c>
    </row>
    <row r="475">
      <c r="A475" t="inlineStr">
        <is>
          <t>Niclas Füllkrug</t>
        </is>
      </c>
      <c r="D475" t="inlineStr">
        <is>
          <t>FWD</t>
        </is>
      </c>
      <c r="E475" t="b">
        <v>0</v>
      </c>
      <c r="F475" s="2" t="n"/>
      <c r="I475" s="2" t="n">
        <v>408</v>
      </c>
      <c r="K475" s="3" t="n"/>
      <c r="M475" s="4" t="n">
        <v>408</v>
      </c>
      <c r="N475" s="4" t="n"/>
      <c r="O475" s="3" t="n">
        <v>0.2279</v>
      </c>
      <c r="P475" t="inlineStr">
        <is>
          <t>adjusted xGOT</t>
        </is>
      </c>
      <c r="Q475" s="3" t="n">
        <v>1.111</v>
      </c>
      <c r="R475" s="3" t="n">
        <v>3.1</v>
      </c>
      <c r="S475" s="3" t="n">
        <v>0.09909999999999999</v>
      </c>
      <c r="T475" s="3" t="n">
        <v>4.579</v>
      </c>
      <c r="U475" s="4" t="n">
        <v>81.40000000000001</v>
      </c>
      <c r="V475" s="3">
        <f>IF(OR(N(T475)=0,N(U475)=0),0,1-POISSON(IFERROR(VLOOKUP($C475,Assumptions!$A$4:$G$7,7,FALSE),99)-1,N(T475)*N(U475)/90,TRUE))</f>
        <v/>
      </c>
      <c r="W475" s="3" t="n">
        <v>0</v>
      </c>
      <c r="X475" s="3" t="n">
        <v>2.647</v>
      </c>
      <c r="Y475" s="3">
        <f>IF(X475="",IFERROR(VLOOKUP($C475,Assumptions!$A$4:$G$7,6,FALSE),0),X475)</f>
        <v/>
      </c>
      <c r="Z475" s="3">
        <f>N(O475)*IFERROR(VLOOKUP($C475,Assumptions!$A$4:$G$7,2,FALSE),0)</f>
        <v/>
      </c>
      <c r="AA475" s="3">
        <f>N(S475)*IFERROR(VLOOKUP($C475,Assumptions!$A$4:$G$7,3,FALSE),0)*Assumptions!$B$11</f>
        <v/>
      </c>
      <c r="AB475" s="3">
        <f>N(N475)*IFERROR(VLOOKUP($C475,Assumptions!$A$4:$G$7,4,FALSE),0)</f>
        <v/>
      </c>
      <c r="AC475" s="3">
        <f>IF(N(U475)=0,0,V475*IFERROR(VLOOKUP($C475,Assumptions!$A$4:$G$7,5,FALSE),0)*90/N(U475))</f>
        <v/>
      </c>
      <c r="AD475" s="3">
        <f>N(W475)</f>
        <v/>
      </c>
      <c r="AE475" s="3">
        <f>SUM(Y475:AD475)</f>
        <v/>
      </c>
      <c r="AF475" s="3">
        <f>N(AE475)*N(M475)/90</f>
        <v/>
      </c>
      <c r="AG475" s="3">
        <f>IFERROR(AF475-VLOOKUP($C475,Assumptions!$A$29:$C$32,3,FALSE),"")</f>
        <v/>
      </c>
      <c r="AH475" s="3">
        <f>IFERROR(AG475/F475,"")</f>
        <v/>
      </c>
      <c r="AI475">
        <f>IF(AND($E475=TRUE,$C475="GKP"),AF475,"")</f>
        <v/>
      </c>
      <c r="AJ475">
        <f>IF(AND($E475=TRUE,$C475="DEF"),AF475,"")</f>
        <v/>
      </c>
      <c r="AK475">
        <f>IF(AND($E475=TRUE,$C475="MID"),AF475,"")</f>
        <v/>
      </c>
      <c r="AL475">
        <f>IF(AND($E475=TRUE,$C475="FWD"),AF475,"")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b">
        <v>1</v>
      </c>
      <c r="F476" s="2" t="n">
        <v>4.5</v>
      </c>
      <c r="G476" t="inlineStr">
        <is>
          <t>a</t>
        </is>
      </c>
      <c r="I476" s="2" t="n"/>
      <c r="K476" s="3" t="n">
        <v>804</v>
      </c>
      <c r="L476" t="inlineStr">
        <is>
          <t>flat</t>
        </is>
      </c>
      <c r="M476" s="4" t="n"/>
      <c r="N476" s="4" t="n">
        <v>0.29</v>
      </c>
      <c r="O476" s="3" t="n"/>
      <c r="P476" t="inlineStr"/>
      <c r="Q476" s="3" t="n"/>
      <c r="R476" s="3" t="n"/>
      <c r="S476" s="3" t="n"/>
      <c r="T476" s="3" t="n"/>
      <c r="U476" s="4" t="n"/>
      <c r="V476" s="3">
        <f>IF(OR(N(T476)=0,N(U476)=0),0,1-POISSON(IFERROR(VLOOKUP($C476,Assumptions!$A$4:$G$7,7,FALSE),99)-1,N(T476)*N(U476)/90,TRUE))</f>
        <v/>
      </c>
      <c r="W476" s="3" t="n"/>
      <c r="X476" s="3" t="n"/>
      <c r="Y476" s="3">
        <f>IF(X476="",IFERROR(VLOOKUP($C476,Assumptions!$A$4:$G$7,6,FALSE),0),X476)</f>
        <v/>
      </c>
      <c r="Z476" s="3">
        <f>N(O476)*IFERROR(VLOOKUP($C476,Assumptions!$A$4:$G$7,2,FALSE),0)</f>
        <v/>
      </c>
      <c r="AA476" s="3">
        <f>N(S476)*IFERROR(VLOOKUP($C476,Assumptions!$A$4:$G$7,3,FALSE),0)*Assumptions!$B$11</f>
        <v/>
      </c>
      <c r="AB476" s="3">
        <f>N(N476)*IFERROR(VLOOKUP($C476,Assumptions!$A$4:$G$7,4,FALSE),0)</f>
        <v/>
      </c>
      <c r="AC476" s="3">
        <f>IF(N(U476)=0,0,V476*IFERROR(VLOOKUP($C476,Assumptions!$A$4:$G$7,5,FALSE),0)*90/N(U476))</f>
        <v/>
      </c>
      <c r="AD476" s="3">
        <f>N(W476)</f>
        <v/>
      </c>
      <c r="AE476" s="3">
        <f>SUM(Y476:AD476)</f>
        <v/>
      </c>
      <c r="AF476" s="3">
        <f>N(AE476)*N(M476)/90</f>
        <v/>
      </c>
      <c r="AG476" s="3">
        <f>IFERROR(AF476-VLOOKUP($C476,Assumptions!$A$29:$C$32,3,FALSE),"")</f>
        <v/>
      </c>
      <c r="AH476" s="3">
        <f>IFERROR(AG476/F476,"")</f>
        <v/>
      </c>
      <c r="AI476">
        <f>IF(AND($E476=TRUE,$C476="GKP"),AF476,"")</f>
        <v/>
      </c>
      <c r="AJ476">
        <f>IF(AND($E476=TRUE,$C476="DEF"),AF476,"")</f>
        <v/>
      </c>
      <c r="AK476">
        <f>IF(AND($E476=TRUE,$C476="MID"),AF476,"")</f>
        <v/>
      </c>
      <c r="AL476">
        <f>IF(AND($E476=TRUE,$C476="FWD"),AF476,"")</f>
        <v/>
      </c>
    </row>
    <row r="477">
      <c r="A477" t="inlineStr">
        <is>
          <t>John Stones</t>
        </is>
      </c>
      <c r="D477" t="inlineStr">
        <is>
          <t>DEF</t>
        </is>
      </c>
      <c r="E477" t="b">
        <v>0</v>
      </c>
      <c r="F477" s="2" t="n"/>
      <c r="I477" s="2" t="n">
        <v>439</v>
      </c>
      <c r="K477" s="3" t="n"/>
      <c r="M477" s="4" t="n">
        <v>439</v>
      </c>
      <c r="N477" s="4" t="n"/>
      <c r="O477" s="3" t="n">
        <v>0</v>
      </c>
      <c r="P477" t="inlineStr">
        <is>
          <t>adjusted xGOT</t>
        </is>
      </c>
      <c r="Q477" s="3" t="n">
        <v>1.001</v>
      </c>
      <c r="R477" s="3" t="n">
        <v>2.7</v>
      </c>
      <c r="S477" s="3" t="n">
        <v>0.0129</v>
      </c>
      <c r="T477" s="3" t="n">
        <v>7.122</v>
      </c>
      <c r="U477" s="4" t="n">
        <v>87.2</v>
      </c>
      <c r="V477" s="3">
        <f>IF(OR(N(T477)=0,N(U477)=0),0,1-POISSON(IFERROR(VLOOKUP($C477,Assumptions!$A$4:$G$7,7,FALSE),99)-1,N(T477)*N(U477)/90,TRUE))</f>
        <v/>
      </c>
      <c r="W477" s="3" t="n">
        <v>0</v>
      </c>
      <c r="X477" s="3" t="n">
        <v>2.87</v>
      </c>
      <c r="Y477" s="3">
        <f>IF(X477="",IFERROR(VLOOKUP($C477,Assumptions!$A$4:$G$7,6,FALSE),0),X477)</f>
        <v/>
      </c>
      <c r="Z477" s="3">
        <f>N(O477)*IFERROR(VLOOKUP($C477,Assumptions!$A$4:$G$7,2,FALSE),0)</f>
        <v/>
      </c>
      <c r="AA477" s="3">
        <f>N(S477)*IFERROR(VLOOKUP($C477,Assumptions!$A$4:$G$7,3,FALSE),0)*Assumptions!$B$11</f>
        <v/>
      </c>
      <c r="AB477" s="3">
        <f>N(N477)*IFERROR(VLOOKUP($C477,Assumptions!$A$4:$G$7,4,FALSE),0)</f>
        <v/>
      </c>
      <c r="AC477" s="3">
        <f>IF(N(U477)=0,0,V477*IFERROR(VLOOKUP($C477,Assumptions!$A$4:$G$7,5,FALSE),0)*90/N(U477))</f>
        <v/>
      </c>
      <c r="AD477" s="3">
        <f>N(W477)</f>
        <v/>
      </c>
      <c r="AE477" s="3">
        <f>SUM(Y477:AD477)</f>
        <v/>
      </c>
      <c r="AF477" s="3">
        <f>N(AE477)*N(M477)/90</f>
        <v/>
      </c>
      <c r="AG477" s="3">
        <f>IFERROR(AF477-VLOOKUP($C477,Assumptions!$A$29:$C$32,3,FALSE),"")</f>
        <v/>
      </c>
      <c r="AH477" s="3">
        <f>IFERROR(AG477/F477,"")</f>
        <v/>
      </c>
      <c r="AI477">
        <f>IF(AND($E477=TRUE,$C477="GKP"),AF477,"")</f>
        <v/>
      </c>
      <c r="AJ477">
        <f>IF(AND($E477=TRUE,$C477="DEF"),AF477,"")</f>
        <v/>
      </c>
      <c r="AK477">
        <f>IF(AND($E477=TRUE,$C477="MID"),AF477,"")</f>
        <v/>
      </c>
      <c r="AL477">
        <f>IF(AND($E477=TRUE,$C477="FWD"),AF477,"")</f>
        <v/>
      </c>
    </row>
    <row r="478">
      <c r="A478" t="inlineStr">
        <is>
          <t>Jamaal Lascelles</t>
        </is>
      </c>
      <c r="D478" t="inlineStr">
        <is>
          <t>DEF</t>
        </is>
      </c>
      <c r="E478" t="b">
        <v>0</v>
      </c>
      <c r="F478" s="2" t="n"/>
      <c r="I478" s="2" t="n">
        <v>19</v>
      </c>
      <c r="K478" s="3" t="n"/>
      <c r="M478" s="4" t="n">
        <v>19</v>
      </c>
      <c r="N478" s="4" t="n"/>
      <c r="O478" s="3" t="n">
        <v>0.18</v>
      </c>
      <c r="P478" t="inlineStr">
        <is>
          <t>adjusted xGOT</t>
        </is>
      </c>
      <c r="Q478" s="3" t="n">
        <v>0.945</v>
      </c>
      <c r="R478" s="3" t="n">
        <v>0.9</v>
      </c>
      <c r="S478" s="3" t="n"/>
      <c r="T478" s="3" t="n">
        <v>8.096</v>
      </c>
      <c r="U478" s="4" t="n">
        <v>85</v>
      </c>
      <c r="V478" s="3">
        <f>IF(OR(N(T478)=0,N(U478)=0),0,1-POISSON(IFERROR(VLOOKUP($C478,Assumptions!$A$4:$G$7,7,FALSE),99)-1,N(T478)*N(U478)/90,TRUE))</f>
        <v/>
      </c>
      <c r="W478" s="3" t="n">
        <v>0</v>
      </c>
      <c r="X478" s="3" t="n">
        <v>9.474</v>
      </c>
      <c r="Y478" s="3">
        <f>IF(X478="",IFERROR(VLOOKUP($C478,Assumptions!$A$4:$G$7,6,FALSE),0),X478)</f>
        <v/>
      </c>
      <c r="Z478" s="3">
        <f>N(O478)*IFERROR(VLOOKUP($C478,Assumptions!$A$4:$G$7,2,FALSE),0)</f>
        <v/>
      </c>
      <c r="AA478" s="3">
        <f>N(S478)*IFERROR(VLOOKUP($C478,Assumptions!$A$4:$G$7,3,FALSE),0)*Assumptions!$B$11</f>
        <v/>
      </c>
      <c r="AB478" s="3">
        <f>N(N478)*IFERROR(VLOOKUP($C478,Assumptions!$A$4:$G$7,4,FALSE),0)</f>
        <v/>
      </c>
      <c r="AC478" s="3">
        <f>IF(N(U478)=0,0,V478*IFERROR(VLOOKUP($C478,Assumptions!$A$4:$G$7,5,FALSE),0)*90/N(U478))</f>
        <v/>
      </c>
      <c r="AD478" s="3">
        <f>N(W478)</f>
        <v/>
      </c>
      <c r="AE478" s="3">
        <f>SUM(Y478:AD478)</f>
        <v/>
      </c>
      <c r="AF478" s="3">
        <f>N(AE478)*N(M478)/90</f>
        <v/>
      </c>
      <c r="AG478" s="3">
        <f>IFERROR(AF478-VLOOKUP($C478,Assumptions!$A$29:$C$32,3,FALSE),"")</f>
        <v/>
      </c>
      <c r="AH478" s="3">
        <f>IFERROR(AG478/F478,"")</f>
        <v/>
      </c>
      <c r="AI478">
        <f>IF(AND($E478=TRUE,$C478="GKP"),AF478,"")</f>
        <v/>
      </c>
      <c r="AJ478">
        <f>IF(AND($E478=TRUE,$C478="DEF"),AF478,"")</f>
        <v/>
      </c>
      <c r="AK478">
        <f>IF(AND($E478=TRUE,$C478="MID"),AF478,"")</f>
        <v/>
      </c>
      <c r="AL478">
        <f>IF(AND($E478=TRUE,$C478="FWD"),AF478,"")</f>
        <v/>
      </c>
    </row>
    <row r="479">
      <c r="A479" t="inlineStr">
        <is>
          <t>James Ward-Prowse</t>
        </is>
      </c>
      <c r="D479" t="inlineStr">
        <is>
          <t>MID</t>
        </is>
      </c>
      <c r="E479" t="b">
        <v>0</v>
      </c>
      <c r="F479" s="2" t="n"/>
      <c r="I479" s="2" t="n">
        <v>1096</v>
      </c>
      <c r="K479" s="3" t="n"/>
      <c r="M479" s="4" t="n">
        <v>1096</v>
      </c>
      <c r="N479" s="4" t="n"/>
      <c r="O479" s="3" t="n">
        <v>0.0232</v>
      </c>
      <c r="P479" t="inlineStr">
        <is>
          <t>adjusted xGOT</t>
        </is>
      </c>
      <c r="Q479" s="3" t="n">
        <v>1.177</v>
      </c>
      <c r="R479" s="3" t="n">
        <v>13.9</v>
      </c>
      <c r="S479" s="3" t="n">
        <v>0.2816</v>
      </c>
      <c r="T479" s="3" t="n">
        <v>8.821999999999999</v>
      </c>
      <c r="U479" s="4" t="n">
        <v>91</v>
      </c>
      <c r="V479" s="3">
        <f>IF(OR(N(T479)=0,N(U479)=0),0,1-POISSON(IFERROR(VLOOKUP($C479,Assumptions!$A$4:$G$7,7,FALSE),99)-1,N(T479)*N(U479)/90,TRUE))</f>
        <v/>
      </c>
      <c r="W479" s="3" t="n">
        <v>0</v>
      </c>
      <c r="X479" s="3" t="n">
        <v>2.464</v>
      </c>
      <c r="Y479" s="3">
        <f>IF(X479="",IFERROR(VLOOKUP($C479,Assumptions!$A$4:$G$7,6,FALSE),0),X479)</f>
        <v/>
      </c>
      <c r="Z479" s="3">
        <f>N(O479)*IFERROR(VLOOKUP($C479,Assumptions!$A$4:$G$7,2,FALSE),0)</f>
        <v/>
      </c>
      <c r="AA479" s="3">
        <f>N(S479)*IFERROR(VLOOKUP($C479,Assumptions!$A$4:$G$7,3,FALSE),0)*Assumptions!$B$11</f>
        <v/>
      </c>
      <c r="AB479" s="3">
        <f>N(N479)*IFERROR(VLOOKUP($C479,Assumptions!$A$4:$G$7,4,FALSE),0)</f>
        <v/>
      </c>
      <c r="AC479" s="3">
        <f>IF(N(U479)=0,0,V479*IFERROR(VLOOKUP($C479,Assumptions!$A$4:$G$7,5,FALSE),0)*90/N(U479))</f>
        <v/>
      </c>
      <c r="AD479" s="3">
        <f>N(W479)</f>
        <v/>
      </c>
      <c r="AE479" s="3">
        <f>SUM(Y479:AD479)</f>
        <v/>
      </c>
      <c r="AF479" s="3">
        <f>N(AE479)*N(M479)/90</f>
        <v/>
      </c>
      <c r="AG479" s="3">
        <f>IFERROR(AF479-VLOOKUP($C479,Assumptions!$A$29:$C$32,3,FALSE),"")</f>
        <v/>
      </c>
      <c r="AH479" s="3">
        <f>IFERROR(AG479/F479,"")</f>
        <v/>
      </c>
      <c r="AI479">
        <f>IF(AND($E479=TRUE,$C479="GKP"),AF479,"")</f>
        <v/>
      </c>
      <c r="AJ479">
        <f>IF(AND($E479=TRUE,$C479="DEF"),AF479,"")</f>
        <v/>
      </c>
      <c r="AK479">
        <f>IF(AND($E479=TRUE,$C479="MID"),AF479,"")</f>
        <v/>
      </c>
      <c r="AL479">
        <f>IF(AND($E479=TRUE,$C479="FWD"),AF479,"")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b">
        <v>1</v>
      </c>
      <c r="F480" s="2" t="n">
        <v>4.5</v>
      </c>
      <c r="G480" t="inlineStr">
        <is>
          <t>a</t>
        </is>
      </c>
      <c r="I480" s="2" t="n"/>
      <c r="K480" s="3" t="n">
        <v>1545</v>
      </c>
      <c r="L480" t="inlineStr">
        <is>
          <t>fade (losing his place)</t>
        </is>
      </c>
      <c r="M480" s="4" t="n"/>
      <c r="N480" s="4" t="n"/>
      <c r="O480" s="3" t="n"/>
      <c r="P480" t="inlineStr"/>
      <c r="Q480" s="3" t="n"/>
      <c r="R480" s="3" t="n"/>
      <c r="S480" s="3" t="n"/>
      <c r="T480" s="3" t="n"/>
      <c r="U480" s="4" t="n"/>
      <c r="V480" s="3">
        <f>IF(OR(N(T480)=0,N(U480)=0),0,1-POISSON(IFERROR(VLOOKUP($C480,Assumptions!$A$4:$G$7,7,FALSE),99)-1,N(T480)*N(U480)/90,TRUE))</f>
        <v/>
      </c>
      <c r="W480" s="3" t="n"/>
      <c r="X480" s="3" t="n"/>
      <c r="Y480" s="3">
        <f>IF(X480="",IFERROR(VLOOKUP($C480,Assumptions!$A$4:$G$7,6,FALSE),0),X480)</f>
        <v/>
      </c>
      <c r="Z480" s="3">
        <f>N(O480)*IFERROR(VLOOKUP($C480,Assumptions!$A$4:$G$7,2,FALSE),0)</f>
        <v/>
      </c>
      <c r="AA480" s="3">
        <f>N(S480)*IFERROR(VLOOKUP($C480,Assumptions!$A$4:$G$7,3,FALSE),0)*Assumptions!$B$11</f>
        <v/>
      </c>
      <c r="AB480" s="3">
        <f>N(N480)*IFERROR(VLOOKUP($C480,Assumptions!$A$4:$G$7,4,FALSE),0)</f>
        <v/>
      </c>
      <c r="AC480" s="3">
        <f>IF(N(U480)=0,0,V480*IFERROR(VLOOKUP($C480,Assumptions!$A$4:$G$7,5,FALSE),0)*90/N(U480))</f>
        <v/>
      </c>
      <c r="AD480" s="3">
        <f>N(W480)</f>
        <v/>
      </c>
      <c r="AE480" s="3">
        <f>SUM(Y480:AD480)</f>
        <v/>
      </c>
      <c r="AF480" s="3">
        <f>N(AE480)*N(M480)/90</f>
        <v/>
      </c>
      <c r="AG480" s="3">
        <f>IFERROR(AF480-VLOOKUP($C480,Assumptions!$A$29:$C$32,3,FALSE),"")</f>
        <v/>
      </c>
      <c r="AH480" s="3">
        <f>IFERROR(AG480/F480,"")</f>
        <v/>
      </c>
      <c r="AI480">
        <f>IF(AND($E480=TRUE,$C480="GKP"),AF480,"")</f>
        <v/>
      </c>
      <c r="AJ480">
        <f>IF(AND($E480=TRUE,$C480="DEF"),AF480,"")</f>
        <v/>
      </c>
      <c r="AK480">
        <f>IF(AND($E480=TRUE,$C480="MID"),AF480,"")</f>
        <v/>
      </c>
      <c r="AL480">
        <f>IF(AND($E480=TRUE,$C480="FWD"),AF480,"")</f>
        <v/>
      </c>
    </row>
    <row r="481">
      <c r="A481" t="inlineStr">
        <is>
          <t>Sam Johnstone</t>
        </is>
      </c>
      <c r="D481" t="inlineStr">
        <is>
          <t>GKP</t>
        </is>
      </c>
      <c r="E481" t="b">
        <v>0</v>
      </c>
      <c r="F481" s="2" t="n"/>
      <c r="I481" s="2" t="n">
        <v>1080</v>
      </c>
      <c r="K481" s="3" t="n"/>
      <c r="M481" s="4" t="n">
        <v>1080</v>
      </c>
      <c r="N481" s="4" t="n"/>
      <c r="O481" s="3" t="n">
        <v>0</v>
      </c>
      <c r="P481" t="inlineStr">
        <is>
          <t>blended xG</t>
        </is>
      </c>
      <c r="Q481" s="3" t="n">
        <v>1</v>
      </c>
      <c r="R481" s="3" t="n">
        <v>0</v>
      </c>
      <c r="S481" s="3" t="n">
        <v>0</v>
      </c>
      <c r="T481" s="3" t="n">
        <v>0</v>
      </c>
      <c r="U481" s="4" t="n">
        <v>90</v>
      </c>
      <c r="V481" s="3">
        <f>IF(OR(N(T481)=0,N(U481)=0),0,1-POISSON(IFERROR(VLOOKUP($C481,Assumptions!$A$4:$G$7,7,FALSE),99)-1,N(T481)*N(U481)/90,TRUE))</f>
        <v/>
      </c>
      <c r="W481" s="3" t="n">
        <v>0</v>
      </c>
      <c r="X481" s="3" t="n">
        <v>2</v>
      </c>
      <c r="Y481" s="3">
        <f>IF(X481="",IFERROR(VLOOKUP($C481,Assumptions!$A$4:$G$7,6,FALSE),0),X481)</f>
        <v/>
      </c>
      <c r="Z481" s="3">
        <f>N(O481)*IFERROR(VLOOKUP($C481,Assumptions!$A$4:$G$7,2,FALSE),0)</f>
        <v/>
      </c>
      <c r="AA481" s="3">
        <f>N(S481)*IFERROR(VLOOKUP($C481,Assumptions!$A$4:$G$7,3,FALSE),0)*Assumptions!$B$11</f>
        <v/>
      </c>
      <c r="AB481" s="3">
        <f>N(N481)*IFERROR(VLOOKUP($C481,Assumptions!$A$4:$G$7,4,FALSE),0)</f>
        <v/>
      </c>
      <c r="AC481" s="3">
        <f>IF(N(U481)=0,0,V481*IFERROR(VLOOKUP($C481,Assumptions!$A$4:$G$7,5,FALSE),0)*90/N(U481))</f>
        <v/>
      </c>
      <c r="AD481" s="3">
        <f>N(W481)</f>
        <v/>
      </c>
      <c r="AE481" s="3">
        <f>SUM(Y481:AD481)</f>
        <v/>
      </c>
      <c r="AF481" s="3">
        <f>N(AE481)*N(M481)/90</f>
        <v/>
      </c>
      <c r="AG481" s="3">
        <f>IFERROR(AF481-VLOOKUP($C481,Assumptions!$A$29:$C$32,3,FALSE),"")</f>
        <v/>
      </c>
      <c r="AH481" s="3">
        <f>IFERROR(AG481/F481,"")</f>
        <v/>
      </c>
      <c r="AI481">
        <f>IF(AND($E481=TRUE,$C481="GKP"),AF481,"")</f>
        <v/>
      </c>
      <c r="AJ481">
        <f>IF(AND($E481=TRUE,$C481="DEF"),AF481,"")</f>
        <v/>
      </c>
      <c r="AK481">
        <f>IF(AND($E481=TRUE,$C481="MID"),AF481,"")</f>
        <v/>
      </c>
      <c r="AL481">
        <f>IF(AND($E481=TRUE,$C481="FWD"),AF481,"")</f>
        <v/>
      </c>
    </row>
    <row r="482">
      <c r="A482" t="inlineStr">
        <is>
          <t>Raúl Jiménez</t>
        </is>
      </c>
      <c r="D482" t="inlineStr">
        <is>
          <t>FWD</t>
        </is>
      </c>
      <c r="E482" t="b">
        <v>0</v>
      </c>
      <c r="F482" s="2" t="n"/>
      <c r="I482" s="2" t="n">
        <v>2199</v>
      </c>
      <c r="K482" s="3" t="n"/>
      <c r="M482" s="4" t="n">
        <v>2199</v>
      </c>
      <c r="N482" s="4" t="n"/>
      <c r="O482" s="3" t="n">
        <v>0.4407</v>
      </c>
      <c r="P482" t="inlineStr">
        <is>
          <t>adjusted xGOT</t>
        </is>
      </c>
      <c r="Q482" s="3" t="n">
        <v>0.93</v>
      </c>
      <c r="R482" s="3" t="n">
        <v>31.5</v>
      </c>
      <c r="S482" s="3" t="n">
        <v>0.0796</v>
      </c>
      <c r="T482" s="3" t="n">
        <v>5.281</v>
      </c>
      <c r="U482" s="4" t="n">
        <v>80.90000000000001</v>
      </c>
      <c r="V482" s="3">
        <f>IF(OR(N(T482)=0,N(U482)=0),0,1-POISSON(IFERROR(VLOOKUP($C482,Assumptions!$A$4:$G$7,7,FALSE),99)-1,N(T482)*N(U482)/90,TRUE))</f>
        <v/>
      </c>
      <c r="W482" s="3" t="n">
        <v>0.3274</v>
      </c>
      <c r="X482" s="3" t="n">
        <v>2.415</v>
      </c>
      <c r="Y482" s="3">
        <f>IF(X482="",IFERROR(VLOOKUP($C482,Assumptions!$A$4:$G$7,6,FALSE),0),X482)</f>
        <v/>
      </c>
      <c r="Z482" s="3">
        <f>N(O482)*IFERROR(VLOOKUP($C482,Assumptions!$A$4:$G$7,2,FALSE),0)</f>
        <v/>
      </c>
      <c r="AA482" s="3">
        <f>N(S482)*IFERROR(VLOOKUP($C482,Assumptions!$A$4:$G$7,3,FALSE),0)*Assumptions!$B$11</f>
        <v/>
      </c>
      <c r="AB482" s="3">
        <f>N(N482)*IFERROR(VLOOKUP($C482,Assumptions!$A$4:$G$7,4,FALSE),0)</f>
        <v/>
      </c>
      <c r="AC482" s="3">
        <f>IF(N(U482)=0,0,V482*IFERROR(VLOOKUP($C482,Assumptions!$A$4:$G$7,5,FALSE),0)*90/N(U482))</f>
        <v/>
      </c>
      <c r="AD482" s="3">
        <f>N(W482)</f>
        <v/>
      </c>
      <c r="AE482" s="3">
        <f>SUM(Y482:AD482)</f>
        <v/>
      </c>
      <c r="AF482" s="3">
        <f>N(AE482)*N(M482)/90</f>
        <v/>
      </c>
      <c r="AG482" s="3">
        <f>IFERROR(AF482-VLOOKUP($C482,Assumptions!$A$29:$C$32,3,FALSE),"")</f>
        <v/>
      </c>
      <c r="AH482" s="3">
        <f>IFERROR(AG482/F482,"")</f>
        <v/>
      </c>
      <c r="AI482">
        <f>IF(AND($E482=TRUE,$C482="GKP"),AF482,"")</f>
        <v/>
      </c>
      <c r="AJ482">
        <f>IF(AND($E482=TRUE,$C482="DEF"),AF482,"")</f>
        <v/>
      </c>
      <c r="AK482">
        <f>IF(AND($E482=TRUE,$C482="MID"),AF482,"")</f>
        <v/>
      </c>
      <c r="AL482">
        <f>IF(AND($E482=TRUE,$C482="FWD"),AF482,"")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b">
        <v>1</v>
      </c>
      <c r="F483" s="2" t="n">
        <v>4.5</v>
      </c>
      <c r="G483" t="inlineStr">
        <is>
          <t>i</t>
        </is>
      </c>
      <c r="H483" t="inlineStr">
        <is>
          <t>Arm injury - Unknown return date</t>
        </is>
      </c>
      <c r="I483" s="2" t="n"/>
      <c r="K483" s="3" t="n">
        <v>35</v>
      </c>
      <c r="L483" t="inlineStr">
        <is>
          <t>flat</t>
        </is>
      </c>
      <c r="M483" s="4" t="n"/>
      <c r="N483" s="4" t="n"/>
      <c r="O483" s="3" t="n"/>
      <c r="P483" t="inlineStr"/>
      <c r="Q483" s="3" t="n"/>
      <c r="R483" s="3" t="n"/>
      <c r="S483" s="3" t="n"/>
      <c r="T483" s="3" t="n">
        <v>0</v>
      </c>
      <c r="U483" s="4" t="n"/>
      <c r="V483" s="3">
        <f>IF(OR(N(T483)=0,N(U483)=0),0,1-POISSON(IFERROR(VLOOKUP($C483,Assumptions!$A$4:$G$7,7,FALSE),99)-1,N(T483)*N(U483)/90,TRUE))</f>
        <v/>
      </c>
      <c r="W483" s="3" t="n"/>
      <c r="X483" s="3" t="n"/>
      <c r="Y483" s="3">
        <f>IF(X483="",IFERROR(VLOOKUP($C483,Assumptions!$A$4:$G$7,6,FALSE),0),X483)</f>
        <v/>
      </c>
      <c r="Z483" s="3">
        <f>N(O483)*IFERROR(VLOOKUP($C483,Assumptions!$A$4:$G$7,2,FALSE),0)</f>
        <v/>
      </c>
      <c r="AA483" s="3">
        <f>N(S483)*IFERROR(VLOOKUP($C483,Assumptions!$A$4:$G$7,3,FALSE),0)*Assumptions!$B$11</f>
        <v/>
      </c>
      <c r="AB483" s="3">
        <f>N(N483)*IFERROR(VLOOKUP($C483,Assumptions!$A$4:$G$7,4,FALSE),0)</f>
        <v/>
      </c>
      <c r="AC483" s="3">
        <f>IF(N(U483)=0,0,V483*IFERROR(VLOOKUP($C483,Assumptions!$A$4:$G$7,5,FALSE),0)*90/N(U483))</f>
        <v/>
      </c>
      <c r="AD483" s="3">
        <f>N(W483)</f>
        <v/>
      </c>
      <c r="AE483" s="3">
        <f>SUM(Y483:AD483)</f>
        <v/>
      </c>
      <c r="AF483" s="3">
        <f>N(AE483)*N(M483)/90</f>
        <v/>
      </c>
      <c r="AG483" s="3">
        <f>IFERROR(AF483-VLOOKUP($C483,Assumptions!$A$29:$C$32,3,FALSE),"")</f>
        <v/>
      </c>
      <c r="AH483" s="3">
        <f>IFERROR(AG483/F483,"")</f>
        <v/>
      </c>
      <c r="AI483">
        <f>IF(AND($E483=TRUE,$C483="GKP"),AF483,"")</f>
        <v/>
      </c>
      <c r="AJ483">
        <f>IF(AND($E483=TRUE,$C483="DEF"),AF483,"")</f>
        <v/>
      </c>
      <c r="AK483">
        <f>IF(AND($E483=TRUE,$C483="MID"),AF483,"")</f>
        <v/>
      </c>
      <c r="AL483">
        <f>IF(AND($E483=TRUE,$C483="FWD"),AF483,"")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b">
        <v>1</v>
      </c>
      <c r="F484" s="2" t="n">
        <v>5</v>
      </c>
      <c r="G484" t="inlineStr">
        <is>
          <t>a</t>
        </is>
      </c>
      <c r="I484" s="2" t="n"/>
      <c r="K484" s="3" t="n">
        <v>0</v>
      </c>
      <c r="L484" t="inlineStr">
        <is>
          <t>flat</t>
        </is>
      </c>
      <c r="M484" s="4" t="n"/>
      <c r="N484" s="4" t="n">
        <v>0.421</v>
      </c>
      <c r="O484" s="3" t="n"/>
      <c r="P484" t="inlineStr"/>
      <c r="Q484" s="3" t="n"/>
      <c r="R484" s="3" t="n"/>
      <c r="S484" s="3" t="n"/>
      <c r="T484" s="3" t="n">
        <v>0</v>
      </c>
      <c r="U484" s="4" t="n"/>
      <c r="V484" s="3">
        <f>IF(OR(N(T484)=0,N(U484)=0),0,1-POISSON(IFERROR(VLOOKUP($C484,Assumptions!$A$4:$G$7,7,FALSE),99)-1,N(T484)*N(U484)/90,TRUE))</f>
        <v/>
      </c>
      <c r="W484" s="3" t="n"/>
      <c r="X484" s="3" t="n"/>
      <c r="Y484" s="3">
        <f>IF(X484="",IFERROR(VLOOKUP($C484,Assumptions!$A$4:$G$7,6,FALSE),0),X484)</f>
        <v/>
      </c>
      <c r="Z484" s="3">
        <f>N(O484)*IFERROR(VLOOKUP($C484,Assumptions!$A$4:$G$7,2,FALSE),0)</f>
        <v/>
      </c>
      <c r="AA484" s="3">
        <f>N(S484)*IFERROR(VLOOKUP($C484,Assumptions!$A$4:$G$7,3,FALSE),0)*Assumptions!$B$11</f>
        <v/>
      </c>
      <c r="AB484" s="3">
        <f>N(N484)*IFERROR(VLOOKUP($C484,Assumptions!$A$4:$G$7,4,FALSE),0)</f>
        <v/>
      </c>
      <c r="AC484" s="3">
        <f>IF(N(U484)=0,0,V484*IFERROR(VLOOKUP($C484,Assumptions!$A$4:$G$7,5,FALSE),0)*90/N(U484))</f>
        <v/>
      </c>
      <c r="AD484" s="3">
        <f>N(W484)</f>
        <v/>
      </c>
      <c r="AE484" s="3">
        <f>SUM(Y484:AD484)</f>
        <v/>
      </c>
      <c r="AF484" s="3">
        <f>N(AE484)*N(M484)/90</f>
        <v/>
      </c>
      <c r="AG484" s="3">
        <f>IFERROR(AF484-VLOOKUP($C484,Assumptions!$A$29:$C$32,3,FALSE),"")</f>
        <v/>
      </c>
      <c r="AH484" s="3">
        <f>IFERROR(AG484/F484,"")</f>
        <v/>
      </c>
      <c r="AI484">
        <f>IF(AND($E484=TRUE,$C484="GKP"),AF484,"")</f>
        <v/>
      </c>
      <c r="AJ484">
        <f>IF(AND($E484=TRUE,$C484="DEF"),AF484,"")</f>
        <v/>
      </c>
      <c r="AK484">
        <f>IF(AND($E484=TRUE,$C484="MID"),AF484,"")</f>
        <v/>
      </c>
      <c r="AL484">
        <f>IF(AND($E484=TRUE,$C484="FWD"),AF484,"")</f>
        <v/>
      </c>
    </row>
    <row r="485">
      <c r="A485" t="inlineStr">
        <is>
          <t>Angus Gunn</t>
        </is>
      </c>
      <c r="D485" t="inlineStr">
        <is>
          <t>GKP</t>
        </is>
      </c>
      <c r="E485" t="b">
        <v>0</v>
      </c>
      <c r="F485" s="2" t="n"/>
      <c r="I485" s="2" t="n">
        <v>45</v>
      </c>
      <c r="K485" s="3" t="n"/>
      <c r="M485" s="4" t="n">
        <v>45</v>
      </c>
      <c r="N485" s="4" t="n"/>
      <c r="O485" s="3" t="n">
        <v>0</v>
      </c>
      <c r="P485" t="inlineStr">
        <is>
          <t>blended xG</t>
        </is>
      </c>
      <c r="Q485" s="3" t="n">
        <v>1</v>
      </c>
      <c r="R485" s="3" t="n">
        <v>0</v>
      </c>
      <c r="S485" s="3" t="n">
        <v>0</v>
      </c>
      <c r="T485" s="3" t="n">
        <v>0</v>
      </c>
      <c r="U485" s="4" t="n">
        <v>85</v>
      </c>
      <c r="V485" s="3">
        <f>IF(OR(N(T485)=0,N(U485)=0),0,1-POISSON(IFERROR(VLOOKUP($C485,Assumptions!$A$4:$G$7,7,FALSE),99)-1,N(T485)*N(U485)/90,TRUE))</f>
        <v/>
      </c>
      <c r="W485" s="3" t="n">
        <v>0</v>
      </c>
      <c r="X485" s="3" t="n">
        <v>2</v>
      </c>
      <c r="Y485" s="3">
        <f>IF(X485="",IFERROR(VLOOKUP($C485,Assumptions!$A$4:$G$7,6,FALSE),0),X485)</f>
        <v/>
      </c>
      <c r="Z485" s="3">
        <f>N(O485)*IFERROR(VLOOKUP($C485,Assumptions!$A$4:$G$7,2,FALSE),0)</f>
        <v/>
      </c>
      <c r="AA485" s="3">
        <f>N(S485)*IFERROR(VLOOKUP($C485,Assumptions!$A$4:$G$7,3,FALSE),0)*Assumptions!$B$11</f>
        <v/>
      </c>
      <c r="AB485" s="3">
        <f>N(N485)*IFERROR(VLOOKUP($C485,Assumptions!$A$4:$G$7,4,FALSE),0)</f>
        <v/>
      </c>
      <c r="AC485" s="3">
        <f>IF(N(U485)=0,0,V485*IFERROR(VLOOKUP($C485,Assumptions!$A$4:$G$7,5,FALSE),0)*90/N(U485))</f>
        <v/>
      </c>
      <c r="AD485" s="3">
        <f>N(W485)</f>
        <v/>
      </c>
      <c r="AE485" s="3">
        <f>SUM(Y485:AD485)</f>
        <v/>
      </c>
      <c r="AF485" s="3">
        <f>N(AE485)*N(M485)/90</f>
        <v/>
      </c>
      <c r="AG485" s="3">
        <f>IFERROR(AF485-VLOOKUP($C485,Assumptions!$A$29:$C$32,3,FALSE),"")</f>
        <v/>
      </c>
      <c r="AH485" s="3">
        <f>IFERROR(AG485/F485,"")</f>
        <v/>
      </c>
      <c r="AI485">
        <f>IF(AND($E485=TRUE,$C485="GKP"),AF485,"")</f>
        <v/>
      </c>
      <c r="AJ485">
        <f>IF(AND($E485=TRUE,$C485="DEF"),AF485,"")</f>
        <v/>
      </c>
      <c r="AK485">
        <f>IF(AND($E485=TRUE,$C485="MID"),AF485,"")</f>
        <v/>
      </c>
      <c r="AL485">
        <f>IF(AND($E485=TRUE,$C485="FWD"),AF485,"")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b">
        <v>1</v>
      </c>
      <c r="F486" s="2" t="n">
        <v>4</v>
      </c>
      <c r="G486" t="inlineStr">
        <is>
          <t>a</t>
        </is>
      </c>
      <c r="I486" s="2" t="n"/>
      <c r="K486" s="3" t="n">
        <v>3015</v>
      </c>
      <c r="L486" t="inlineStr">
        <is>
          <t>flat</t>
        </is>
      </c>
      <c r="M486" s="4" t="n"/>
      <c r="N486" s="4" t="n"/>
      <c r="O486" s="3" t="n"/>
      <c r="P486" t="inlineStr"/>
      <c r="Q486" s="3" t="n"/>
      <c r="R486" s="3" t="n"/>
      <c r="S486" s="3" t="n"/>
      <c r="T486" s="3" t="n"/>
      <c r="U486" s="4" t="n"/>
      <c r="V486" s="3">
        <f>IF(OR(N(T486)=0,N(U486)=0),0,1-POISSON(IFERROR(VLOOKUP($C486,Assumptions!$A$4:$G$7,7,FALSE),99)-1,N(T486)*N(U486)/90,TRUE))</f>
        <v/>
      </c>
      <c r="W486" s="3" t="n"/>
      <c r="X486" s="3" t="n"/>
      <c r="Y486" s="3">
        <f>IF(X486="",IFERROR(VLOOKUP($C486,Assumptions!$A$4:$G$7,6,FALSE),0),X486)</f>
        <v/>
      </c>
      <c r="Z486" s="3">
        <f>N(O486)*IFERROR(VLOOKUP($C486,Assumptions!$A$4:$G$7,2,FALSE),0)</f>
        <v/>
      </c>
      <c r="AA486" s="3">
        <f>N(S486)*IFERROR(VLOOKUP($C486,Assumptions!$A$4:$G$7,3,FALSE),0)*Assumptions!$B$11</f>
        <v/>
      </c>
      <c r="AB486" s="3">
        <f>N(N486)*IFERROR(VLOOKUP($C486,Assumptions!$A$4:$G$7,4,FALSE),0)</f>
        <v/>
      </c>
      <c r="AC486" s="3">
        <f>IF(N(U486)=0,0,V486*IFERROR(VLOOKUP($C486,Assumptions!$A$4:$G$7,5,FALSE),0)*90/N(U486))</f>
        <v/>
      </c>
      <c r="AD486" s="3">
        <f>N(W486)</f>
        <v/>
      </c>
      <c r="AE486" s="3">
        <f>SUM(Y486:AD486)</f>
        <v/>
      </c>
      <c r="AF486" s="3">
        <f>N(AE486)*N(M486)/90</f>
        <v/>
      </c>
      <c r="AG486" s="3">
        <f>IFERROR(AF486-VLOOKUP($C486,Assumptions!$A$29:$C$32,3,FALSE),"")</f>
        <v/>
      </c>
      <c r="AH486" s="3">
        <f>IFERROR(AG486/F486,"")</f>
        <v/>
      </c>
      <c r="AI486">
        <f>IF(AND($E486=TRUE,$C486="GKP"),AF486,"")</f>
        <v/>
      </c>
      <c r="AJ486">
        <f>IF(AND($E486=TRUE,$C486="DEF"),AF486,"")</f>
        <v/>
      </c>
      <c r="AK486">
        <f>IF(AND($E486=TRUE,$C486="MID"),AF486,"")</f>
        <v/>
      </c>
      <c r="AL486">
        <f>IF(AND($E486=TRUE,$C486="FWD"),AF486,"")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b">
        <v>1</v>
      </c>
      <c r="F487" s="2" t="n">
        <v>4.5</v>
      </c>
      <c r="G487" t="inlineStr">
        <is>
          <t>a</t>
        </is>
      </c>
      <c r="I487" s="2" t="n"/>
      <c r="K487" s="3" t="n">
        <v>35</v>
      </c>
      <c r="L487" t="inlineStr">
        <is>
          <t>flat</t>
        </is>
      </c>
      <c r="M487" s="4" t="n"/>
      <c r="N487" s="4" t="n"/>
      <c r="O487" s="3" t="n"/>
      <c r="P487" t="inlineStr"/>
      <c r="Q487" s="3" t="n"/>
      <c r="R487" s="3" t="n"/>
      <c r="S487" s="3" t="n"/>
      <c r="T487" s="3" t="n">
        <v>0</v>
      </c>
      <c r="U487" s="4" t="n"/>
      <c r="V487" s="3">
        <f>IF(OR(N(T487)=0,N(U487)=0),0,1-POISSON(IFERROR(VLOOKUP($C487,Assumptions!$A$4:$G$7,7,FALSE),99)-1,N(T487)*N(U487)/90,TRUE))</f>
        <v/>
      </c>
      <c r="W487" s="3" t="n"/>
      <c r="X487" s="3" t="n"/>
      <c r="Y487" s="3">
        <f>IF(X487="",IFERROR(VLOOKUP($C487,Assumptions!$A$4:$G$7,6,FALSE),0),X487)</f>
        <v/>
      </c>
      <c r="Z487" s="3">
        <f>N(O487)*IFERROR(VLOOKUP($C487,Assumptions!$A$4:$G$7,2,FALSE),0)</f>
        <v/>
      </c>
      <c r="AA487" s="3">
        <f>N(S487)*IFERROR(VLOOKUP($C487,Assumptions!$A$4:$G$7,3,FALSE),0)*Assumptions!$B$11</f>
        <v/>
      </c>
      <c r="AB487" s="3">
        <f>N(N487)*IFERROR(VLOOKUP($C487,Assumptions!$A$4:$G$7,4,FALSE),0)</f>
        <v/>
      </c>
      <c r="AC487" s="3">
        <f>IF(N(U487)=0,0,V487*IFERROR(VLOOKUP($C487,Assumptions!$A$4:$G$7,5,FALSE),0)*90/N(U487))</f>
        <v/>
      </c>
      <c r="AD487" s="3">
        <f>N(W487)</f>
        <v/>
      </c>
      <c r="AE487" s="3">
        <f>SUM(Y487:AD487)</f>
        <v/>
      </c>
      <c r="AF487" s="3">
        <f>N(AE487)*N(M487)/90</f>
        <v/>
      </c>
      <c r="AG487" s="3">
        <f>IFERROR(AF487-VLOOKUP($C487,Assumptions!$A$29:$C$32,3,FALSE),"")</f>
        <v/>
      </c>
      <c r="AH487" s="3">
        <f>IFERROR(AG487/F487,"")</f>
        <v/>
      </c>
      <c r="AI487">
        <f>IF(AND($E487=TRUE,$C487="GKP"),AF487,"")</f>
        <v/>
      </c>
      <c r="AJ487">
        <f>IF(AND($E487=TRUE,$C487="DEF"),AF487,"")</f>
        <v/>
      </c>
      <c r="AK487">
        <f>IF(AND($E487=TRUE,$C487="MID"),AF487,"")</f>
        <v/>
      </c>
      <c r="AL487">
        <f>IF(AND($E487=TRUE,$C487="FWD"),AF487,"")</f>
        <v/>
      </c>
    </row>
    <row r="488">
      <c r="A488" t="inlineStr">
        <is>
          <t>Solly March</t>
        </is>
      </c>
      <c r="D488" t="inlineStr">
        <is>
          <t>MID</t>
        </is>
      </c>
      <c r="E488" t="b">
        <v>0</v>
      </c>
      <c r="F488" s="2" t="n"/>
      <c r="I488" s="2" t="n">
        <v>38</v>
      </c>
      <c r="K488" s="3" t="n"/>
      <c r="M488" s="4" t="n">
        <v>38</v>
      </c>
      <c r="N488" s="4" t="n"/>
      <c r="O488" s="3" t="n">
        <v>0.1066</v>
      </c>
      <c r="P488" t="inlineStr">
        <is>
          <t>adjusted xGOT</t>
        </is>
      </c>
      <c r="Q488" s="3" t="n">
        <v>1.131</v>
      </c>
      <c r="R488" s="3" t="n">
        <v>9.199999999999999</v>
      </c>
      <c r="S488" s="3" t="n">
        <v>0</v>
      </c>
      <c r="T488" s="3" t="n">
        <v>8.741</v>
      </c>
      <c r="U488" s="4" t="n">
        <v>85</v>
      </c>
      <c r="V488" s="3">
        <f>IF(OR(N(T488)=0,N(U488)=0),0,1-POISSON(IFERROR(VLOOKUP($C488,Assumptions!$A$4:$G$7,7,FALSE),99)-1,N(T488)*N(U488)/90,TRUE))</f>
        <v/>
      </c>
      <c r="W488" s="3" t="n">
        <v>0</v>
      </c>
      <c r="X488" s="3" t="n">
        <v>9.474</v>
      </c>
      <c r="Y488" s="3">
        <f>IF(X488="",IFERROR(VLOOKUP($C488,Assumptions!$A$4:$G$7,6,FALSE),0),X488)</f>
        <v/>
      </c>
      <c r="Z488" s="3">
        <f>N(O488)*IFERROR(VLOOKUP($C488,Assumptions!$A$4:$G$7,2,FALSE),0)</f>
        <v/>
      </c>
      <c r="AA488" s="3">
        <f>N(S488)*IFERROR(VLOOKUP($C488,Assumptions!$A$4:$G$7,3,FALSE),0)*Assumptions!$B$11</f>
        <v/>
      </c>
      <c r="AB488" s="3">
        <f>N(N488)*IFERROR(VLOOKUP($C488,Assumptions!$A$4:$G$7,4,FALSE),0)</f>
        <v/>
      </c>
      <c r="AC488" s="3">
        <f>IF(N(U488)=0,0,V488*IFERROR(VLOOKUP($C488,Assumptions!$A$4:$G$7,5,FALSE),0)*90/N(U488))</f>
        <v/>
      </c>
      <c r="AD488" s="3">
        <f>N(W488)</f>
        <v/>
      </c>
      <c r="AE488" s="3">
        <f>SUM(Y488:AD488)</f>
        <v/>
      </c>
      <c r="AF488" s="3">
        <f>N(AE488)*N(M488)/90</f>
        <v/>
      </c>
      <c r="AG488" s="3">
        <f>IFERROR(AF488-VLOOKUP($C488,Assumptions!$A$29:$C$32,3,FALSE),"")</f>
        <v/>
      </c>
      <c r="AH488" s="3">
        <f>IFERROR(AG488/F488,"")</f>
        <v/>
      </c>
      <c r="AI488">
        <f>IF(AND($E488=TRUE,$C488="GKP"),AF488,"")</f>
        <v/>
      </c>
      <c r="AJ488">
        <f>IF(AND($E488=TRUE,$C488="DEF"),AF488,"")</f>
        <v/>
      </c>
      <c r="AK488">
        <f>IF(AND($E488=TRUE,$C488="MID"),AF488,"")</f>
        <v/>
      </c>
      <c r="AL488">
        <f>IF(AND($E488=TRUE,$C488="FWD"),AF488,"")</f>
        <v/>
      </c>
    </row>
    <row r="489">
      <c r="A489" t="inlineStr">
        <is>
          <t>Bertrand Traoré</t>
        </is>
      </c>
      <c r="D489" t="inlineStr">
        <is>
          <t>MID</t>
        </is>
      </c>
      <c r="E489" t="b">
        <v>0</v>
      </c>
      <c r="F489" s="2" t="n"/>
      <c r="I489" s="2" t="n">
        <v>638</v>
      </c>
      <c r="K489" s="3" t="n"/>
      <c r="M489" s="4" t="n">
        <v>638</v>
      </c>
      <c r="N489" s="4" t="n"/>
      <c r="O489" s="3" t="n">
        <v>0.0814</v>
      </c>
      <c r="P489" t="inlineStr">
        <is>
          <t>adjusted xGOT</t>
        </is>
      </c>
      <c r="Q489" s="3" t="n">
        <v>1.203</v>
      </c>
      <c r="R489" s="3" t="n">
        <v>1.2</v>
      </c>
      <c r="S489" s="3" t="n">
        <v>0.1395</v>
      </c>
      <c r="T489" s="3" t="n">
        <v>7.22</v>
      </c>
      <c r="U489" s="4" t="n">
        <v>70.40000000000001</v>
      </c>
      <c r="V489" s="3">
        <f>IF(OR(N(T489)=0,N(U489)=0),0,1-POISSON(IFERROR(VLOOKUP($C489,Assumptions!$A$4:$G$7,7,FALSE),99)-1,N(T489)*N(U489)/90,TRUE))</f>
        <v/>
      </c>
      <c r="W489" s="3" t="n">
        <v>0.1411</v>
      </c>
      <c r="X489" s="3" t="n">
        <v>2.68</v>
      </c>
      <c r="Y489" s="3">
        <f>IF(X489="",IFERROR(VLOOKUP($C489,Assumptions!$A$4:$G$7,6,FALSE),0),X489)</f>
        <v/>
      </c>
      <c r="Z489" s="3">
        <f>N(O489)*IFERROR(VLOOKUP($C489,Assumptions!$A$4:$G$7,2,FALSE),0)</f>
        <v/>
      </c>
      <c r="AA489" s="3">
        <f>N(S489)*IFERROR(VLOOKUP($C489,Assumptions!$A$4:$G$7,3,FALSE),0)*Assumptions!$B$11</f>
        <v/>
      </c>
      <c r="AB489" s="3">
        <f>N(N489)*IFERROR(VLOOKUP($C489,Assumptions!$A$4:$G$7,4,FALSE),0)</f>
        <v/>
      </c>
      <c r="AC489" s="3">
        <f>IF(N(U489)=0,0,V489*IFERROR(VLOOKUP($C489,Assumptions!$A$4:$G$7,5,FALSE),0)*90/N(U489))</f>
        <v/>
      </c>
      <c r="AD489" s="3">
        <f>N(W489)</f>
        <v/>
      </c>
      <c r="AE489" s="3">
        <f>SUM(Y489:AD489)</f>
        <v/>
      </c>
      <c r="AF489" s="3">
        <f>N(AE489)*N(M489)/90</f>
        <v/>
      </c>
      <c r="AG489" s="3">
        <f>IFERROR(AF489-VLOOKUP($C489,Assumptions!$A$29:$C$32,3,FALSE),"")</f>
        <v/>
      </c>
      <c r="AH489" s="3">
        <f>IFERROR(AG489/F489,"")</f>
        <v/>
      </c>
      <c r="AI489">
        <f>IF(AND($E489=TRUE,$C489="GKP"),AF489,"")</f>
        <v/>
      </c>
      <c r="AJ489">
        <f>IF(AND($E489=TRUE,$C489="DEF"),AF489,"")</f>
        <v/>
      </c>
      <c r="AK489">
        <f>IF(AND($E489=TRUE,$C489="MID"),AF489,"")</f>
        <v/>
      </c>
      <c r="AL489">
        <f>IF(AND($E489=TRUE,$C489="FWD"),AF489,"")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b">
        <v>1</v>
      </c>
      <c r="F490" s="2" t="n">
        <v>4.5</v>
      </c>
      <c r="G490" t="inlineStr">
        <is>
          <t>a</t>
        </is>
      </c>
      <c r="I490" s="2" t="n"/>
      <c r="K490" s="3" t="n">
        <v>35</v>
      </c>
      <c r="L490" t="inlineStr">
        <is>
          <t>flat</t>
        </is>
      </c>
      <c r="M490" s="4" t="n"/>
      <c r="N490" s="4" t="n"/>
      <c r="O490" s="3" t="n"/>
      <c r="P490" t="inlineStr"/>
      <c r="Q490" s="3" t="n"/>
      <c r="R490" s="3" t="n"/>
      <c r="S490" s="3" t="n"/>
      <c r="T490" s="3" t="n">
        <v>0</v>
      </c>
      <c r="U490" s="4" t="n"/>
      <c r="V490" s="3">
        <f>IF(OR(N(T490)=0,N(U490)=0),0,1-POISSON(IFERROR(VLOOKUP($C490,Assumptions!$A$4:$G$7,7,FALSE),99)-1,N(T490)*N(U490)/90,TRUE))</f>
        <v/>
      </c>
      <c r="W490" s="3" t="n"/>
      <c r="X490" s="3" t="n"/>
      <c r="Y490" s="3">
        <f>IF(X490="",IFERROR(VLOOKUP($C490,Assumptions!$A$4:$G$7,6,FALSE),0),X490)</f>
        <v/>
      </c>
      <c r="Z490" s="3">
        <f>N(O490)*IFERROR(VLOOKUP($C490,Assumptions!$A$4:$G$7,2,FALSE),0)</f>
        <v/>
      </c>
      <c r="AA490" s="3">
        <f>N(S490)*IFERROR(VLOOKUP($C490,Assumptions!$A$4:$G$7,3,FALSE),0)*Assumptions!$B$11</f>
        <v/>
      </c>
      <c r="AB490" s="3">
        <f>N(N490)*IFERROR(VLOOKUP($C490,Assumptions!$A$4:$G$7,4,FALSE),0)</f>
        <v/>
      </c>
      <c r="AC490" s="3">
        <f>IF(N(U490)=0,0,V490*IFERROR(VLOOKUP($C490,Assumptions!$A$4:$G$7,5,FALSE),0)*90/N(U490))</f>
        <v/>
      </c>
      <c r="AD490" s="3">
        <f>N(W490)</f>
        <v/>
      </c>
      <c r="AE490" s="3">
        <f>SUM(Y490:AD490)</f>
        <v/>
      </c>
      <c r="AF490" s="3">
        <f>N(AE490)*N(M490)/90</f>
        <v/>
      </c>
      <c r="AG490" s="3">
        <f>IFERROR(AF490-VLOOKUP($C490,Assumptions!$A$29:$C$32,3,FALSE),"")</f>
        <v/>
      </c>
      <c r="AH490" s="3">
        <f>IFERROR(AG490/F490,"")</f>
        <v/>
      </c>
      <c r="AI490">
        <f>IF(AND($E490=TRUE,$C490="GKP"),AF490,"")</f>
        <v/>
      </c>
      <c r="AJ490">
        <f>IF(AND($E490=TRUE,$C490="DEF"),AF490,"")</f>
        <v/>
      </c>
      <c r="AK490">
        <f>IF(AND($E490=TRUE,$C490="MID"),AF490,"")</f>
        <v/>
      </c>
      <c r="AL490">
        <f>IF(AND($E490=TRUE,$C490="FWD"),AF490,"")</f>
        <v/>
      </c>
    </row>
    <row r="491">
      <c r="A491" t="inlineStr">
        <is>
          <t>Joël Veltman</t>
        </is>
      </c>
      <c r="D491" t="inlineStr">
        <is>
          <t>DEF</t>
        </is>
      </c>
      <c r="E491" t="b">
        <v>0</v>
      </c>
      <c r="F491" s="2" t="n"/>
      <c r="I491" s="2" t="n">
        <v>1050</v>
      </c>
      <c r="K491" s="3" t="n"/>
      <c r="M491" s="4" t="n">
        <v>1050</v>
      </c>
      <c r="N491" s="4" t="n"/>
      <c r="O491" s="3" t="n">
        <v>0.0961</v>
      </c>
      <c r="P491" t="inlineStr">
        <is>
          <t>adjusted xGOT</t>
        </is>
      </c>
      <c r="Q491" s="3" t="n">
        <v>0.975</v>
      </c>
      <c r="R491" s="3" t="n">
        <v>3.8</v>
      </c>
      <c r="S491" s="3" t="n">
        <v>0.0216</v>
      </c>
      <c r="T491" s="3" t="n">
        <v>8.173999999999999</v>
      </c>
      <c r="U491" s="4" t="n">
        <v>116.3</v>
      </c>
      <c r="V491" s="3">
        <f>IF(OR(N(T491)=0,N(U491)=0),0,1-POISSON(IFERROR(VLOOKUP($C491,Assumptions!$A$4:$G$7,7,FALSE),99)-1,N(T491)*N(U491)/90,TRUE))</f>
        <v/>
      </c>
      <c r="W491" s="3" t="n">
        <v>0</v>
      </c>
      <c r="X491" s="3" t="n">
        <v>2.829</v>
      </c>
      <c r="Y491" s="3">
        <f>IF(X491="",IFERROR(VLOOKUP($C491,Assumptions!$A$4:$G$7,6,FALSE),0),X491)</f>
        <v/>
      </c>
      <c r="Z491" s="3">
        <f>N(O491)*IFERROR(VLOOKUP($C491,Assumptions!$A$4:$G$7,2,FALSE),0)</f>
        <v/>
      </c>
      <c r="AA491" s="3">
        <f>N(S491)*IFERROR(VLOOKUP($C491,Assumptions!$A$4:$G$7,3,FALSE),0)*Assumptions!$B$11</f>
        <v/>
      </c>
      <c r="AB491" s="3">
        <f>N(N491)*IFERROR(VLOOKUP($C491,Assumptions!$A$4:$G$7,4,FALSE),0)</f>
        <v/>
      </c>
      <c r="AC491" s="3">
        <f>IF(N(U491)=0,0,V491*IFERROR(VLOOKUP($C491,Assumptions!$A$4:$G$7,5,FALSE),0)*90/N(U491))</f>
        <v/>
      </c>
      <c r="AD491" s="3">
        <f>N(W491)</f>
        <v/>
      </c>
      <c r="AE491" s="3">
        <f>SUM(Y491:AD491)</f>
        <v/>
      </c>
      <c r="AF491" s="3">
        <f>N(AE491)*N(M491)/90</f>
        <v/>
      </c>
      <c r="AG491" s="3">
        <f>IFERROR(AF491-VLOOKUP($C491,Assumptions!$A$29:$C$32,3,FALSE),"")</f>
        <v/>
      </c>
      <c r="AH491" s="3">
        <f>IFERROR(AG491/F491,"")</f>
        <v/>
      </c>
      <c r="AI491">
        <f>IF(AND($E491=TRUE,$C491="GKP"),AF491,"")</f>
        <v/>
      </c>
      <c r="AJ491">
        <f>IF(AND($E491=TRUE,$C491="DEF"),AF491,"")</f>
        <v/>
      </c>
      <c r="AK491">
        <f>IF(AND($E491=TRUE,$C491="MID"),AF491,"")</f>
        <v/>
      </c>
      <c r="AL491">
        <f>IF(AND($E491=TRUE,$C491="FWD"),AF491,"")</f>
        <v/>
      </c>
    </row>
    <row r="492">
      <c r="A492" t="inlineStr">
        <is>
          <t>Emil Krafth</t>
        </is>
      </c>
      <c r="D492" t="inlineStr">
        <is>
          <t>DEF</t>
        </is>
      </c>
      <c r="E492" t="b">
        <v>0</v>
      </c>
      <c r="F492" s="2" t="n"/>
      <c r="I492" s="2" t="n">
        <v>45</v>
      </c>
      <c r="K492" s="3" t="n"/>
      <c r="M492" s="4" t="n">
        <v>45</v>
      </c>
      <c r="N492" s="4" t="n"/>
      <c r="O492" s="3" t="n">
        <v>0</v>
      </c>
      <c r="P492" t="inlineStr">
        <is>
          <t>adjusted xGOT</t>
        </is>
      </c>
      <c r="Q492" s="3" t="n">
        <v>0.971</v>
      </c>
      <c r="R492" s="3" t="n">
        <v>0.2</v>
      </c>
      <c r="S492" s="3" t="n">
        <v>0</v>
      </c>
      <c r="T492" s="3" t="n">
        <v>7.351</v>
      </c>
      <c r="U492" s="4" t="n">
        <v>45</v>
      </c>
      <c r="V492" s="3">
        <f>IF(OR(N(T492)=0,N(U492)=0),0,1-POISSON(IFERROR(VLOOKUP($C492,Assumptions!$A$4:$G$7,7,FALSE),99)-1,N(T492)*N(U492)/90,TRUE))</f>
        <v/>
      </c>
      <c r="W492" s="3" t="n">
        <v>0</v>
      </c>
      <c r="X492" s="3" t="n">
        <v>2</v>
      </c>
      <c r="Y492" s="3">
        <f>IF(X492="",IFERROR(VLOOKUP($C492,Assumptions!$A$4:$G$7,6,FALSE),0),X492)</f>
        <v/>
      </c>
      <c r="Z492" s="3">
        <f>N(O492)*IFERROR(VLOOKUP($C492,Assumptions!$A$4:$G$7,2,FALSE),0)</f>
        <v/>
      </c>
      <c r="AA492" s="3">
        <f>N(S492)*IFERROR(VLOOKUP($C492,Assumptions!$A$4:$G$7,3,FALSE),0)*Assumptions!$B$11</f>
        <v/>
      </c>
      <c r="AB492" s="3">
        <f>N(N492)*IFERROR(VLOOKUP($C492,Assumptions!$A$4:$G$7,4,FALSE),0)</f>
        <v/>
      </c>
      <c r="AC492" s="3">
        <f>IF(N(U492)=0,0,V492*IFERROR(VLOOKUP($C492,Assumptions!$A$4:$G$7,5,FALSE),0)*90/N(U492))</f>
        <v/>
      </c>
      <c r="AD492" s="3">
        <f>N(W492)</f>
        <v/>
      </c>
      <c r="AE492" s="3">
        <f>SUM(Y492:AD492)</f>
        <v/>
      </c>
      <c r="AF492" s="3">
        <f>N(AE492)*N(M492)/90</f>
        <v/>
      </c>
      <c r="AG492" s="3">
        <f>IFERROR(AF492-VLOOKUP($C492,Assumptions!$A$29:$C$32,3,FALSE),"")</f>
        <v/>
      </c>
      <c r="AH492" s="3">
        <f>IFERROR(AG492/F492,"")</f>
        <v/>
      </c>
      <c r="AI492">
        <f>IF(AND($E492=TRUE,$C492="GKP"),AF492,"")</f>
        <v/>
      </c>
      <c r="AJ492">
        <f>IF(AND($E492=TRUE,$C492="DEF"),AF492,"")</f>
        <v/>
      </c>
      <c r="AK492">
        <f>IF(AND($E492=TRUE,$C492="MID"),AF492,"")</f>
        <v/>
      </c>
      <c r="AL492">
        <f>IF(AND($E492=TRUE,$C492="FWD"),AF492,"")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b">
        <v>1</v>
      </c>
      <c r="F493" s="2" t="n">
        <v>4</v>
      </c>
      <c r="G493" t="inlineStr">
        <is>
          <t>a</t>
        </is>
      </c>
      <c r="I493" s="2" t="n"/>
      <c r="K493" s="3" t="n">
        <v>34</v>
      </c>
      <c r="L493" t="inlineStr">
        <is>
          <t>flat</t>
        </is>
      </c>
      <c r="M493" s="4" t="n"/>
      <c r="N493" s="4" t="n"/>
      <c r="O493" s="3" t="n"/>
      <c r="P493" t="inlineStr"/>
      <c r="Q493" s="3" t="n"/>
      <c r="R493" s="3" t="n"/>
      <c r="S493" s="3" t="n"/>
      <c r="T493" s="3" t="n">
        <v>0</v>
      </c>
      <c r="U493" s="4" t="n"/>
      <c r="V493" s="3">
        <f>IF(OR(N(T493)=0,N(U493)=0),0,1-POISSON(IFERROR(VLOOKUP($C493,Assumptions!$A$4:$G$7,7,FALSE),99)-1,N(T493)*N(U493)/90,TRUE))</f>
        <v/>
      </c>
      <c r="W493" s="3" t="n"/>
      <c r="X493" s="3" t="n"/>
      <c r="Y493" s="3">
        <f>IF(X493="",IFERROR(VLOOKUP($C493,Assumptions!$A$4:$G$7,6,FALSE),0),X493)</f>
        <v/>
      </c>
      <c r="Z493" s="3">
        <f>N(O493)*IFERROR(VLOOKUP($C493,Assumptions!$A$4:$G$7,2,FALSE),0)</f>
        <v/>
      </c>
      <c r="AA493" s="3">
        <f>N(S493)*IFERROR(VLOOKUP($C493,Assumptions!$A$4:$G$7,3,FALSE),0)*Assumptions!$B$11</f>
        <v/>
      </c>
      <c r="AB493" s="3">
        <f>N(N493)*IFERROR(VLOOKUP($C493,Assumptions!$A$4:$G$7,4,FALSE),0)</f>
        <v/>
      </c>
      <c r="AC493" s="3">
        <f>IF(N(U493)=0,0,V493*IFERROR(VLOOKUP($C493,Assumptions!$A$4:$G$7,5,FALSE),0)*90/N(U493))</f>
        <v/>
      </c>
      <c r="AD493" s="3">
        <f>N(W493)</f>
        <v/>
      </c>
      <c r="AE493" s="3">
        <f>SUM(Y493:AD493)</f>
        <v/>
      </c>
      <c r="AF493" s="3">
        <f>N(AE493)*N(M493)/90</f>
        <v/>
      </c>
      <c r="AG493" s="3">
        <f>IFERROR(AF493-VLOOKUP($C493,Assumptions!$A$29:$C$32,3,FALSE),"")</f>
        <v/>
      </c>
      <c r="AH493" s="3">
        <f>IFERROR(AG493/F493,"")</f>
        <v/>
      </c>
      <c r="AI493">
        <f>IF(AND($E493=TRUE,$C493="GKP"),AF493,"")</f>
        <v/>
      </c>
      <c r="AJ493">
        <f>IF(AND($E493=TRUE,$C493="DEF"),AF493,"")</f>
        <v/>
      </c>
      <c r="AK493">
        <f>IF(AND($E493=TRUE,$C493="MID"),AF493,"")</f>
        <v/>
      </c>
      <c r="AL493">
        <f>IF(AND($E493=TRUE,$C493="FWD"),AF493,"")</f>
        <v/>
      </c>
    </row>
    <row r="494">
      <c r="A494" t="inlineStr">
        <is>
          <t>Sam Byram</t>
        </is>
      </c>
      <c r="D494" t="inlineStr">
        <is>
          <t>DEF</t>
        </is>
      </c>
      <c r="E494" t="b">
        <v>0</v>
      </c>
      <c r="F494" s="2" t="n"/>
      <c r="I494" s="2" t="n">
        <v>8</v>
      </c>
      <c r="K494" s="3" t="n"/>
      <c r="M494" s="4" t="n">
        <v>8</v>
      </c>
      <c r="N494" s="4" t="n"/>
      <c r="O494" s="3" t="n">
        <v>0</v>
      </c>
      <c r="P494" t="inlineStr">
        <is>
          <t>blended xG</t>
        </is>
      </c>
      <c r="Q494" s="3" t="n">
        <v>1</v>
      </c>
      <c r="R494" s="3" t="n">
        <v>0</v>
      </c>
      <c r="S494" s="3" t="n">
        <v>0</v>
      </c>
      <c r="T494" s="3" t="n">
        <v>7.971</v>
      </c>
      <c r="U494" s="4" t="n">
        <v>85</v>
      </c>
      <c r="V494" s="3">
        <f>IF(OR(N(T494)=0,N(U494)=0),0,1-POISSON(IFERROR(VLOOKUP($C494,Assumptions!$A$4:$G$7,7,FALSE),99)-1,N(T494)*N(U494)/90,TRUE))</f>
        <v/>
      </c>
      <c r="W494" s="3" t="n">
        <v>0</v>
      </c>
      <c r="X494" s="3" t="n">
        <v>22.5</v>
      </c>
      <c r="Y494" s="3">
        <f>IF(X494="",IFERROR(VLOOKUP($C494,Assumptions!$A$4:$G$7,6,FALSE),0),X494)</f>
        <v/>
      </c>
      <c r="Z494" s="3">
        <f>N(O494)*IFERROR(VLOOKUP($C494,Assumptions!$A$4:$G$7,2,FALSE),0)</f>
        <v/>
      </c>
      <c r="AA494" s="3">
        <f>N(S494)*IFERROR(VLOOKUP($C494,Assumptions!$A$4:$G$7,3,FALSE),0)*Assumptions!$B$11</f>
        <v/>
      </c>
      <c r="AB494" s="3">
        <f>N(N494)*IFERROR(VLOOKUP($C494,Assumptions!$A$4:$G$7,4,FALSE),0)</f>
        <v/>
      </c>
      <c r="AC494" s="3">
        <f>IF(N(U494)=0,0,V494*IFERROR(VLOOKUP($C494,Assumptions!$A$4:$G$7,5,FALSE),0)*90/N(U494))</f>
        <v/>
      </c>
      <c r="AD494" s="3">
        <f>N(W494)</f>
        <v/>
      </c>
      <c r="AE494" s="3">
        <f>SUM(Y494:AD494)</f>
        <v/>
      </c>
      <c r="AF494" s="3">
        <f>N(AE494)*N(M494)/90</f>
        <v/>
      </c>
      <c r="AG494" s="3">
        <f>IFERROR(AF494-VLOOKUP($C494,Assumptions!$A$29:$C$32,3,FALSE),"")</f>
        <v/>
      </c>
      <c r="AH494" s="3">
        <f>IFERROR(AG494/F494,"")</f>
        <v/>
      </c>
      <c r="AI494">
        <f>IF(AND($E494=TRUE,$C494="GKP"),AF494,"")</f>
        <v/>
      </c>
      <c r="AJ494">
        <f>IF(AND($E494=TRUE,$C494="DEF"),AF494,"")</f>
        <v/>
      </c>
      <c r="AK494">
        <f>IF(AND($E494=TRUE,$C494="MID"),AF494,"")</f>
        <v/>
      </c>
      <c r="AL494">
        <f>IF(AND($E494=TRUE,$C494="FWD"),AF494,"")</f>
        <v/>
      </c>
    </row>
    <row r="495">
      <c r="A495" t="inlineStr">
        <is>
          <t>Leandro Trossard</t>
        </is>
      </c>
      <c r="D495" t="inlineStr">
        <is>
          <t>MID</t>
        </is>
      </c>
      <c r="E495" t="b">
        <v>0</v>
      </c>
      <c r="F495" s="2" t="n"/>
      <c r="I495" s="2" t="n">
        <v>2006</v>
      </c>
      <c r="K495" s="3" t="n"/>
      <c r="M495" s="4" t="n">
        <v>2006</v>
      </c>
      <c r="N495" s="4" t="n"/>
      <c r="O495" s="3" t="n">
        <v>0.2556</v>
      </c>
      <c r="P495" t="inlineStr">
        <is>
          <t>adjusted xGOT</t>
        </is>
      </c>
      <c r="Q495" s="3" t="n">
        <v>1.017</v>
      </c>
      <c r="R495" s="3" t="n">
        <v>27</v>
      </c>
      <c r="S495" s="3" t="n">
        <v>0.2238</v>
      </c>
      <c r="T495" s="3" t="n">
        <v>6.678</v>
      </c>
      <c r="U495" s="4" t="n">
        <v>95.09999999999999</v>
      </c>
      <c r="V495" s="3">
        <f>IF(OR(N(T495)=0,N(U495)=0),0,1-POISSON(IFERROR(VLOOKUP($C495,Assumptions!$A$4:$G$7,7,FALSE),99)-1,N(T495)*N(U495)/90,TRUE))</f>
        <v/>
      </c>
      <c r="W495" s="3" t="n">
        <v>0.4935</v>
      </c>
      <c r="X495" s="3" t="n">
        <v>2.288</v>
      </c>
      <c r="Y495" s="3">
        <f>IF(X495="",IFERROR(VLOOKUP($C495,Assumptions!$A$4:$G$7,6,FALSE),0),X495)</f>
        <v/>
      </c>
      <c r="Z495" s="3">
        <f>N(O495)*IFERROR(VLOOKUP($C495,Assumptions!$A$4:$G$7,2,FALSE),0)</f>
        <v/>
      </c>
      <c r="AA495" s="3">
        <f>N(S495)*IFERROR(VLOOKUP($C495,Assumptions!$A$4:$G$7,3,FALSE),0)*Assumptions!$B$11</f>
        <v/>
      </c>
      <c r="AB495" s="3">
        <f>N(N495)*IFERROR(VLOOKUP($C495,Assumptions!$A$4:$G$7,4,FALSE),0)</f>
        <v/>
      </c>
      <c r="AC495" s="3">
        <f>IF(N(U495)=0,0,V495*IFERROR(VLOOKUP($C495,Assumptions!$A$4:$G$7,5,FALSE),0)*90/N(U495))</f>
        <v/>
      </c>
      <c r="AD495" s="3">
        <f>N(W495)</f>
        <v/>
      </c>
      <c r="AE495" s="3">
        <f>SUM(Y495:AD495)</f>
        <v/>
      </c>
      <c r="AF495" s="3">
        <f>N(AE495)*N(M495)/90</f>
        <v/>
      </c>
      <c r="AG495" s="3">
        <f>IFERROR(AF495-VLOOKUP($C495,Assumptions!$A$29:$C$32,3,FALSE),"")</f>
        <v/>
      </c>
      <c r="AH495" s="3">
        <f>IFERROR(AG495/F495,"")</f>
        <v/>
      </c>
      <c r="AI495">
        <f>IF(AND($E495=TRUE,$C495="GKP"),AF495,"")</f>
        <v/>
      </c>
      <c r="AJ495">
        <f>IF(AND($E495=TRUE,$C495="DEF"),AF495,"")</f>
        <v/>
      </c>
      <c r="AK495">
        <f>IF(AND($E495=TRUE,$C495="MID"),AF495,"")</f>
        <v/>
      </c>
      <c r="AL495">
        <f>IF(AND($E495=TRUE,$C495="FWD"),AF495,"")</f>
        <v/>
      </c>
    </row>
    <row r="496">
      <c r="A496" t="inlineStr">
        <is>
          <t>Mohamed Salah</t>
        </is>
      </c>
      <c r="D496" t="inlineStr">
        <is>
          <t>MID</t>
        </is>
      </c>
      <c r="E496" t="b">
        <v>0</v>
      </c>
      <c r="F496" s="2" t="n"/>
      <c r="I496" s="2" t="n">
        <v>2148</v>
      </c>
      <c r="K496" s="3" t="n"/>
      <c r="M496" s="4" t="n">
        <v>2148</v>
      </c>
      <c r="N496" s="4" t="n"/>
      <c r="O496" s="3" t="n">
        <v>0.3339</v>
      </c>
      <c r="P496" t="inlineStr">
        <is>
          <t>adjusted xGOT</t>
        </is>
      </c>
      <c r="Q496" s="3" t="n">
        <v>0.968</v>
      </c>
      <c r="R496" s="3" t="n">
        <v>74.8</v>
      </c>
      <c r="S496" s="3" t="n">
        <v>0.2693</v>
      </c>
      <c r="T496" s="3" t="n">
        <v>5.582</v>
      </c>
      <c r="U496" s="4" t="n">
        <v>93.2</v>
      </c>
      <c r="V496" s="3">
        <f>IF(OR(N(T496)=0,N(U496)=0),0,1-POISSON(IFERROR(VLOOKUP($C496,Assumptions!$A$4:$G$7,7,FALSE),99)-1,N(T496)*N(U496)/90,TRUE))</f>
        <v/>
      </c>
      <c r="W496" s="3" t="n">
        <v>0.5447</v>
      </c>
      <c r="X496" s="3" t="n">
        <v>2.095</v>
      </c>
      <c r="Y496" s="3">
        <f>IF(X496="",IFERROR(VLOOKUP($C496,Assumptions!$A$4:$G$7,6,FALSE),0),X496)</f>
        <v/>
      </c>
      <c r="Z496" s="3">
        <f>N(O496)*IFERROR(VLOOKUP($C496,Assumptions!$A$4:$G$7,2,FALSE),0)</f>
        <v/>
      </c>
      <c r="AA496" s="3">
        <f>N(S496)*IFERROR(VLOOKUP($C496,Assumptions!$A$4:$G$7,3,FALSE),0)*Assumptions!$B$11</f>
        <v/>
      </c>
      <c r="AB496" s="3">
        <f>N(N496)*IFERROR(VLOOKUP($C496,Assumptions!$A$4:$G$7,4,FALSE),0)</f>
        <v/>
      </c>
      <c r="AC496" s="3">
        <f>IF(N(U496)=0,0,V496*IFERROR(VLOOKUP($C496,Assumptions!$A$4:$G$7,5,FALSE),0)*90/N(U496))</f>
        <v/>
      </c>
      <c r="AD496" s="3">
        <f>N(W496)</f>
        <v/>
      </c>
      <c r="AE496" s="3">
        <f>SUM(Y496:AD496)</f>
        <v/>
      </c>
      <c r="AF496" s="3">
        <f>N(AE496)*N(M496)/90</f>
        <v/>
      </c>
      <c r="AG496" s="3">
        <f>IFERROR(AF496-VLOOKUP($C496,Assumptions!$A$29:$C$32,3,FALSE),"")</f>
        <v/>
      </c>
      <c r="AH496" s="3">
        <f>IFERROR(AG496/F496,"")</f>
        <v/>
      </c>
      <c r="AI496">
        <f>IF(AND($E496=TRUE,$C496="GKP"),AF496,"")</f>
        <v/>
      </c>
      <c r="AJ496">
        <f>IF(AND($E496=TRUE,$C496="DEF"),AF496,"")</f>
        <v/>
      </c>
      <c r="AK496">
        <f>IF(AND($E496=TRUE,$C496="MID"),AF496,"")</f>
        <v/>
      </c>
      <c r="AL496">
        <f>IF(AND($E496=TRUE,$C496="FWD"),AF496,"")</f>
        <v/>
      </c>
    </row>
    <row r="497">
      <c r="A497" t="inlineStr">
        <is>
          <t>Patrick Roberts</t>
        </is>
      </c>
      <c r="D497" t="inlineStr">
        <is>
          <t>MID</t>
        </is>
      </c>
      <c r="E497" t="b">
        <v>0</v>
      </c>
      <c r="F497" s="2" t="n"/>
      <c r="I497" s="2" t="n">
        <v>27</v>
      </c>
      <c r="K497" s="3" t="n"/>
      <c r="M497" s="4" t="n">
        <v>27</v>
      </c>
      <c r="N497" s="4" t="n"/>
      <c r="O497" s="3" t="n">
        <v>0.1</v>
      </c>
      <c r="P497" t="inlineStr">
        <is>
          <t>adjusted xGOT</t>
        </is>
      </c>
      <c r="Q497" s="3" t="n">
        <v>0.996</v>
      </c>
      <c r="R497" s="3" t="n">
        <v>0</v>
      </c>
      <c r="S497" s="3" t="n">
        <v>0</v>
      </c>
      <c r="T497" s="3" t="n">
        <v>8.387</v>
      </c>
      <c r="U497" s="4" t="n">
        <v>85</v>
      </c>
      <c r="V497" s="3">
        <f>IF(OR(N(T497)=0,N(U497)=0),0,1-POISSON(IFERROR(VLOOKUP($C497,Assumptions!$A$4:$G$7,7,FALSE),99)-1,N(T497)*N(U497)/90,TRUE))</f>
        <v/>
      </c>
      <c r="W497" s="3" t="n">
        <v>0</v>
      </c>
      <c r="X497" s="3" t="n">
        <v>3.333</v>
      </c>
      <c r="Y497" s="3">
        <f>IF(X497="",IFERROR(VLOOKUP($C497,Assumptions!$A$4:$G$7,6,FALSE),0),X497)</f>
        <v/>
      </c>
      <c r="Z497" s="3">
        <f>N(O497)*IFERROR(VLOOKUP($C497,Assumptions!$A$4:$G$7,2,FALSE),0)</f>
        <v/>
      </c>
      <c r="AA497" s="3">
        <f>N(S497)*IFERROR(VLOOKUP($C497,Assumptions!$A$4:$G$7,3,FALSE),0)*Assumptions!$B$11</f>
        <v/>
      </c>
      <c r="AB497" s="3">
        <f>N(N497)*IFERROR(VLOOKUP($C497,Assumptions!$A$4:$G$7,4,FALSE),0)</f>
        <v/>
      </c>
      <c r="AC497" s="3">
        <f>IF(N(U497)=0,0,V497*IFERROR(VLOOKUP($C497,Assumptions!$A$4:$G$7,5,FALSE),0)*90/N(U497))</f>
        <v/>
      </c>
      <c r="AD497" s="3">
        <f>N(W497)</f>
        <v/>
      </c>
      <c r="AE497" s="3">
        <f>SUM(Y497:AD497)</f>
        <v/>
      </c>
      <c r="AF497" s="3">
        <f>N(AE497)*N(M497)/90</f>
        <v/>
      </c>
      <c r="AG497" s="3">
        <f>IFERROR(AF497-VLOOKUP($C497,Assumptions!$A$29:$C$32,3,FALSE),"")</f>
        <v/>
      </c>
      <c r="AH497" s="3">
        <f>IFERROR(AG497/F497,"")</f>
        <v/>
      </c>
      <c r="AI497">
        <f>IF(AND($E497=TRUE,$C497="GKP"),AF497,"")</f>
        <v/>
      </c>
      <c r="AJ497">
        <f>IF(AND($E497=TRUE,$C497="DEF"),AF497,"")</f>
        <v/>
      </c>
      <c r="AK497">
        <f>IF(AND($E497=TRUE,$C497="MID"),AF497,"")</f>
        <v/>
      </c>
      <c r="AL497">
        <f>IF(AND($E497=TRUE,$C497="FWD"),AF497,"")</f>
        <v/>
      </c>
    </row>
    <row r="498">
      <c r="A498" t="inlineStr">
        <is>
          <t>Nathan Aké</t>
        </is>
      </c>
      <c r="D498" t="inlineStr">
        <is>
          <t>DEF</t>
        </is>
      </c>
      <c r="E498" t="b">
        <v>0</v>
      </c>
      <c r="F498" s="2" t="n"/>
      <c r="I498" s="2" t="n">
        <v>688</v>
      </c>
      <c r="K498" s="3" t="n"/>
      <c r="M498" s="4" t="n">
        <v>688</v>
      </c>
      <c r="N498" s="4" t="n"/>
      <c r="O498" s="3" t="n">
        <v>0.0793</v>
      </c>
      <c r="P498" t="inlineStr">
        <is>
          <t>adjusted xGOT</t>
        </is>
      </c>
      <c r="Q498" s="3" t="n">
        <v>0.841</v>
      </c>
      <c r="R498" s="3" t="n">
        <v>5</v>
      </c>
      <c r="S498" s="3" t="n">
        <v>0.0931</v>
      </c>
      <c r="T498" s="3" t="n">
        <v>6.88</v>
      </c>
      <c r="U498" s="4" t="n">
        <v>114.3</v>
      </c>
      <c r="V498" s="3">
        <f>IF(OR(N(T498)=0,N(U498)=0),0,1-POISSON(IFERROR(VLOOKUP($C498,Assumptions!$A$4:$G$7,7,FALSE),99)-1,N(T498)*N(U498)/90,TRUE))</f>
        <v/>
      </c>
      <c r="W498" s="3" t="n">
        <v>0</v>
      </c>
      <c r="X498" s="3" t="n">
        <v>3.27</v>
      </c>
      <c r="Y498" s="3">
        <f>IF(X498="",IFERROR(VLOOKUP($C498,Assumptions!$A$4:$G$7,6,FALSE),0),X498)</f>
        <v/>
      </c>
      <c r="Z498" s="3">
        <f>N(O498)*IFERROR(VLOOKUP($C498,Assumptions!$A$4:$G$7,2,FALSE),0)</f>
        <v/>
      </c>
      <c r="AA498" s="3">
        <f>N(S498)*IFERROR(VLOOKUP($C498,Assumptions!$A$4:$G$7,3,FALSE),0)*Assumptions!$B$11</f>
        <v/>
      </c>
      <c r="AB498" s="3">
        <f>N(N498)*IFERROR(VLOOKUP($C498,Assumptions!$A$4:$G$7,4,FALSE),0)</f>
        <v/>
      </c>
      <c r="AC498" s="3">
        <f>IF(N(U498)=0,0,V498*IFERROR(VLOOKUP($C498,Assumptions!$A$4:$G$7,5,FALSE),0)*90/N(U498))</f>
        <v/>
      </c>
      <c r="AD498" s="3">
        <f>N(W498)</f>
        <v/>
      </c>
      <c r="AE498" s="3">
        <f>SUM(Y498:AD498)</f>
        <v/>
      </c>
      <c r="AF498" s="3">
        <f>N(AE498)*N(M498)/90</f>
        <v/>
      </c>
      <c r="AG498" s="3">
        <f>IFERROR(AF498-VLOOKUP($C498,Assumptions!$A$29:$C$32,3,FALSE),"")</f>
        <v/>
      </c>
      <c r="AH498" s="3">
        <f>IFERROR(AG498/F498,"")</f>
        <v/>
      </c>
      <c r="AI498">
        <f>IF(AND($E498=TRUE,$C498="GKP"),AF498,"")</f>
        <v/>
      </c>
      <c r="AJ498">
        <f>IF(AND($E498=TRUE,$C498="DEF"),AF498,"")</f>
        <v/>
      </c>
      <c r="AK498">
        <f>IF(AND($E498=TRUE,$C498="MID"),AF498,"")</f>
        <v/>
      </c>
      <c r="AL498">
        <f>IF(AND($E498=TRUE,$C498="FWD"),AF498,"")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b">
        <v>1</v>
      </c>
      <c r="F499" s="2" t="n">
        <v>4</v>
      </c>
      <c r="G499" t="inlineStr">
        <is>
          <t>a</t>
        </is>
      </c>
      <c r="I499" s="2" t="n"/>
      <c r="K499" s="3" t="n">
        <v>1824</v>
      </c>
      <c r="L499" t="inlineStr">
        <is>
          <t>fade (losing his place)</t>
        </is>
      </c>
      <c r="M499" s="4" t="n"/>
      <c r="N499" s="4" t="n"/>
      <c r="O499" s="3" t="n"/>
      <c r="P499" t="inlineStr"/>
      <c r="Q499" s="3" t="n"/>
      <c r="R499" s="3" t="n"/>
      <c r="S499" s="3" t="n"/>
      <c r="T499" s="3" t="n"/>
      <c r="U499" s="4" t="n"/>
      <c r="V499" s="3">
        <f>IF(OR(N(T499)=0,N(U499)=0),0,1-POISSON(IFERROR(VLOOKUP($C499,Assumptions!$A$4:$G$7,7,FALSE),99)-1,N(T499)*N(U499)/90,TRUE))</f>
        <v/>
      </c>
      <c r="W499" s="3" t="n"/>
      <c r="X499" s="3" t="n"/>
      <c r="Y499" s="3">
        <f>IF(X499="",IFERROR(VLOOKUP($C499,Assumptions!$A$4:$G$7,6,FALSE),0),X499)</f>
        <v/>
      </c>
      <c r="Z499" s="3">
        <f>N(O499)*IFERROR(VLOOKUP($C499,Assumptions!$A$4:$G$7,2,FALSE),0)</f>
        <v/>
      </c>
      <c r="AA499" s="3">
        <f>N(S499)*IFERROR(VLOOKUP($C499,Assumptions!$A$4:$G$7,3,FALSE),0)*Assumptions!$B$11</f>
        <v/>
      </c>
      <c r="AB499" s="3">
        <f>N(N499)*IFERROR(VLOOKUP($C499,Assumptions!$A$4:$G$7,4,FALSE),0)</f>
        <v/>
      </c>
      <c r="AC499" s="3">
        <f>IF(N(U499)=0,0,V499*IFERROR(VLOOKUP($C499,Assumptions!$A$4:$G$7,5,FALSE),0)*90/N(U499))</f>
        <v/>
      </c>
      <c r="AD499" s="3">
        <f>N(W499)</f>
        <v/>
      </c>
      <c r="AE499" s="3">
        <f>SUM(Y499:AD499)</f>
        <v/>
      </c>
      <c r="AF499" s="3">
        <f>N(AE499)*N(M499)/90</f>
        <v/>
      </c>
      <c r="AG499" s="3">
        <f>IFERROR(AF499-VLOOKUP($C499,Assumptions!$A$29:$C$32,3,FALSE),"")</f>
        <v/>
      </c>
      <c r="AH499" s="3">
        <f>IFERROR(AG499/F499,"")</f>
        <v/>
      </c>
      <c r="AI499">
        <f>IF(AND($E499=TRUE,$C499="GKP"),AF499,"")</f>
        <v/>
      </c>
      <c r="AJ499">
        <f>IF(AND($E499=TRUE,$C499="DEF"),AF499,"")</f>
        <v/>
      </c>
      <c r="AK499">
        <f>IF(AND($E499=TRUE,$C499="MID"),AF499,"")</f>
        <v/>
      </c>
      <c r="AL499">
        <f>IF(AND($E499=TRUE,$C499="FWD"),AF499,"")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b">
        <v>1</v>
      </c>
      <c r="F500" s="2" t="n">
        <v>5</v>
      </c>
      <c r="G500" t="inlineStr">
        <is>
          <t>a</t>
        </is>
      </c>
      <c r="I500" s="2" t="n"/>
      <c r="K500" s="3" t="n">
        <v>220</v>
      </c>
      <c r="L500" t="inlineStr">
        <is>
          <t>flat</t>
        </is>
      </c>
      <c r="M500" s="4" t="n"/>
      <c r="N500" s="4" t="n"/>
      <c r="O500" s="3" t="n"/>
      <c r="P500" t="inlineStr"/>
      <c r="Q500" s="3" t="n"/>
      <c r="R500" s="3" t="n"/>
      <c r="S500" s="3" t="n"/>
      <c r="T500" s="3" t="n"/>
      <c r="U500" s="4" t="n"/>
      <c r="V500" s="3">
        <f>IF(OR(N(T500)=0,N(U500)=0),0,1-POISSON(IFERROR(VLOOKUP($C500,Assumptions!$A$4:$G$7,7,FALSE),99)-1,N(T500)*N(U500)/90,TRUE))</f>
        <v/>
      </c>
      <c r="W500" s="3" t="n"/>
      <c r="X500" s="3" t="n"/>
      <c r="Y500" s="3">
        <f>IF(X500="",IFERROR(VLOOKUP($C500,Assumptions!$A$4:$G$7,6,FALSE),0),X500)</f>
        <v/>
      </c>
      <c r="Z500" s="3">
        <f>N(O500)*IFERROR(VLOOKUP($C500,Assumptions!$A$4:$G$7,2,FALSE),0)</f>
        <v/>
      </c>
      <c r="AA500" s="3">
        <f>N(S500)*IFERROR(VLOOKUP($C500,Assumptions!$A$4:$G$7,3,FALSE),0)*Assumptions!$B$11</f>
        <v/>
      </c>
      <c r="AB500" s="3">
        <f>N(N500)*IFERROR(VLOOKUP($C500,Assumptions!$A$4:$G$7,4,FALSE),0)</f>
        <v/>
      </c>
      <c r="AC500" s="3">
        <f>IF(N(U500)=0,0,V500*IFERROR(VLOOKUP($C500,Assumptions!$A$4:$G$7,5,FALSE),0)*90/N(U500))</f>
        <v/>
      </c>
      <c r="AD500" s="3">
        <f>N(W500)</f>
        <v/>
      </c>
      <c r="AE500" s="3">
        <f>SUM(Y500:AD500)</f>
        <v/>
      </c>
      <c r="AF500" s="3">
        <f>N(AE500)*N(M500)/90</f>
        <v/>
      </c>
      <c r="AG500" s="3">
        <f>IFERROR(AF500-VLOOKUP($C500,Assumptions!$A$29:$C$32,3,FALSE),"")</f>
        <v/>
      </c>
      <c r="AH500" s="3">
        <f>IFERROR(AG500/F500,"")</f>
        <v/>
      </c>
      <c r="AI500">
        <f>IF(AND($E500=TRUE,$C500="GKP"),AF500,"")</f>
        <v/>
      </c>
      <c r="AJ500">
        <f>IF(AND($E500=TRUE,$C500="DEF"),AF500,"")</f>
        <v/>
      </c>
      <c r="AK500">
        <f>IF(AND($E500=TRUE,$C500="MID"),AF500,"")</f>
        <v/>
      </c>
      <c r="AL500">
        <f>IF(AND($E500=TRUE,$C500="FWD"),AF500,"")</f>
        <v/>
      </c>
    </row>
    <row r="501">
      <c r="A501" t="inlineStr">
        <is>
          <t>José Sá</t>
        </is>
      </c>
      <c r="D501" t="inlineStr">
        <is>
          <t>GKP</t>
        </is>
      </c>
      <c r="E501" t="b">
        <v>0</v>
      </c>
      <c r="F501" s="2" t="n"/>
      <c r="I501" s="2" t="n">
        <v>2070</v>
      </c>
      <c r="K501" s="3" t="n"/>
      <c r="M501" s="4" t="n">
        <v>2070</v>
      </c>
      <c r="N501" s="4" t="n"/>
      <c r="O501" s="3" t="n">
        <v>0</v>
      </c>
      <c r="P501" t="inlineStr">
        <is>
          <t>blended xG</t>
        </is>
      </c>
      <c r="Q501" s="3" t="n">
        <v>1</v>
      </c>
      <c r="R501" s="3" t="n">
        <v>0</v>
      </c>
      <c r="S501" s="3" t="n">
        <v>0.0036</v>
      </c>
      <c r="T501" s="3" t="n">
        <v>0</v>
      </c>
      <c r="U501" s="4" t="n">
        <v>90</v>
      </c>
      <c r="V501" s="3">
        <f>IF(OR(N(T501)=0,N(U501)=0),0,1-POISSON(IFERROR(VLOOKUP($C501,Assumptions!$A$4:$G$7,7,FALSE),99)-1,N(T501)*N(U501)/90,TRUE))</f>
        <v/>
      </c>
      <c r="W501" s="3" t="n">
        <v>0.3478</v>
      </c>
      <c r="X501" s="3" t="n">
        <v>2</v>
      </c>
      <c r="Y501" s="3">
        <f>IF(X501="",IFERROR(VLOOKUP($C501,Assumptions!$A$4:$G$7,6,FALSE),0),X501)</f>
        <v/>
      </c>
      <c r="Z501" s="3">
        <f>N(O501)*IFERROR(VLOOKUP($C501,Assumptions!$A$4:$G$7,2,FALSE),0)</f>
        <v/>
      </c>
      <c r="AA501" s="3">
        <f>N(S501)*IFERROR(VLOOKUP($C501,Assumptions!$A$4:$G$7,3,FALSE),0)*Assumptions!$B$11</f>
        <v/>
      </c>
      <c r="AB501" s="3">
        <f>N(N501)*IFERROR(VLOOKUP($C501,Assumptions!$A$4:$G$7,4,FALSE),0)</f>
        <v/>
      </c>
      <c r="AC501" s="3">
        <f>IF(N(U501)=0,0,V501*IFERROR(VLOOKUP($C501,Assumptions!$A$4:$G$7,5,FALSE),0)*90/N(U501))</f>
        <v/>
      </c>
      <c r="AD501" s="3">
        <f>N(W501)</f>
        <v/>
      </c>
      <c r="AE501" s="3">
        <f>SUM(Y501:AD501)</f>
        <v/>
      </c>
      <c r="AF501" s="3">
        <f>N(AE501)*N(M501)/90</f>
        <v/>
      </c>
      <c r="AG501" s="3">
        <f>IFERROR(AF501-VLOOKUP($C501,Assumptions!$A$29:$C$32,3,FALSE),"")</f>
        <v/>
      </c>
      <c r="AH501" s="3">
        <f>IFERROR(AG501/F501,"")</f>
        <v/>
      </c>
      <c r="AI501">
        <f>IF(AND($E501=TRUE,$C501="GKP"),AF501,"")</f>
        <v/>
      </c>
      <c r="AJ501">
        <f>IF(AND($E501=TRUE,$C501="DEF"),AF501,"")</f>
        <v/>
      </c>
      <c r="AK501">
        <f>IF(AND($E501=TRUE,$C501="MID"),AF501,"")</f>
        <v/>
      </c>
      <c r="AL501">
        <f>IF(AND($E501=TRUE,$C501="FWD"),AF501,"")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b">
        <v>1</v>
      </c>
      <c r="F502" s="2" t="n">
        <v>5</v>
      </c>
      <c r="G502" t="inlineStr">
        <is>
          <t>u</t>
        </is>
      </c>
      <c r="H502" t="inlineStr">
        <is>
          <t>Has joined Leicester City permanently</t>
        </is>
      </c>
      <c r="I502" s="2" t="n"/>
      <c r="K502" s="3" t="n"/>
      <c r="M502" s="4" t="n"/>
      <c r="N502" s="4" t="n"/>
      <c r="O502" s="3" t="n"/>
      <c r="P502" t="inlineStr"/>
      <c r="Q502" s="3" t="n"/>
      <c r="R502" s="3" t="n"/>
      <c r="S502" s="3" t="n"/>
      <c r="T502" s="3" t="n"/>
      <c r="U502" s="4" t="n"/>
      <c r="V502" s="3">
        <f>IF(OR(N(T502)=0,N(U502)=0),0,1-POISSON(IFERROR(VLOOKUP($C502,Assumptions!$A$4:$G$7,7,FALSE),99)-1,N(T502)*N(U502)/90,TRUE))</f>
        <v/>
      </c>
      <c r="W502" s="3" t="n"/>
      <c r="X502" s="3" t="n"/>
      <c r="Y502" s="3">
        <f>IF(X502="",IFERROR(VLOOKUP($C502,Assumptions!$A$4:$G$7,6,FALSE),0),X502)</f>
        <v/>
      </c>
      <c r="Z502" s="3">
        <f>N(O502)*IFERROR(VLOOKUP($C502,Assumptions!$A$4:$G$7,2,FALSE),0)</f>
        <v/>
      </c>
      <c r="AA502" s="3">
        <f>N(S502)*IFERROR(VLOOKUP($C502,Assumptions!$A$4:$G$7,3,FALSE),0)*Assumptions!$B$11</f>
        <v/>
      </c>
      <c r="AB502" s="3">
        <f>N(N502)*IFERROR(VLOOKUP($C502,Assumptions!$A$4:$G$7,4,FALSE),0)</f>
        <v/>
      </c>
      <c r="AC502" s="3">
        <f>IF(N(U502)=0,0,V502*IFERROR(VLOOKUP($C502,Assumptions!$A$4:$G$7,5,FALSE),0)*90/N(U502))</f>
        <v/>
      </c>
      <c r="AD502" s="3">
        <f>N(W502)</f>
        <v/>
      </c>
      <c r="AE502" s="3">
        <f>SUM(Y502:AD502)</f>
        <v/>
      </c>
      <c r="AF502" s="3">
        <f>N(AE502)*N(M502)/90</f>
        <v/>
      </c>
      <c r="AG502" s="3">
        <f>IFERROR(AF502-VLOOKUP($C502,Assumptions!$A$29:$C$32,3,FALSE),"")</f>
        <v/>
      </c>
      <c r="AH502" s="3">
        <f>IFERROR(AG502/F502,"")</f>
        <v/>
      </c>
      <c r="AI502">
        <f>IF(AND($E502=TRUE,$C502="GKP"),AF502,"")</f>
        <v/>
      </c>
      <c r="AJ502">
        <f>IF(AND($E502=TRUE,$C502="DEF"),AF502,"")</f>
        <v/>
      </c>
      <c r="AK502">
        <f>IF(AND($E502=TRUE,$C502="MID"),AF502,"")</f>
        <v/>
      </c>
      <c r="AL502">
        <f>IF(AND($E502=TRUE,$C502="FWD"),AF502,"")</f>
        <v/>
      </c>
    </row>
    <row r="503">
      <c r="A503" t="inlineStr">
        <is>
          <t>João Palhinha</t>
        </is>
      </c>
      <c r="D503" t="inlineStr">
        <is>
          <t>MID</t>
        </is>
      </c>
      <c r="E503" t="b">
        <v>0</v>
      </c>
      <c r="F503" s="2" t="n"/>
      <c r="I503" s="2" t="n">
        <v>2197</v>
      </c>
      <c r="K503" s="3" t="n"/>
      <c r="M503" s="4" t="n">
        <v>2197</v>
      </c>
      <c r="N503" s="4" t="n"/>
      <c r="O503" s="3" t="n">
        <v>0.121</v>
      </c>
      <c r="P503" t="inlineStr">
        <is>
          <t>adjusted xGOT</t>
        </is>
      </c>
      <c r="Q503" s="3" t="n">
        <v>1.086</v>
      </c>
      <c r="R503" s="3" t="n">
        <v>9</v>
      </c>
      <c r="S503" s="3" t="n">
        <v>0.0315</v>
      </c>
      <c r="T503" s="3" t="n">
        <v>11.454</v>
      </c>
      <c r="U503" s="4" t="n">
        <v>95.3</v>
      </c>
      <c r="V503" s="3">
        <f>IF(OR(N(T503)=0,N(U503)=0),0,1-POISSON(IFERROR(VLOOKUP($C503,Assumptions!$A$4:$G$7,7,FALSE),99)-1,N(T503)*N(U503)/90,TRUE))</f>
        <v/>
      </c>
      <c r="W503" s="3" t="n">
        <v>0.7374000000000001</v>
      </c>
      <c r="X503" s="3" t="n">
        <v>2.212</v>
      </c>
      <c r="Y503" s="3">
        <f>IF(X503="",IFERROR(VLOOKUP($C503,Assumptions!$A$4:$G$7,6,FALSE),0),X503)</f>
        <v/>
      </c>
      <c r="Z503" s="3">
        <f>N(O503)*IFERROR(VLOOKUP($C503,Assumptions!$A$4:$G$7,2,FALSE),0)</f>
        <v/>
      </c>
      <c r="AA503" s="3">
        <f>N(S503)*IFERROR(VLOOKUP($C503,Assumptions!$A$4:$G$7,3,FALSE),0)*Assumptions!$B$11</f>
        <v/>
      </c>
      <c r="AB503" s="3">
        <f>N(N503)*IFERROR(VLOOKUP($C503,Assumptions!$A$4:$G$7,4,FALSE),0)</f>
        <v/>
      </c>
      <c r="AC503" s="3">
        <f>IF(N(U503)=0,0,V503*IFERROR(VLOOKUP($C503,Assumptions!$A$4:$G$7,5,FALSE),0)*90/N(U503))</f>
        <v/>
      </c>
      <c r="AD503" s="3">
        <f>N(W503)</f>
        <v/>
      </c>
      <c r="AE503" s="3">
        <f>SUM(Y503:AD503)</f>
        <v/>
      </c>
      <c r="AF503" s="3">
        <f>N(AE503)*N(M503)/90</f>
        <v/>
      </c>
      <c r="AG503" s="3">
        <f>IFERROR(AF503-VLOOKUP($C503,Assumptions!$A$29:$C$32,3,FALSE),"")</f>
        <v/>
      </c>
      <c r="AH503" s="3">
        <f>IFERROR(AG503/F503,"")</f>
        <v/>
      </c>
      <c r="AI503">
        <f>IF(AND($E503=TRUE,$C503="GKP"),AF503,"")</f>
        <v/>
      </c>
      <c r="AJ503">
        <f>IF(AND($E503=TRUE,$C503="DEF"),AF503,"")</f>
        <v/>
      </c>
      <c r="AK503">
        <f>IF(AND($E503=TRUE,$C503="MID"),AF503,"")</f>
        <v/>
      </c>
      <c r="AL503">
        <f>IF(AND($E503=TRUE,$C503="FWD"),AF503,"")</f>
        <v/>
      </c>
    </row>
    <row r="504">
      <c r="A504" t="inlineStr">
        <is>
          <t>Adam Armstrong</t>
        </is>
      </c>
      <c r="D504" t="inlineStr">
        <is>
          <t>FWD</t>
        </is>
      </c>
      <c r="E504" t="b">
        <v>0</v>
      </c>
      <c r="F504" s="2" t="n"/>
      <c r="I504" s="2" t="n">
        <v>1146</v>
      </c>
      <c r="K504" s="3" t="n"/>
      <c r="M504" s="4" t="n">
        <v>1146</v>
      </c>
      <c r="N504" s="4" t="n"/>
      <c r="O504" s="3" t="n">
        <v>0.1924</v>
      </c>
      <c r="P504" t="inlineStr">
        <is>
          <t>adjusted xGOT</t>
        </is>
      </c>
      <c r="Q504" s="3" t="n">
        <v>0.884</v>
      </c>
      <c r="R504" s="3" t="n">
        <v>8.300000000000001</v>
      </c>
      <c r="S504" s="3" t="n">
        <v>0.1179</v>
      </c>
      <c r="T504" s="3" t="n">
        <v>3.644</v>
      </c>
      <c r="U504" s="4" t="n">
        <v>81.5</v>
      </c>
      <c r="V504" s="3">
        <f>IF(OR(N(T504)=0,N(U504)=0),0,1-POISSON(IFERROR(VLOOKUP($C504,Assumptions!$A$4:$G$7,7,FALSE),99)-1,N(T504)*N(U504)/90,TRUE))</f>
        <v/>
      </c>
      <c r="W504" s="3" t="n">
        <v>0.0785</v>
      </c>
      <c r="X504" s="3" t="n">
        <v>2.12</v>
      </c>
      <c r="Y504" s="3">
        <f>IF(X504="",IFERROR(VLOOKUP($C504,Assumptions!$A$4:$G$7,6,FALSE),0),X504)</f>
        <v/>
      </c>
      <c r="Z504" s="3">
        <f>N(O504)*IFERROR(VLOOKUP($C504,Assumptions!$A$4:$G$7,2,FALSE),0)</f>
        <v/>
      </c>
      <c r="AA504" s="3">
        <f>N(S504)*IFERROR(VLOOKUP($C504,Assumptions!$A$4:$G$7,3,FALSE),0)*Assumptions!$B$11</f>
        <v/>
      </c>
      <c r="AB504" s="3">
        <f>N(N504)*IFERROR(VLOOKUP($C504,Assumptions!$A$4:$G$7,4,FALSE),0)</f>
        <v/>
      </c>
      <c r="AC504" s="3">
        <f>IF(N(U504)=0,0,V504*IFERROR(VLOOKUP($C504,Assumptions!$A$4:$G$7,5,FALSE),0)*90/N(U504))</f>
        <v/>
      </c>
      <c r="AD504" s="3">
        <f>N(W504)</f>
        <v/>
      </c>
      <c r="AE504" s="3">
        <f>SUM(Y504:AD504)</f>
        <v/>
      </c>
      <c r="AF504" s="3">
        <f>N(AE504)*N(M504)/90</f>
        <v/>
      </c>
      <c r="AG504" s="3">
        <f>IFERROR(AF504-VLOOKUP($C504,Assumptions!$A$29:$C$32,3,FALSE),"")</f>
        <v/>
      </c>
      <c r="AH504" s="3">
        <f>IFERROR(AG504/F504,"")</f>
        <v/>
      </c>
      <c r="AI504">
        <f>IF(AND($E504=TRUE,$C504="GKP"),AF504,"")</f>
        <v/>
      </c>
      <c r="AJ504">
        <f>IF(AND($E504=TRUE,$C504="DEF"),AF504,"")</f>
        <v/>
      </c>
      <c r="AK504">
        <f>IF(AND($E504=TRUE,$C504="MID"),AF504,"")</f>
        <v/>
      </c>
      <c r="AL504">
        <f>IF(AND($E504=TRUE,$C504="FWD"),AF504,"")</f>
        <v/>
      </c>
    </row>
    <row r="505">
      <c r="A505" t="inlineStr">
        <is>
          <t>Kyle Walker-Peters</t>
        </is>
      </c>
      <c r="D505" t="inlineStr">
        <is>
          <t>DEF</t>
        </is>
      </c>
      <c r="E505" t="b">
        <v>0</v>
      </c>
      <c r="F505" s="2" t="n"/>
      <c r="I505" s="2" t="n">
        <v>1380</v>
      </c>
      <c r="K505" s="3" t="n"/>
      <c r="M505" s="4" t="n">
        <v>1380</v>
      </c>
      <c r="N505" s="4" t="n"/>
      <c r="O505" s="3" t="n">
        <v>0.07530000000000001</v>
      </c>
      <c r="P505" t="inlineStr">
        <is>
          <t>adjusted xGOT</t>
        </is>
      </c>
      <c r="Q505" s="3" t="n">
        <v>1.022</v>
      </c>
      <c r="R505" s="3" t="n">
        <v>3.1</v>
      </c>
      <c r="S505" s="3" t="n">
        <v>0.0233</v>
      </c>
      <c r="T505" s="3" t="n">
        <v>6.627</v>
      </c>
      <c r="U505" s="4" t="n">
        <v>91.90000000000001</v>
      </c>
      <c r="V505" s="3">
        <f>IF(OR(N(T505)=0,N(U505)=0),0,1-POISSON(IFERROR(VLOOKUP($C505,Assumptions!$A$4:$G$7,7,FALSE),99)-1,N(T505)*N(U505)/90,TRUE))</f>
        <v/>
      </c>
      <c r="W505" s="3" t="n">
        <v>0</v>
      </c>
      <c r="X505" s="3" t="n">
        <v>2.413</v>
      </c>
      <c r="Y505" s="3">
        <f>IF(X505="",IFERROR(VLOOKUP($C505,Assumptions!$A$4:$G$7,6,FALSE),0),X505)</f>
        <v/>
      </c>
      <c r="Z505" s="3">
        <f>N(O505)*IFERROR(VLOOKUP($C505,Assumptions!$A$4:$G$7,2,FALSE),0)</f>
        <v/>
      </c>
      <c r="AA505" s="3">
        <f>N(S505)*IFERROR(VLOOKUP($C505,Assumptions!$A$4:$G$7,3,FALSE),0)*Assumptions!$B$11</f>
        <v/>
      </c>
      <c r="AB505" s="3">
        <f>N(N505)*IFERROR(VLOOKUP($C505,Assumptions!$A$4:$G$7,4,FALSE),0)</f>
        <v/>
      </c>
      <c r="AC505" s="3">
        <f>IF(N(U505)=0,0,V505*IFERROR(VLOOKUP($C505,Assumptions!$A$4:$G$7,5,FALSE),0)*90/N(U505))</f>
        <v/>
      </c>
      <c r="AD505" s="3">
        <f>N(W505)</f>
        <v/>
      </c>
      <c r="AE505" s="3">
        <f>SUM(Y505:AD505)</f>
        <v/>
      </c>
      <c r="AF505" s="3">
        <f>N(AE505)*N(M505)/90</f>
        <v/>
      </c>
      <c r="AG505" s="3">
        <f>IFERROR(AF505-VLOOKUP($C505,Assumptions!$A$29:$C$32,3,FALSE),"")</f>
        <v/>
      </c>
      <c r="AH505" s="3">
        <f>IFERROR(AG505/F505,"")</f>
        <v/>
      </c>
      <c r="AI505">
        <f>IF(AND($E505=TRUE,$C505="GKP"),AF505,"")</f>
        <v/>
      </c>
      <c r="AJ505">
        <f>IF(AND($E505=TRUE,$C505="DEF"),AF505,"")</f>
        <v/>
      </c>
      <c r="AK505">
        <f>IF(AND($E505=TRUE,$C505="MID"),AF505,"")</f>
        <v/>
      </c>
      <c r="AL505">
        <f>IF(AND($E505=TRUE,$C505="FWD"),AF505,"")</f>
        <v/>
      </c>
    </row>
    <row r="506">
      <c r="A506" t="inlineStr">
        <is>
          <t>Adama Traoré</t>
        </is>
      </c>
      <c r="D506" t="inlineStr">
        <is>
          <t>MID</t>
        </is>
      </c>
      <c r="E506" t="b">
        <v>0</v>
      </c>
      <c r="F506" s="2" t="n"/>
      <c r="I506" s="2" t="n">
        <v>377</v>
      </c>
      <c r="K506" s="3" t="n"/>
      <c r="M506" s="4" t="n">
        <v>377</v>
      </c>
      <c r="N506" s="4" t="n"/>
      <c r="O506" s="3" t="n">
        <v>0.1671</v>
      </c>
      <c r="P506" t="inlineStr">
        <is>
          <t>adjusted xGOT</t>
        </is>
      </c>
      <c r="Q506" s="3" t="n">
        <v>1.015</v>
      </c>
      <c r="R506" s="3" t="n">
        <v>7.7</v>
      </c>
      <c r="S506" s="3" t="n">
        <v>0.099</v>
      </c>
      <c r="T506" s="3" t="n">
        <v>7.113</v>
      </c>
      <c r="U506" s="4" t="n">
        <v>376</v>
      </c>
      <c r="V506" s="3">
        <f>IF(OR(N(T506)=0,N(U506)=0),0,1-POISSON(IFERROR(VLOOKUP($C506,Assumptions!$A$4:$G$7,7,FALSE),99)-1,N(T506)*N(U506)/90,TRUE))</f>
        <v/>
      </c>
      <c r="W506" s="3" t="n">
        <v>0</v>
      </c>
      <c r="X506" s="3" t="n">
        <v>6.207</v>
      </c>
      <c r="Y506" s="3">
        <f>IF(X506="",IFERROR(VLOOKUP($C506,Assumptions!$A$4:$G$7,6,FALSE),0),X506)</f>
        <v/>
      </c>
      <c r="Z506" s="3">
        <f>N(O506)*IFERROR(VLOOKUP($C506,Assumptions!$A$4:$G$7,2,FALSE),0)</f>
        <v/>
      </c>
      <c r="AA506" s="3">
        <f>N(S506)*IFERROR(VLOOKUP($C506,Assumptions!$A$4:$G$7,3,FALSE),0)*Assumptions!$B$11</f>
        <v/>
      </c>
      <c r="AB506" s="3">
        <f>N(N506)*IFERROR(VLOOKUP($C506,Assumptions!$A$4:$G$7,4,FALSE),0)</f>
        <v/>
      </c>
      <c r="AC506" s="3">
        <f>IF(N(U506)=0,0,V506*IFERROR(VLOOKUP($C506,Assumptions!$A$4:$G$7,5,FALSE),0)*90/N(U506))</f>
        <v/>
      </c>
      <c r="AD506" s="3">
        <f>N(W506)</f>
        <v/>
      </c>
      <c r="AE506" s="3">
        <f>SUM(Y506:AD506)</f>
        <v/>
      </c>
      <c r="AF506" s="3">
        <f>N(AE506)*N(M506)/90</f>
        <v/>
      </c>
      <c r="AG506" s="3">
        <f>IFERROR(AF506-VLOOKUP($C506,Assumptions!$A$29:$C$32,3,FALSE),"")</f>
        <v/>
      </c>
      <c r="AH506" s="3">
        <f>IFERROR(AG506/F506,"")</f>
        <v/>
      </c>
      <c r="AI506">
        <f>IF(AND($E506=TRUE,$C506="GKP"),AF506,"")</f>
        <v/>
      </c>
      <c r="AJ506">
        <f>IF(AND($E506=TRUE,$C506="DEF"),AF506,"")</f>
        <v/>
      </c>
      <c r="AK506">
        <f>IF(AND($E506=TRUE,$C506="MID"),AF506,"")</f>
        <v/>
      </c>
      <c r="AL506">
        <f>IF(AND($E506=TRUE,$C506="FWD"),AF506,"")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b">
        <v>1</v>
      </c>
      <c r="F507" s="2" t="n">
        <v>4</v>
      </c>
      <c r="G507" t="inlineStr">
        <is>
          <t>a</t>
        </is>
      </c>
      <c r="I507" s="2" t="n"/>
      <c r="K507" s="3" t="n">
        <v>103</v>
      </c>
      <c r="L507" t="inlineStr">
        <is>
          <t>flat</t>
        </is>
      </c>
      <c r="M507" s="4" t="n"/>
      <c r="N507" s="4" t="n"/>
      <c r="O507" s="3" t="n"/>
      <c r="P507" t="inlineStr"/>
      <c r="Q507" s="3" t="n"/>
      <c r="R507" s="3" t="n"/>
      <c r="S507" s="3" t="n"/>
      <c r="T507" s="3" t="n"/>
      <c r="U507" s="4" t="n"/>
      <c r="V507" s="3">
        <f>IF(OR(N(T507)=0,N(U507)=0),0,1-POISSON(IFERROR(VLOOKUP($C507,Assumptions!$A$4:$G$7,7,FALSE),99)-1,N(T507)*N(U507)/90,TRUE))</f>
        <v/>
      </c>
      <c r="W507" s="3" t="n"/>
      <c r="X507" s="3" t="n"/>
      <c r="Y507" s="3">
        <f>IF(X507="",IFERROR(VLOOKUP($C507,Assumptions!$A$4:$G$7,6,FALSE),0),X507)</f>
        <v/>
      </c>
      <c r="Z507" s="3">
        <f>N(O507)*IFERROR(VLOOKUP($C507,Assumptions!$A$4:$G$7,2,FALSE),0)</f>
        <v/>
      </c>
      <c r="AA507" s="3">
        <f>N(S507)*IFERROR(VLOOKUP($C507,Assumptions!$A$4:$G$7,3,FALSE),0)*Assumptions!$B$11</f>
        <v/>
      </c>
      <c r="AB507" s="3">
        <f>N(N507)*IFERROR(VLOOKUP($C507,Assumptions!$A$4:$G$7,4,FALSE),0)</f>
        <v/>
      </c>
      <c r="AC507" s="3">
        <f>IF(N(U507)=0,0,V507*IFERROR(VLOOKUP($C507,Assumptions!$A$4:$G$7,5,FALSE),0)*90/N(U507))</f>
        <v/>
      </c>
      <c r="AD507" s="3">
        <f>N(W507)</f>
        <v/>
      </c>
      <c r="AE507" s="3">
        <f>SUM(Y507:AD507)</f>
        <v/>
      </c>
      <c r="AF507" s="3">
        <f>N(AE507)*N(M507)/90</f>
        <v/>
      </c>
      <c r="AG507" s="3">
        <f>IFERROR(AF507-VLOOKUP($C507,Assumptions!$A$29:$C$32,3,FALSE),"")</f>
        <v/>
      </c>
      <c r="AH507" s="3">
        <f>IFERROR(AG507/F507,"")</f>
        <v/>
      </c>
      <c r="AI507">
        <f>IF(AND($E507=TRUE,$C507="GKP"),AF507,"")</f>
        <v/>
      </c>
      <c r="AJ507">
        <f>IF(AND($E507=TRUE,$C507="DEF"),AF507,"")</f>
        <v/>
      </c>
      <c r="AK507">
        <f>IF(AND($E507=TRUE,$C507="MID"),AF507,"")</f>
        <v/>
      </c>
      <c r="AL507">
        <f>IF(AND($E507=TRUE,$C507="FWD"),AF507,"")</f>
        <v/>
      </c>
    </row>
    <row r="508">
      <c r="A508" t="inlineStr">
        <is>
          <t>Bernardo Silva</t>
        </is>
      </c>
      <c r="D508" t="inlineStr">
        <is>
          <t>MID</t>
        </is>
      </c>
      <c r="E508" t="b">
        <v>0</v>
      </c>
      <c r="F508" s="2" t="n"/>
      <c r="I508" s="2" t="n">
        <v>2886</v>
      </c>
      <c r="K508" s="3" t="n"/>
      <c r="M508" s="4" t="n">
        <v>2886</v>
      </c>
      <c r="N508" s="4" t="n"/>
      <c r="O508" s="3" t="n">
        <v>0.0934</v>
      </c>
      <c r="P508" t="inlineStr">
        <is>
          <t>adjusted xGOT</t>
        </is>
      </c>
      <c r="Q508" s="3" t="n">
        <v>1.105</v>
      </c>
      <c r="R508" s="3" t="n">
        <v>12.2</v>
      </c>
      <c r="S508" s="3" t="n">
        <v>0.1647</v>
      </c>
      <c r="T508" s="3" t="n">
        <v>8.291</v>
      </c>
      <c r="U508" s="4" t="n">
        <v>84.40000000000001</v>
      </c>
      <c r="V508" s="3">
        <f>IF(OR(N(T508)=0,N(U508)=0),0,1-POISSON(IFERROR(VLOOKUP($C508,Assumptions!$A$4:$G$7,7,FALSE),99)-1,N(T508)*N(U508)/90,TRUE))</f>
        <v/>
      </c>
      <c r="W508" s="3" t="n">
        <v>0.1247</v>
      </c>
      <c r="X508" s="3" t="n">
        <v>2.152</v>
      </c>
      <c r="Y508" s="3">
        <f>IF(X508="",IFERROR(VLOOKUP($C508,Assumptions!$A$4:$G$7,6,FALSE),0),X508)</f>
        <v/>
      </c>
      <c r="Z508" s="3">
        <f>N(O508)*IFERROR(VLOOKUP($C508,Assumptions!$A$4:$G$7,2,FALSE),0)</f>
        <v/>
      </c>
      <c r="AA508" s="3">
        <f>N(S508)*IFERROR(VLOOKUP($C508,Assumptions!$A$4:$G$7,3,FALSE),0)*Assumptions!$B$11</f>
        <v/>
      </c>
      <c r="AB508" s="3">
        <f>N(N508)*IFERROR(VLOOKUP($C508,Assumptions!$A$4:$G$7,4,FALSE),0)</f>
        <v/>
      </c>
      <c r="AC508" s="3">
        <f>IF(N(U508)=0,0,V508*IFERROR(VLOOKUP($C508,Assumptions!$A$4:$G$7,5,FALSE),0)*90/N(U508))</f>
        <v/>
      </c>
      <c r="AD508" s="3">
        <f>N(W508)</f>
        <v/>
      </c>
      <c r="AE508" s="3">
        <f>SUM(Y508:AD508)</f>
        <v/>
      </c>
      <c r="AF508" s="3">
        <f>N(AE508)*N(M508)/90</f>
        <v/>
      </c>
      <c r="AG508" s="3">
        <f>IFERROR(AF508-VLOOKUP($C508,Assumptions!$A$29:$C$32,3,FALSE),"")</f>
        <v/>
      </c>
      <c r="AH508" s="3">
        <f>IFERROR(AG508/F508,"")</f>
        <v/>
      </c>
      <c r="AI508">
        <f>IF(AND($E508=TRUE,$C508="GKP"),AF508,"")</f>
        <v/>
      </c>
      <c r="AJ508">
        <f>IF(AND($E508=TRUE,$C508="DEF"),AF508,"")</f>
        <v/>
      </c>
      <c r="AK508">
        <f>IF(AND($E508=TRUE,$C508="MID"),AF508,"")</f>
        <v/>
      </c>
      <c r="AL508">
        <f>IF(AND($E508=TRUE,$C508="FWD"),AF508,"")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b">
        <v>1</v>
      </c>
      <c r="F509" s="2" t="n">
        <v>4</v>
      </c>
      <c r="G509" t="inlineStr">
        <is>
          <t>a</t>
        </is>
      </c>
      <c r="I509" s="2" t="n"/>
      <c r="K509" s="3" t="n">
        <v>0</v>
      </c>
      <c r="L509" t="inlineStr">
        <is>
          <t>flat</t>
        </is>
      </c>
      <c r="M509" s="4" t="n"/>
      <c r="N509" s="4" t="n"/>
      <c r="O509" s="3" t="n"/>
      <c r="P509" t="inlineStr"/>
      <c r="Q509" s="3" t="n"/>
      <c r="R509" s="3" t="n"/>
      <c r="S509" s="3" t="n"/>
      <c r="T509" s="3" t="n">
        <v>0</v>
      </c>
      <c r="U509" s="4" t="n"/>
      <c r="V509" s="3">
        <f>IF(OR(N(T509)=0,N(U509)=0),0,1-POISSON(IFERROR(VLOOKUP($C509,Assumptions!$A$4:$G$7,7,FALSE),99)-1,N(T509)*N(U509)/90,TRUE))</f>
        <v/>
      </c>
      <c r="W509" s="3" t="n"/>
      <c r="X509" s="3" t="n"/>
      <c r="Y509" s="3">
        <f>IF(X509="",IFERROR(VLOOKUP($C509,Assumptions!$A$4:$G$7,6,FALSE),0),X509)</f>
        <v/>
      </c>
      <c r="Z509" s="3">
        <f>N(O509)*IFERROR(VLOOKUP($C509,Assumptions!$A$4:$G$7,2,FALSE),0)</f>
        <v/>
      </c>
      <c r="AA509" s="3">
        <f>N(S509)*IFERROR(VLOOKUP($C509,Assumptions!$A$4:$G$7,3,FALSE),0)*Assumptions!$B$11</f>
        <v/>
      </c>
      <c r="AB509" s="3">
        <f>N(N509)*IFERROR(VLOOKUP($C509,Assumptions!$A$4:$G$7,4,FALSE),0)</f>
        <v/>
      </c>
      <c r="AC509" s="3">
        <f>IF(N(U509)=0,0,V509*IFERROR(VLOOKUP($C509,Assumptions!$A$4:$G$7,5,FALSE),0)*90/N(U509))</f>
        <v/>
      </c>
      <c r="AD509" s="3">
        <f>N(W509)</f>
        <v/>
      </c>
      <c r="AE509" s="3">
        <f>SUM(Y509:AD509)</f>
        <v/>
      </c>
      <c r="AF509" s="3">
        <f>N(AE509)*N(M509)/90</f>
        <v/>
      </c>
      <c r="AG509" s="3">
        <f>IFERROR(AF509-VLOOKUP($C509,Assumptions!$A$29:$C$32,3,FALSE),"")</f>
        <v/>
      </c>
      <c r="AH509" s="3">
        <f>IFERROR(AG509/F509,"")</f>
        <v/>
      </c>
      <c r="AI509">
        <f>IF(AND($E509=TRUE,$C509="GKP"),AF509,"")</f>
        <v/>
      </c>
      <c r="AJ509">
        <f>IF(AND($E509=TRUE,$C509="DEF"),AF509,"")</f>
        <v/>
      </c>
      <c r="AK509">
        <f>IF(AND($E509=TRUE,$C509="MID"),AF509,"")</f>
        <v/>
      </c>
      <c r="AL509">
        <f>IF(AND($E509=TRUE,$C509="FWD"),AF509,"")</f>
        <v/>
      </c>
    </row>
    <row r="510">
      <c r="A510" t="inlineStr">
        <is>
          <t>Josh Laurent</t>
        </is>
      </c>
      <c r="D510" t="inlineStr">
        <is>
          <t>MID</t>
        </is>
      </c>
      <c r="E510" t="b">
        <v>0</v>
      </c>
      <c r="F510" s="2" t="n"/>
      <c r="I510" s="2" t="n">
        <v>1759</v>
      </c>
      <c r="K510" s="3" t="n"/>
      <c r="M510" s="4" t="n">
        <v>1759</v>
      </c>
      <c r="N510" s="4" t="n"/>
      <c r="O510" s="3" t="n">
        <v>0.0457</v>
      </c>
      <c r="P510" t="inlineStr">
        <is>
          <t>adjusted xGOT</t>
        </is>
      </c>
      <c r="Q510" s="3" t="n">
        <v>1.026</v>
      </c>
      <c r="R510" s="3" t="n">
        <v>0.9</v>
      </c>
      <c r="S510" s="3" t="n">
        <v>0.0376</v>
      </c>
      <c r="T510" s="3" t="n">
        <v>9.27</v>
      </c>
      <c r="U510" s="4" t="n">
        <v>97.3</v>
      </c>
      <c r="V510" s="3">
        <f>IF(OR(N(T510)=0,N(U510)=0),0,1-POISSON(IFERROR(VLOOKUP($C510,Assumptions!$A$4:$G$7,7,FALSE),99)-1,N(T510)*N(U510)/90,TRUE))</f>
        <v/>
      </c>
      <c r="W510" s="3" t="n">
        <v>0.0512</v>
      </c>
      <c r="X510" s="3" t="n">
        <v>2.507</v>
      </c>
      <c r="Y510" s="3">
        <f>IF(X510="",IFERROR(VLOOKUP($C510,Assumptions!$A$4:$G$7,6,FALSE),0),X510)</f>
        <v/>
      </c>
      <c r="Z510" s="3">
        <f>N(O510)*IFERROR(VLOOKUP($C510,Assumptions!$A$4:$G$7,2,FALSE),0)</f>
        <v/>
      </c>
      <c r="AA510" s="3">
        <f>N(S510)*IFERROR(VLOOKUP($C510,Assumptions!$A$4:$G$7,3,FALSE),0)*Assumptions!$B$11</f>
        <v/>
      </c>
      <c r="AB510" s="3">
        <f>N(N510)*IFERROR(VLOOKUP($C510,Assumptions!$A$4:$G$7,4,FALSE),0)</f>
        <v/>
      </c>
      <c r="AC510" s="3">
        <f>IF(N(U510)=0,0,V510*IFERROR(VLOOKUP($C510,Assumptions!$A$4:$G$7,5,FALSE),0)*90/N(U510))</f>
        <v/>
      </c>
      <c r="AD510" s="3">
        <f>N(W510)</f>
        <v/>
      </c>
      <c r="AE510" s="3">
        <f>SUM(Y510:AD510)</f>
        <v/>
      </c>
      <c r="AF510" s="3">
        <f>N(AE510)*N(M510)/90</f>
        <v/>
      </c>
      <c r="AG510" s="3">
        <f>IFERROR(AF510-VLOOKUP($C510,Assumptions!$A$29:$C$32,3,FALSE),"")</f>
        <v/>
      </c>
      <c r="AH510" s="3">
        <f>IFERROR(AG510/F510,"")</f>
        <v/>
      </c>
      <c r="AI510">
        <f>IF(AND($E510=TRUE,$C510="GKP"),AF510,"")</f>
        <v/>
      </c>
      <c r="AJ510">
        <f>IF(AND($E510=TRUE,$C510="DEF"),AF510,"")</f>
        <v/>
      </c>
      <c r="AK510">
        <f>IF(AND($E510=TRUE,$C510="MID"),AF510,"")</f>
        <v/>
      </c>
      <c r="AL510">
        <f>IF(AND($E510=TRUE,$C510="FWD"),AF510,"")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b">
        <v>1</v>
      </c>
      <c r="F511" s="2" t="n">
        <v>5</v>
      </c>
      <c r="G511" t="inlineStr">
        <is>
          <t>a</t>
        </is>
      </c>
      <c r="I511" s="2" t="n"/>
      <c r="K511" s="3" t="n">
        <v>2668</v>
      </c>
      <c r="L511" t="inlineStr">
        <is>
          <t>flat</t>
        </is>
      </c>
      <c r="M511" s="4" t="n"/>
      <c r="N511" s="4" t="n"/>
      <c r="O511" s="3" t="n"/>
      <c r="P511" t="inlineStr"/>
      <c r="Q511" s="3" t="n"/>
      <c r="R511" s="3" t="n"/>
      <c r="S511" s="3" t="n"/>
      <c r="T511" s="3" t="n"/>
      <c r="U511" s="4" t="n"/>
      <c r="V511" s="3">
        <f>IF(OR(N(T511)=0,N(U511)=0),0,1-POISSON(IFERROR(VLOOKUP($C511,Assumptions!$A$4:$G$7,7,FALSE),99)-1,N(T511)*N(U511)/90,TRUE))</f>
        <v/>
      </c>
      <c r="W511" s="3" t="n"/>
      <c r="X511" s="3" t="n"/>
      <c r="Y511" s="3">
        <f>IF(X511="",IFERROR(VLOOKUP($C511,Assumptions!$A$4:$G$7,6,FALSE),0),X511)</f>
        <v/>
      </c>
      <c r="Z511" s="3">
        <f>N(O511)*IFERROR(VLOOKUP($C511,Assumptions!$A$4:$G$7,2,FALSE),0)</f>
        <v/>
      </c>
      <c r="AA511" s="3">
        <f>N(S511)*IFERROR(VLOOKUP($C511,Assumptions!$A$4:$G$7,3,FALSE),0)*Assumptions!$B$11</f>
        <v/>
      </c>
      <c r="AB511" s="3">
        <f>N(N511)*IFERROR(VLOOKUP($C511,Assumptions!$A$4:$G$7,4,FALSE),0)</f>
        <v/>
      </c>
      <c r="AC511" s="3">
        <f>IF(N(U511)=0,0,V511*IFERROR(VLOOKUP($C511,Assumptions!$A$4:$G$7,5,FALSE),0)*90/N(U511))</f>
        <v/>
      </c>
      <c r="AD511" s="3">
        <f>N(W511)</f>
        <v/>
      </c>
      <c r="AE511" s="3">
        <f>SUM(Y511:AD511)</f>
        <v/>
      </c>
      <c r="AF511" s="3">
        <f>N(AE511)*N(M511)/90</f>
        <v/>
      </c>
      <c r="AG511" s="3">
        <f>IFERROR(AF511-VLOOKUP($C511,Assumptions!$A$29:$C$32,3,FALSE),"")</f>
        <v/>
      </c>
      <c r="AH511" s="3">
        <f>IFERROR(AG511/F511,"")</f>
        <v/>
      </c>
      <c r="AI511">
        <f>IF(AND($E511=TRUE,$C511="GKP"),AF511,"")</f>
        <v/>
      </c>
      <c r="AJ511">
        <f>IF(AND($E511=TRUE,$C511="DEF"),AF511,"")</f>
        <v/>
      </c>
      <c r="AK511">
        <f>IF(AND($E511=TRUE,$C511="MID"),AF511,"")</f>
        <v/>
      </c>
      <c r="AL511">
        <f>IF(AND($E511=TRUE,$C511="FWD"),AF511,"")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b">
        <v>1</v>
      </c>
      <c r="F512" s="2" t="n">
        <v>5.5</v>
      </c>
      <c r="G512" t="inlineStr">
        <is>
          <t>a</t>
        </is>
      </c>
      <c r="I512" s="2" t="n"/>
      <c r="K512" s="3" t="n">
        <v>3260</v>
      </c>
      <c r="L512" t="inlineStr">
        <is>
          <t>flat</t>
        </is>
      </c>
      <c r="M512" s="4" t="n"/>
      <c r="N512" s="4" t="n"/>
      <c r="O512" s="3" t="n"/>
      <c r="P512" t="inlineStr"/>
      <c r="Q512" s="3" t="n"/>
      <c r="R512" s="3" t="n"/>
      <c r="S512" s="3" t="n"/>
      <c r="T512" s="3" t="n"/>
      <c r="U512" s="4" t="n"/>
      <c r="V512" s="3">
        <f>IF(OR(N(T512)=0,N(U512)=0),0,1-POISSON(IFERROR(VLOOKUP($C512,Assumptions!$A$4:$G$7,7,FALSE),99)-1,N(T512)*N(U512)/90,TRUE))</f>
        <v/>
      </c>
      <c r="W512" s="3" t="n"/>
      <c r="X512" s="3" t="n"/>
      <c r="Y512" s="3">
        <f>IF(X512="",IFERROR(VLOOKUP($C512,Assumptions!$A$4:$G$7,6,FALSE),0),X512)</f>
        <v/>
      </c>
      <c r="Z512" s="3">
        <f>N(O512)*IFERROR(VLOOKUP($C512,Assumptions!$A$4:$G$7,2,FALSE),0)</f>
        <v/>
      </c>
      <c r="AA512" s="3">
        <f>N(S512)*IFERROR(VLOOKUP($C512,Assumptions!$A$4:$G$7,3,FALSE),0)*Assumptions!$B$11</f>
        <v/>
      </c>
      <c r="AB512" s="3">
        <f>N(N512)*IFERROR(VLOOKUP($C512,Assumptions!$A$4:$G$7,4,FALSE),0)</f>
        <v/>
      </c>
      <c r="AC512" s="3">
        <f>IF(N(U512)=0,0,V512*IFERROR(VLOOKUP($C512,Assumptions!$A$4:$G$7,5,FALSE),0)*90/N(U512))</f>
        <v/>
      </c>
      <c r="AD512" s="3">
        <f>N(W512)</f>
        <v/>
      </c>
      <c r="AE512" s="3">
        <f>SUM(Y512:AD512)</f>
        <v/>
      </c>
      <c r="AF512" s="3">
        <f>N(AE512)*N(M512)/90</f>
        <v/>
      </c>
      <c r="AG512" s="3">
        <f>IFERROR(AF512-VLOOKUP($C512,Assumptions!$A$29:$C$32,3,FALSE),"")</f>
        <v/>
      </c>
      <c r="AH512" s="3">
        <f>IFERROR(AG512/F512,"")</f>
        <v/>
      </c>
      <c r="AI512">
        <f>IF(AND($E512=TRUE,$C512="GKP"),AF512,"")</f>
        <v/>
      </c>
      <c r="AJ512">
        <f>IF(AND($E512=TRUE,$C512="DEF"),AF512,"")</f>
        <v/>
      </c>
      <c r="AK512">
        <f>IF(AND($E512=TRUE,$C512="MID"),AF512,"")</f>
        <v/>
      </c>
      <c r="AL512">
        <f>IF(AND($E512=TRUE,$C512="FWD"),AF512,"")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b">
        <v>1</v>
      </c>
      <c r="F513" s="2" t="n">
        <v>4.5</v>
      </c>
      <c r="G513" t="inlineStr">
        <is>
          <t>a</t>
        </is>
      </c>
      <c r="I513" s="2" t="n"/>
      <c r="K513" s="3" t="n">
        <v>51</v>
      </c>
      <c r="L513" t="inlineStr">
        <is>
          <t>flat</t>
        </is>
      </c>
      <c r="M513" s="4" t="n"/>
      <c r="N513" s="4" t="n"/>
      <c r="O513" s="3" t="n"/>
      <c r="P513" t="inlineStr"/>
      <c r="Q513" s="3" t="n"/>
      <c r="R513" s="3" t="n"/>
      <c r="S513" s="3" t="n"/>
      <c r="T513" s="3" t="n"/>
      <c r="U513" s="4" t="n"/>
      <c r="V513" s="3">
        <f>IF(OR(N(T513)=0,N(U513)=0),0,1-POISSON(IFERROR(VLOOKUP($C513,Assumptions!$A$4:$G$7,7,FALSE),99)-1,N(T513)*N(U513)/90,TRUE))</f>
        <v/>
      </c>
      <c r="W513" s="3" t="n"/>
      <c r="X513" s="3" t="n"/>
      <c r="Y513" s="3">
        <f>IF(X513="",IFERROR(VLOOKUP($C513,Assumptions!$A$4:$G$7,6,FALSE),0),X513)</f>
        <v/>
      </c>
      <c r="Z513" s="3">
        <f>N(O513)*IFERROR(VLOOKUP($C513,Assumptions!$A$4:$G$7,2,FALSE),0)</f>
        <v/>
      </c>
      <c r="AA513" s="3">
        <f>N(S513)*IFERROR(VLOOKUP($C513,Assumptions!$A$4:$G$7,3,FALSE),0)*Assumptions!$B$11</f>
        <v/>
      </c>
      <c r="AB513" s="3">
        <f>N(N513)*IFERROR(VLOOKUP($C513,Assumptions!$A$4:$G$7,4,FALSE),0)</f>
        <v/>
      </c>
      <c r="AC513" s="3">
        <f>IF(N(U513)=0,0,V513*IFERROR(VLOOKUP($C513,Assumptions!$A$4:$G$7,5,FALSE),0)*90/N(U513))</f>
        <v/>
      </c>
      <c r="AD513" s="3">
        <f>N(W513)</f>
        <v/>
      </c>
      <c r="AE513" s="3">
        <f>SUM(Y513:AD513)</f>
        <v/>
      </c>
      <c r="AF513" s="3">
        <f>N(AE513)*N(M513)/90</f>
        <v/>
      </c>
      <c r="AG513" s="3">
        <f>IFERROR(AF513-VLOOKUP($C513,Assumptions!$A$29:$C$32,3,FALSE),"")</f>
        <v/>
      </c>
      <c r="AH513" s="3">
        <f>IFERROR(AG513/F513,"")</f>
        <v/>
      </c>
      <c r="AI513">
        <f>IF(AND($E513=TRUE,$C513="GKP"),AF513,"")</f>
        <v/>
      </c>
      <c r="AJ513">
        <f>IF(AND($E513=TRUE,$C513="DEF"),AF513,"")</f>
        <v/>
      </c>
      <c r="AK513">
        <f>IF(AND($E513=TRUE,$C513="MID"),AF513,"")</f>
        <v/>
      </c>
      <c r="AL513">
        <f>IF(AND($E513=TRUE,$C513="FWD"),AF513,"")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b">
        <v>1</v>
      </c>
      <c r="F514" s="2" t="n">
        <v>5</v>
      </c>
      <c r="G514" t="inlineStr">
        <is>
          <t>a</t>
        </is>
      </c>
      <c r="I514" s="2" t="n"/>
      <c r="K514" s="3" t="n">
        <v>0</v>
      </c>
      <c r="L514" t="inlineStr">
        <is>
          <t>flat</t>
        </is>
      </c>
      <c r="M514" s="4" t="n"/>
      <c r="N514" s="4" t="n"/>
      <c r="O514" s="3" t="n"/>
      <c r="P514" t="inlineStr"/>
      <c r="Q514" s="3" t="n"/>
      <c r="R514" s="3" t="n"/>
      <c r="S514" s="3" t="n"/>
      <c r="T514" s="3" t="n"/>
      <c r="U514" s="4" t="n"/>
      <c r="V514" s="3">
        <f>IF(OR(N(T514)=0,N(U514)=0),0,1-POISSON(IFERROR(VLOOKUP($C514,Assumptions!$A$4:$G$7,7,FALSE),99)-1,N(T514)*N(U514)/90,TRUE))</f>
        <v/>
      </c>
      <c r="W514" s="3" t="n"/>
      <c r="X514" s="3" t="n"/>
      <c r="Y514" s="3">
        <f>IF(X514="",IFERROR(VLOOKUP($C514,Assumptions!$A$4:$G$7,6,FALSE),0),X514)</f>
        <v/>
      </c>
      <c r="Z514" s="3">
        <f>N(O514)*IFERROR(VLOOKUP($C514,Assumptions!$A$4:$G$7,2,FALSE),0)</f>
        <v/>
      </c>
      <c r="AA514" s="3">
        <f>N(S514)*IFERROR(VLOOKUP($C514,Assumptions!$A$4:$G$7,3,FALSE),0)*Assumptions!$B$11</f>
        <v/>
      </c>
      <c r="AB514" s="3">
        <f>N(N514)*IFERROR(VLOOKUP($C514,Assumptions!$A$4:$G$7,4,FALSE),0)</f>
        <v/>
      </c>
      <c r="AC514" s="3">
        <f>IF(N(U514)=0,0,V514*IFERROR(VLOOKUP($C514,Assumptions!$A$4:$G$7,5,FALSE),0)*90/N(U514))</f>
        <v/>
      </c>
      <c r="AD514" s="3">
        <f>N(W514)</f>
        <v/>
      </c>
      <c r="AE514" s="3">
        <f>SUM(Y514:AD514)</f>
        <v/>
      </c>
      <c r="AF514" s="3">
        <f>N(AE514)*N(M514)/90</f>
        <v/>
      </c>
      <c r="AG514" s="3">
        <f>IFERROR(AF514-VLOOKUP($C514,Assumptions!$A$29:$C$32,3,FALSE),"")</f>
        <v/>
      </c>
      <c r="AH514" s="3">
        <f>IFERROR(AG514/F514,"")</f>
        <v/>
      </c>
      <c r="AI514">
        <f>IF(AND($E514=TRUE,$C514="GKP"),AF514,"")</f>
        <v/>
      </c>
      <c r="AJ514">
        <f>IF(AND($E514=TRUE,$C514="DEF"),AF514,"")</f>
        <v/>
      </c>
      <c r="AK514">
        <f>IF(AND($E514=TRUE,$C514="MID"),AF514,"")</f>
        <v/>
      </c>
      <c r="AL514">
        <f>IF(AND($E514=TRUE,$C514="FWD"),AF514,"")</f>
        <v/>
      </c>
    </row>
    <row r="515">
      <c r="A515" t="inlineStr">
        <is>
          <t>Josh Cullen</t>
        </is>
      </c>
      <c r="D515" t="inlineStr">
        <is>
          <t>MID</t>
        </is>
      </c>
      <c r="E515" t="b">
        <v>0</v>
      </c>
      <c r="F515" s="2" t="n"/>
      <c r="I515" s="2" t="n">
        <v>1519</v>
      </c>
      <c r="K515" s="3" t="n"/>
      <c r="M515" s="4" t="n">
        <v>1519</v>
      </c>
      <c r="N515" s="4" t="n"/>
      <c r="O515" s="3" t="n">
        <v>0.0643</v>
      </c>
      <c r="P515" t="inlineStr">
        <is>
          <t>adjusted xGOT</t>
        </is>
      </c>
      <c r="Q515" s="3" t="n">
        <v>1.154</v>
      </c>
      <c r="R515" s="3" t="n">
        <v>1.5</v>
      </c>
      <c r="S515" s="3" t="n">
        <v>0.1076</v>
      </c>
      <c r="T515" s="3" t="n">
        <v>9.738</v>
      </c>
      <c r="U515" s="4" t="n">
        <v>84.09999999999999</v>
      </c>
      <c r="V515" s="3">
        <f>IF(OR(N(T515)=0,N(U515)=0),0,1-POISSON(IFERROR(VLOOKUP($C515,Assumptions!$A$4:$G$7,7,FALSE),99)-1,N(T515)*N(U515)/90,TRUE))</f>
        <v/>
      </c>
      <c r="W515" s="3" t="n">
        <v>0.4147</v>
      </c>
      <c r="X515" s="3" t="n">
        <v>2.074</v>
      </c>
      <c r="Y515" s="3">
        <f>IF(X515="",IFERROR(VLOOKUP($C515,Assumptions!$A$4:$G$7,6,FALSE),0),X515)</f>
        <v/>
      </c>
      <c r="Z515" s="3">
        <f>N(O515)*IFERROR(VLOOKUP($C515,Assumptions!$A$4:$G$7,2,FALSE),0)</f>
        <v/>
      </c>
      <c r="AA515" s="3">
        <f>N(S515)*IFERROR(VLOOKUP($C515,Assumptions!$A$4:$G$7,3,FALSE),0)*Assumptions!$B$11</f>
        <v/>
      </c>
      <c r="AB515" s="3">
        <f>N(N515)*IFERROR(VLOOKUP($C515,Assumptions!$A$4:$G$7,4,FALSE),0)</f>
        <v/>
      </c>
      <c r="AC515" s="3">
        <f>IF(N(U515)=0,0,V515*IFERROR(VLOOKUP($C515,Assumptions!$A$4:$G$7,5,FALSE),0)*90/N(U515))</f>
        <v/>
      </c>
      <c r="AD515" s="3">
        <f>N(W515)</f>
        <v/>
      </c>
      <c r="AE515" s="3">
        <f>SUM(Y515:AD515)</f>
        <v/>
      </c>
      <c r="AF515" s="3">
        <f>N(AE515)*N(M515)/90</f>
        <v/>
      </c>
      <c r="AG515" s="3">
        <f>IFERROR(AF515-VLOOKUP($C515,Assumptions!$A$29:$C$32,3,FALSE),"")</f>
        <v/>
      </c>
      <c r="AH515" s="3">
        <f>IFERROR(AG515/F515,"")</f>
        <v/>
      </c>
      <c r="AI515">
        <f>IF(AND($E515=TRUE,$C515="GKP"),AF515,"")</f>
        <v/>
      </c>
      <c r="AJ515">
        <f>IF(AND($E515=TRUE,$C515="DEF"),AF515,"")</f>
        <v/>
      </c>
      <c r="AK515">
        <f>IF(AND($E515=TRUE,$C515="MID"),AF515,"")</f>
        <v/>
      </c>
      <c r="AL515">
        <f>IF(AND($E515=TRUE,$C515="FWD"),AF515,"")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b">
        <v>1</v>
      </c>
      <c r="F516" s="2" t="n">
        <v>4</v>
      </c>
      <c r="G516" t="inlineStr">
        <is>
          <t>a</t>
        </is>
      </c>
      <c r="I516" s="2" t="n"/>
      <c r="K516" s="3" t="n">
        <v>2992</v>
      </c>
      <c r="L516" t="inlineStr">
        <is>
          <t>flat</t>
        </is>
      </c>
      <c r="M516" s="4" t="n"/>
      <c r="N516" s="4" t="n"/>
      <c r="O516" s="3" t="n"/>
      <c r="P516" t="inlineStr"/>
      <c r="Q516" s="3" t="n"/>
      <c r="R516" s="3" t="n"/>
      <c r="S516" s="3" t="n"/>
      <c r="T516" s="3" t="n"/>
      <c r="U516" s="4" t="n"/>
      <c r="V516" s="3">
        <f>IF(OR(N(T516)=0,N(U516)=0),0,1-POISSON(IFERROR(VLOOKUP($C516,Assumptions!$A$4:$G$7,7,FALSE),99)-1,N(T516)*N(U516)/90,TRUE))</f>
        <v/>
      </c>
      <c r="W516" s="3" t="n"/>
      <c r="X516" s="3" t="n"/>
      <c r="Y516" s="3">
        <f>IF(X516="",IFERROR(VLOOKUP($C516,Assumptions!$A$4:$G$7,6,FALSE),0),X516)</f>
        <v/>
      </c>
      <c r="Z516" s="3">
        <f>N(O516)*IFERROR(VLOOKUP($C516,Assumptions!$A$4:$G$7,2,FALSE),0)</f>
        <v/>
      </c>
      <c r="AA516" s="3">
        <f>N(S516)*IFERROR(VLOOKUP($C516,Assumptions!$A$4:$G$7,3,FALSE),0)*Assumptions!$B$11</f>
        <v/>
      </c>
      <c r="AB516" s="3">
        <f>N(N516)*IFERROR(VLOOKUP($C516,Assumptions!$A$4:$G$7,4,FALSE),0)</f>
        <v/>
      </c>
      <c r="AC516" s="3">
        <f>IF(N(U516)=0,0,V516*IFERROR(VLOOKUP($C516,Assumptions!$A$4:$G$7,5,FALSE),0)*90/N(U516))</f>
        <v/>
      </c>
      <c r="AD516" s="3">
        <f>N(W516)</f>
        <v/>
      </c>
      <c r="AE516" s="3">
        <f>SUM(Y516:AD516)</f>
        <v/>
      </c>
      <c r="AF516" s="3">
        <f>N(AE516)*N(M516)/90</f>
        <v/>
      </c>
      <c r="AG516" s="3">
        <f>IFERROR(AF516-VLOOKUP($C516,Assumptions!$A$29:$C$32,3,FALSE),"")</f>
        <v/>
      </c>
      <c r="AH516" s="3">
        <f>IFERROR(AG516/F516,"")</f>
        <v/>
      </c>
      <c r="AI516">
        <f>IF(AND($E516=TRUE,$C516="GKP"),AF516,"")</f>
        <v/>
      </c>
      <c r="AJ516">
        <f>IF(AND($E516=TRUE,$C516="DEF"),AF516,"")</f>
        <v/>
      </c>
      <c r="AK516">
        <f>IF(AND($E516=TRUE,$C516="MID"),AF516,"")</f>
        <v/>
      </c>
      <c r="AL516">
        <f>IF(AND($E516=TRUE,$C516="FWD"),AF516,"")</f>
        <v/>
      </c>
    </row>
    <row r="517">
      <c r="A517" t="inlineStr">
        <is>
          <t>Marcus Edwards</t>
        </is>
      </c>
      <c r="D517" t="inlineStr">
        <is>
          <t>MID</t>
        </is>
      </c>
      <c r="E517" t="b">
        <v>0</v>
      </c>
      <c r="F517" s="2" t="n"/>
      <c r="I517" s="2" t="n">
        <v>1064</v>
      </c>
      <c r="K517" s="3" t="n"/>
      <c r="M517" s="4" t="n">
        <v>1064</v>
      </c>
      <c r="N517" s="4" t="n"/>
      <c r="O517" s="3" t="n">
        <v>0.1195</v>
      </c>
      <c r="P517" t="inlineStr">
        <is>
          <t>adjusted xGOT</t>
        </is>
      </c>
      <c r="Q517" s="3" t="n">
        <v>0.948</v>
      </c>
      <c r="R517" s="3" t="n">
        <v>1.5</v>
      </c>
      <c r="S517" s="3" t="n">
        <v>0.2154</v>
      </c>
      <c r="T517" s="3" t="n">
        <v>6.865</v>
      </c>
      <c r="U517" s="4" t="n">
        <v>96.2</v>
      </c>
      <c r="V517" s="3">
        <f>IF(OR(N(T517)=0,N(U517)=0),0,1-POISSON(IFERROR(VLOOKUP($C517,Assumptions!$A$4:$G$7,7,FALSE),99)-1,N(T517)*N(U517)/90,TRUE))</f>
        <v/>
      </c>
      <c r="W517" s="3" t="n">
        <v>0.1692</v>
      </c>
      <c r="X517" s="3" t="n">
        <v>2.876</v>
      </c>
      <c r="Y517" s="3">
        <f>IF(X517="",IFERROR(VLOOKUP($C517,Assumptions!$A$4:$G$7,6,FALSE),0),X517)</f>
        <v/>
      </c>
      <c r="Z517" s="3">
        <f>N(O517)*IFERROR(VLOOKUP($C517,Assumptions!$A$4:$G$7,2,FALSE),0)</f>
        <v/>
      </c>
      <c r="AA517" s="3">
        <f>N(S517)*IFERROR(VLOOKUP($C517,Assumptions!$A$4:$G$7,3,FALSE),0)*Assumptions!$B$11</f>
        <v/>
      </c>
      <c r="AB517" s="3">
        <f>N(N517)*IFERROR(VLOOKUP($C517,Assumptions!$A$4:$G$7,4,FALSE),0)</f>
        <v/>
      </c>
      <c r="AC517" s="3">
        <f>IF(N(U517)=0,0,V517*IFERROR(VLOOKUP($C517,Assumptions!$A$4:$G$7,5,FALSE),0)*90/N(U517))</f>
        <v/>
      </c>
      <c r="AD517" s="3">
        <f>N(W517)</f>
        <v/>
      </c>
      <c r="AE517" s="3">
        <f>SUM(Y517:AD517)</f>
        <v/>
      </c>
      <c r="AF517" s="3">
        <f>N(AE517)*N(M517)/90</f>
        <v/>
      </c>
      <c r="AG517" s="3">
        <f>IFERROR(AF517-VLOOKUP($C517,Assumptions!$A$29:$C$32,3,FALSE),"")</f>
        <v/>
      </c>
      <c r="AH517" s="3">
        <f>IFERROR(AG517/F517,"")</f>
        <v/>
      </c>
      <c r="AI517">
        <f>IF(AND($E517=TRUE,$C517="GKP"),AF517,"")</f>
        <v/>
      </c>
      <c r="AJ517">
        <f>IF(AND($E517=TRUE,$C517="DEF"),AF517,"")</f>
        <v/>
      </c>
      <c r="AK517">
        <f>IF(AND($E517=TRUE,$C517="MID"),AF517,"")</f>
        <v/>
      </c>
      <c r="AL517">
        <f>IF(AND($E517=TRUE,$C517="FWD"),AF517,"")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b">
        <v>1</v>
      </c>
      <c r="F518" s="2" t="n">
        <v>5.5</v>
      </c>
      <c r="G518" t="inlineStr">
        <is>
          <t>a</t>
        </is>
      </c>
      <c r="I518" s="2" t="n"/>
      <c r="K518" s="3" t="n">
        <v>2656</v>
      </c>
      <c r="L518" t="inlineStr">
        <is>
          <t>ramp-up (injury / late WC return)</t>
        </is>
      </c>
      <c r="M518" s="4" t="n"/>
      <c r="N518" s="4" t="n"/>
      <c r="O518" s="3" t="n"/>
      <c r="P518" t="inlineStr"/>
      <c r="Q518" s="3" t="n"/>
      <c r="R518" s="3" t="n"/>
      <c r="S518" s="3" t="n"/>
      <c r="T518" s="3" t="n"/>
      <c r="U518" s="4" t="n"/>
      <c r="V518" s="3">
        <f>IF(OR(N(T518)=0,N(U518)=0),0,1-POISSON(IFERROR(VLOOKUP($C518,Assumptions!$A$4:$G$7,7,FALSE),99)-1,N(T518)*N(U518)/90,TRUE))</f>
        <v/>
      </c>
      <c r="W518" s="3" t="n"/>
      <c r="X518" s="3" t="n"/>
      <c r="Y518" s="3">
        <f>IF(X518="",IFERROR(VLOOKUP($C518,Assumptions!$A$4:$G$7,6,FALSE),0),X518)</f>
        <v/>
      </c>
      <c r="Z518" s="3">
        <f>N(O518)*IFERROR(VLOOKUP($C518,Assumptions!$A$4:$G$7,2,FALSE),0)</f>
        <v/>
      </c>
      <c r="AA518" s="3">
        <f>N(S518)*IFERROR(VLOOKUP($C518,Assumptions!$A$4:$G$7,3,FALSE),0)*Assumptions!$B$11</f>
        <v/>
      </c>
      <c r="AB518" s="3">
        <f>N(N518)*IFERROR(VLOOKUP($C518,Assumptions!$A$4:$G$7,4,FALSE),0)</f>
        <v/>
      </c>
      <c r="AC518" s="3">
        <f>IF(N(U518)=0,0,V518*IFERROR(VLOOKUP($C518,Assumptions!$A$4:$G$7,5,FALSE),0)*90/N(U518))</f>
        <v/>
      </c>
      <c r="AD518" s="3">
        <f>N(W518)</f>
        <v/>
      </c>
      <c r="AE518" s="3">
        <f>SUM(Y518:AD518)</f>
        <v/>
      </c>
      <c r="AF518" s="3">
        <f>N(AE518)*N(M518)/90</f>
        <v/>
      </c>
      <c r="AG518" s="3">
        <f>IFERROR(AF518-VLOOKUP($C518,Assumptions!$A$29:$C$32,3,FALSE),"")</f>
        <v/>
      </c>
      <c r="AH518" s="3">
        <f>IFERROR(AG518/F518,"")</f>
        <v/>
      </c>
      <c r="AI518">
        <f>IF(AND($E518=TRUE,$C518="GKP"),AF518,"")</f>
        <v/>
      </c>
      <c r="AJ518">
        <f>IF(AND($E518=TRUE,$C518="DEF"),AF518,"")</f>
        <v/>
      </c>
      <c r="AK518">
        <f>IF(AND($E518=TRUE,$C518="MID"),AF518,"")</f>
        <v/>
      </c>
      <c r="AL518">
        <f>IF(AND($E518=TRUE,$C518="FWD"),AF518,"")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b">
        <v>1</v>
      </c>
      <c r="F519" s="2" t="n">
        <v>4</v>
      </c>
      <c r="G519" t="inlineStr">
        <is>
          <t>a</t>
        </is>
      </c>
      <c r="I519" s="2" t="n"/>
      <c r="K519" s="3" t="n">
        <v>2775</v>
      </c>
      <c r="L519" t="inlineStr">
        <is>
          <t>flat</t>
        </is>
      </c>
      <c r="M519" s="4" t="n"/>
      <c r="N519" s="4" t="n"/>
      <c r="O519" s="3" t="n"/>
      <c r="P519" t="inlineStr"/>
      <c r="Q519" s="3" t="n"/>
      <c r="R519" s="3" t="n"/>
      <c r="S519" s="3" t="n"/>
      <c r="T519" s="3" t="n"/>
      <c r="U519" s="4" t="n"/>
      <c r="V519" s="3">
        <f>IF(OR(N(T519)=0,N(U519)=0),0,1-POISSON(IFERROR(VLOOKUP($C519,Assumptions!$A$4:$G$7,7,FALSE),99)-1,N(T519)*N(U519)/90,TRUE))</f>
        <v/>
      </c>
      <c r="W519" s="3" t="n"/>
      <c r="X519" s="3" t="n"/>
      <c r="Y519" s="3">
        <f>IF(X519="",IFERROR(VLOOKUP($C519,Assumptions!$A$4:$G$7,6,FALSE),0),X519)</f>
        <v/>
      </c>
      <c r="Z519" s="3">
        <f>N(O519)*IFERROR(VLOOKUP($C519,Assumptions!$A$4:$G$7,2,FALSE),0)</f>
        <v/>
      </c>
      <c r="AA519" s="3">
        <f>N(S519)*IFERROR(VLOOKUP($C519,Assumptions!$A$4:$G$7,3,FALSE),0)*Assumptions!$B$11</f>
        <v/>
      </c>
      <c r="AB519" s="3">
        <f>N(N519)*IFERROR(VLOOKUP($C519,Assumptions!$A$4:$G$7,4,FALSE),0)</f>
        <v/>
      </c>
      <c r="AC519" s="3">
        <f>IF(N(U519)=0,0,V519*IFERROR(VLOOKUP($C519,Assumptions!$A$4:$G$7,5,FALSE),0)*90/N(U519))</f>
        <v/>
      </c>
      <c r="AD519" s="3">
        <f>N(W519)</f>
        <v/>
      </c>
      <c r="AE519" s="3">
        <f>SUM(Y519:AD519)</f>
        <v/>
      </c>
      <c r="AF519" s="3">
        <f>N(AE519)*N(M519)/90</f>
        <v/>
      </c>
      <c r="AG519" s="3">
        <f>IFERROR(AF519-VLOOKUP($C519,Assumptions!$A$29:$C$32,3,FALSE),"")</f>
        <v/>
      </c>
      <c r="AH519" s="3">
        <f>IFERROR(AG519/F519,"")</f>
        <v/>
      </c>
      <c r="AI519">
        <f>IF(AND($E519=TRUE,$C519="GKP"),AF519,"")</f>
        <v/>
      </c>
      <c r="AJ519">
        <f>IF(AND($E519=TRUE,$C519="DEF"),AF519,"")</f>
        <v/>
      </c>
      <c r="AK519">
        <f>IF(AND($E519=TRUE,$C519="MID"),AF519,"")</f>
        <v/>
      </c>
      <c r="AL519">
        <f>IF(AND($E519=TRUE,$C519="FWD"),AF519,"")</f>
        <v/>
      </c>
    </row>
    <row r="520">
      <c r="A520" t="inlineStr">
        <is>
          <t>Jarrod Bowen</t>
        </is>
      </c>
      <c r="D520" t="inlineStr">
        <is>
          <t>FWD</t>
        </is>
      </c>
      <c r="E520" t="b">
        <v>0</v>
      </c>
      <c r="F520" s="2" t="n"/>
      <c r="I520" s="2" t="n">
        <v>3405</v>
      </c>
      <c r="K520" s="3" t="n"/>
      <c r="M520" s="4" t="n">
        <v>3405</v>
      </c>
      <c r="N520" s="4" t="n"/>
      <c r="O520" s="3" t="n">
        <v>0.2028</v>
      </c>
      <c r="P520" t="inlineStr">
        <is>
          <t>adjusted xGOT</t>
        </is>
      </c>
      <c r="Q520" s="3" t="n">
        <v>1.063</v>
      </c>
      <c r="R520" s="3" t="n">
        <v>37.2</v>
      </c>
      <c r="S520" s="3" t="n">
        <v>0.2229</v>
      </c>
      <c r="T520" s="3" t="n">
        <v>6.966</v>
      </c>
      <c r="U520" s="4" t="n">
        <v>89.59999999999999</v>
      </c>
      <c r="V520" s="3">
        <f>IF(OR(N(T520)=0,N(U520)=0),0,1-POISSON(IFERROR(VLOOKUP($C520,Assumptions!$A$4:$G$7,7,FALSE),99)-1,N(T520)*N(U520)/90,TRUE))</f>
        <v/>
      </c>
      <c r="W520" s="3" t="n">
        <v>0.7401</v>
      </c>
      <c r="X520" s="3" t="n">
        <v>2.009</v>
      </c>
      <c r="Y520" s="3">
        <f>IF(X520="",IFERROR(VLOOKUP($C520,Assumptions!$A$4:$G$7,6,FALSE),0),X520)</f>
        <v/>
      </c>
      <c r="Z520" s="3">
        <f>N(O520)*IFERROR(VLOOKUP($C520,Assumptions!$A$4:$G$7,2,FALSE),0)</f>
        <v/>
      </c>
      <c r="AA520" s="3">
        <f>N(S520)*IFERROR(VLOOKUP($C520,Assumptions!$A$4:$G$7,3,FALSE),0)*Assumptions!$B$11</f>
        <v/>
      </c>
      <c r="AB520" s="3">
        <f>N(N520)*IFERROR(VLOOKUP($C520,Assumptions!$A$4:$G$7,4,FALSE),0)</f>
        <v/>
      </c>
      <c r="AC520" s="3">
        <f>IF(N(U520)=0,0,V520*IFERROR(VLOOKUP($C520,Assumptions!$A$4:$G$7,5,FALSE),0)*90/N(U520))</f>
        <v/>
      </c>
      <c r="AD520" s="3">
        <f>N(W520)</f>
        <v/>
      </c>
      <c r="AE520" s="3">
        <f>SUM(Y520:AD520)</f>
        <v/>
      </c>
      <c r="AF520" s="3">
        <f>N(AE520)*N(M520)/90</f>
        <v/>
      </c>
      <c r="AG520" s="3">
        <f>IFERROR(AF520-VLOOKUP($C520,Assumptions!$A$29:$C$32,3,FALSE),"")</f>
        <v/>
      </c>
      <c r="AH520" s="3">
        <f>IFERROR(AG520/F520,"")</f>
        <v/>
      </c>
      <c r="AI520">
        <f>IF(AND($E520=TRUE,$C520="GKP"),AF520,"")</f>
        <v/>
      </c>
      <c r="AJ520">
        <f>IF(AND($E520=TRUE,$C520="DEF"),AF520,"")</f>
        <v/>
      </c>
      <c r="AK520">
        <f>IF(AND($E520=TRUE,$C520="MID"),AF520,"")</f>
        <v/>
      </c>
      <c r="AL520">
        <f>IF(AND($E520=TRUE,$C520="FWD"),AF520,"")</f>
        <v/>
      </c>
    </row>
    <row r="521">
      <c r="A521" t="inlineStr">
        <is>
          <t>Marc Cucurella</t>
        </is>
      </c>
      <c r="D521" t="inlineStr">
        <is>
          <t>DEF</t>
        </is>
      </c>
      <c r="E521" t="b">
        <v>0</v>
      </c>
      <c r="F521" s="2" t="n"/>
      <c r="I521" s="2" t="n">
        <v>2710</v>
      </c>
      <c r="K521" s="3" t="n"/>
      <c r="M521" s="4" t="n">
        <v>2710</v>
      </c>
      <c r="N521" s="4" t="n"/>
      <c r="O521" s="3" t="n">
        <v>0.081</v>
      </c>
      <c r="P521" t="inlineStr">
        <is>
          <t>adjusted xGOT</t>
        </is>
      </c>
      <c r="Q521" s="3" t="n">
        <v>1.043</v>
      </c>
      <c r="R521" s="3" t="n">
        <v>6.7</v>
      </c>
      <c r="S521" s="3" t="n">
        <v>0.1508</v>
      </c>
      <c r="T521" s="3" t="n">
        <v>6.396</v>
      </c>
      <c r="U521" s="4" t="n">
        <v>87.3</v>
      </c>
      <c r="V521" s="3">
        <f>IF(OR(N(T521)=0,N(U521)=0),0,1-POISSON(IFERROR(VLOOKUP($C521,Assumptions!$A$4:$G$7,7,FALSE),99)-1,N(T521)*N(U521)/90,TRUE))</f>
        <v/>
      </c>
      <c r="W521" s="3" t="n">
        <v>0.1328</v>
      </c>
      <c r="X521" s="3" t="n">
        <v>2.092</v>
      </c>
      <c r="Y521" s="3">
        <f>IF(X521="",IFERROR(VLOOKUP($C521,Assumptions!$A$4:$G$7,6,FALSE),0),X521)</f>
        <v/>
      </c>
      <c r="Z521" s="3">
        <f>N(O521)*IFERROR(VLOOKUP($C521,Assumptions!$A$4:$G$7,2,FALSE),0)</f>
        <v/>
      </c>
      <c r="AA521" s="3">
        <f>N(S521)*IFERROR(VLOOKUP($C521,Assumptions!$A$4:$G$7,3,FALSE),0)*Assumptions!$B$11</f>
        <v/>
      </c>
      <c r="AB521" s="3">
        <f>N(N521)*IFERROR(VLOOKUP($C521,Assumptions!$A$4:$G$7,4,FALSE),0)</f>
        <v/>
      </c>
      <c r="AC521" s="3">
        <f>IF(N(U521)=0,0,V521*IFERROR(VLOOKUP($C521,Assumptions!$A$4:$G$7,5,FALSE),0)*90/N(U521))</f>
        <v/>
      </c>
      <c r="AD521" s="3">
        <f>N(W521)</f>
        <v/>
      </c>
      <c r="AE521" s="3">
        <f>SUM(Y521:AD521)</f>
        <v/>
      </c>
      <c r="AF521" s="3">
        <f>N(AE521)*N(M521)/90</f>
        <v/>
      </c>
      <c r="AG521" s="3">
        <f>IFERROR(AF521-VLOOKUP($C521,Assumptions!$A$29:$C$32,3,FALSE),"")</f>
        <v/>
      </c>
      <c r="AH521" s="3">
        <f>IFERROR(AG521/F521,"")</f>
        <v/>
      </c>
      <c r="AI521">
        <f>IF(AND($E521=TRUE,$C521="GKP"),AF521,"")</f>
        <v/>
      </c>
      <c r="AJ521">
        <f>IF(AND($E521=TRUE,$C521="DEF"),AF521,"")</f>
        <v/>
      </c>
      <c r="AK521">
        <f>IF(AND($E521=TRUE,$C521="MID"),AF521,"")</f>
        <v/>
      </c>
      <c r="AL521">
        <f>IF(AND($E521=TRUE,$C521="FWD"),AF521,"")</f>
        <v/>
      </c>
    </row>
    <row r="522">
      <c r="A522" t="inlineStr">
        <is>
          <t>Jacob Bruun Larsen</t>
        </is>
      </c>
      <c r="D522" t="inlineStr">
        <is>
          <t>MID</t>
        </is>
      </c>
      <c r="E522" t="b">
        <v>0</v>
      </c>
      <c r="F522" s="2" t="n"/>
      <c r="I522" s="2" t="n">
        <v>1023</v>
      </c>
      <c r="K522" s="3" t="n"/>
      <c r="M522" s="4" t="n">
        <v>1023</v>
      </c>
      <c r="N522" s="4" t="n"/>
      <c r="O522" s="3" t="n">
        <v>0.1169</v>
      </c>
      <c r="P522" t="inlineStr">
        <is>
          <t>adjusted xGOT</t>
        </is>
      </c>
      <c r="Q522" s="3" t="n">
        <v>0.97</v>
      </c>
      <c r="R522" s="3" t="n">
        <v>6</v>
      </c>
      <c r="S522" s="3" t="n">
        <v>0.1213</v>
      </c>
      <c r="T522" s="3" t="n">
        <v>6.831</v>
      </c>
      <c r="U522" s="4" t="n">
        <v>101.4</v>
      </c>
      <c r="V522" s="3">
        <f>IF(OR(N(T522)=0,N(U522)=0),0,1-POISSON(IFERROR(VLOOKUP($C522,Assumptions!$A$4:$G$7,7,FALSE),99)-1,N(T522)*N(U522)/90,TRUE))</f>
        <v/>
      </c>
      <c r="W522" s="3" t="n">
        <v>0</v>
      </c>
      <c r="X522" s="3" t="n">
        <v>3.079</v>
      </c>
      <c r="Y522" s="3">
        <f>IF(X522="",IFERROR(VLOOKUP($C522,Assumptions!$A$4:$G$7,6,FALSE),0),X522)</f>
        <v/>
      </c>
      <c r="Z522" s="3">
        <f>N(O522)*IFERROR(VLOOKUP($C522,Assumptions!$A$4:$G$7,2,FALSE),0)</f>
        <v/>
      </c>
      <c r="AA522" s="3">
        <f>N(S522)*IFERROR(VLOOKUP($C522,Assumptions!$A$4:$G$7,3,FALSE),0)*Assumptions!$B$11</f>
        <v/>
      </c>
      <c r="AB522" s="3">
        <f>N(N522)*IFERROR(VLOOKUP($C522,Assumptions!$A$4:$G$7,4,FALSE),0)</f>
        <v/>
      </c>
      <c r="AC522" s="3">
        <f>IF(N(U522)=0,0,V522*IFERROR(VLOOKUP($C522,Assumptions!$A$4:$G$7,5,FALSE),0)*90/N(U522))</f>
        <v/>
      </c>
      <c r="AD522" s="3">
        <f>N(W522)</f>
        <v/>
      </c>
      <c r="AE522" s="3">
        <f>SUM(Y522:AD522)</f>
        <v/>
      </c>
      <c r="AF522" s="3">
        <f>N(AE522)*N(M522)/90</f>
        <v/>
      </c>
      <c r="AG522" s="3">
        <f>IFERROR(AF522-VLOOKUP($C522,Assumptions!$A$29:$C$32,3,FALSE),"")</f>
        <v/>
      </c>
      <c r="AH522" s="3">
        <f>IFERROR(AG522/F522,"")</f>
        <v/>
      </c>
      <c r="AI522">
        <f>IF(AND($E522=TRUE,$C522="GKP"),AF522,"")</f>
        <v/>
      </c>
      <c r="AJ522">
        <f>IF(AND($E522=TRUE,$C522="DEF"),AF522,"")</f>
        <v/>
      </c>
      <c r="AK522">
        <f>IF(AND($E522=TRUE,$C522="MID"),AF522,"")</f>
        <v/>
      </c>
      <c r="AL522">
        <f>IF(AND($E522=TRUE,$C522="FWD"),AF522,"")</f>
        <v/>
      </c>
    </row>
    <row r="523">
      <c r="A523" t="inlineStr">
        <is>
          <t>Axel Tuanzebe</t>
        </is>
      </c>
      <c r="D523" t="inlineStr">
        <is>
          <t>DEF</t>
        </is>
      </c>
      <c r="E523" t="b">
        <v>0</v>
      </c>
      <c r="F523" s="2" t="n"/>
      <c r="I523" s="2" t="n">
        <v>1202</v>
      </c>
      <c r="K523" s="3" t="n"/>
      <c r="M523" s="4" t="n">
        <v>1202</v>
      </c>
      <c r="N523" s="4" t="n"/>
      <c r="O523" s="3" t="n">
        <v>0.0461</v>
      </c>
      <c r="P523" t="inlineStr">
        <is>
          <t>adjusted xGOT</t>
        </is>
      </c>
      <c r="Q523" s="3" t="n">
        <v>1.009</v>
      </c>
      <c r="R523" s="3" t="n">
        <v>0.8</v>
      </c>
      <c r="S523" s="3" t="n">
        <v>0</v>
      </c>
      <c r="T523" s="3" t="n">
        <v>8.502000000000001</v>
      </c>
      <c r="U523" s="4" t="n">
        <v>85.8</v>
      </c>
      <c r="V523" s="3">
        <f>IF(OR(N(T523)=0,N(U523)=0),0,1-POISSON(IFERROR(VLOOKUP($C523,Assumptions!$A$4:$G$7,7,FALSE),99)-1,N(T523)*N(U523)/90,TRUE))</f>
        <v/>
      </c>
      <c r="W523" s="3" t="n">
        <v>0</v>
      </c>
      <c r="X523" s="3" t="n">
        <v>2.022</v>
      </c>
      <c r="Y523" s="3">
        <f>IF(X523="",IFERROR(VLOOKUP($C523,Assumptions!$A$4:$G$7,6,FALSE),0),X523)</f>
        <v/>
      </c>
      <c r="Z523" s="3">
        <f>N(O523)*IFERROR(VLOOKUP($C523,Assumptions!$A$4:$G$7,2,FALSE),0)</f>
        <v/>
      </c>
      <c r="AA523" s="3">
        <f>N(S523)*IFERROR(VLOOKUP($C523,Assumptions!$A$4:$G$7,3,FALSE),0)*Assumptions!$B$11</f>
        <v/>
      </c>
      <c r="AB523" s="3">
        <f>N(N523)*IFERROR(VLOOKUP($C523,Assumptions!$A$4:$G$7,4,FALSE),0)</f>
        <v/>
      </c>
      <c r="AC523" s="3">
        <f>IF(N(U523)=0,0,V523*IFERROR(VLOOKUP($C523,Assumptions!$A$4:$G$7,5,FALSE),0)*90/N(U523))</f>
        <v/>
      </c>
      <c r="AD523" s="3">
        <f>N(W523)</f>
        <v/>
      </c>
      <c r="AE523" s="3">
        <f>SUM(Y523:AD523)</f>
        <v/>
      </c>
      <c r="AF523" s="3">
        <f>N(AE523)*N(M523)/90</f>
        <v/>
      </c>
      <c r="AG523" s="3">
        <f>IFERROR(AF523-VLOOKUP($C523,Assumptions!$A$29:$C$32,3,FALSE),"")</f>
        <v/>
      </c>
      <c r="AH523" s="3">
        <f>IFERROR(AG523/F523,"")</f>
        <v/>
      </c>
      <c r="AI523">
        <f>IF(AND($E523=TRUE,$C523="GKP"),AF523,"")</f>
        <v/>
      </c>
      <c r="AJ523">
        <f>IF(AND($E523=TRUE,$C523="DEF"),AF523,"")</f>
        <v/>
      </c>
      <c r="AK523">
        <f>IF(AND($E523=TRUE,$C523="MID"),AF523,"")</f>
        <v/>
      </c>
      <c r="AL523">
        <f>IF(AND($E523=TRUE,$C523="FWD"),AF523,"")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b">
        <v>1</v>
      </c>
      <c r="F524" s="2" t="n">
        <v>4</v>
      </c>
      <c r="G524" t="inlineStr">
        <is>
          <t>a</t>
        </is>
      </c>
      <c r="I524" s="2" t="n"/>
      <c r="K524" s="3" t="n">
        <v>193</v>
      </c>
      <c r="L524" t="inlineStr">
        <is>
          <t>flat</t>
        </is>
      </c>
      <c r="M524" s="4" t="n"/>
      <c r="N524" s="4" t="n"/>
      <c r="O524" s="3" t="n"/>
      <c r="P524" t="inlineStr"/>
      <c r="Q524" s="3" t="n"/>
      <c r="R524" s="3" t="n"/>
      <c r="S524" s="3" t="n"/>
      <c r="T524" s="3" t="n"/>
      <c r="U524" s="4" t="n"/>
      <c r="V524" s="3">
        <f>IF(OR(N(T524)=0,N(U524)=0),0,1-POISSON(IFERROR(VLOOKUP($C524,Assumptions!$A$4:$G$7,7,FALSE),99)-1,N(T524)*N(U524)/90,TRUE))</f>
        <v/>
      </c>
      <c r="W524" s="3" t="n"/>
      <c r="X524" s="3" t="n"/>
      <c r="Y524" s="3">
        <f>IF(X524="",IFERROR(VLOOKUP($C524,Assumptions!$A$4:$G$7,6,FALSE),0),X524)</f>
        <v/>
      </c>
      <c r="Z524" s="3">
        <f>N(O524)*IFERROR(VLOOKUP($C524,Assumptions!$A$4:$G$7,2,FALSE),0)</f>
        <v/>
      </c>
      <c r="AA524" s="3">
        <f>N(S524)*IFERROR(VLOOKUP($C524,Assumptions!$A$4:$G$7,3,FALSE),0)*Assumptions!$B$11</f>
        <v/>
      </c>
      <c r="AB524" s="3">
        <f>N(N524)*IFERROR(VLOOKUP($C524,Assumptions!$A$4:$G$7,4,FALSE),0)</f>
        <v/>
      </c>
      <c r="AC524" s="3">
        <f>IF(N(U524)=0,0,V524*IFERROR(VLOOKUP($C524,Assumptions!$A$4:$G$7,5,FALSE),0)*90/N(U524))</f>
        <v/>
      </c>
      <c r="AD524" s="3">
        <f>N(W524)</f>
        <v/>
      </c>
      <c r="AE524" s="3">
        <f>SUM(Y524:AD524)</f>
        <v/>
      </c>
      <c r="AF524" s="3">
        <f>N(AE524)*N(M524)/90</f>
        <v/>
      </c>
      <c r="AG524" s="3">
        <f>IFERROR(AF524-VLOOKUP($C524,Assumptions!$A$29:$C$32,3,FALSE),"")</f>
        <v/>
      </c>
      <c r="AH524" s="3">
        <f>IFERROR(AG524/F524,"")</f>
        <v/>
      </c>
      <c r="AI524">
        <f>IF(AND($E524=TRUE,$C524="GKP"),AF524,"")</f>
        <v/>
      </c>
      <c r="AJ524">
        <f>IF(AND($E524=TRUE,$C524="DEF"),AF524,"")</f>
        <v/>
      </c>
      <c r="AK524">
        <f>IF(AND($E524=TRUE,$C524="MID"),AF524,"")</f>
        <v/>
      </c>
      <c r="AL524">
        <f>IF(AND($E524=TRUE,$C524="FWD"),AF524,"")</f>
        <v/>
      </c>
    </row>
    <row r="525">
      <c r="A525" t="inlineStr">
        <is>
          <t>Hwang Hee-Chan</t>
        </is>
      </c>
      <c r="D525" t="inlineStr">
        <is>
          <t>MID</t>
        </is>
      </c>
      <c r="E525" t="b">
        <v>0</v>
      </c>
      <c r="F525" s="2" t="n"/>
      <c r="I525" s="2" t="n">
        <v>1452</v>
      </c>
      <c r="K525" s="3" t="n"/>
      <c r="M525" s="4" t="n">
        <v>1452</v>
      </c>
      <c r="N525" s="4" t="n"/>
      <c r="O525" s="3" t="n">
        <v>0.1418</v>
      </c>
      <c r="P525" t="inlineStr">
        <is>
          <t>adjusted xGOT</t>
        </is>
      </c>
      <c r="Q525" s="3" t="n">
        <v>0.965</v>
      </c>
      <c r="R525" s="3" t="n">
        <v>13.7</v>
      </c>
      <c r="S525" s="3" t="n">
        <v>0.1166</v>
      </c>
      <c r="T525" s="3" t="n">
        <v>6.862</v>
      </c>
      <c r="U525" s="4" t="n">
        <v>79.90000000000001</v>
      </c>
      <c r="V525" s="3">
        <f>IF(OR(N(T525)=0,N(U525)=0),0,1-POISSON(IFERROR(VLOOKUP($C525,Assumptions!$A$4:$G$7,7,FALSE),99)-1,N(T525)*N(U525)/90,TRUE))</f>
        <v/>
      </c>
      <c r="W525" s="3" t="n">
        <v>0</v>
      </c>
      <c r="X525" s="3" t="n">
        <v>2.541</v>
      </c>
      <c r="Y525" s="3">
        <f>IF(X525="",IFERROR(VLOOKUP($C525,Assumptions!$A$4:$G$7,6,FALSE),0),X525)</f>
        <v/>
      </c>
      <c r="Z525" s="3">
        <f>N(O525)*IFERROR(VLOOKUP($C525,Assumptions!$A$4:$G$7,2,FALSE),0)</f>
        <v/>
      </c>
      <c r="AA525" s="3">
        <f>N(S525)*IFERROR(VLOOKUP($C525,Assumptions!$A$4:$G$7,3,FALSE),0)*Assumptions!$B$11</f>
        <v/>
      </c>
      <c r="AB525" s="3">
        <f>N(N525)*IFERROR(VLOOKUP($C525,Assumptions!$A$4:$G$7,4,FALSE),0)</f>
        <v/>
      </c>
      <c r="AC525" s="3">
        <f>IF(N(U525)=0,0,V525*IFERROR(VLOOKUP($C525,Assumptions!$A$4:$G$7,5,FALSE),0)*90/N(U525))</f>
        <v/>
      </c>
      <c r="AD525" s="3">
        <f>N(W525)</f>
        <v/>
      </c>
      <c r="AE525" s="3">
        <f>SUM(Y525:AD525)</f>
        <v/>
      </c>
      <c r="AF525" s="3">
        <f>N(AE525)*N(M525)/90</f>
        <v/>
      </c>
      <c r="AG525" s="3">
        <f>IFERROR(AF525-VLOOKUP($C525,Assumptions!$A$29:$C$32,3,FALSE),"")</f>
        <v/>
      </c>
      <c r="AH525" s="3">
        <f>IFERROR(AG525/F525,"")</f>
        <v/>
      </c>
      <c r="AI525">
        <f>IF(AND($E525=TRUE,$C525="GKP"),AF525,"")</f>
        <v/>
      </c>
      <c r="AJ525">
        <f>IF(AND($E525=TRUE,$C525="DEF"),AF525,"")</f>
        <v/>
      </c>
      <c r="AK525">
        <f>IF(AND($E525=TRUE,$C525="MID"),AF525,"")</f>
        <v/>
      </c>
      <c r="AL525">
        <f>IF(AND($E525=TRUE,$C525="FWD"),AF525,"")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b">
        <v>1</v>
      </c>
      <c r="F526" s="2" t="n">
        <v>4</v>
      </c>
      <c r="G526" t="inlineStr">
        <is>
          <t>a</t>
        </is>
      </c>
      <c r="I526" s="2" t="n"/>
      <c r="K526" s="3" t="n">
        <v>2833</v>
      </c>
      <c r="L526" t="inlineStr">
        <is>
          <t>flat</t>
        </is>
      </c>
      <c r="M526" s="4" t="n"/>
      <c r="N526" s="4" t="n"/>
      <c r="O526" s="3" t="n"/>
      <c r="P526" t="inlineStr"/>
      <c r="Q526" s="3" t="n"/>
      <c r="R526" s="3" t="n"/>
      <c r="S526" s="3" t="n"/>
      <c r="T526" s="3" t="n"/>
      <c r="U526" s="4" t="n"/>
      <c r="V526" s="3">
        <f>IF(OR(N(T526)=0,N(U526)=0),0,1-POISSON(IFERROR(VLOOKUP($C526,Assumptions!$A$4:$G$7,7,FALSE),99)-1,N(T526)*N(U526)/90,TRUE))</f>
        <v/>
      </c>
      <c r="W526" s="3" t="n"/>
      <c r="X526" s="3" t="n"/>
      <c r="Y526" s="3">
        <f>IF(X526="",IFERROR(VLOOKUP($C526,Assumptions!$A$4:$G$7,6,FALSE),0),X526)</f>
        <v/>
      </c>
      <c r="Z526" s="3">
        <f>N(O526)*IFERROR(VLOOKUP($C526,Assumptions!$A$4:$G$7,2,FALSE),0)</f>
        <v/>
      </c>
      <c r="AA526" s="3">
        <f>N(S526)*IFERROR(VLOOKUP($C526,Assumptions!$A$4:$G$7,3,FALSE),0)*Assumptions!$B$11</f>
        <v/>
      </c>
      <c r="AB526" s="3">
        <f>N(N526)*IFERROR(VLOOKUP($C526,Assumptions!$A$4:$G$7,4,FALSE),0)</f>
        <v/>
      </c>
      <c r="AC526" s="3">
        <f>IF(N(U526)=0,0,V526*IFERROR(VLOOKUP($C526,Assumptions!$A$4:$G$7,5,FALSE),0)*90/N(U526))</f>
        <v/>
      </c>
      <c r="AD526" s="3">
        <f>N(W526)</f>
        <v/>
      </c>
      <c r="AE526" s="3">
        <f>SUM(Y526:AD526)</f>
        <v/>
      </c>
      <c r="AF526" s="3">
        <f>N(AE526)*N(M526)/90</f>
        <v/>
      </c>
      <c r="AG526" s="3">
        <f>IFERROR(AF526-VLOOKUP($C526,Assumptions!$A$29:$C$32,3,FALSE),"")</f>
        <v/>
      </c>
      <c r="AH526" s="3">
        <f>IFERROR(AG526/F526,"")</f>
        <v/>
      </c>
      <c r="AI526">
        <f>IF(AND($E526=TRUE,$C526="GKP"),AF526,"")</f>
        <v/>
      </c>
      <c r="AJ526">
        <f>IF(AND($E526=TRUE,$C526="DEF"),AF526,"")</f>
        <v/>
      </c>
      <c r="AK526">
        <f>IF(AND($E526=TRUE,$C526="MID"),AF526,"")</f>
        <v/>
      </c>
      <c r="AL526">
        <f>IF(AND($E526=TRUE,$C526="FWD"),AF526,"")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b">
        <v>1</v>
      </c>
      <c r="F527" s="2" t="n">
        <v>5.5</v>
      </c>
      <c r="G527" t="inlineStr">
        <is>
          <t>a</t>
        </is>
      </c>
      <c r="I527" s="2" t="n"/>
      <c r="K527" s="3" t="n">
        <v>1476</v>
      </c>
      <c r="L527" t="inlineStr">
        <is>
          <t>flat</t>
        </is>
      </c>
      <c r="M527" s="4" t="n"/>
      <c r="N527" s="4" t="n"/>
      <c r="O527" s="3" t="n"/>
      <c r="P527" t="inlineStr"/>
      <c r="Q527" s="3" t="n"/>
      <c r="R527" s="3" t="n"/>
      <c r="S527" s="3" t="n"/>
      <c r="T527" s="3" t="n"/>
      <c r="U527" s="4" t="n"/>
      <c r="V527" s="3">
        <f>IF(OR(N(T527)=0,N(U527)=0),0,1-POISSON(IFERROR(VLOOKUP($C527,Assumptions!$A$4:$G$7,7,FALSE),99)-1,N(T527)*N(U527)/90,TRUE))</f>
        <v/>
      </c>
      <c r="W527" s="3" t="n"/>
      <c r="X527" s="3" t="n"/>
      <c r="Y527" s="3">
        <f>IF(X527="",IFERROR(VLOOKUP($C527,Assumptions!$A$4:$G$7,6,FALSE),0),X527)</f>
        <v/>
      </c>
      <c r="Z527" s="3">
        <f>N(O527)*IFERROR(VLOOKUP($C527,Assumptions!$A$4:$G$7,2,FALSE),0)</f>
        <v/>
      </c>
      <c r="AA527" s="3">
        <f>N(S527)*IFERROR(VLOOKUP($C527,Assumptions!$A$4:$G$7,3,FALSE),0)*Assumptions!$B$11</f>
        <v/>
      </c>
      <c r="AB527" s="3">
        <f>N(N527)*IFERROR(VLOOKUP($C527,Assumptions!$A$4:$G$7,4,FALSE),0)</f>
        <v/>
      </c>
      <c r="AC527" s="3">
        <f>IF(N(U527)=0,0,V527*IFERROR(VLOOKUP($C527,Assumptions!$A$4:$G$7,5,FALSE),0)*90/N(U527))</f>
        <v/>
      </c>
      <c r="AD527" s="3">
        <f>N(W527)</f>
        <v/>
      </c>
      <c r="AE527" s="3">
        <f>SUM(Y527:AD527)</f>
        <v/>
      </c>
      <c r="AF527" s="3">
        <f>N(AE527)*N(M527)/90</f>
        <v/>
      </c>
      <c r="AG527" s="3">
        <f>IFERROR(AF527-VLOOKUP($C527,Assumptions!$A$29:$C$32,3,FALSE),"")</f>
        <v/>
      </c>
      <c r="AH527" s="3">
        <f>IFERROR(AG527/F527,"")</f>
        <v/>
      </c>
      <c r="AI527">
        <f>IF(AND($E527=TRUE,$C527="GKP"),AF527,"")</f>
        <v/>
      </c>
      <c r="AJ527">
        <f>IF(AND($E527=TRUE,$C527="DEF"),AF527,"")</f>
        <v/>
      </c>
      <c r="AK527">
        <f>IF(AND($E527=TRUE,$C527="MID"),AF527,"")</f>
        <v/>
      </c>
      <c r="AL527">
        <f>IF(AND($E527=TRUE,$C527="FWD"),AF527,"")</f>
        <v/>
      </c>
    </row>
    <row r="528">
      <c r="A528" t="inlineStr">
        <is>
          <t>Guido Rodríguez</t>
        </is>
      </c>
      <c r="D528" t="inlineStr">
        <is>
          <t>MID</t>
        </is>
      </c>
      <c r="E528" t="b">
        <v>0</v>
      </c>
      <c r="F528" s="2" t="n"/>
      <c r="I528" s="2" t="n">
        <v>177</v>
      </c>
      <c r="K528" s="3" t="n"/>
      <c r="M528" s="4" t="n">
        <v>177</v>
      </c>
      <c r="N528" s="4" t="n"/>
      <c r="O528" s="3" t="n">
        <v>0.0147</v>
      </c>
      <c r="P528" t="inlineStr">
        <is>
          <t>adjusted xGOT</t>
        </is>
      </c>
      <c r="Q528" s="3" t="n">
        <v>0.97</v>
      </c>
      <c r="R528" s="3" t="n">
        <v>0.2</v>
      </c>
      <c r="S528" s="3" t="n">
        <v>0</v>
      </c>
      <c r="T528" s="3" t="n">
        <v>8.407999999999999</v>
      </c>
      <c r="U528" s="4" t="n">
        <v>87.5</v>
      </c>
      <c r="V528" s="3">
        <f>IF(OR(N(T528)=0,N(U528)=0),0,1-POISSON(IFERROR(VLOOKUP($C528,Assumptions!$A$4:$G$7,7,FALSE),99)-1,N(T528)*N(U528)/90,TRUE))</f>
        <v/>
      </c>
      <c r="W528" s="3" t="n">
        <v>0</v>
      </c>
      <c r="X528" s="3" t="n">
        <v>4.068</v>
      </c>
      <c r="Y528" s="3">
        <f>IF(X528="",IFERROR(VLOOKUP($C528,Assumptions!$A$4:$G$7,6,FALSE),0),X528)</f>
        <v/>
      </c>
      <c r="Z528" s="3">
        <f>N(O528)*IFERROR(VLOOKUP($C528,Assumptions!$A$4:$G$7,2,FALSE),0)</f>
        <v/>
      </c>
      <c r="AA528" s="3">
        <f>N(S528)*IFERROR(VLOOKUP($C528,Assumptions!$A$4:$G$7,3,FALSE),0)*Assumptions!$B$11</f>
        <v/>
      </c>
      <c r="AB528" s="3">
        <f>N(N528)*IFERROR(VLOOKUP($C528,Assumptions!$A$4:$G$7,4,FALSE),0)</f>
        <v/>
      </c>
      <c r="AC528" s="3">
        <f>IF(N(U528)=0,0,V528*IFERROR(VLOOKUP($C528,Assumptions!$A$4:$G$7,5,FALSE),0)*90/N(U528))</f>
        <v/>
      </c>
      <c r="AD528" s="3">
        <f>N(W528)</f>
        <v/>
      </c>
      <c r="AE528" s="3">
        <f>SUM(Y528:AD528)</f>
        <v/>
      </c>
      <c r="AF528" s="3">
        <f>N(AE528)*N(M528)/90</f>
        <v/>
      </c>
      <c r="AG528" s="3">
        <f>IFERROR(AF528-VLOOKUP($C528,Assumptions!$A$29:$C$32,3,FALSE),"")</f>
        <v/>
      </c>
      <c r="AH528" s="3">
        <f>IFERROR(AG528/F528,"")</f>
        <v/>
      </c>
      <c r="AI528">
        <f>IF(AND($E528=TRUE,$C528="GKP"),AF528,"")</f>
        <v/>
      </c>
      <c r="AJ528">
        <f>IF(AND($E528=TRUE,$C528="DEF"),AF528,"")</f>
        <v/>
      </c>
      <c r="AK528">
        <f>IF(AND($E528=TRUE,$C528="MID"),AF528,"")</f>
        <v/>
      </c>
      <c r="AL528">
        <f>IF(AND($E528=TRUE,$C528="FWD"),AF528,"")</f>
        <v/>
      </c>
    </row>
    <row r="529">
      <c r="A529" t="inlineStr">
        <is>
          <t>Odsonne Édouard</t>
        </is>
      </c>
      <c r="D529" t="inlineStr">
        <is>
          <t>FWD</t>
        </is>
      </c>
      <c r="E529" t="b">
        <v>0</v>
      </c>
      <c r="F529" s="2" t="n"/>
      <c r="I529" s="2" t="n">
        <v>2</v>
      </c>
      <c r="K529" s="3" t="n"/>
      <c r="M529" s="4" t="n">
        <v>2</v>
      </c>
      <c r="N529" s="4" t="n"/>
      <c r="O529" s="3" t="n">
        <v>0</v>
      </c>
      <c r="P529" t="inlineStr">
        <is>
          <t>adjusted xGOT</t>
        </is>
      </c>
      <c r="Q529" s="3" t="n">
        <v>1.124</v>
      </c>
      <c r="R529" s="3" t="n">
        <v>10.9</v>
      </c>
      <c r="S529" s="3" t="n"/>
      <c r="T529" s="3" t="n">
        <v>4.904</v>
      </c>
      <c r="U529" s="4" t="n">
        <v>85</v>
      </c>
      <c r="V529" s="3">
        <f>IF(OR(N(T529)=0,N(U529)=0),0,1-POISSON(IFERROR(VLOOKUP($C529,Assumptions!$A$4:$G$7,7,FALSE),99)-1,N(T529)*N(U529)/90,TRUE))</f>
        <v/>
      </c>
      <c r="W529" s="3" t="n">
        <v>0</v>
      </c>
      <c r="X529" s="3" t="n">
        <v>45</v>
      </c>
      <c r="Y529" s="3">
        <f>IF(X529="",IFERROR(VLOOKUP($C529,Assumptions!$A$4:$G$7,6,FALSE),0),X529)</f>
        <v/>
      </c>
      <c r="Z529" s="3">
        <f>N(O529)*IFERROR(VLOOKUP($C529,Assumptions!$A$4:$G$7,2,FALSE),0)</f>
        <v/>
      </c>
      <c r="AA529" s="3">
        <f>N(S529)*IFERROR(VLOOKUP($C529,Assumptions!$A$4:$G$7,3,FALSE),0)*Assumptions!$B$11</f>
        <v/>
      </c>
      <c r="AB529" s="3">
        <f>N(N529)*IFERROR(VLOOKUP($C529,Assumptions!$A$4:$G$7,4,FALSE),0)</f>
        <v/>
      </c>
      <c r="AC529" s="3">
        <f>IF(N(U529)=0,0,V529*IFERROR(VLOOKUP($C529,Assumptions!$A$4:$G$7,5,FALSE),0)*90/N(U529))</f>
        <v/>
      </c>
      <c r="AD529" s="3">
        <f>N(W529)</f>
        <v/>
      </c>
      <c r="AE529" s="3">
        <f>SUM(Y529:AD529)</f>
        <v/>
      </c>
      <c r="AF529" s="3">
        <f>N(AE529)*N(M529)/90</f>
        <v/>
      </c>
      <c r="AG529" s="3">
        <f>IFERROR(AF529-VLOOKUP($C529,Assumptions!$A$29:$C$32,3,FALSE),"")</f>
        <v/>
      </c>
      <c r="AH529" s="3">
        <f>IFERROR(AG529/F529,"")</f>
        <v/>
      </c>
      <c r="AI529">
        <f>IF(AND($E529=TRUE,$C529="GKP"),AF529,"")</f>
        <v/>
      </c>
      <c r="AJ529">
        <f>IF(AND($E529=TRUE,$C529="DEF"),AF529,"")</f>
        <v/>
      </c>
      <c r="AK529">
        <f>IF(AND($E529=TRUE,$C529="MID"),AF529,"")</f>
        <v/>
      </c>
      <c r="AL529">
        <f>IF(AND($E529=TRUE,$C529="FWD"),AF529,"")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b">
        <v>1</v>
      </c>
      <c r="F530" s="2" t="n">
        <v>5</v>
      </c>
      <c r="G530" t="inlineStr">
        <is>
          <t>a</t>
        </is>
      </c>
      <c r="I530" s="2" t="n"/>
      <c r="K530" s="3" t="n">
        <v>2257</v>
      </c>
      <c r="L530" t="inlineStr">
        <is>
          <t>flat</t>
        </is>
      </c>
      <c r="M530" s="4" t="n"/>
      <c r="N530" s="4" t="n">
        <v>0.237</v>
      </c>
      <c r="O530" s="3" t="n"/>
      <c r="P530" t="inlineStr"/>
      <c r="Q530" s="3" t="n"/>
      <c r="R530" s="3" t="n"/>
      <c r="S530" s="3" t="n"/>
      <c r="T530" s="3" t="n"/>
      <c r="U530" s="4" t="n"/>
      <c r="V530" s="3">
        <f>IF(OR(N(T530)=0,N(U530)=0),0,1-POISSON(IFERROR(VLOOKUP($C530,Assumptions!$A$4:$G$7,7,FALSE),99)-1,N(T530)*N(U530)/90,TRUE))</f>
        <v/>
      </c>
      <c r="W530" s="3" t="n"/>
      <c r="X530" s="3" t="n"/>
      <c r="Y530" s="3">
        <f>IF(X530="",IFERROR(VLOOKUP($C530,Assumptions!$A$4:$G$7,6,FALSE),0),X530)</f>
        <v/>
      </c>
      <c r="Z530" s="3">
        <f>N(O530)*IFERROR(VLOOKUP($C530,Assumptions!$A$4:$G$7,2,FALSE),0)</f>
        <v/>
      </c>
      <c r="AA530" s="3">
        <f>N(S530)*IFERROR(VLOOKUP($C530,Assumptions!$A$4:$G$7,3,FALSE),0)*Assumptions!$B$11</f>
        <v/>
      </c>
      <c r="AB530" s="3">
        <f>N(N530)*IFERROR(VLOOKUP($C530,Assumptions!$A$4:$G$7,4,FALSE),0)</f>
        <v/>
      </c>
      <c r="AC530" s="3">
        <f>IF(N(U530)=0,0,V530*IFERROR(VLOOKUP($C530,Assumptions!$A$4:$G$7,5,FALSE),0)*90/N(U530))</f>
        <v/>
      </c>
      <c r="AD530" s="3">
        <f>N(W530)</f>
        <v/>
      </c>
      <c r="AE530" s="3">
        <f>SUM(Y530:AD530)</f>
        <v/>
      </c>
      <c r="AF530" s="3">
        <f>N(AE530)*N(M530)/90</f>
        <v/>
      </c>
      <c r="AG530" s="3">
        <f>IFERROR(AF530-VLOOKUP($C530,Assumptions!$A$29:$C$32,3,FALSE),"")</f>
        <v/>
      </c>
      <c r="AH530" s="3">
        <f>IFERROR(AG530/F530,"")</f>
        <v/>
      </c>
      <c r="AI530">
        <f>IF(AND($E530=TRUE,$C530="GKP"),AF530,"")</f>
        <v/>
      </c>
      <c r="AJ530">
        <f>IF(AND($E530=TRUE,$C530="DEF"),AF530,"")</f>
        <v/>
      </c>
      <c r="AK530">
        <f>IF(AND($E530=TRUE,$C530="MID"),AF530,"")</f>
        <v/>
      </c>
      <c r="AL530">
        <f>IF(AND($E530=TRUE,$C530="FWD"),AF530,"")</f>
        <v/>
      </c>
    </row>
    <row r="531">
      <c r="A531" t="inlineStr">
        <is>
          <t>Donyell Malen</t>
        </is>
      </c>
      <c r="D531" t="inlineStr">
        <is>
          <t>MID</t>
        </is>
      </c>
      <c r="E531" t="b">
        <v>0</v>
      </c>
      <c r="F531" s="2" t="n"/>
      <c r="I531" s="2" t="n">
        <v>645</v>
      </c>
      <c r="K531" s="3" t="n"/>
      <c r="M531" s="4" t="n">
        <v>645</v>
      </c>
      <c r="N531" s="4" t="n"/>
      <c r="O531" s="3" t="n">
        <v>0.5671</v>
      </c>
      <c r="P531" t="inlineStr">
        <is>
          <t>adjusted xGOT</t>
        </is>
      </c>
      <c r="Q531" s="3" t="n">
        <v>1.008</v>
      </c>
      <c r="R531" s="3" t="n">
        <v>6.2</v>
      </c>
      <c r="S531" s="3" t="n">
        <v>0.0515</v>
      </c>
      <c r="T531" s="3" t="n">
        <v>5.6</v>
      </c>
      <c r="U531" s="4" t="n">
        <v>128</v>
      </c>
      <c r="V531" s="3">
        <f>IF(OR(N(T531)=0,N(U531)=0),0,1-POISSON(IFERROR(VLOOKUP($C531,Assumptions!$A$4:$G$7,7,FALSE),99)-1,N(T531)*N(U531)/90,TRUE))</f>
        <v/>
      </c>
      <c r="W531" s="3" t="n">
        <v>0.4186</v>
      </c>
      <c r="X531" s="3" t="n">
        <v>3.488</v>
      </c>
      <c r="Y531" s="3">
        <f>IF(X531="",IFERROR(VLOOKUP($C531,Assumptions!$A$4:$G$7,6,FALSE),0),X531)</f>
        <v/>
      </c>
      <c r="Z531" s="3">
        <f>N(O531)*IFERROR(VLOOKUP($C531,Assumptions!$A$4:$G$7,2,FALSE),0)</f>
        <v/>
      </c>
      <c r="AA531" s="3">
        <f>N(S531)*IFERROR(VLOOKUP($C531,Assumptions!$A$4:$G$7,3,FALSE),0)*Assumptions!$B$11</f>
        <v/>
      </c>
      <c r="AB531" s="3">
        <f>N(N531)*IFERROR(VLOOKUP($C531,Assumptions!$A$4:$G$7,4,FALSE),0)</f>
        <v/>
      </c>
      <c r="AC531" s="3">
        <f>IF(N(U531)=0,0,V531*IFERROR(VLOOKUP($C531,Assumptions!$A$4:$G$7,5,FALSE),0)*90/N(U531))</f>
        <v/>
      </c>
      <c r="AD531" s="3">
        <f>N(W531)</f>
        <v/>
      </c>
      <c r="AE531" s="3">
        <f>SUM(Y531:AD531)</f>
        <v/>
      </c>
      <c r="AF531" s="3">
        <f>N(AE531)*N(M531)/90</f>
        <v/>
      </c>
      <c r="AG531" s="3">
        <f>IFERROR(AF531-VLOOKUP($C531,Assumptions!$A$29:$C$32,3,FALSE),"")</f>
        <v/>
      </c>
      <c r="AH531" s="3">
        <f>IFERROR(AG531/F531,"")</f>
        <v/>
      </c>
      <c r="AI531">
        <f>IF(AND($E531=TRUE,$C531="GKP"),AF531,"")</f>
        <v/>
      </c>
      <c r="AJ531">
        <f>IF(AND($E531=TRUE,$C531="DEF"),AF531,"")</f>
        <v/>
      </c>
      <c r="AK531">
        <f>IF(AND($E531=TRUE,$C531="MID"),AF531,"")</f>
        <v/>
      </c>
      <c r="AL531">
        <f>IF(AND($E531=TRUE,$C531="FWD"),AF531,"")</f>
        <v/>
      </c>
    </row>
    <row r="532">
      <c r="A532" t="inlineStr">
        <is>
          <t>Ibrahima Konaté</t>
        </is>
      </c>
      <c r="D532" t="inlineStr">
        <is>
          <t>DEF</t>
        </is>
      </c>
      <c r="E532" t="b">
        <v>0</v>
      </c>
      <c r="F532" s="2" t="n"/>
      <c r="I532" s="2" t="n">
        <v>3100</v>
      </c>
      <c r="K532" s="3" t="n"/>
      <c r="M532" s="4" t="n">
        <v>3100</v>
      </c>
      <c r="N532" s="4" t="n"/>
      <c r="O532" s="3" t="n">
        <v>0.0295</v>
      </c>
      <c r="P532" t="inlineStr">
        <is>
          <t>adjusted xGOT</t>
        </is>
      </c>
      <c r="Q532" s="3" t="n">
        <v>0.853</v>
      </c>
      <c r="R532" s="3" t="n">
        <v>4.9</v>
      </c>
      <c r="S532" s="3" t="n">
        <v>0.0211</v>
      </c>
      <c r="T532" s="3" t="n">
        <v>8.374000000000001</v>
      </c>
      <c r="U532" s="4" t="n">
        <v>85.8</v>
      </c>
      <c r="V532" s="3">
        <f>IF(OR(N(T532)=0,N(U532)=0),0,1-POISSON(IFERROR(VLOOKUP($C532,Assumptions!$A$4:$G$7,7,FALSE),99)-1,N(T532)*N(U532)/90,TRUE))</f>
        <v/>
      </c>
      <c r="W532" s="3" t="n">
        <v>0.1742</v>
      </c>
      <c r="X532" s="3" t="n">
        <v>2.032</v>
      </c>
      <c r="Y532" s="3">
        <f>IF(X532="",IFERROR(VLOOKUP($C532,Assumptions!$A$4:$G$7,6,FALSE),0),X532)</f>
        <v/>
      </c>
      <c r="Z532" s="3">
        <f>N(O532)*IFERROR(VLOOKUP($C532,Assumptions!$A$4:$G$7,2,FALSE),0)</f>
        <v/>
      </c>
      <c r="AA532" s="3">
        <f>N(S532)*IFERROR(VLOOKUP($C532,Assumptions!$A$4:$G$7,3,FALSE),0)*Assumptions!$B$11</f>
        <v/>
      </c>
      <c r="AB532" s="3">
        <f>N(N532)*IFERROR(VLOOKUP($C532,Assumptions!$A$4:$G$7,4,FALSE),0)</f>
        <v/>
      </c>
      <c r="AC532" s="3">
        <f>IF(N(U532)=0,0,V532*IFERROR(VLOOKUP($C532,Assumptions!$A$4:$G$7,5,FALSE),0)*90/N(U532))</f>
        <v/>
      </c>
      <c r="AD532" s="3">
        <f>N(W532)</f>
        <v/>
      </c>
      <c r="AE532" s="3">
        <f>SUM(Y532:AD532)</f>
        <v/>
      </c>
      <c r="AF532" s="3">
        <f>N(AE532)*N(M532)/90</f>
        <v/>
      </c>
      <c r="AG532" s="3">
        <f>IFERROR(AF532-VLOOKUP($C532,Assumptions!$A$29:$C$32,3,FALSE),"")</f>
        <v/>
      </c>
      <c r="AH532" s="3">
        <f>IFERROR(AG532/F532,"")</f>
        <v/>
      </c>
      <c r="AI532">
        <f>IF(AND($E532=TRUE,$C532="GKP"),AF532,"")</f>
        <v/>
      </c>
      <c r="AJ532">
        <f>IF(AND($E532=TRUE,$C532="DEF"),AF532,"")</f>
        <v/>
      </c>
      <c r="AK532">
        <f>IF(AND($E532=TRUE,$C532="MID"),AF532,"")</f>
        <v/>
      </c>
      <c r="AL532">
        <f>IF(AND($E532=TRUE,$C532="FWD"),AF532,"")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b">
        <v>1</v>
      </c>
      <c r="F533" s="2" t="n">
        <v>4</v>
      </c>
      <c r="G533" t="inlineStr">
        <is>
          <t>a</t>
        </is>
      </c>
      <c r="I533" s="2" t="n"/>
      <c r="K533" s="3" t="n">
        <v>30</v>
      </c>
      <c r="L533" t="inlineStr">
        <is>
          <t>flat</t>
        </is>
      </c>
      <c r="M533" s="4" t="n"/>
      <c r="N533" s="4" t="n"/>
      <c r="O533" s="3" t="n"/>
      <c r="P533" t="inlineStr"/>
      <c r="Q533" s="3" t="n"/>
      <c r="R533" s="3" t="n"/>
      <c r="S533" s="3" t="n"/>
      <c r="T533" s="3" t="n"/>
      <c r="U533" s="4" t="n"/>
      <c r="V533" s="3">
        <f>IF(OR(N(T533)=0,N(U533)=0),0,1-POISSON(IFERROR(VLOOKUP($C533,Assumptions!$A$4:$G$7,7,FALSE),99)-1,N(T533)*N(U533)/90,TRUE))</f>
        <v/>
      </c>
      <c r="W533" s="3" t="n"/>
      <c r="X533" s="3" t="n"/>
      <c r="Y533" s="3">
        <f>IF(X533="",IFERROR(VLOOKUP($C533,Assumptions!$A$4:$G$7,6,FALSE),0),X533)</f>
        <v/>
      </c>
      <c r="Z533" s="3">
        <f>N(O533)*IFERROR(VLOOKUP($C533,Assumptions!$A$4:$G$7,2,FALSE),0)</f>
        <v/>
      </c>
      <c r="AA533" s="3">
        <f>N(S533)*IFERROR(VLOOKUP($C533,Assumptions!$A$4:$G$7,3,FALSE),0)*Assumptions!$B$11</f>
        <v/>
      </c>
      <c r="AB533" s="3">
        <f>N(N533)*IFERROR(VLOOKUP($C533,Assumptions!$A$4:$G$7,4,FALSE),0)</f>
        <v/>
      </c>
      <c r="AC533" s="3">
        <f>IF(N(U533)=0,0,V533*IFERROR(VLOOKUP($C533,Assumptions!$A$4:$G$7,5,FALSE),0)*90/N(U533))</f>
        <v/>
      </c>
      <c r="AD533" s="3">
        <f>N(W533)</f>
        <v/>
      </c>
      <c r="AE533" s="3">
        <f>SUM(Y533:AD533)</f>
        <v/>
      </c>
      <c r="AF533" s="3">
        <f>N(AE533)*N(M533)/90</f>
        <v/>
      </c>
      <c r="AG533" s="3">
        <f>IFERROR(AF533-VLOOKUP($C533,Assumptions!$A$29:$C$32,3,FALSE),"")</f>
        <v/>
      </c>
      <c r="AH533" s="3">
        <f>IFERROR(AG533/F533,"")</f>
        <v/>
      </c>
      <c r="AI533">
        <f>IF(AND($E533=TRUE,$C533="GKP"),AF533,"")</f>
        <v/>
      </c>
      <c r="AJ533">
        <f>IF(AND($E533=TRUE,$C533="DEF"),AF533,"")</f>
        <v/>
      </c>
      <c r="AK533">
        <f>IF(AND($E533=TRUE,$C533="MID"),AF533,"")</f>
        <v/>
      </c>
      <c r="AL533">
        <f>IF(AND($E533=TRUE,$C533="FWD"),AF533,"")</f>
        <v/>
      </c>
    </row>
    <row r="534">
      <c r="A534" t="inlineStr">
        <is>
          <t>Oleksandr Zinchenko</t>
        </is>
      </c>
      <c r="D534" t="inlineStr">
        <is>
          <t>DEF</t>
        </is>
      </c>
      <c r="E534" t="b">
        <v>0</v>
      </c>
      <c r="F534" s="2" t="n"/>
      <c r="I534" s="2" t="n">
        <v>353</v>
      </c>
      <c r="K534" s="3" t="n"/>
      <c r="M534" s="4" t="n">
        <v>353</v>
      </c>
      <c r="N534" s="4" t="n"/>
      <c r="O534" s="3" t="n">
        <v>0.0178</v>
      </c>
      <c r="P534" t="inlineStr">
        <is>
          <t>adjusted xGOT</t>
        </is>
      </c>
      <c r="Q534" s="3" t="n">
        <v>0.996</v>
      </c>
      <c r="R534" s="3" t="n">
        <v>2.6</v>
      </c>
      <c r="S534" s="3" t="n">
        <v>0.1149</v>
      </c>
      <c r="T534" s="3" t="n">
        <v>7.176</v>
      </c>
      <c r="U534" s="4" t="n">
        <v>88</v>
      </c>
      <c r="V534" s="3">
        <f>IF(OR(N(T534)=0,N(U534)=0),0,1-POISSON(IFERROR(VLOOKUP($C534,Assumptions!$A$4:$G$7,7,FALSE),99)-1,N(T534)*N(U534)/90,TRUE))</f>
        <v/>
      </c>
      <c r="W534" s="3" t="n">
        <v>0</v>
      </c>
      <c r="X534" s="3" t="n">
        <v>2.295</v>
      </c>
      <c r="Y534" s="3">
        <f>IF(X534="",IFERROR(VLOOKUP($C534,Assumptions!$A$4:$G$7,6,FALSE),0),X534)</f>
        <v/>
      </c>
      <c r="Z534" s="3">
        <f>N(O534)*IFERROR(VLOOKUP($C534,Assumptions!$A$4:$G$7,2,FALSE),0)</f>
        <v/>
      </c>
      <c r="AA534" s="3">
        <f>N(S534)*IFERROR(VLOOKUP($C534,Assumptions!$A$4:$G$7,3,FALSE),0)*Assumptions!$B$11</f>
        <v/>
      </c>
      <c r="AB534" s="3">
        <f>N(N534)*IFERROR(VLOOKUP($C534,Assumptions!$A$4:$G$7,4,FALSE),0)</f>
        <v/>
      </c>
      <c r="AC534" s="3">
        <f>IF(N(U534)=0,0,V534*IFERROR(VLOOKUP($C534,Assumptions!$A$4:$G$7,5,FALSE),0)*90/N(U534))</f>
        <v/>
      </c>
      <c r="AD534" s="3">
        <f>N(W534)</f>
        <v/>
      </c>
      <c r="AE534" s="3">
        <f>SUM(Y534:AD534)</f>
        <v/>
      </c>
      <c r="AF534" s="3">
        <f>N(AE534)*N(M534)/90</f>
        <v/>
      </c>
      <c r="AG534" s="3">
        <f>IFERROR(AF534-VLOOKUP($C534,Assumptions!$A$29:$C$32,3,FALSE),"")</f>
        <v/>
      </c>
      <c r="AH534" s="3">
        <f>IFERROR(AG534/F534,"")</f>
        <v/>
      </c>
      <c r="AI534">
        <f>IF(AND($E534=TRUE,$C534="GKP"),AF534,"")</f>
        <v/>
      </c>
      <c r="AJ534">
        <f>IF(AND($E534=TRUE,$C534="DEF"),AF534,"")</f>
        <v/>
      </c>
      <c r="AK534">
        <f>IF(AND($E534=TRUE,$C534="MID"),AF534,"")</f>
        <v/>
      </c>
      <c r="AL534">
        <f>IF(AND($E534=TRUE,$C534="FWD"),AF534,"")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b">
        <v>1</v>
      </c>
      <c r="F535" s="2" t="n">
        <v>5</v>
      </c>
      <c r="G535" t="inlineStr">
        <is>
          <t>a</t>
        </is>
      </c>
      <c r="I535" s="2" t="n"/>
      <c r="K535" s="3" t="n">
        <v>675</v>
      </c>
      <c r="L535" t="inlineStr">
        <is>
          <t>flat</t>
        </is>
      </c>
      <c r="M535" s="4" t="n"/>
      <c r="N535" s="4" t="n"/>
      <c r="O535" s="3" t="n"/>
      <c r="P535" t="inlineStr"/>
      <c r="Q535" s="3" t="n"/>
      <c r="R535" s="3" t="n"/>
      <c r="S535" s="3" t="n"/>
      <c r="T535" s="3" t="n"/>
      <c r="U535" s="4" t="n"/>
      <c r="V535" s="3">
        <f>IF(OR(N(T535)=0,N(U535)=0),0,1-POISSON(IFERROR(VLOOKUP($C535,Assumptions!$A$4:$G$7,7,FALSE),99)-1,N(T535)*N(U535)/90,TRUE))</f>
        <v/>
      </c>
      <c r="W535" s="3" t="n"/>
      <c r="X535" s="3" t="n"/>
      <c r="Y535" s="3">
        <f>IF(X535="",IFERROR(VLOOKUP($C535,Assumptions!$A$4:$G$7,6,FALSE),0),X535)</f>
        <v/>
      </c>
      <c r="Z535" s="3">
        <f>N(O535)*IFERROR(VLOOKUP($C535,Assumptions!$A$4:$G$7,2,FALSE),0)</f>
        <v/>
      </c>
      <c r="AA535" s="3">
        <f>N(S535)*IFERROR(VLOOKUP($C535,Assumptions!$A$4:$G$7,3,FALSE),0)*Assumptions!$B$11</f>
        <v/>
      </c>
      <c r="AB535" s="3">
        <f>N(N535)*IFERROR(VLOOKUP($C535,Assumptions!$A$4:$G$7,4,FALSE),0)</f>
        <v/>
      </c>
      <c r="AC535" s="3">
        <f>IF(N(U535)=0,0,V535*IFERROR(VLOOKUP($C535,Assumptions!$A$4:$G$7,5,FALSE),0)*90/N(U535))</f>
        <v/>
      </c>
      <c r="AD535" s="3">
        <f>N(W535)</f>
        <v/>
      </c>
      <c r="AE535" s="3">
        <f>SUM(Y535:AD535)</f>
        <v/>
      </c>
      <c r="AF535" s="3">
        <f>N(AE535)*N(M535)/90</f>
        <v/>
      </c>
      <c r="AG535" s="3">
        <f>IFERROR(AF535-VLOOKUP($C535,Assumptions!$A$29:$C$32,3,FALSE),"")</f>
        <v/>
      </c>
      <c r="AH535" s="3">
        <f>IFERROR(AG535/F535,"")</f>
        <v/>
      </c>
      <c r="AI535">
        <f>IF(AND($E535=TRUE,$C535="GKP"),AF535,"")</f>
        <v/>
      </c>
      <c r="AJ535">
        <f>IF(AND($E535=TRUE,$C535="DEF"),AF535,"")</f>
        <v/>
      </c>
      <c r="AK535">
        <f>IF(AND($E535=TRUE,$C535="MID"),AF535,"")</f>
        <v/>
      </c>
      <c r="AL535">
        <f>IF(AND($E535=TRUE,$C535="FWD"),AF535,"")</f>
        <v/>
      </c>
    </row>
    <row r="536">
      <c r="A536" t="inlineStr">
        <is>
          <t>Joe Worrall</t>
        </is>
      </c>
      <c r="D536" t="inlineStr">
        <is>
          <t>DEF</t>
        </is>
      </c>
      <c r="E536" t="b">
        <v>0</v>
      </c>
      <c r="F536" s="2" t="n"/>
      <c r="I536" s="2" t="n">
        <v>497</v>
      </c>
      <c r="K536" s="3" t="n"/>
      <c r="M536" s="4" t="n">
        <v>497</v>
      </c>
      <c r="N536" s="4" t="n"/>
      <c r="O536" s="3" t="n">
        <v>0.0141</v>
      </c>
      <c r="P536" t="inlineStr">
        <is>
          <t>adjusted xGOT</t>
        </is>
      </c>
      <c r="Q536" s="3" t="n">
        <v>0.974</v>
      </c>
      <c r="R536" s="3" t="n">
        <v>1</v>
      </c>
      <c r="S536" s="3" t="n">
        <v>0</v>
      </c>
      <c r="T536" s="3" t="n">
        <v>10.175</v>
      </c>
      <c r="U536" s="4" t="n">
        <v>99.2</v>
      </c>
      <c r="V536" s="3">
        <f>IF(OR(N(T536)=0,N(U536)=0),0,1-POISSON(IFERROR(VLOOKUP($C536,Assumptions!$A$4:$G$7,7,FALSE),99)-1,N(T536)*N(U536)/90,TRUE))</f>
        <v/>
      </c>
      <c r="W536" s="3" t="n">
        <v>0</v>
      </c>
      <c r="X536" s="3" t="n">
        <v>2.716</v>
      </c>
      <c r="Y536" s="3">
        <f>IF(X536="",IFERROR(VLOOKUP($C536,Assumptions!$A$4:$G$7,6,FALSE),0),X536)</f>
        <v/>
      </c>
      <c r="Z536" s="3">
        <f>N(O536)*IFERROR(VLOOKUP($C536,Assumptions!$A$4:$G$7,2,FALSE),0)</f>
        <v/>
      </c>
      <c r="AA536" s="3">
        <f>N(S536)*IFERROR(VLOOKUP($C536,Assumptions!$A$4:$G$7,3,FALSE),0)*Assumptions!$B$11</f>
        <v/>
      </c>
      <c r="AB536" s="3">
        <f>N(N536)*IFERROR(VLOOKUP($C536,Assumptions!$A$4:$G$7,4,FALSE),0)</f>
        <v/>
      </c>
      <c r="AC536" s="3">
        <f>IF(N(U536)=0,0,V536*IFERROR(VLOOKUP($C536,Assumptions!$A$4:$G$7,5,FALSE),0)*90/N(U536))</f>
        <v/>
      </c>
      <c r="AD536" s="3">
        <f>N(W536)</f>
        <v/>
      </c>
      <c r="AE536" s="3">
        <f>SUM(Y536:AD536)</f>
        <v/>
      </c>
      <c r="AF536" s="3">
        <f>N(AE536)*N(M536)/90</f>
        <v/>
      </c>
      <c r="AG536" s="3">
        <f>IFERROR(AF536-VLOOKUP($C536,Assumptions!$A$29:$C$32,3,FALSE),"")</f>
        <v/>
      </c>
      <c r="AH536" s="3">
        <f>IFERROR(AG536/F536,"")</f>
        <v/>
      </c>
      <c r="AI536">
        <f>IF(AND($E536=TRUE,$C536="GKP"),AF536,"")</f>
        <v/>
      </c>
      <c r="AJ536">
        <f>IF(AND($E536=TRUE,$C536="DEF"),AF536,"")</f>
        <v/>
      </c>
      <c r="AK536">
        <f>IF(AND($E536=TRUE,$C536="MID"),AF536,"")</f>
        <v/>
      </c>
      <c r="AL536">
        <f>IF(AND($E536=TRUE,$C536="FWD"),AF536,"")</f>
        <v/>
      </c>
    </row>
    <row r="537">
      <c r="A537" t="inlineStr">
        <is>
          <t>Angel Gomes</t>
        </is>
      </c>
      <c r="D537" t="inlineStr">
        <is>
          <t>MID</t>
        </is>
      </c>
      <c r="E537" t="b">
        <v>0</v>
      </c>
      <c r="F537" s="2" t="n"/>
      <c r="I537" s="2" t="n">
        <v>464</v>
      </c>
      <c r="K537" s="3" t="n"/>
      <c r="M537" s="4" t="n">
        <v>464</v>
      </c>
      <c r="N537" s="4" t="n"/>
      <c r="O537" s="3" t="n">
        <v>0.0481</v>
      </c>
      <c r="P537" t="inlineStr">
        <is>
          <t>adjusted xGOT</t>
        </is>
      </c>
      <c r="Q537" s="3" t="n">
        <v>0.994</v>
      </c>
      <c r="R537" s="3" t="n">
        <v>0.2</v>
      </c>
      <c r="S537" s="3" t="n">
        <v>0.058</v>
      </c>
      <c r="T537" s="3" t="n">
        <v>7.77</v>
      </c>
      <c r="U537" s="4" t="n">
        <v>65.3</v>
      </c>
      <c r="V537" s="3">
        <f>IF(OR(N(T537)=0,N(U537)=0),0,1-POISSON(IFERROR(VLOOKUP($C537,Assumptions!$A$4:$G$7,7,FALSE),99)-1,N(T537)*N(U537)/90,TRUE))</f>
        <v/>
      </c>
      <c r="W537" s="3" t="n">
        <v>0</v>
      </c>
      <c r="X537" s="3" t="n">
        <v>3.103</v>
      </c>
      <c r="Y537" s="3">
        <f>IF(X537="",IFERROR(VLOOKUP($C537,Assumptions!$A$4:$G$7,6,FALSE),0),X537)</f>
        <v/>
      </c>
      <c r="Z537" s="3">
        <f>N(O537)*IFERROR(VLOOKUP($C537,Assumptions!$A$4:$G$7,2,FALSE),0)</f>
        <v/>
      </c>
      <c r="AA537" s="3">
        <f>N(S537)*IFERROR(VLOOKUP($C537,Assumptions!$A$4:$G$7,3,FALSE),0)*Assumptions!$B$11</f>
        <v/>
      </c>
      <c r="AB537" s="3">
        <f>N(N537)*IFERROR(VLOOKUP($C537,Assumptions!$A$4:$G$7,4,FALSE),0)</f>
        <v/>
      </c>
      <c r="AC537" s="3">
        <f>IF(N(U537)=0,0,V537*IFERROR(VLOOKUP($C537,Assumptions!$A$4:$G$7,5,FALSE),0)*90/N(U537))</f>
        <v/>
      </c>
      <c r="AD537" s="3">
        <f>N(W537)</f>
        <v/>
      </c>
      <c r="AE537" s="3">
        <f>SUM(Y537:AD537)</f>
        <v/>
      </c>
      <c r="AF537" s="3">
        <f>N(AE537)*N(M537)/90</f>
        <v/>
      </c>
      <c r="AG537" s="3">
        <f>IFERROR(AF537-VLOOKUP($C537,Assumptions!$A$29:$C$32,3,FALSE),"")</f>
        <v/>
      </c>
      <c r="AH537" s="3">
        <f>IFERROR(AG537/F537,"")</f>
        <v/>
      </c>
      <c r="AI537">
        <f>IF(AND($E537=TRUE,$C537="GKP"),AF537,"")</f>
        <v/>
      </c>
      <c r="AJ537">
        <f>IF(AND($E537=TRUE,$C537="DEF"),AF537,"")</f>
        <v/>
      </c>
      <c r="AK537">
        <f>IF(AND($E537=TRUE,$C537="MID"),AF537,"")</f>
        <v/>
      </c>
      <c r="AL537">
        <f>IF(AND($E537=TRUE,$C537="FWD"),AF537,"")</f>
        <v/>
      </c>
    </row>
    <row r="538">
      <c r="A538" t="inlineStr">
        <is>
          <t>Jadon Sancho</t>
        </is>
      </c>
      <c r="D538" t="inlineStr">
        <is>
          <t>MID</t>
        </is>
      </c>
      <c r="E538" t="b">
        <v>0</v>
      </c>
      <c r="F538" s="2" t="n"/>
      <c r="I538" s="2" t="n">
        <v>873</v>
      </c>
      <c r="K538" s="3" t="n"/>
      <c r="M538" s="4" t="n">
        <v>873</v>
      </c>
      <c r="N538" s="4" t="n"/>
      <c r="O538" s="3" t="n">
        <v>0.0677</v>
      </c>
      <c r="P538" t="inlineStr">
        <is>
          <t>adjusted xGOT</t>
        </is>
      </c>
      <c r="Q538" s="3" t="n">
        <v>1.077</v>
      </c>
      <c r="R538" s="3" t="n">
        <v>6.8</v>
      </c>
      <c r="S538" s="3" t="n">
        <v>0.2115</v>
      </c>
      <c r="T538" s="3" t="n">
        <v>6.403</v>
      </c>
      <c r="U538" s="4" t="n">
        <v>95.90000000000001</v>
      </c>
      <c r="V538" s="3">
        <f>IF(OR(N(T538)=0,N(U538)=0),0,1-POISSON(IFERROR(VLOOKUP($C538,Assumptions!$A$4:$G$7,7,FALSE),99)-1,N(T538)*N(U538)/90,TRUE))</f>
        <v/>
      </c>
      <c r="W538" s="3" t="n">
        <v>0</v>
      </c>
      <c r="X538" s="3" t="n">
        <v>2.99</v>
      </c>
      <c r="Y538" s="3">
        <f>IF(X538="",IFERROR(VLOOKUP($C538,Assumptions!$A$4:$G$7,6,FALSE),0),X538)</f>
        <v/>
      </c>
      <c r="Z538" s="3">
        <f>N(O538)*IFERROR(VLOOKUP($C538,Assumptions!$A$4:$G$7,2,FALSE),0)</f>
        <v/>
      </c>
      <c r="AA538" s="3">
        <f>N(S538)*IFERROR(VLOOKUP($C538,Assumptions!$A$4:$G$7,3,FALSE),0)*Assumptions!$B$11</f>
        <v/>
      </c>
      <c r="AB538" s="3">
        <f>N(N538)*IFERROR(VLOOKUP($C538,Assumptions!$A$4:$G$7,4,FALSE),0)</f>
        <v/>
      </c>
      <c r="AC538" s="3">
        <f>IF(N(U538)=0,0,V538*IFERROR(VLOOKUP($C538,Assumptions!$A$4:$G$7,5,FALSE),0)*90/N(U538))</f>
        <v/>
      </c>
      <c r="AD538" s="3">
        <f>N(W538)</f>
        <v/>
      </c>
      <c r="AE538" s="3">
        <f>SUM(Y538:AD538)</f>
        <v/>
      </c>
      <c r="AF538" s="3">
        <f>N(AE538)*N(M538)/90</f>
        <v/>
      </c>
      <c r="AG538" s="3">
        <f>IFERROR(AF538-VLOOKUP($C538,Assumptions!$A$29:$C$32,3,FALSE),"")</f>
        <v/>
      </c>
      <c r="AH538" s="3">
        <f>IFERROR(AG538/F538,"")</f>
        <v/>
      </c>
      <c r="AI538">
        <f>IF(AND($E538=TRUE,$C538="GKP"),AF538,"")</f>
        <v/>
      </c>
      <c r="AJ538">
        <f>IF(AND($E538=TRUE,$C538="DEF"),AF538,"")</f>
        <v/>
      </c>
      <c r="AK538">
        <f>IF(AND($E538=TRUE,$C538="MID"),AF538,"")</f>
        <v/>
      </c>
      <c r="AL538">
        <f>IF(AND($E538=TRUE,$C538="FWD"),AF538,"")</f>
        <v/>
      </c>
    </row>
    <row r="539">
      <c r="A539" t="inlineStr">
        <is>
          <t>Nayef Aguerd</t>
        </is>
      </c>
      <c r="D539" t="inlineStr">
        <is>
          <t>DEF</t>
        </is>
      </c>
      <c r="E539" t="b">
        <v>0</v>
      </c>
      <c r="F539" s="2" t="n"/>
      <c r="I539" s="2" t="n">
        <v>180</v>
      </c>
      <c r="K539" s="3" t="n"/>
      <c r="M539" s="4" t="n">
        <v>180</v>
      </c>
      <c r="N539" s="4" t="n"/>
      <c r="O539" s="3" t="n">
        <v>0.0455</v>
      </c>
      <c r="P539" t="inlineStr">
        <is>
          <t>adjusted xGOT</t>
        </is>
      </c>
      <c r="Q539" s="3" t="n">
        <v>0.906</v>
      </c>
      <c r="R539" s="3" t="n">
        <v>3.7</v>
      </c>
      <c r="S539" s="3" t="n">
        <v>0</v>
      </c>
      <c r="T539" s="3" t="n">
        <v>7.648</v>
      </c>
      <c r="U539" s="4" t="n">
        <v>90</v>
      </c>
      <c r="V539" s="3">
        <f>IF(OR(N(T539)=0,N(U539)=0),0,1-POISSON(IFERROR(VLOOKUP($C539,Assumptions!$A$4:$G$7,7,FALSE),99)-1,N(T539)*N(U539)/90,TRUE))</f>
        <v/>
      </c>
      <c r="W539" s="3" t="n">
        <v>0</v>
      </c>
      <c r="X539" s="3" t="n">
        <v>2</v>
      </c>
      <c r="Y539" s="3">
        <f>IF(X539="",IFERROR(VLOOKUP($C539,Assumptions!$A$4:$G$7,6,FALSE),0),X539)</f>
        <v/>
      </c>
      <c r="Z539" s="3">
        <f>N(O539)*IFERROR(VLOOKUP($C539,Assumptions!$A$4:$G$7,2,FALSE),0)</f>
        <v/>
      </c>
      <c r="AA539" s="3">
        <f>N(S539)*IFERROR(VLOOKUP($C539,Assumptions!$A$4:$G$7,3,FALSE),0)*Assumptions!$B$11</f>
        <v/>
      </c>
      <c r="AB539" s="3">
        <f>N(N539)*IFERROR(VLOOKUP($C539,Assumptions!$A$4:$G$7,4,FALSE),0)</f>
        <v/>
      </c>
      <c r="AC539" s="3">
        <f>IF(N(U539)=0,0,V539*IFERROR(VLOOKUP($C539,Assumptions!$A$4:$G$7,5,FALSE),0)*90/N(U539))</f>
        <v/>
      </c>
      <c r="AD539" s="3">
        <f>N(W539)</f>
        <v/>
      </c>
      <c r="AE539" s="3">
        <f>SUM(Y539:AD539)</f>
        <v/>
      </c>
      <c r="AF539" s="3">
        <f>N(AE539)*N(M539)/90</f>
        <v/>
      </c>
      <c r="AG539" s="3">
        <f>IFERROR(AF539-VLOOKUP($C539,Assumptions!$A$29:$C$32,3,FALSE),"")</f>
        <v/>
      </c>
      <c r="AH539" s="3">
        <f>IFERROR(AG539/F539,"")</f>
        <v/>
      </c>
      <c r="AI539">
        <f>IF(AND($E539=TRUE,$C539="GKP"),AF539,"")</f>
        <v/>
      </c>
      <c r="AJ539">
        <f>IF(AND($E539=TRUE,$C539="DEF"),AF539,"")</f>
        <v/>
      </c>
      <c r="AK539">
        <f>IF(AND($E539=TRUE,$C539="MID"),AF539,"")</f>
        <v/>
      </c>
      <c r="AL539">
        <f>IF(AND($E539=TRUE,$C539="FWD"),AF539,"")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b">
        <v>1</v>
      </c>
      <c r="F540" s="2" t="n">
        <v>5</v>
      </c>
      <c r="G540" t="inlineStr">
        <is>
          <t>a</t>
        </is>
      </c>
      <c r="I540" s="2" t="n"/>
      <c r="K540" s="3" t="n">
        <v>281</v>
      </c>
      <c r="L540" t="inlineStr">
        <is>
          <t>flat</t>
        </is>
      </c>
      <c r="M540" s="4" t="n"/>
      <c r="N540" s="4" t="n"/>
      <c r="O540" s="3" t="n"/>
      <c r="P540" t="inlineStr"/>
      <c r="Q540" s="3" t="n"/>
      <c r="R540" s="3" t="n"/>
      <c r="S540" s="3" t="n"/>
      <c r="T540" s="3" t="n"/>
      <c r="U540" s="4" t="n"/>
      <c r="V540" s="3">
        <f>IF(OR(N(T540)=0,N(U540)=0),0,1-POISSON(IFERROR(VLOOKUP($C540,Assumptions!$A$4:$G$7,7,FALSE),99)-1,N(T540)*N(U540)/90,TRUE))</f>
        <v/>
      </c>
      <c r="W540" s="3" t="n"/>
      <c r="X540" s="3" t="n"/>
      <c r="Y540" s="3">
        <f>IF(X540="",IFERROR(VLOOKUP($C540,Assumptions!$A$4:$G$7,6,FALSE),0),X540)</f>
        <v/>
      </c>
      <c r="Z540" s="3">
        <f>N(O540)*IFERROR(VLOOKUP($C540,Assumptions!$A$4:$G$7,2,FALSE),0)</f>
        <v/>
      </c>
      <c r="AA540" s="3">
        <f>N(S540)*IFERROR(VLOOKUP($C540,Assumptions!$A$4:$G$7,3,FALSE),0)*Assumptions!$B$11</f>
        <v/>
      </c>
      <c r="AB540" s="3">
        <f>N(N540)*IFERROR(VLOOKUP($C540,Assumptions!$A$4:$G$7,4,FALSE),0)</f>
        <v/>
      </c>
      <c r="AC540" s="3">
        <f>IF(N(U540)=0,0,V540*IFERROR(VLOOKUP($C540,Assumptions!$A$4:$G$7,5,FALSE),0)*90/N(U540))</f>
        <v/>
      </c>
      <c r="AD540" s="3">
        <f>N(W540)</f>
        <v/>
      </c>
      <c r="AE540" s="3">
        <f>SUM(Y540:AD540)</f>
        <v/>
      </c>
      <c r="AF540" s="3">
        <f>N(AE540)*N(M540)/90</f>
        <v/>
      </c>
      <c r="AG540" s="3">
        <f>IFERROR(AF540-VLOOKUP($C540,Assumptions!$A$29:$C$32,3,FALSE),"")</f>
        <v/>
      </c>
      <c r="AH540" s="3">
        <f>IFERROR(AG540/F540,"")</f>
        <v/>
      </c>
      <c r="AI540">
        <f>IF(AND($E540=TRUE,$C540="GKP"),AF540,"")</f>
        <v/>
      </c>
      <c r="AJ540">
        <f>IF(AND($E540=TRUE,$C540="DEF"),AF540,"")</f>
        <v/>
      </c>
      <c r="AK540">
        <f>IF(AND($E540=TRUE,$C540="MID"),AF540,"")</f>
        <v/>
      </c>
      <c r="AL540">
        <f>IF(AND($E540=TRUE,$C540="FWD"),AF540,"")</f>
        <v/>
      </c>
    </row>
    <row r="541">
      <c r="A541" t="inlineStr">
        <is>
          <t>Maximilian Kilman</t>
        </is>
      </c>
      <c r="D541" t="inlineStr">
        <is>
          <t>DEF</t>
        </is>
      </c>
      <c r="E541" t="b">
        <v>0</v>
      </c>
      <c r="F541" s="2" t="n"/>
      <c r="I541" s="2" t="n">
        <v>1559</v>
      </c>
      <c r="K541" s="3" t="n"/>
      <c r="M541" s="4" t="n">
        <v>1559</v>
      </c>
      <c r="N541" s="4" t="n"/>
      <c r="O541" s="3" t="n">
        <v>0.0277</v>
      </c>
      <c r="P541" t="inlineStr">
        <is>
          <t>adjusted xGOT</t>
        </is>
      </c>
      <c r="Q541" s="3" t="n">
        <v>0.856</v>
      </c>
      <c r="R541" s="3" t="n">
        <v>5.2</v>
      </c>
      <c r="S541" s="3" t="n">
        <v>0.012</v>
      </c>
      <c r="T541" s="3" t="n">
        <v>8.746</v>
      </c>
      <c r="U541" s="4" t="n">
        <v>91.7</v>
      </c>
      <c r="V541" s="3">
        <f>IF(OR(N(T541)=0,N(U541)=0),0,1-POISSON(IFERROR(VLOOKUP($C541,Assumptions!$A$4:$G$7,7,FALSE),99)-1,N(T541)*N(U541)/90,TRUE))</f>
        <v/>
      </c>
      <c r="W541" s="3" t="n">
        <v>0</v>
      </c>
      <c r="X541" s="3" t="n">
        <v>2.194</v>
      </c>
      <c r="Y541" s="3">
        <f>IF(X541="",IFERROR(VLOOKUP($C541,Assumptions!$A$4:$G$7,6,FALSE),0),X541)</f>
        <v/>
      </c>
      <c r="Z541" s="3">
        <f>N(O541)*IFERROR(VLOOKUP($C541,Assumptions!$A$4:$G$7,2,FALSE),0)</f>
        <v/>
      </c>
      <c r="AA541" s="3">
        <f>N(S541)*IFERROR(VLOOKUP($C541,Assumptions!$A$4:$G$7,3,FALSE),0)*Assumptions!$B$11</f>
        <v/>
      </c>
      <c r="AB541" s="3">
        <f>N(N541)*IFERROR(VLOOKUP($C541,Assumptions!$A$4:$G$7,4,FALSE),0)</f>
        <v/>
      </c>
      <c r="AC541" s="3">
        <f>IF(N(U541)=0,0,V541*IFERROR(VLOOKUP($C541,Assumptions!$A$4:$G$7,5,FALSE),0)*90/N(U541))</f>
        <v/>
      </c>
      <c r="AD541" s="3">
        <f>N(W541)</f>
        <v/>
      </c>
      <c r="AE541" s="3">
        <f>SUM(Y541:AD541)</f>
        <v/>
      </c>
      <c r="AF541" s="3">
        <f>N(AE541)*N(M541)/90</f>
        <v/>
      </c>
      <c r="AG541" s="3">
        <f>IFERROR(AF541-VLOOKUP($C541,Assumptions!$A$29:$C$32,3,FALSE),"")</f>
        <v/>
      </c>
      <c r="AH541" s="3">
        <f>IFERROR(AG541/F541,"")</f>
        <v/>
      </c>
      <c r="AI541">
        <f>IF(AND($E541=TRUE,$C541="GKP"),AF541,"")</f>
        <v/>
      </c>
      <c r="AJ541">
        <f>IF(AND($E541=TRUE,$C541="DEF"),AF541,"")</f>
        <v/>
      </c>
      <c r="AK541">
        <f>IF(AND($E541=TRUE,$C541="MID"),AF541,"")</f>
        <v/>
      </c>
      <c r="AL541">
        <f>IF(AND($E541=TRUE,$C541="FWD"),AF541,"")</f>
        <v/>
      </c>
    </row>
    <row r="542">
      <c r="A542" t="inlineStr">
        <is>
          <t>Aaron Wan-Bissaka</t>
        </is>
      </c>
      <c r="D542" t="inlineStr">
        <is>
          <t>DEF</t>
        </is>
      </c>
      <c r="E542" t="b">
        <v>0</v>
      </c>
      <c r="F542" s="2" t="n"/>
      <c r="I542" s="2" t="n">
        <v>2084</v>
      </c>
      <c r="K542" s="3" t="n"/>
      <c r="M542" s="4" t="n">
        <v>2084</v>
      </c>
      <c r="N542" s="4" t="n"/>
      <c r="O542" s="3" t="n">
        <v>0</v>
      </c>
      <c r="P542" t="inlineStr">
        <is>
          <t>adjusted xGOT</t>
        </is>
      </c>
      <c r="Q542" s="3" t="n">
        <v>0.878</v>
      </c>
      <c r="R542" s="3" t="n">
        <v>2.5</v>
      </c>
      <c r="S542" s="3" t="n">
        <v>0.0617</v>
      </c>
      <c r="T542" s="3" t="n">
        <v>7.569</v>
      </c>
      <c r="U542" s="4" t="n">
        <v>90.40000000000001</v>
      </c>
      <c r="V542" s="3">
        <f>IF(OR(N(T542)=0,N(U542)=0),0,1-POISSON(IFERROR(VLOOKUP($C542,Assumptions!$A$4:$G$7,7,FALSE),99)-1,N(T542)*N(U542)/90,TRUE))</f>
        <v/>
      </c>
      <c r="W542" s="3" t="n">
        <v>0</v>
      </c>
      <c r="X542" s="3" t="n">
        <v>2.073</v>
      </c>
      <c r="Y542" s="3">
        <f>IF(X542="",IFERROR(VLOOKUP($C542,Assumptions!$A$4:$G$7,6,FALSE),0),X542)</f>
        <v/>
      </c>
      <c r="Z542" s="3">
        <f>N(O542)*IFERROR(VLOOKUP($C542,Assumptions!$A$4:$G$7,2,FALSE),0)</f>
        <v/>
      </c>
      <c r="AA542" s="3">
        <f>N(S542)*IFERROR(VLOOKUP($C542,Assumptions!$A$4:$G$7,3,FALSE),0)*Assumptions!$B$11</f>
        <v/>
      </c>
      <c r="AB542" s="3">
        <f>N(N542)*IFERROR(VLOOKUP($C542,Assumptions!$A$4:$G$7,4,FALSE),0)</f>
        <v/>
      </c>
      <c r="AC542" s="3">
        <f>IF(N(U542)=0,0,V542*IFERROR(VLOOKUP($C542,Assumptions!$A$4:$G$7,5,FALSE),0)*90/N(U542))</f>
        <v/>
      </c>
      <c r="AD542" s="3">
        <f>N(W542)</f>
        <v/>
      </c>
      <c r="AE542" s="3">
        <f>SUM(Y542:AD542)</f>
        <v/>
      </c>
      <c r="AF542" s="3">
        <f>N(AE542)*N(M542)/90</f>
        <v/>
      </c>
      <c r="AG542" s="3">
        <f>IFERROR(AF542-VLOOKUP($C542,Assumptions!$A$29:$C$32,3,FALSE),"")</f>
        <v/>
      </c>
      <c r="AH542" s="3">
        <f>IFERROR(AG542/F542,"")</f>
        <v/>
      </c>
      <c r="AI542">
        <f>IF(AND($E542=TRUE,$C542="GKP"),AF542,"")</f>
        <v/>
      </c>
      <c r="AJ542">
        <f>IF(AND($E542=TRUE,$C542="DEF"),AF542,"")</f>
        <v/>
      </c>
      <c r="AK542">
        <f>IF(AND($E542=TRUE,$C542="MID"),AF542,"")</f>
        <v/>
      </c>
      <c r="AL542">
        <f>IF(AND($E542=TRUE,$C542="FWD"),AF542,"")</f>
        <v/>
      </c>
    </row>
    <row r="543">
      <c r="A543" t="inlineStr">
        <is>
          <t>Tomás Soucek</t>
        </is>
      </c>
      <c r="D543" t="inlineStr">
        <is>
          <t>MID</t>
        </is>
      </c>
      <c r="E543" t="b">
        <v>0</v>
      </c>
      <c r="F543" s="2" t="n"/>
      <c r="I543" s="2" t="n">
        <v>2198</v>
      </c>
      <c r="K543" s="3" t="n"/>
      <c r="M543" s="4" t="n">
        <v>2198</v>
      </c>
      <c r="N543" s="4" t="n"/>
      <c r="O543" s="3" t="n">
        <v>0.2578</v>
      </c>
      <c r="P543" t="inlineStr">
        <is>
          <t>adjusted xGOT</t>
        </is>
      </c>
      <c r="Q543" s="3" t="n">
        <v>1.099</v>
      </c>
      <c r="R543" s="3" t="n">
        <v>23</v>
      </c>
      <c r="S543" s="3" t="n">
        <v>0.0336</v>
      </c>
      <c r="T543" s="3" t="n">
        <v>9.050000000000001</v>
      </c>
      <c r="U543" s="4" t="n">
        <v>91.2</v>
      </c>
      <c r="V543" s="3">
        <f>IF(OR(N(T543)=0,N(U543)=0),0,1-POISSON(IFERROR(VLOOKUP($C543,Assumptions!$A$4:$G$7,7,FALSE),99)-1,N(T543)*N(U543)/90,TRUE))</f>
        <v/>
      </c>
      <c r="W543" s="3" t="n">
        <v>0.3685</v>
      </c>
      <c r="X543" s="3" t="n">
        <v>2.375</v>
      </c>
      <c r="Y543" s="3">
        <f>IF(X543="",IFERROR(VLOOKUP($C543,Assumptions!$A$4:$G$7,6,FALSE),0),X543)</f>
        <v/>
      </c>
      <c r="Z543" s="3">
        <f>N(O543)*IFERROR(VLOOKUP($C543,Assumptions!$A$4:$G$7,2,FALSE),0)</f>
        <v/>
      </c>
      <c r="AA543" s="3">
        <f>N(S543)*IFERROR(VLOOKUP($C543,Assumptions!$A$4:$G$7,3,FALSE),0)*Assumptions!$B$11</f>
        <v/>
      </c>
      <c r="AB543" s="3">
        <f>N(N543)*IFERROR(VLOOKUP($C543,Assumptions!$A$4:$G$7,4,FALSE),0)</f>
        <v/>
      </c>
      <c r="AC543" s="3">
        <f>IF(N(U543)=0,0,V543*IFERROR(VLOOKUP($C543,Assumptions!$A$4:$G$7,5,FALSE),0)*90/N(U543))</f>
        <v/>
      </c>
      <c r="AD543" s="3">
        <f>N(W543)</f>
        <v/>
      </c>
      <c r="AE543" s="3">
        <f>SUM(Y543:AD543)</f>
        <v/>
      </c>
      <c r="AF543" s="3">
        <f>N(AE543)*N(M543)/90</f>
        <v/>
      </c>
      <c r="AG543" s="3">
        <f>IFERROR(AF543-VLOOKUP($C543,Assumptions!$A$29:$C$32,3,FALSE),"")</f>
        <v/>
      </c>
      <c r="AH543" s="3">
        <f>IFERROR(AG543/F543,"")</f>
        <v/>
      </c>
      <c r="AI543">
        <f>IF(AND($E543=TRUE,$C543="GKP"),AF543,"")</f>
        <v/>
      </c>
      <c r="AJ543">
        <f>IF(AND($E543=TRUE,$C543="DEF"),AF543,"")</f>
        <v/>
      </c>
      <c r="AK543">
        <f>IF(AND($E543=TRUE,$C543="MID"),AF543,"")</f>
        <v/>
      </c>
      <c r="AL543">
        <f>IF(AND($E543=TRUE,$C543="FWD"),AF543,"")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b">
        <v>1</v>
      </c>
      <c r="F544" s="2" t="n">
        <v>4</v>
      </c>
      <c r="G544" t="inlineStr">
        <is>
          <t>a</t>
        </is>
      </c>
      <c r="I544" s="2" t="n"/>
      <c r="K544" s="3" t="n">
        <v>3232</v>
      </c>
      <c r="L544" t="inlineStr">
        <is>
          <t>flat</t>
        </is>
      </c>
      <c r="M544" s="4" t="n"/>
      <c r="N544" s="4" t="n"/>
      <c r="O544" s="3" t="n"/>
      <c r="P544" t="inlineStr"/>
      <c r="Q544" s="3" t="n"/>
      <c r="R544" s="3" t="n"/>
      <c r="S544" s="3" t="n"/>
      <c r="T544" s="3" t="n"/>
      <c r="U544" s="4" t="n"/>
      <c r="V544" s="3">
        <f>IF(OR(N(T544)=0,N(U544)=0),0,1-POISSON(IFERROR(VLOOKUP($C544,Assumptions!$A$4:$G$7,7,FALSE),99)-1,N(T544)*N(U544)/90,TRUE))</f>
        <v/>
      </c>
      <c r="W544" s="3" t="n"/>
      <c r="X544" s="3" t="n"/>
      <c r="Y544" s="3">
        <f>IF(X544="",IFERROR(VLOOKUP($C544,Assumptions!$A$4:$G$7,6,FALSE),0),X544)</f>
        <v/>
      </c>
      <c r="Z544" s="3">
        <f>N(O544)*IFERROR(VLOOKUP($C544,Assumptions!$A$4:$G$7,2,FALSE),0)</f>
        <v/>
      </c>
      <c r="AA544" s="3">
        <f>N(S544)*IFERROR(VLOOKUP($C544,Assumptions!$A$4:$G$7,3,FALSE),0)*Assumptions!$B$11</f>
        <v/>
      </c>
      <c r="AB544" s="3">
        <f>N(N544)*IFERROR(VLOOKUP($C544,Assumptions!$A$4:$G$7,4,FALSE),0)</f>
        <v/>
      </c>
      <c r="AC544" s="3">
        <f>IF(N(U544)=0,0,V544*IFERROR(VLOOKUP($C544,Assumptions!$A$4:$G$7,5,FALSE),0)*90/N(U544))</f>
        <v/>
      </c>
      <c r="AD544" s="3">
        <f>N(W544)</f>
        <v/>
      </c>
      <c r="AE544" s="3">
        <f>SUM(Y544:AD544)</f>
        <v/>
      </c>
      <c r="AF544" s="3">
        <f>N(AE544)*N(M544)/90</f>
        <v/>
      </c>
      <c r="AG544" s="3">
        <f>IFERROR(AF544-VLOOKUP($C544,Assumptions!$A$29:$C$32,3,FALSE),"")</f>
        <v/>
      </c>
      <c r="AH544" s="3">
        <f>IFERROR(AG544/F544,"")</f>
        <v/>
      </c>
      <c r="AI544">
        <f>IF(AND($E544=TRUE,$C544="GKP"),AF544,"")</f>
        <v/>
      </c>
      <c r="AJ544">
        <f>IF(AND($E544=TRUE,$C544="DEF"),AF544,"")</f>
        <v/>
      </c>
      <c r="AK544">
        <f>IF(AND($E544=TRUE,$C544="MID"),AF544,"")</f>
        <v/>
      </c>
      <c r="AL544">
        <f>IF(AND($E544=TRUE,$C544="FWD"),AF544,"")</f>
        <v/>
      </c>
    </row>
    <row r="545">
      <c r="A545" t="inlineStr">
        <is>
          <t>Samuel Chukwueze</t>
        </is>
      </c>
      <c r="D545" t="inlineStr">
        <is>
          <t>MID</t>
        </is>
      </c>
      <c r="E545" t="b">
        <v>0</v>
      </c>
      <c r="F545" s="2" t="n"/>
      <c r="I545" s="2" t="n">
        <v>1075</v>
      </c>
      <c r="K545" s="3" t="n"/>
      <c r="M545" s="4" t="n">
        <v>1075</v>
      </c>
      <c r="N545" s="4" t="n"/>
      <c r="O545" s="3" t="n">
        <v>0.1932</v>
      </c>
      <c r="P545" t="inlineStr">
        <is>
          <t>adjusted xGOT</t>
        </is>
      </c>
      <c r="Q545" s="3" t="n">
        <v>1.099</v>
      </c>
      <c r="R545" s="3" t="n">
        <v>2.1</v>
      </c>
      <c r="S545" s="3" t="n">
        <v>0.2374</v>
      </c>
      <c r="T545" s="3" t="n">
        <v>7.535</v>
      </c>
      <c r="U545" s="4" t="n">
        <v>106.7</v>
      </c>
      <c r="V545" s="3">
        <f>IF(OR(N(T545)=0,N(U545)=0),0,1-POISSON(IFERROR(VLOOKUP($C545,Assumptions!$A$4:$G$7,7,FALSE),99)-1,N(T545)*N(U545)/90,TRUE))</f>
        <v/>
      </c>
      <c r="W545" s="3" t="n">
        <v>0.1674</v>
      </c>
      <c r="X545" s="3" t="n">
        <v>2.679</v>
      </c>
      <c r="Y545" s="3">
        <f>IF(X545="",IFERROR(VLOOKUP($C545,Assumptions!$A$4:$G$7,6,FALSE),0),X545)</f>
        <v/>
      </c>
      <c r="Z545" s="3">
        <f>N(O545)*IFERROR(VLOOKUP($C545,Assumptions!$A$4:$G$7,2,FALSE),0)</f>
        <v/>
      </c>
      <c r="AA545" s="3">
        <f>N(S545)*IFERROR(VLOOKUP($C545,Assumptions!$A$4:$G$7,3,FALSE),0)*Assumptions!$B$11</f>
        <v/>
      </c>
      <c r="AB545" s="3">
        <f>N(N545)*IFERROR(VLOOKUP($C545,Assumptions!$A$4:$G$7,4,FALSE),0)</f>
        <v/>
      </c>
      <c r="AC545" s="3">
        <f>IF(N(U545)=0,0,V545*IFERROR(VLOOKUP($C545,Assumptions!$A$4:$G$7,5,FALSE),0)*90/N(U545))</f>
        <v/>
      </c>
      <c r="AD545" s="3">
        <f>N(W545)</f>
        <v/>
      </c>
      <c r="AE545" s="3">
        <f>SUM(Y545:AD545)</f>
        <v/>
      </c>
      <c r="AF545" s="3">
        <f>N(AE545)*N(M545)/90</f>
        <v/>
      </c>
      <c r="AG545" s="3">
        <f>IFERROR(AF545-VLOOKUP($C545,Assumptions!$A$29:$C$32,3,FALSE),"")</f>
        <v/>
      </c>
      <c r="AH545" s="3">
        <f>IFERROR(AG545/F545,"")</f>
        <v/>
      </c>
      <c r="AI545">
        <f>IF(AND($E545=TRUE,$C545="GKP"),AF545,"")</f>
        <v/>
      </c>
      <c r="AJ545">
        <f>IF(AND($E545=TRUE,$C545="DEF"),AF545,"")</f>
        <v/>
      </c>
      <c r="AK545">
        <f>IF(AND($E545=TRUE,$C545="MID"),AF545,"")</f>
        <v/>
      </c>
      <c r="AL545">
        <f>IF(AND($E545=TRUE,$C545="FWD"),AF545,"")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b">
        <v>1</v>
      </c>
      <c r="F546" s="2" t="n">
        <v>5</v>
      </c>
      <c r="G546" t="inlineStr">
        <is>
          <t>a</t>
        </is>
      </c>
      <c r="I546" s="2" t="n"/>
      <c r="K546" s="3" t="n">
        <v>744</v>
      </c>
      <c r="L546" t="inlineStr">
        <is>
          <t>fade (losing his place)</t>
        </is>
      </c>
      <c r="M546" s="4" t="n"/>
      <c r="N546" s="4" t="n"/>
      <c r="O546" s="3" t="n"/>
      <c r="P546" t="inlineStr"/>
      <c r="Q546" s="3" t="n"/>
      <c r="R546" s="3" t="n"/>
      <c r="S546" s="3" t="n"/>
      <c r="T546" s="3" t="n"/>
      <c r="U546" s="4" t="n"/>
      <c r="V546" s="3">
        <f>IF(OR(N(T546)=0,N(U546)=0),0,1-POISSON(IFERROR(VLOOKUP($C546,Assumptions!$A$4:$G$7,7,FALSE),99)-1,N(T546)*N(U546)/90,TRUE))</f>
        <v/>
      </c>
      <c r="W546" s="3" t="n"/>
      <c r="X546" s="3" t="n"/>
      <c r="Y546" s="3">
        <f>IF(X546="",IFERROR(VLOOKUP($C546,Assumptions!$A$4:$G$7,6,FALSE),0),X546)</f>
        <v/>
      </c>
      <c r="Z546" s="3">
        <f>N(O546)*IFERROR(VLOOKUP($C546,Assumptions!$A$4:$G$7,2,FALSE),0)</f>
        <v/>
      </c>
      <c r="AA546" s="3">
        <f>N(S546)*IFERROR(VLOOKUP($C546,Assumptions!$A$4:$G$7,3,FALSE),0)*Assumptions!$B$11</f>
        <v/>
      </c>
      <c r="AB546" s="3">
        <f>N(N546)*IFERROR(VLOOKUP($C546,Assumptions!$A$4:$G$7,4,FALSE),0)</f>
        <v/>
      </c>
      <c r="AC546" s="3">
        <f>IF(N(U546)=0,0,V546*IFERROR(VLOOKUP($C546,Assumptions!$A$4:$G$7,5,FALSE),0)*90/N(U546))</f>
        <v/>
      </c>
      <c r="AD546" s="3">
        <f>N(W546)</f>
        <v/>
      </c>
      <c r="AE546" s="3">
        <f>SUM(Y546:AD546)</f>
        <v/>
      </c>
      <c r="AF546" s="3">
        <f>N(AE546)*N(M546)/90</f>
        <v/>
      </c>
      <c r="AG546" s="3">
        <f>IFERROR(AF546-VLOOKUP($C546,Assumptions!$A$29:$C$32,3,FALSE),"")</f>
        <v/>
      </c>
      <c r="AH546" s="3">
        <f>IFERROR(AG546/F546,"")</f>
        <v/>
      </c>
      <c r="AI546">
        <f>IF(AND($E546=TRUE,$C546="GKP"),AF546,"")</f>
        <v/>
      </c>
      <c r="AJ546">
        <f>IF(AND($E546=TRUE,$C546="DEF"),AF546,"")</f>
        <v/>
      </c>
      <c r="AK546">
        <f>IF(AND($E546=TRUE,$C546="MID"),AF546,"")</f>
        <v/>
      </c>
      <c r="AL546">
        <f>IF(AND($E546=TRUE,$C546="FWD"),AF546,"")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b">
        <v>1</v>
      </c>
      <c r="F547" s="2" t="n">
        <v>4</v>
      </c>
      <c r="G547" t="inlineStr">
        <is>
          <t>a</t>
        </is>
      </c>
      <c r="I547" s="2" t="n"/>
      <c r="K547" s="3" t="n">
        <v>270</v>
      </c>
      <c r="L547" t="inlineStr">
        <is>
          <t>flat</t>
        </is>
      </c>
      <c r="M547" s="4" t="n"/>
      <c r="N547" s="4" t="n"/>
      <c r="O547" s="3" t="n"/>
      <c r="P547" t="inlineStr"/>
      <c r="Q547" s="3" t="n"/>
      <c r="R547" s="3" t="n"/>
      <c r="S547" s="3" t="n"/>
      <c r="T547" s="3" t="n"/>
      <c r="U547" s="4" t="n"/>
      <c r="V547" s="3">
        <f>IF(OR(N(T547)=0,N(U547)=0),0,1-POISSON(IFERROR(VLOOKUP($C547,Assumptions!$A$4:$G$7,7,FALSE),99)-1,N(T547)*N(U547)/90,TRUE))</f>
        <v/>
      </c>
      <c r="W547" s="3" t="n"/>
      <c r="X547" s="3" t="n"/>
      <c r="Y547" s="3">
        <f>IF(X547="",IFERROR(VLOOKUP($C547,Assumptions!$A$4:$G$7,6,FALSE),0),X547)</f>
        <v/>
      </c>
      <c r="Z547" s="3">
        <f>N(O547)*IFERROR(VLOOKUP($C547,Assumptions!$A$4:$G$7,2,FALSE),0)</f>
        <v/>
      </c>
      <c r="AA547" s="3">
        <f>N(S547)*IFERROR(VLOOKUP($C547,Assumptions!$A$4:$G$7,3,FALSE),0)*Assumptions!$B$11</f>
        <v/>
      </c>
      <c r="AB547" s="3">
        <f>N(N547)*IFERROR(VLOOKUP($C547,Assumptions!$A$4:$G$7,4,FALSE),0)</f>
        <v/>
      </c>
      <c r="AC547" s="3">
        <f>IF(N(U547)=0,0,V547*IFERROR(VLOOKUP($C547,Assumptions!$A$4:$G$7,5,FALSE),0)*90/N(U547))</f>
        <v/>
      </c>
      <c r="AD547" s="3">
        <f>N(W547)</f>
        <v/>
      </c>
      <c r="AE547" s="3">
        <f>SUM(Y547:AD547)</f>
        <v/>
      </c>
      <c r="AF547" s="3">
        <f>N(AE547)*N(M547)/90</f>
        <v/>
      </c>
      <c r="AG547" s="3">
        <f>IFERROR(AF547-VLOOKUP($C547,Assumptions!$A$29:$C$32,3,FALSE),"")</f>
        <v/>
      </c>
      <c r="AH547" s="3">
        <f>IFERROR(AG547/F547,"")</f>
        <v/>
      </c>
      <c r="AI547">
        <f>IF(AND($E547=TRUE,$C547="GKP"),AF547,"")</f>
        <v/>
      </c>
      <c r="AJ547">
        <f>IF(AND($E547=TRUE,$C547="DEF"),AF547,"")</f>
        <v/>
      </c>
      <c r="AK547">
        <f>IF(AND($E547=TRUE,$C547="MID"),AF547,"")</f>
        <v/>
      </c>
      <c r="AL547">
        <f>IF(AND($E547=TRUE,$C547="FWD"),AF547,"")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b">
        <v>1</v>
      </c>
      <c r="F548" s="2" t="n">
        <v>4</v>
      </c>
      <c r="G548" t="inlineStr">
        <is>
          <t>a</t>
        </is>
      </c>
      <c r="I548" s="2" t="n"/>
      <c r="K548" s="3" t="n">
        <v>382</v>
      </c>
      <c r="L548" t="inlineStr">
        <is>
          <t>flat</t>
        </is>
      </c>
      <c r="M548" s="4" t="n"/>
      <c r="N548" s="4" t="n"/>
      <c r="O548" s="3" t="n"/>
      <c r="P548" t="inlineStr"/>
      <c r="Q548" s="3" t="n"/>
      <c r="R548" s="3" t="n"/>
      <c r="S548" s="3" t="n"/>
      <c r="T548" s="3" t="n"/>
      <c r="U548" s="4" t="n"/>
      <c r="V548" s="3">
        <f>IF(OR(N(T548)=0,N(U548)=0),0,1-POISSON(IFERROR(VLOOKUP($C548,Assumptions!$A$4:$G$7,7,FALSE),99)-1,N(T548)*N(U548)/90,TRUE))</f>
        <v/>
      </c>
      <c r="W548" s="3" t="n"/>
      <c r="X548" s="3" t="n"/>
      <c r="Y548" s="3">
        <f>IF(X548="",IFERROR(VLOOKUP($C548,Assumptions!$A$4:$G$7,6,FALSE),0),X548)</f>
        <v/>
      </c>
      <c r="Z548" s="3">
        <f>N(O548)*IFERROR(VLOOKUP($C548,Assumptions!$A$4:$G$7,2,FALSE),0)</f>
        <v/>
      </c>
      <c r="AA548" s="3">
        <f>N(S548)*IFERROR(VLOOKUP($C548,Assumptions!$A$4:$G$7,3,FALSE),0)*Assumptions!$B$11</f>
        <v/>
      </c>
      <c r="AB548" s="3">
        <f>N(N548)*IFERROR(VLOOKUP($C548,Assumptions!$A$4:$G$7,4,FALSE),0)</f>
        <v/>
      </c>
      <c r="AC548" s="3">
        <f>IF(N(U548)=0,0,V548*IFERROR(VLOOKUP($C548,Assumptions!$A$4:$G$7,5,FALSE),0)*90/N(U548))</f>
        <v/>
      </c>
      <c r="AD548" s="3">
        <f>N(W548)</f>
        <v/>
      </c>
      <c r="AE548" s="3">
        <f>SUM(Y548:AD548)</f>
        <v/>
      </c>
      <c r="AF548" s="3">
        <f>N(AE548)*N(M548)/90</f>
        <v/>
      </c>
      <c r="AG548" s="3">
        <f>IFERROR(AF548-VLOOKUP($C548,Assumptions!$A$29:$C$32,3,FALSE),"")</f>
        <v/>
      </c>
      <c r="AH548" s="3">
        <f>IFERROR(AG548/F548,"")</f>
        <v/>
      </c>
      <c r="AI548">
        <f>IF(AND($E548=TRUE,$C548="GKP"),AF548,"")</f>
        <v/>
      </c>
      <c r="AJ548">
        <f>IF(AND($E548=TRUE,$C548="DEF"),AF548,"")</f>
        <v/>
      </c>
      <c r="AK548">
        <f>IF(AND($E548=TRUE,$C548="MID"),AF548,"")</f>
        <v/>
      </c>
      <c r="AL548">
        <f>IF(AND($E548=TRUE,$C548="FWD"),AF548,"")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b">
        <v>1</v>
      </c>
      <c r="F549" s="2" t="n">
        <v>5</v>
      </c>
      <c r="G549" t="inlineStr">
        <is>
          <t>a</t>
        </is>
      </c>
      <c r="I549" s="2" t="n"/>
      <c r="K549" s="3" t="n">
        <v>448</v>
      </c>
      <c r="L549" t="inlineStr">
        <is>
          <t>flat</t>
        </is>
      </c>
      <c r="M549" s="4" t="n"/>
      <c r="N549" s="4" t="n"/>
      <c r="O549" s="3" t="n"/>
      <c r="P549" t="inlineStr"/>
      <c r="Q549" s="3" t="n"/>
      <c r="R549" s="3" t="n"/>
      <c r="S549" s="3" t="n"/>
      <c r="T549" s="3" t="n"/>
      <c r="U549" s="4" t="n"/>
      <c r="V549" s="3">
        <f>IF(OR(N(T549)=0,N(U549)=0),0,1-POISSON(IFERROR(VLOOKUP($C549,Assumptions!$A$4:$G$7,7,FALSE),99)-1,N(T549)*N(U549)/90,TRUE))</f>
        <v/>
      </c>
      <c r="W549" s="3" t="n"/>
      <c r="X549" s="3" t="n"/>
      <c r="Y549" s="3">
        <f>IF(X549="",IFERROR(VLOOKUP($C549,Assumptions!$A$4:$G$7,6,FALSE),0),X549)</f>
        <v/>
      </c>
      <c r="Z549" s="3">
        <f>N(O549)*IFERROR(VLOOKUP($C549,Assumptions!$A$4:$G$7,2,FALSE),0)</f>
        <v/>
      </c>
      <c r="AA549" s="3">
        <f>N(S549)*IFERROR(VLOOKUP($C549,Assumptions!$A$4:$G$7,3,FALSE),0)*Assumptions!$B$11</f>
        <v/>
      </c>
      <c r="AB549" s="3">
        <f>N(N549)*IFERROR(VLOOKUP($C549,Assumptions!$A$4:$G$7,4,FALSE),0)</f>
        <v/>
      </c>
      <c r="AC549" s="3">
        <f>IF(N(U549)=0,0,V549*IFERROR(VLOOKUP($C549,Assumptions!$A$4:$G$7,5,FALSE),0)*90/N(U549))</f>
        <v/>
      </c>
      <c r="AD549" s="3">
        <f>N(W549)</f>
        <v/>
      </c>
      <c r="AE549" s="3">
        <f>SUM(Y549:AD549)</f>
        <v/>
      </c>
      <c r="AF549" s="3">
        <f>N(AE549)*N(M549)/90</f>
        <v/>
      </c>
      <c r="AG549" s="3">
        <f>IFERROR(AF549-VLOOKUP($C549,Assumptions!$A$29:$C$32,3,FALSE),"")</f>
        <v/>
      </c>
      <c r="AH549" s="3">
        <f>IFERROR(AG549/F549,"")</f>
        <v/>
      </c>
      <c r="AI549">
        <f>IF(AND($E549=TRUE,$C549="GKP"),AF549,"")</f>
        <v/>
      </c>
      <c r="AJ549">
        <f>IF(AND($E549=TRUE,$C549="DEF"),AF549,"")</f>
        <v/>
      </c>
      <c r="AK549">
        <f>IF(AND($E549=TRUE,$C549="MID"),AF549,"")</f>
        <v/>
      </c>
      <c r="AL549">
        <f>IF(AND($E549=TRUE,$C549="FWD"),AF549,"")</f>
        <v/>
      </c>
    </row>
    <row r="550">
      <c r="A550" t="inlineStr">
        <is>
          <t>Tyrell Malacia</t>
        </is>
      </c>
      <c r="D550" t="inlineStr">
        <is>
          <t>DEF</t>
        </is>
      </c>
      <c r="E550" t="b">
        <v>0</v>
      </c>
      <c r="F550" s="2" t="n"/>
      <c r="I550" s="2" t="n">
        <v>15</v>
      </c>
      <c r="K550" s="3" t="n"/>
      <c r="M550" s="4" t="n">
        <v>15</v>
      </c>
      <c r="N550" s="4" t="n"/>
      <c r="O550" s="3" t="n">
        <v>0</v>
      </c>
      <c r="P550" t="inlineStr">
        <is>
          <t>adjusted xGOT</t>
        </is>
      </c>
      <c r="Q550" s="3" t="n">
        <v>0.984</v>
      </c>
      <c r="R550" s="3" t="n">
        <v>0.2</v>
      </c>
      <c r="S550" s="3" t="n"/>
      <c r="T550" s="3" t="n">
        <v>8.018000000000001</v>
      </c>
      <c r="U550" s="4" t="n">
        <v>85</v>
      </c>
      <c r="V550" s="3">
        <f>IF(OR(N(T550)=0,N(U550)=0),0,1-POISSON(IFERROR(VLOOKUP($C550,Assumptions!$A$4:$G$7,7,FALSE),99)-1,N(T550)*N(U550)/90,TRUE))</f>
        <v/>
      </c>
      <c r="W550" s="3" t="n">
        <v>0</v>
      </c>
      <c r="X550" s="3" t="n">
        <v>18</v>
      </c>
      <c r="Y550" s="3">
        <f>IF(X550="",IFERROR(VLOOKUP($C550,Assumptions!$A$4:$G$7,6,FALSE),0),X550)</f>
        <v/>
      </c>
      <c r="Z550" s="3">
        <f>N(O550)*IFERROR(VLOOKUP($C550,Assumptions!$A$4:$G$7,2,FALSE),0)</f>
        <v/>
      </c>
      <c r="AA550" s="3">
        <f>N(S550)*IFERROR(VLOOKUP($C550,Assumptions!$A$4:$G$7,3,FALSE),0)*Assumptions!$B$11</f>
        <v/>
      </c>
      <c r="AB550" s="3">
        <f>N(N550)*IFERROR(VLOOKUP($C550,Assumptions!$A$4:$G$7,4,FALSE),0)</f>
        <v/>
      </c>
      <c r="AC550" s="3">
        <f>IF(N(U550)=0,0,V550*IFERROR(VLOOKUP($C550,Assumptions!$A$4:$G$7,5,FALSE),0)*90/N(U550))</f>
        <v/>
      </c>
      <c r="AD550" s="3">
        <f>N(W550)</f>
        <v/>
      </c>
      <c r="AE550" s="3">
        <f>SUM(Y550:AD550)</f>
        <v/>
      </c>
      <c r="AF550" s="3">
        <f>N(AE550)*N(M550)/90</f>
        <v/>
      </c>
      <c r="AG550" s="3">
        <f>IFERROR(AF550-VLOOKUP($C550,Assumptions!$A$29:$C$32,3,FALSE),"")</f>
        <v/>
      </c>
      <c r="AH550" s="3">
        <f>IFERROR(AG550/F550,"")</f>
        <v/>
      </c>
      <c r="AI550">
        <f>IF(AND($E550=TRUE,$C550="GKP"),AF550,"")</f>
        <v/>
      </c>
      <c r="AJ550">
        <f>IF(AND($E550=TRUE,$C550="DEF"),AF550,"")</f>
        <v/>
      </c>
      <c r="AK550">
        <f>IF(AND($E550=TRUE,$C550="MID"),AF550,"")</f>
        <v/>
      </c>
      <c r="AL550">
        <f>IF(AND($E550=TRUE,$C550="FWD"),AF550,"")</f>
        <v/>
      </c>
    </row>
    <row r="551">
      <c r="A551" t="inlineStr">
        <is>
          <t>Dan Neil</t>
        </is>
      </c>
      <c r="D551" t="inlineStr">
        <is>
          <t>MID</t>
        </is>
      </c>
      <c r="E551" t="b">
        <v>0</v>
      </c>
      <c r="F551" s="2" t="n"/>
      <c r="I551" s="2" t="n">
        <v>13</v>
      </c>
      <c r="K551" s="3" t="n"/>
      <c r="M551" s="4" t="n">
        <v>13</v>
      </c>
      <c r="N551" s="4" t="n"/>
      <c r="O551" s="3" t="n">
        <v>0</v>
      </c>
      <c r="P551" t="inlineStr">
        <is>
          <t>blended xG</t>
        </is>
      </c>
      <c r="Q551" s="3" t="n">
        <v>1</v>
      </c>
      <c r="R551" s="3" t="n">
        <v>0</v>
      </c>
      <c r="S551" s="3" t="n">
        <v>0</v>
      </c>
      <c r="T551" s="3" t="n">
        <v>8.67</v>
      </c>
      <c r="U551" s="4" t="n">
        <v>85</v>
      </c>
      <c r="V551" s="3">
        <f>IF(OR(N(T551)=0,N(U551)=0),0,1-POISSON(IFERROR(VLOOKUP($C551,Assumptions!$A$4:$G$7,7,FALSE),99)-1,N(T551)*N(U551)/90,TRUE))</f>
        <v/>
      </c>
      <c r="W551" s="3" t="n">
        <v>0</v>
      </c>
      <c r="X551" s="3" t="n">
        <v>20.769</v>
      </c>
      <c r="Y551" s="3">
        <f>IF(X551="",IFERROR(VLOOKUP($C551,Assumptions!$A$4:$G$7,6,FALSE),0),X551)</f>
        <v/>
      </c>
      <c r="Z551" s="3">
        <f>N(O551)*IFERROR(VLOOKUP($C551,Assumptions!$A$4:$G$7,2,FALSE),0)</f>
        <v/>
      </c>
      <c r="AA551" s="3">
        <f>N(S551)*IFERROR(VLOOKUP($C551,Assumptions!$A$4:$G$7,3,FALSE),0)*Assumptions!$B$11</f>
        <v/>
      </c>
      <c r="AB551" s="3">
        <f>N(N551)*IFERROR(VLOOKUP($C551,Assumptions!$A$4:$G$7,4,FALSE),0)</f>
        <v/>
      </c>
      <c r="AC551" s="3">
        <f>IF(N(U551)=0,0,V551*IFERROR(VLOOKUP($C551,Assumptions!$A$4:$G$7,5,FALSE),0)*90/N(U551))</f>
        <v/>
      </c>
      <c r="AD551" s="3">
        <f>N(W551)</f>
        <v/>
      </c>
      <c r="AE551" s="3">
        <f>SUM(Y551:AD551)</f>
        <v/>
      </c>
      <c r="AF551" s="3">
        <f>N(AE551)*N(M551)/90</f>
        <v/>
      </c>
      <c r="AG551" s="3">
        <f>IFERROR(AF551-VLOOKUP($C551,Assumptions!$A$29:$C$32,3,FALSE),"")</f>
        <v/>
      </c>
      <c r="AH551" s="3">
        <f>IFERROR(AG551/F551,"")</f>
        <v/>
      </c>
      <c r="AI551">
        <f>IF(AND($E551=TRUE,$C551="GKP"),AF551,"")</f>
        <v/>
      </c>
      <c r="AJ551">
        <f>IF(AND($E551=TRUE,$C551="DEF"),AF551,"")</f>
        <v/>
      </c>
      <c r="AK551">
        <f>IF(AND($E551=TRUE,$C551="MID"),AF551,"")</f>
        <v/>
      </c>
      <c r="AL551">
        <f>IF(AND($E551=TRUE,$C551="FWD"),AF551,"")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b">
        <v>1</v>
      </c>
      <c r="F552" s="2" t="n">
        <v>4.5</v>
      </c>
      <c r="G552" t="inlineStr">
        <is>
          <t>a</t>
        </is>
      </c>
      <c r="I552" s="2" t="n"/>
      <c r="K552" s="3" t="n">
        <v>2822</v>
      </c>
      <c r="L552" t="inlineStr">
        <is>
          <t>flat</t>
        </is>
      </c>
      <c r="M552" s="4" t="n"/>
      <c r="N552" s="4" t="n">
        <v>0.316</v>
      </c>
      <c r="O552" s="3" t="n"/>
      <c r="P552" t="inlineStr"/>
      <c r="Q552" s="3" t="n"/>
      <c r="R552" s="3" t="n"/>
      <c r="S552" s="3" t="n"/>
      <c r="T552" s="3" t="n"/>
      <c r="U552" s="4" t="n"/>
      <c r="V552" s="3">
        <f>IF(OR(N(T552)=0,N(U552)=0),0,1-POISSON(IFERROR(VLOOKUP($C552,Assumptions!$A$4:$G$7,7,FALSE),99)-1,N(T552)*N(U552)/90,TRUE))</f>
        <v/>
      </c>
      <c r="W552" s="3" t="n"/>
      <c r="X552" s="3" t="n"/>
      <c r="Y552" s="3">
        <f>IF(X552="",IFERROR(VLOOKUP($C552,Assumptions!$A$4:$G$7,6,FALSE),0),X552)</f>
        <v/>
      </c>
      <c r="Z552" s="3">
        <f>N(O552)*IFERROR(VLOOKUP($C552,Assumptions!$A$4:$G$7,2,FALSE),0)</f>
        <v/>
      </c>
      <c r="AA552" s="3">
        <f>N(S552)*IFERROR(VLOOKUP($C552,Assumptions!$A$4:$G$7,3,FALSE),0)*Assumptions!$B$11</f>
        <v/>
      </c>
      <c r="AB552" s="3">
        <f>N(N552)*IFERROR(VLOOKUP($C552,Assumptions!$A$4:$G$7,4,FALSE),0)</f>
        <v/>
      </c>
      <c r="AC552" s="3">
        <f>IF(N(U552)=0,0,V552*IFERROR(VLOOKUP($C552,Assumptions!$A$4:$G$7,5,FALSE),0)*90/N(U552))</f>
        <v/>
      </c>
      <c r="AD552" s="3">
        <f>N(W552)</f>
        <v/>
      </c>
      <c r="AE552" s="3">
        <f>SUM(Y552:AD552)</f>
        <v/>
      </c>
      <c r="AF552" s="3">
        <f>N(AE552)*N(M552)/90</f>
        <v/>
      </c>
      <c r="AG552" s="3">
        <f>IFERROR(AF552-VLOOKUP($C552,Assumptions!$A$29:$C$32,3,FALSE),"")</f>
        <v/>
      </c>
      <c r="AH552" s="3">
        <f>IFERROR(AG552/F552,"")</f>
        <v/>
      </c>
      <c r="AI552">
        <f>IF(AND($E552=TRUE,$C552="GKP"),AF552,"")</f>
        <v/>
      </c>
      <c r="AJ552">
        <f>IF(AND($E552=TRUE,$C552="DEF"),AF552,"")</f>
        <v/>
      </c>
      <c r="AK552">
        <f>IF(AND($E552=TRUE,$C552="MID"),AF552,"")</f>
        <v/>
      </c>
      <c r="AL552">
        <f>IF(AND($E552=TRUE,$C552="FWD"),AF552,"")</f>
        <v/>
      </c>
    </row>
    <row r="553">
      <c r="A553" t="inlineStr">
        <is>
          <t>Lucas Paquetá</t>
        </is>
      </c>
      <c r="D553" t="inlineStr">
        <is>
          <t>MID</t>
        </is>
      </c>
      <c r="E553" t="b">
        <v>0</v>
      </c>
      <c r="F553" s="2" t="n"/>
      <c r="I553" s="2" t="n">
        <v>1521</v>
      </c>
      <c r="K553" s="3" t="n"/>
      <c r="M553" s="4" t="n">
        <v>1521</v>
      </c>
      <c r="N553" s="4" t="n"/>
      <c r="O553" s="3" t="n">
        <v>0.1471</v>
      </c>
      <c r="P553" t="inlineStr">
        <is>
          <t>adjusted xGOT</t>
        </is>
      </c>
      <c r="Q553" s="3" t="n">
        <v>0.872</v>
      </c>
      <c r="R553" s="3" t="n">
        <v>17.8</v>
      </c>
      <c r="S553" s="3" t="n">
        <v>0.1782</v>
      </c>
      <c r="T553" s="3" t="n">
        <v>8.65</v>
      </c>
      <c r="U553" s="4" t="n">
        <v>84.09999999999999</v>
      </c>
      <c r="V553" s="3">
        <f>IF(OR(N(T553)=0,N(U553)=0),0,1-POISSON(IFERROR(VLOOKUP($C553,Assumptions!$A$4:$G$7,7,FALSE),99)-1,N(T553)*N(U553)/90,TRUE))</f>
        <v/>
      </c>
      <c r="W553" s="3" t="n">
        <v>0.4734</v>
      </c>
      <c r="X553" s="3" t="n">
        <v>2.13</v>
      </c>
      <c r="Y553" s="3">
        <f>IF(X553="",IFERROR(VLOOKUP($C553,Assumptions!$A$4:$G$7,6,FALSE),0),X553)</f>
        <v/>
      </c>
      <c r="Z553" s="3">
        <f>N(O553)*IFERROR(VLOOKUP($C553,Assumptions!$A$4:$G$7,2,FALSE),0)</f>
        <v/>
      </c>
      <c r="AA553" s="3">
        <f>N(S553)*IFERROR(VLOOKUP($C553,Assumptions!$A$4:$G$7,3,FALSE),0)*Assumptions!$B$11</f>
        <v/>
      </c>
      <c r="AB553" s="3">
        <f>N(N553)*IFERROR(VLOOKUP($C553,Assumptions!$A$4:$G$7,4,FALSE),0)</f>
        <v/>
      </c>
      <c r="AC553" s="3">
        <f>IF(N(U553)=0,0,V553*IFERROR(VLOOKUP($C553,Assumptions!$A$4:$G$7,5,FALSE),0)*90/N(U553))</f>
        <v/>
      </c>
      <c r="AD553" s="3">
        <f>N(W553)</f>
        <v/>
      </c>
      <c r="AE553" s="3">
        <f>SUM(Y553:AD553)</f>
        <v/>
      </c>
      <c r="AF553" s="3">
        <f>N(AE553)*N(M553)/90</f>
        <v/>
      </c>
      <c r="AG553" s="3">
        <f>IFERROR(AF553-VLOOKUP($C553,Assumptions!$A$29:$C$32,3,FALSE),"")</f>
        <v/>
      </c>
      <c r="AH553" s="3">
        <f>IFERROR(AG553/F553,"")</f>
        <v/>
      </c>
      <c r="AI553">
        <f>IF(AND($E553=TRUE,$C553="GKP"),AF553,"")</f>
        <v/>
      </c>
      <c r="AJ553">
        <f>IF(AND($E553=TRUE,$C553="DEF"),AF553,"")</f>
        <v/>
      </c>
      <c r="AK553">
        <f>IF(AND($E553=TRUE,$C553="MID"),AF553,"")</f>
        <v/>
      </c>
      <c r="AL553">
        <f>IF(AND($E553=TRUE,$C553="FWD"),AF553,"")</f>
        <v/>
      </c>
    </row>
    <row r="554">
      <c r="A554" t="inlineStr">
        <is>
          <t>Aaron Ramsdale</t>
        </is>
      </c>
      <c r="D554" t="inlineStr">
        <is>
          <t>GKP</t>
        </is>
      </c>
      <c r="E554" t="b">
        <v>0</v>
      </c>
      <c r="F554" s="2" t="n"/>
      <c r="I554" s="2" t="n">
        <v>1003</v>
      </c>
      <c r="K554" s="3" t="n"/>
      <c r="M554" s="4" t="n">
        <v>1003</v>
      </c>
      <c r="N554" s="4" t="n"/>
      <c r="O554" s="3" t="n">
        <v>0</v>
      </c>
      <c r="P554" t="inlineStr">
        <is>
          <t>blended xG</t>
        </is>
      </c>
      <c r="Q554" s="3" t="n">
        <v>1</v>
      </c>
      <c r="R554" s="3" t="n">
        <v>0</v>
      </c>
      <c r="S554" s="3" t="n">
        <v>0.0064</v>
      </c>
      <c r="T554" s="3" t="n">
        <v>0</v>
      </c>
      <c r="U554" s="4" t="n">
        <v>91.2</v>
      </c>
      <c r="V554" s="3">
        <f>IF(OR(N(T554)=0,N(U554)=0),0,1-POISSON(IFERROR(VLOOKUP($C554,Assumptions!$A$4:$G$7,7,FALSE),99)-1,N(T554)*N(U554)/90,TRUE))</f>
        <v/>
      </c>
      <c r="W554" s="3" t="n">
        <v>0.0897</v>
      </c>
      <c r="X554" s="3" t="n">
        <v>2.064</v>
      </c>
      <c r="Y554" s="3">
        <f>IF(X554="",IFERROR(VLOOKUP($C554,Assumptions!$A$4:$G$7,6,FALSE),0),X554)</f>
        <v/>
      </c>
      <c r="Z554" s="3">
        <f>N(O554)*IFERROR(VLOOKUP($C554,Assumptions!$A$4:$G$7,2,FALSE),0)</f>
        <v/>
      </c>
      <c r="AA554" s="3">
        <f>N(S554)*IFERROR(VLOOKUP($C554,Assumptions!$A$4:$G$7,3,FALSE),0)*Assumptions!$B$11</f>
        <v/>
      </c>
      <c r="AB554" s="3">
        <f>N(N554)*IFERROR(VLOOKUP($C554,Assumptions!$A$4:$G$7,4,FALSE),0)</f>
        <v/>
      </c>
      <c r="AC554" s="3">
        <f>IF(N(U554)=0,0,V554*IFERROR(VLOOKUP($C554,Assumptions!$A$4:$G$7,5,FALSE),0)*90/N(U554))</f>
        <v/>
      </c>
      <c r="AD554" s="3">
        <f>N(W554)</f>
        <v/>
      </c>
      <c r="AE554" s="3">
        <f>SUM(Y554:AD554)</f>
        <v/>
      </c>
      <c r="AF554" s="3">
        <f>N(AE554)*N(M554)/90</f>
        <v/>
      </c>
      <c r="AG554" s="3">
        <f>IFERROR(AF554-VLOOKUP($C554,Assumptions!$A$29:$C$32,3,FALSE),"")</f>
        <v/>
      </c>
      <c r="AH554" s="3">
        <f>IFERROR(AG554/F554,"")</f>
        <v/>
      </c>
      <c r="AI554">
        <f>IF(AND($E554=TRUE,$C554="GKP"),AF554,"")</f>
        <v/>
      </c>
      <c r="AJ554">
        <f>IF(AND($E554=TRUE,$C554="DEF"),AF554,"")</f>
        <v/>
      </c>
      <c r="AK554">
        <f>IF(AND($E554=TRUE,$C554="MID"),AF554,"")</f>
        <v/>
      </c>
      <c r="AL554">
        <f>IF(AND($E554=TRUE,$C554="FWD"),AF554,"")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b">
        <v>1</v>
      </c>
      <c r="F555" s="2" t="n">
        <v>5.5</v>
      </c>
      <c r="G555" t="inlineStr">
        <is>
          <t>a</t>
        </is>
      </c>
      <c r="I555" s="2" t="n"/>
      <c r="K555" s="3" t="n">
        <v>724</v>
      </c>
      <c r="L555" t="inlineStr">
        <is>
          <t>flat</t>
        </is>
      </c>
      <c r="M555" s="4" t="n"/>
      <c r="N555" s="4" t="n"/>
      <c r="O555" s="3" t="n"/>
      <c r="P555" t="inlineStr"/>
      <c r="Q555" s="3" t="n"/>
      <c r="R555" s="3" t="n"/>
      <c r="S555" s="3" t="n"/>
      <c r="T555" s="3" t="n"/>
      <c r="U555" s="4" t="n"/>
      <c r="V555" s="3">
        <f>IF(OR(N(T555)=0,N(U555)=0),0,1-POISSON(IFERROR(VLOOKUP($C555,Assumptions!$A$4:$G$7,7,FALSE),99)-1,N(T555)*N(U555)/90,TRUE))</f>
        <v/>
      </c>
      <c r="W555" s="3" t="n"/>
      <c r="X555" s="3" t="n"/>
      <c r="Y555" s="3">
        <f>IF(X555="",IFERROR(VLOOKUP($C555,Assumptions!$A$4:$G$7,6,FALSE),0),X555)</f>
        <v/>
      </c>
      <c r="Z555" s="3">
        <f>N(O555)*IFERROR(VLOOKUP($C555,Assumptions!$A$4:$G$7,2,FALSE),0)</f>
        <v/>
      </c>
      <c r="AA555" s="3">
        <f>N(S555)*IFERROR(VLOOKUP($C555,Assumptions!$A$4:$G$7,3,FALSE),0)*Assumptions!$B$11</f>
        <v/>
      </c>
      <c r="AB555" s="3">
        <f>N(N555)*IFERROR(VLOOKUP($C555,Assumptions!$A$4:$G$7,4,FALSE),0)</f>
        <v/>
      </c>
      <c r="AC555" s="3">
        <f>IF(N(U555)=0,0,V555*IFERROR(VLOOKUP($C555,Assumptions!$A$4:$G$7,5,FALSE),0)*90/N(U555))</f>
        <v/>
      </c>
      <c r="AD555" s="3">
        <f>N(W555)</f>
        <v/>
      </c>
      <c r="AE555" s="3">
        <f>SUM(Y555:AD555)</f>
        <v/>
      </c>
      <c r="AF555" s="3">
        <f>N(AE555)*N(M555)/90</f>
        <v/>
      </c>
      <c r="AG555" s="3">
        <f>IFERROR(AF555-VLOOKUP($C555,Assumptions!$A$29:$C$32,3,FALSE),"")</f>
        <v/>
      </c>
      <c r="AH555" s="3">
        <f>IFERROR(AG555/F555,"")</f>
        <v/>
      </c>
      <c r="AI555">
        <f>IF(AND($E555=TRUE,$C555="GKP"),AF555,"")</f>
        <v/>
      </c>
      <c r="AJ555">
        <f>IF(AND($E555=TRUE,$C555="DEF"),AF555,"")</f>
        <v/>
      </c>
      <c r="AK555">
        <f>IF(AND($E555=TRUE,$C555="MID"),AF555,"")</f>
        <v/>
      </c>
      <c r="AL555">
        <f>IF(AND($E555=TRUE,$C555="FWD"),AF555,"")</f>
        <v/>
      </c>
    </row>
    <row r="556">
      <c r="A556" t="inlineStr">
        <is>
          <t>Yves Bissouma</t>
        </is>
      </c>
      <c r="D556" t="inlineStr">
        <is>
          <t>MID</t>
        </is>
      </c>
      <c r="E556" t="b">
        <v>0</v>
      </c>
      <c r="F556" s="2" t="n"/>
      <c r="I556" s="2" t="n">
        <v>605</v>
      </c>
      <c r="K556" s="3" t="n"/>
      <c r="M556" s="4" t="n">
        <v>605</v>
      </c>
      <c r="N556" s="4" t="n"/>
      <c r="O556" s="3" t="n">
        <v>0.0533</v>
      </c>
      <c r="P556" t="inlineStr">
        <is>
          <t>adjusted xGOT</t>
        </is>
      </c>
      <c r="Q556" s="3" t="n">
        <v>0.995</v>
      </c>
      <c r="R556" s="3" t="n">
        <v>2.3</v>
      </c>
      <c r="S556" s="3" t="n">
        <v>0</v>
      </c>
      <c r="T556" s="3" t="n">
        <v>9.724</v>
      </c>
      <c r="U556" s="4" t="n">
        <v>85.7</v>
      </c>
      <c r="V556" s="3">
        <f>IF(OR(N(T556)=0,N(U556)=0),0,1-POISSON(IFERROR(VLOOKUP($C556,Assumptions!$A$4:$G$7,7,FALSE),99)-1,N(T556)*N(U556)/90,TRUE))</f>
        <v/>
      </c>
      <c r="W556" s="3" t="n">
        <v>0</v>
      </c>
      <c r="X556" s="3" t="n">
        <v>2.38</v>
      </c>
      <c r="Y556" s="3">
        <f>IF(X556="",IFERROR(VLOOKUP($C556,Assumptions!$A$4:$G$7,6,FALSE),0),X556)</f>
        <v/>
      </c>
      <c r="Z556" s="3">
        <f>N(O556)*IFERROR(VLOOKUP($C556,Assumptions!$A$4:$G$7,2,FALSE),0)</f>
        <v/>
      </c>
      <c r="AA556" s="3">
        <f>N(S556)*IFERROR(VLOOKUP($C556,Assumptions!$A$4:$G$7,3,FALSE),0)*Assumptions!$B$11</f>
        <v/>
      </c>
      <c r="AB556" s="3">
        <f>N(N556)*IFERROR(VLOOKUP($C556,Assumptions!$A$4:$G$7,4,FALSE),0)</f>
        <v/>
      </c>
      <c r="AC556" s="3">
        <f>IF(N(U556)=0,0,V556*IFERROR(VLOOKUP($C556,Assumptions!$A$4:$G$7,5,FALSE),0)*90/N(U556))</f>
        <v/>
      </c>
      <c r="AD556" s="3">
        <f>N(W556)</f>
        <v/>
      </c>
      <c r="AE556" s="3">
        <f>SUM(Y556:AD556)</f>
        <v/>
      </c>
      <c r="AF556" s="3">
        <f>N(AE556)*N(M556)/90</f>
        <v/>
      </c>
      <c r="AG556" s="3">
        <f>IFERROR(AF556-VLOOKUP($C556,Assumptions!$A$29:$C$32,3,FALSE),"")</f>
        <v/>
      </c>
      <c r="AH556" s="3">
        <f>IFERROR(AG556/F556,"")</f>
        <v/>
      </c>
      <c r="AI556">
        <f>IF(AND($E556=TRUE,$C556="GKP"),AF556,"")</f>
        <v/>
      </c>
      <c r="AJ556">
        <f>IF(AND($E556=TRUE,$C556="DEF"),AF556,"")</f>
        <v/>
      </c>
      <c r="AK556">
        <f>IF(AND($E556=TRUE,$C556="MID"),AF556,"")</f>
        <v/>
      </c>
      <c r="AL556">
        <f>IF(AND($E556=TRUE,$C556="FWD"),AF556,"")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b">
        <v>1</v>
      </c>
      <c r="F557" s="2" t="n">
        <v>5</v>
      </c>
      <c r="G557" t="inlineStr">
        <is>
          <t>a</t>
        </is>
      </c>
      <c r="I557" s="2" t="n"/>
      <c r="K557" s="3" t="n">
        <v>0</v>
      </c>
      <c r="L557" t="inlineStr">
        <is>
          <t>flat</t>
        </is>
      </c>
      <c r="M557" s="4" t="n"/>
      <c r="N557" s="4" t="n"/>
      <c r="O557" s="3" t="n"/>
      <c r="P557" t="inlineStr"/>
      <c r="Q557" s="3" t="n"/>
      <c r="R557" s="3" t="n"/>
      <c r="S557" s="3" t="n"/>
      <c r="T557" s="3" t="n"/>
      <c r="U557" s="4" t="n"/>
      <c r="V557" s="3">
        <f>IF(OR(N(T557)=0,N(U557)=0),0,1-POISSON(IFERROR(VLOOKUP($C557,Assumptions!$A$4:$G$7,7,FALSE),99)-1,N(T557)*N(U557)/90,TRUE))</f>
        <v/>
      </c>
      <c r="W557" s="3" t="n"/>
      <c r="X557" s="3" t="n"/>
      <c r="Y557" s="3">
        <f>IF(X557="",IFERROR(VLOOKUP($C557,Assumptions!$A$4:$G$7,6,FALSE),0),X557)</f>
        <v/>
      </c>
      <c r="Z557" s="3">
        <f>N(O557)*IFERROR(VLOOKUP($C557,Assumptions!$A$4:$G$7,2,FALSE),0)</f>
        <v/>
      </c>
      <c r="AA557" s="3">
        <f>N(S557)*IFERROR(VLOOKUP($C557,Assumptions!$A$4:$G$7,3,FALSE),0)*Assumptions!$B$11</f>
        <v/>
      </c>
      <c r="AB557" s="3">
        <f>N(N557)*IFERROR(VLOOKUP($C557,Assumptions!$A$4:$G$7,4,FALSE),0)</f>
        <v/>
      </c>
      <c r="AC557" s="3">
        <f>IF(N(U557)=0,0,V557*IFERROR(VLOOKUP($C557,Assumptions!$A$4:$G$7,5,FALSE),0)*90/N(U557))</f>
        <v/>
      </c>
      <c r="AD557" s="3">
        <f>N(W557)</f>
        <v/>
      </c>
      <c r="AE557" s="3">
        <f>SUM(Y557:AD557)</f>
        <v/>
      </c>
      <c r="AF557" s="3">
        <f>N(AE557)*N(M557)/90</f>
        <v/>
      </c>
      <c r="AG557" s="3">
        <f>IFERROR(AF557-VLOOKUP($C557,Assumptions!$A$29:$C$32,3,FALSE),"")</f>
        <v/>
      </c>
      <c r="AH557" s="3">
        <f>IFERROR(AG557/F557,"")</f>
        <v/>
      </c>
      <c r="AI557">
        <f>IF(AND($E557=TRUE,$C557="GKP"),AF557,"")</f>
        <v/>
      </c>
      <c r="AJ557">
        <f>IF(AND($E557=TRUE,$C557="DEF"),AF557,"")</f>
        <v/>
      </c>
      <c r="AK557">
        <f>IF(AND($E557=TRUE,$C557="MID"),AF557,"")</f>
        <v/>
      </c>
      <c r="AL557">
        <f>IF(AND($E557=TRUE,$C557="FWD"),AF557,"")</f>
        <v/>
      </c>
    </row>
    <row r="558">
      <c r="A558" t="inlineStr">
        <is>
          <t>Andy Irving</t>
        </is>
      </c>
      <c r="D558" t="inlineStr">
        <is>
          <t>MID</t>
        </is>
      </c>
      <c r="E558" t="b">
        <v>0</v>
      </c>
      <c r="F558" s="2" t="n"/>
      <c r="I558" s="2" t="n">
        <v>157</v>
      </c>
      <c r="K558" s="3" t="n"/>
      <c r="M558" s="4" t="n">
        <v>157</v>
      </c>
      <c r="N558" s="4" t="n"/>
      <c r="O558" s="3" t="n">
        <v>0</v>
      </c>
      <c r="P558" t="inlineStr">
        <is>
          <t>adjusted xGOT</t>
        </is>
      </c>
      <c r="Q558" s="3" t="n">
        <v>0.996</v>
      </c>
      <c r="R558" s="3" t="n">
        <v>0.1</v>
      </c>
      <c r="S558" s="3" t="n">
        <v>0.1159</v>
      </c>
      <c r="T558" s="3" t="n">
        <v>9.31</v>
      </c>
      <c r="U558" s="4" t="n">
        <v>78</v>
      </c>
      <c r="V558" s="3">
        <f>IF(OR(N(T558)=0,N(U558)=0),0,1-POISSON(IFERROR(VLOOKUP($C558,Assumptions!$A$4:$G$7,7,FALSE),99)-1,N(T558)*N(U558)/90,TRUE))</f>
        <v/>
      </c>
      <c r="W558" s="3" t="n">
        <v>0</v>
      </c>
      <c r="X558" s="3" t="n">
        <v>5.159</v>
      </c>
      <c r="Y558" s="3">
        <f>IF(X558="",IFERROR(VLOOKUP($C558,Assumptions!$A$4:$G$7,6,FALSE),0),X558)</f>
        <v/>
      </c>
      <c r="Z558" s="3">
        <f>N(O558)*IFERROR(VLOOKUP($C558,Assumptions!$A$4:$G$7,2,FALSE),0)</f>
        <v/>
      </c>
      <c r="AA558" s="3">
        <f>N(S558)*IFERROR(VLOOKUP($C558,Assumptions!$A$4:$G$7,3,FALSE),0)*Assumptions!$B$11</f>
        <v/>
      </c>
      <c r="AB558" s="3">
        <f>N(N558)*IFERROR(VLOOKUP($C558,Assumptions!$A$4:$G$7,4,FALSE),0)</f>
        <v/>
      </c>
      <c r="AC558" s="3">
        <f>IF(N(U558)=0,0,V558*IFERROR(VLOOKUP($C558,Assumptions!$A$4:$G$7,5,FALSE),0)*90/N(U558))</f>
        <v/>
      </c>
      <c r="AD558" s="3">
        <f>N(W558)</f>
        <v/>
      </c>
      <c r="AE558" s="3">
        <f>SUM(Y558:AD558)</f>
        <v/>
      </c>
      <c r="AF558" s="3">
        <f>N(AE558)*N(M558)/90</f>
        <v/>
      </c>
      <c r="AG558" s="3">
        <f>IFERROR(AF558-VLOOKUP($C558,Assumptions!$A$29:$C$32,3,FALSE),"")</f>
        <v/>
      </c>
      <c r="AH558" s="3">
        <f>IFERROR(AG558/F558,"")</f>
        <v/>
      </c>
      <c r="AI558">
        <f>IF(AND($E558=TRUE,$C558="GKP"),AF558,"")</f>
        <v/>
      </c>
      <c r="AJ558">
        <f>IF(AND($E558=TRUE,$C558="DEF"),AF558,"")</f>
        <v/>
      </c>
      <c r="AK558">
        <f>IF(AND($E558=TRUE,$C558="MID"),AF558,"")</f>
        <v/>
      </c>
      <c r="AL558">
        <f>IF(AND($E558=TRUE,$C558="FWD"),AF558,"")</f>
        <v/>
      </c>
    </row>
    <row r="559">
      <c r="A559" t="inlineStr">
        <is>
          <t>Douglas Luiz</t>
        </is>
      </c>
      <c r="D559" t="inlineStr">
        <is>
          <t>MID</t>
        </is>
      </c>
      <c r="E559" t="b">
        <v>0</v>
      </c>
      <c r="F559" s="2" t="n"/>
      <c r="I559" s="2" t="n">
        <v>923</v>
      </c>
      <c r="K559" s="3" t="n"/>
      <c r="M559" s="4" t="n">
        <v>923</v>
      </c>
      <c r="N559" s="4" t="n"/>
      <c r="O559" s="3" t="n">
        <v>0.0626</v>
      </c>
      <c r="P559" t="inlineStr">
        <is>
          <t>adjusted xGOT</t>
        </is>
      </c>
      <c r="Q559" s="3" t="n">
        <v>1.21</v>
      </c>
      <c r="R559" s="3" t="n">
        <v>10</v>
      </c>
      <c r="S559" s="3" t="n">
        <v>0.1778</v>
      </c>
      <c r="T559" s="3" t="n">
        <v>9.569000000000001</v>
      </c>
      <c r="U559" s="4" t="n">
        <v>76.09999999999999</v>
      </c>
      <c r="V559" s="3">
        <f>IF(OR(N(T559)=0,N(U559)=0),0,1-POISSON(IFERROR(VLOOKUP($C559,Assumptions!$A$4:$G$7,7,FALSE),99)-1,N(T559)*N(U559)/90,TRUE))</f>
        <v/>
      </c>
      <c r="W559" s="3" t="n">
        <v>0.0975</v>
      </c>
      <c r="X559" s="3" t="n">
        <v>2.828</v>
      </c>
      <c r="Y559" s="3">
        <f>IF(X559="",IFERROR(VLOOKUP($C559,Assumptions!$A$4:$G$7,6,FALSE),0),X559)</f>
        <v/>
      </c>
      <c r="Z559" s="3">
        <f>N(O559)*IFERROR(VLOOKUP($C559,Assumptions!$A$4:$G$7,2,FALSE),0)</f>
        <v/>
      </c>
      <c r="AA559" s="3">
        <f>N(S559)*IFERROR(VLOOKUP($C559,Assumptions!$A$4:$G$7,3,FALSE),0)*Assumptions!$B$11</f>
        <v/>
      </c>
      <c r="AB559" s="3">
        <f>N(N559)*IFERROR(VLOOKUP($C559,Assumptions!$A$4:$G$7,4,FALSE),0)</f>
        <v/>
      </c>
      <c r="AC559" s="3">
        <f>IF(N(U559)=0,0,V559*IFERROR(VLOOKUP($C559,Assumptions!$A$4:$G$7,5,FALSE),0)*90/N(U559))</f>
        <v/>
      </c>
      <c r="AD559" s="3">
        <f>N(W559)</f>
        <v/>
      </c>
      <c r="AE559" s="3">
        <f>SUM(Y559:AD559)</f>
        <v/>
      </c>
      <c r="AF559" s="3">
        <f>N(AE559)*N(M559)/90</f>
        <v/>
      </c>
      <c r="AG559" s="3">
        <f>IFERROR(AF559-VLOOKUP($C559,Assumptions!$A$29:$C$32,3,FALSE),"")</f>
        <v/>
      </c>
      <c r="AH559" s="3">
        <f>IFERROR(AG559/F559,"")</f>
        <v/>
      </c>
      <c r="AI559">
        <f>IF(AND($E559=TRUE,$C559="GKP"),AF559,"")</f>
        <v/>
      </c>
      <c r="AJ559">
        <f>IF(AND($E559=TRUE,$C559="DEF"),AF559,"")</f>
        <v/>
      </c>
      <c r="AK559">
        <f>IF(AND($E559=TRUE,$C559="MID"),AF559,"")</f>
        <v/>
      </c>
      <c r="AL559">
        <f>IF(AND($E559=TRUE,$C559="FWD"),AF559,"")</f>
        <v/>
      </c>
    </row>
    <row r="560">
      <c r="A560" t="inlineStr">
        <is>
          <t>Jhon Arias</t>
        </is>
      </c>
      <c r="D560" t="inlineStr">
        <is>
          <t>MID</t>
        </is>
      </c>
      <c r="E560" t="b">
        <v>0</v>
      </c>
      <c r="F560" s="2" t="n"/>
      <c r="I560" s="2" t="n">
        <v>1121</v>
      </c>
      <c r="K560" s="3" t="n"/>
      <c r="M560" s="4" t="n">
        <v>1121</v>
      </c>
      <c r="N560" s="4" t="n"/>
      <c r="O560" s="3" t="n">
        <v>0.2099</v>
      </c>
      <c r="P560" t="inlineStr">
        <is>
          <t>adjusted xGOT</t>
        </is>
      </c>
      <c r="Q560" s="3" t="n">
        <v>0.773</v>
      </c>
      <c r="R560" s="3" t="n">
        <v>3.4</v>
      </c>
      <c r="S560" s="3" t="n">
        <v>0.07199999999999999</v>
      </c>
      <c r="T560" s="3" t="n">
        <v>9.486000000000001</v>
      </c>
      <c r="U560" s="4" t="n">
        <v>79.8</v>
      </c>
      <c r="V560" s="3">
        <f>IF(OR(N(T560)=0,N(U560)=0),0,1-POISSON(IFERROR(VLOOKUP($C560,Assumptions!$A$4:$G$7,7,FALSE),99)-1,N(T560)*N(U560)/90,TRUE))</f>
        <v/>
      </c>
      <c r="W560" s="3" t="n">
        <v>0.2409</v>
      </c>
      <c r="X560" s="3" t="n">
        <v>2.649</v>
      </c>
      <c r="Y560" s="3">
        <f>IF(X560="",IFERROR(VLOOKUP($C560,Assumptions!$A$4:$G$7,6,FALSE),0),X560)</f>
        <v/>
      </c>
      <c r="Z560" s="3">
        <f>N(O560)*IFERROR(VLOOKUP($C560,Assumptions!$A$4:$G$7,2,FALSE),0)</f>
        <v/>
      </c>
      <c r="AA560" s="3">
        <f>N(S560)*IFERROR(VLOOKUP($C560,Assumptions!$A$4:$G$7,3,FALSE),0)*Assumptions!$B$11</f>
        <v/>
      </c>
      <c r="AB560" s="3">
        <f>N(N560)*IFERROR(VLOOKUP($C560,Assumptions!$A$4:$G$7,4,FALSE),0)</f>
        <v/>
      </c>
      <c r="AC560" s="3">
        <f>IF(N(U560)=0,0,V560*IFERROR(VLOOKUP($C560,Assumptions!$A$4:$G$7,5,FALSE),0)*90/N(U560))</f>
        <v/>
      </c>
      <c r="AD560" s="3">
        <f>N(W560)</f>
        <v/>
      </c>
      <c r="AE560" s="3">
        <f>SUM(Y560:AD560)</f>
        <v/>
      </c>
      <c r="AF560" s="3">
        <f>N(AE560)*N(M560)/90</f>
        <v/>
      </c>
      <c r="AG560" s="3">
        <f>IFERROR(AF560-VLOOKUP($C560,Assumptions!$A$29:$C$32,3,FALSE),"")</f>
        <v/>
      </c>
      <c r="AH560" s="3">
        <f>IFERROR(AG560/F560,"")</f>
        <v/>
      </c>
      <c r="AI560">
        <f>IF(AND($E560=TRUE,$C560="GKP"),AF560,"")</f>
        <v/>
      </c>
      <c r="AJ560">
        <f>IF(AND($E560=TRUE,$C560="DEF"),AF560,"")</f>
        <v/>
      </c>
      <c r="AK560">
        <f>IF(AND($E560=TRUE,$C560="MID"),AF560,"")</f>
        <v/>
      </c>
      <c r="AL560">
        <f>IF(AND($E560=TRUE,$C560="FWD"),AF560,"")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b">
        <v>1</v>
      </c>
      <c r="F561" s="2" t="n">
        <v>5</v>
      </c>
      <c r="G561" t="inlineStr">
        <is>
          <t>a</t>
        </is>
      </c>
      <c r="I561" s="2" t="n"/>
      <c r="K561" s="3" t="n">
        <v>1282</v>
      </c>
      <c r="L561" t="inlineStr">
        <is>
          <t>flat</t>
        </is>
      </c>
      <c r="M561" s="4" t="n"/>
      <c r="N561" s="4" t="n"/>
      <c r="O561" s="3" t="n"/>
      <c r="P561" t="inlineStr"/>
      <c r="Q561" s="3" t="n"/>
      <c r="R561" s="3" t="n"/>
      <c r="S561" s="3" t="n"/>
      <c r="T561" s="3" t="n"/>
      <c r="U561" s="4" t="n"/>
      <c r="V561" s="3">
        <f>IF(OR(N(T561)=0,N(U561)=0),0,1-POISSON(IFERROR(VLOOKUP($C561,Assumptions!$A$4:$G$7,7,FALSE),99)-1,N(T561)*N(U561)/90,TRUE))</f>
        <v/>
      </c>
      <c r="W561" s="3" t="n"/>
      <c r="X561" s="3" t="n"/>
      <c r="Y561" s="3">
        <f>IF(X561="",IFERROR(VLOOKUP($C561,Assumptions!$A$4:$G$7,6,FALSE),0),X561)</f>
        <v/>
      </c>
      <c r="Z561" s="3">
        <f>N(O561)*IFERROR(VLOOKUP($C561,Assumptions!$A$4:$G$7,2,FALSE),0)</f>
        <v/>
      </c>
      <c r="AA561" s="3">
        <f>N(S561)*IFERROR(VLOOKUP($C561,Assumptions!$A$4:$G$7,3,FALSE),0)*Assumptions!$B$11</f>
        <v/>
      </c>
      <c r="AB561" s="3">
        <f>N(N561)*IFERROR(VLOOKUP($C561,Assumptions!$A$4:$G$7,4,FALSE),0)</f>
        <v/>
      </c>
      <c r="AC561" s="3">
        <f>IF(N(U561)=0,0,V561*IFERROR(VLOOKUP($C561,Assumptions!$A$4:$G$7,5,FALSE),0)*90/N(U561))</f>
        <v/>
      </c>
      <c r="AD561" s="3">
        <f>N(W561)</f>
        <v/>
      </c>
      <c r="AE561" s="3">
        <f>SUM(Y561:AD561)</f>
        <v/>
      </c>
      <c r="AF561" s="3">
        <f>N(AE561)*N(M561)/90</f>
        <v/>
      </c>
      <c r="AG561" s="3">
        <f>IFERROR(AF561-VLOOKUP($C561,Assumptions!$A$29:$C$32,3,FALSE),"")</f>
        <v/>
      </c>
      <c r="AH561" s="3">
        <f>IFERROR(AG561/F561,"")</f>
        <v/>
      </c>
      <c r="AI561">
        <f>IF(AND($E561=TRUE,$C561="GKP"),AF561,"")</f>
        <v/>
      </c>
      <c r="AJ561">
        <f>IF(AND($E561=TRUE,$C561="DEF"),AF561,"")</f>
        <v/>
      </c>
      <c r="AK561">
        <f>IF(AND($E561=TRUE,$C561="MID"),AF561,"")</f>
        <v/>
      </c>
      <c r="AL561">
        <f>IF(AND($E561=TRUE,$C561="FWD"),AF561,"")</f>
        <v/>
      </c>
    </row>
    <row r="562">
      <c r="A562" t="inlineStr">
        <is>
          <t>Jean-Ricner Bellegarde</t>
        </is>
      </c>
      <c r="D562" t="inlineStr">
        <is>
          <t>MID</t>
        </is>
      </c>
      <c r="E562" t="b">
        <v>0</v>
      </c>
      <c r="F562" s="2" t="n"/>
      <c r="I562" s="2" t="n">
        <v>1251</v>
      </c>
      <c r="K562" s="3" t="n"/>
      <c r="M562" s="4" t="n">
        <v>1251</v>
      </c>
      <c r="N562" s="4" t="n"/>
      <c r="O562" s="3" t="n">
        <v>0.07580000000000001</v>
      </c>
      <c r="P562" t="inlineStr">
        <is>
          <t>adjusted xGOT</t>
        </is>
      </c>
      <c r="Q562" s="3" t="n">
        <v>1.013</v>
      </c>
      <c r="R562" s="3" t="n">
        <v>3.8</v>
      </c>
      <c r="S562" s="3" t="n">
        <v>0.08749999999999999</v>
      </c>
      <c r="T562" s="3" t="n">
        <v>7.976</v>
      </c>
      <c r="U562" s="4" t="n">
        <v>82.59999999999999</v>
      </c>
      <c r="V562" s="3">
        <f>IF(OR(N(T562)=0,N(U562)=0),0,1-POISSON(IFERROR(VLOOKUP($C562,Assumptions!$A$4:$G$7,7,FALSE),99)-1,N(T562)*N(U562)/90,TRUE))</f>
        <v/>
      </c>
      <c r="W562" s="3" t="n">
        <v>0</v>
      </c>
      <c r="X562" s="3" t="n">
        <v>2.734</v>
      </c>
      <c r="Y562" s="3">
        <f>IF(X562="",IFERROR(VLOOKUP($C562,Assumptions!$A$4:$G$7,6,FALSE),0),X562)</f>
        <v/>
      </c>
      <c r="Z562" s="3">
        <f>N(O562)*IFERROR(VLOOKUP($C562,Assumptions!$A$4:$G$7,2,FALSE),0)</f>
        <v/>
      </c>
      <c r="AA562" s="3">
        <f>N(S562)*IFERROR(VLOOKUP($C562,Assumptions!$A$4:$G$7,3,FALSE),0)*Assumptions!$B$11</f>
        <v/>
      </c>
      <c r="AB562" s="3">
        <f>N(N562)*IFERROR(VLOOKUP($C562,Assumptions!$A$4:$G$7,4,FALSE),0)</f>
        <v/>
      </c>
      <c r="AC562" s="3">
        <f>IF(N(U562)=0,0,V562*IFERROR(VLOOKUP($C562,Assumptions!$A$4:$G$7,5,FALSE),0)*90/N(U562))</f>
        <v/>
      </c>
      <c r="AD562" s="3">
        <f>N(W562)</f>
        <v/>
      </c>
      <c r="AE562" s="3">
        <f>SUM(Y562:AD562)</f>
        <v/>
      </c>
      <c r="AF562" s="3">
        <f>N(AE562)*N(M562)/90</f>
        <v/>
      </c>
      <c r="AG562" s="3">
        <f>IFERROR(AF562-VLOOKUP($C562,Assumptions!$A$29:$C$32,3,FALSE),"")</f>
        <v/>
      </c>
      <c r="AH562" s="3">
        <f>IFERROR(AG562/F562,"")</f>
        <v/>
      </c>
      <c r="AI562">
        <f>IF(AND($E562=TRUE,$C562="GKP"),AF562,"")</f>
        <v/>
      </c>
      <c r="AJ562">
        <f>IF(AND($E562=TRUE,$C562="DEF"),AF562,"")</f>
        <v/>
      </c>
      <c r="AK562">
        <f>IF(AND($E562=TRUE,$C562="MID"),AF562,"")</f>
        <v/>
      </c>
      <c r="AL562">
        <f>IF(AND($E562=TRUE,$C562="FWD"),AF562,"")</f>
        <v/>
      </c>
    </row>
    <row r="563">
      <c r="A563" t="inlineStr">
        <is>
          <t>Santiago Bueno</t>
        </is>
      </c>
      <c r="D563" t="inlineStr">
        <is>
          <t>DEF</t>
        </is>
      </c>
      <c r="E563" t="b">
        <v>0</v>
      </c>
      <c r="F563" s="2" t="n"/>
      <c r="I563" s="2" t="n">
        <v>2553</v>
      </c>
      <c r="K563" s="3" t="n"/>
      <c r="M563" s="4" t="n">
        <v>2553</v>
      </c>
      <c r="N563" s="4" t="n"/>
      <c r="O563" s="3" t="n">
        <v>0.0876</v>
      </c>
      <c r="P563" t="inlineStr">
        <is>
          <t>adjusted xGOT</t>
        </is>
      </c>
      <c r="Q563" s="3" t="n">
        <v>1.09</v>
      </c>
      <c r="R563" s="3" t="n">
        <v>2.7</v>
      </c>
      <c r="S563" s="3" t="n">
        <v>0.0318</v>
      </c>
      <c r="T563" s="3" t="n">
        <v>7.632</v>
      </c>
      <c r="U563" s="4" t="n">
        <v>91.09999999999999</v>
      </c>
      <c r="V563" s="3">
        <f>IF(OR(N(T563)=0,N(U563)=0),0,1-POISSON(IFERROR(VLOOKUP($C563,Assumptions!$A$4:$G$7,7,FALSE),99)-1,N(T563)*N(U563)/90,TRUE))</f>
        <v/>
      </c>
      <c r="W563" s="3" t="n">
        <v>0.141</v>
      </c>
      <c r="X563" s="3" t="n">
        <v>2.009</v>
      </c>
      <c r="Y563" s="3">
        <f>IF(X563="",IFERROR(VLOOKUP($C563,Assumptions!$A$4:$G$7,6,FALSE),0),X563)</f>
        <v/>
      </c>
      <c r="Z563" s="3">
        <f>N(O563)*IFERROR(VLOOKUP($C563,Assumptions!$A$4:$G$7,2,FALSE),0)</f>
        <v/>
      </c>
      <c r="AA563" s="3">
        <f>N(S563)*IFERROR(VLOOKUP($C563,Assumptions!$A$4:$G$7,3,FALSE),0)*Assumptions!$B$11</f>
        <v/>
      </c>
      <c r="AB563" s="3">
        <f>N(N563)*IFERROR(VLOOKUP($C563,Assumptions!$A$4:$G$7,4,FALSE),0)</f>
        <v/>
      </c>
      <c r="AC563" s="3">
        <f>IF(N(U563)=0,0,V563*IFERROR(VLOOKUP($C563,Assumptions!$A$4:$G$7,5,FALSE),0)*90/N(U563))</f>
        <v/>
      </c>
      <c r="AD563" s="3">
        <f>N(W563)</f>
        <v/>
      </c>
      <c r="AE563" s="3">
        <f>SUM(Y563:AD563)</f>
        <v/>
      </c>
      <c r="AF563" s="3">
        <f>N(AE563)*N(M563)/90</f>
        <v/>
      </c>
      <c r="AG563" s="3">
        <f>IFERROR(AF563-VLOOKUP($C563,Assumptions!$A$29:$C$32,3,FALSE),"")</f>
        <v/>
      </c>
      <c r="AH563" s="3">
        <f>IFERROR(AG563/F563,"")</f>
        <v/>
      </c>
      <c r="AI563">
        <f>IF(AND($E563=TRUE,$C563="GKP"),AF563,"")</f>
        <v/>
      </c>
      <c r="AJ563">
        <f>IF(AND($E563=TRUE,$C563="DEF"),AF563,"")</f>
        <v/>
      </c>
      <c r="AK563">
        <f>IF(AND($E563=TRUE,$C563="MID"),AF563,"")</f>
        <v/>
      </c>
      <c r="AL563">
        <f>IF(AND($E563=TRUE,$C563="FWD"),AF563,"")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b">
        <v>1</v>
      </c>
      <c r="F564" s="2" t="n">
        <v>4.5</v>
      </c>
      <c r="G564" t="inlineStr">
        <is>
          <t>i</t>
        </is>
      </c>
      <c r="H564" t="inlineStr">
        <is>
          <t>Knee injury - Unknown return date</t>
        </is>
      </c>
      <c r="I564" s="2" t="n"/>
      <c r="K564" s="3" t="n">
        <v>1317</v>
      </c>
      <c r="L564" t="inlineStr">
        <is>
          <t>flat</t>
        </is>
      </c>
      <c r="M564" s="4" t="n"/>
      <c r="N564" s="4" t="n"/>
      <c r="O564" s="3" t="n"/>
      <c r="P564" t="inlineStr"/>
      <c r="Q564" s="3" t="n"/>
      <c r="R564" s="3" t="n"/>
      <c r="S564" s="3" t="n"/>
      <c r="T564" s="3" t="n"/>
      <c r="U564" s="4" t="n"/>
      <c r="V564" s="3">
        <f>IF(OR(N(T564)=0,N(U564)=0),0,1-POISSON(IFERROR(VLOOKUP($C564,Assumptions!$A$4:$G$7,7,FALSE),99)-1,N(T564)*N(U564)/90,TRUE))</f>
        <v/>
      </c>
      <c r="W564" s="3" t="n"/>
      <c r="X564" s="3" t="n"/>
      <c r="Y564" s="3">
        <f>IF(X564="",IFERROR(VLOOKUP($C564,Assumptions!$A$4:$G$7,6,FALSE),0),X564)</f>
        <v/>
      </c>
      <c r="Z564" s="3">
        <f>N(O564)*IFERROR(VLOOKUP($C564,Assumptions!$A$4:$G$7,2,FALSE),0)</f>
        <v/>
      </c>
      <c r="AA564" s="3">
        <f>N(S564)*IFERROR(VLOOKUP($C564,Assumptions!$A$4:$G$7,3,FALSE),0)*Assumptions!$B$11</f>
        <v/>
      </c>
      <c r="AB564" s="3">
        <f>N(N564)*IFERROR(VLOOKUP($C564,Assumptions!$A$4:$G$7,4,FALSE),0)</f>
        <v/>
      </c>
      <c r="AC564" s="3">
        <f>IF(N(U564)=0,0,V564*IFERROR(VLOOKUP($C564,Assumptions!$A$4:$G$7,5,FALSE),0)*90/N(U564))</f>
        <v/>
      </c>
      <c r="AD564" s="3">
        <f>N(W564)</f>
        <v/>
      </c>
      <c r="AE564" s="3">
        <f>SUM(Y564:AD564)</f>
        <v/>
      </c>
      <c r="AF564" s="3">
        <f>N(AE564)*N(M564)/90</f>
        <v/>
      </c>
      <c r="AG564" s="3">
        <f>IFERROR(AF564-VLOOKUP($C564,Assumptions!$A$29:$C$32,3,FALSE),"")</f>
        <v/>
      </c>
      <c r="AH564" s="3">
        <f>IFERROR(AG564/F564,"")</f>
        <v/>
      </c>
      <c r="AI564">
        <f>IF(AND($E564=TRUE,$C564="GKP"),AF564,"")</f>
        <v/>
      </c>
      <c r="AJ564">
        <f>IF(AND($E564=TRUE,$C564="DEF"),AF564,"")</f>
        <v/>
      </c>
      <c r="AK564">
        <f>IF(AND($E564=TRUE,$C564="MID"),AF564,"")</f>
        <v/>
      </c>
      <c r="AL564">
        <f>IF(AND($E564=TRUE,$C564="FWD"),AF564,"")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b">
        <v>1</v>
      </c>
      <c r="F565" s="2" t="n">
        <v>4</v>
      </c>
      <c r="G565" t="inlineStr">
        <is>
          <t>a</t>
        </is>
      </c>
      <c r="I565" s="2" t="n"/>
      <c r="K565" s="3" t="n">
        <v>2787</v>
      </c>
      <c r="L565" t="inlineStr">
        <is>
          <t>flat</t>
        </is>
      </c>
      <c r="M565" s="4" t="n"/>
      <c r="N565" s="4" t="n"/>
      <c r="O565" s="3" t="n"/>
      <c r="P565" t="inlineStr"/>
      <c r="Q565" s="3" t="n"/>
      <c r="R565" s="3" t="n"/>
      <c r="S565" s="3" t="n"/>
      <c r="T565" s="3" t="n"/>
      <c r="U565" s="4" t="n"/>
      <c r="V565" s="3">
        <f>IF(OR(N(T565)=0,N(U565)=0),0,1-POISSON(IFERROR(VLOOKUP($C565,Assumptions!$A$4:$G$7,7,FALSE),99)-1,N(T565)*N(U565)/90,TRUE))</f>
        <v/>
      </c>
      <c r="W565" s="3" t="n"/>
      <c r="X565" s="3" t="n"/>
      <c r="Y565" s="3">
        <f>IF(X565="",IFERROR(VLOOKUP($C565,Assumptions!$A$4:$G$7,6,FALSE),0),X565)</f>
        <v/>
      </c>
      <c r="Z565" s="3">
        <f>N(O565)*IFERROR(VLOOKUP($C565,Assumptions!$A$4:$G$7,2,FALSE),0)</f>
        <v/>
      </c>
      <c r="AA565" s="3">
        <f>N(S565)*IFERROR(VLOOKUP($C565,Assumptions!$A$4:$G$7,3,FALSE),0)*Assumptions!$B$11</f>
        <v/>
      </c>
      <c r="AB565" s="3">
        <f>N(N565)*IFERROR(VLOOKUP($C565,Assumptions!$A$4:$G$7,4,FALSE),0)</f>
        <v/>
      </c>
      <c r="AC565" s="3">
        <f>IF(N(U565)=0,0,V565*IFERROR(VLOOKUP($C565,Assumptions!$A$4:$G$7,5,FALSE),0)*90/N(U565))</f>
        <v/>
      </c>
      <c r="AD565" s="3">
        <f>N(W565)</f>
        <v/>
      </c>
      <c r="AE565" s="3">
        <f>SUM(Y565:AD565)</f>
        <v/>
      </c>
      <c r="AF565" s="3">
        <f>N(AE565)*N(M565)/90</f>
        <v/>
      </c>
      <c r="AG565" s="3">
        <f>IFERROR(AF565-VLOOKUP($C565,Assumptions!$A$29:$C$32,3,FALSE),"")</f>
        <v/>
      </c>
      <c r="AH565" s="3">
        <f>IFERROR(AG565/F565,"")</f>
        <v/>
      </c>
      <c r="AI565">
        <f>IF(AND($E565=TRUE,$C565="GKP"),AF565,"")</f>
        <v/>
      </c>
      <c r="AJ565">
        <f>IF(AND($E565=TRUE,$C565="DEF"),AF565,"")</f>
        <v/>
      </c>
      <c r="AK565">
        <f>IF(AND($E565=TRUE,$C565="MID"),AF565,"")</f>
        <v/>
      </c>
      <c r="AL565">
        <f>IF(AND($E565=TRUE,$C565="FWD"),AF565,"")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b">
        <v>1</v>
      </c>
      <c r="F566" s="2" t="n">
        <v>5</v>
      </c>
      <c r="G566" t="inlineStr">
        <is>
          <t>a</t>
        </is>
      </c>
      <c r="I566" s="2" t="n"/>
      <c r="K566" s="3" t="n">
        <v>1146</v>
      </c>
      <c r="L566" t="inlineStr">
        <is>
          <t>flat</t>
        </is>
      </c>
      <c r="M566" s="4" t="n"/>
      <c r="N566" s="4" t="n"/>
      <c r="O566" s="3" t="n"/>
      <c r="P566" t="inlineStr"/>
      <c r="Q566" s="3" t="n"/>
      <c r="R566" s="3" t="n"/>
      <c r="S566" s="3" t="n"/>
      <c r="T566" s="3" t="n"/>
      <c r="U566" s="4" t="n"/>
      <c r="V566" s="3">
        <f>IF(OR(N(T566)=0,N(U566)=0),0,1-POISSON(IFERROR(VLOOKUP($C566,Assumptions!$A$4:$G$7,7,FALSE),99)-1,N(T566)*N(U566)/90,TRUE))</f>
        <v/>
      </c>
      <c r="W566" s="3" t="n"/>
      <c r="X566" s="3" t="n"/>
      <c r="Y566" s="3">
        <f>IF(X566="",IFERROR(VLOOKUP($C566,Assumptions!$A$4:$G$7,6,FALSE),0),X566)</f>
        <v/>
      </c>
      <c r="Z566" s="3">
        <f>N(O566)*IFERROR(VLOOKUP($C566,Assumptions!$A$4:$G$7,2,FALSE),0)</f>
        <v/>
      </c>
      <c r="AA566" s="3">
        <f>N(S566)*IFERROR(VLOOKUP($C566,Assumptions!$A$4:$G$7,3,FALSE),0)*Assumptions!$B$11</f>
        <v/>
      </c>
      <c r="AB566" s="3">
        <f>N(N566)*IFERROR(VLOOKUP($C566,Assumptions!$A$4:$G$7,4,FALSE),0)</f>
        <v/>
      </c>
      <c r="AC566" s="3">
        <f>IF(N(U566)=0,0,V566*IFERROR(VLOOKUP($C566,Assumptions!$A$4:$G$7,5,FALSE),0)*90/N(U566))</f>
        <v/>
      </c>
      <c r="AD566" s="3">
        <f>N(W566)</f>
        <v/>
      </c>
      <c r="AE566" s="3">
        <f>SUM(Y566:AD566)</f>
        <v/>
      </c>
      <c r="AF566" s="3">
        <f>N(AE566)*N(M566)/90</f>
        <v/>
      </c>
      <c r="AG566" s="3">
        <f>IFERROR(AF566-VLOOKUP($C566,Assumptions!$A$29:$C$32,3,FALSE),"")</f>
        <v/>
      </c>
      <c r="AH566" s="3">
        <f>IFERROR(AG566/F566,"")</f>
        <v/>
      </c>
      <c r="AI566">
        <f>IF(AND($E566=TRUE,$C566="GKP"),AF566,"")</f>
        <v/>
      </c>
      <c r="AJ566">
        <f>IF(AND($E566=TRUE,$C566="DEF"),AF566,"")</f>
        <v/>
      </c>
      <c r="AK566">
        <f>IF(AND($E566=TRUE,$C566="MID"),AF566,"")</f>
        <v/>
      </c>
      <c r="AL566">
        <f>IF(AND($E566=TRUE,$C566="FWD"),AF566,"")</f>
        <v/>
      </c>
    </row>
    <row r="567">
      <c r="A567" t="inlineStr">
        <is>
          <t>Anthony Gordon</t>
        </is>
      </c>
      <c r="D567" t="inlineStr">
        <is>
          <t>MID</t>
        </is>
      </c>
      <c r="E567" t="b">
        <v>0</v>
      </c>
      <c r="F567" s="2" t="n"/>
      <c r="I567" s="2" t="n">
        <v>1814</v>
      </c>
      <c r="K567" s="3" t="n"/>
      <c r="M567" s="4" t="n">
        <v>1814</v>
      </c>
      <c r="N567" s="4" t="n"/>
      <c r="O567" s="3" t="n">
        <v>0.3955</v>
      </c>
      <c r="P567" t="inlineStr">
        <is>
          <t>adjusted xGOT</t>
        </is>
      </c>
      <c r="Q567" s="3" t="n">
        <v>0.909</v>
      </c>
      <c r="R567" s="3" t="n">
        <v>31.7</v>
      </c>
      <c r="S567" s="3" t="n">
        <v>0.1843</v>
      </c>
      <c r="T567" s="3" t="n">
        <v>5.705</v>
      </c>
      <c r="U567" s="4" t="n">
        <v>74.90000000000001</v>
      </c>
      <c r="V567" s="3">
        <f>IF(OR(N(T567)=0,N(U567)=0),0,1-POISSON(IFERROR(VLOOKUP($C567,Assumptions!$A$4:$G$7,7,FALSE),99)-1,N(T567)*N(U567)/90,TRUE))</f>
        <v/>
      </c>
      <c r="W567" s="3" t="n">
        <v>0.4465</v>
      </c>
      <c r="X567" s="3" t="n">
        <v>2.332</v>
      </c>
      <c r="Y567" s="3">
        <f>IF(X567="",IFERROR(VLOOKUP($C567,Assumptions!$A$4:$G$7,6,FALSE),0),X567)</f>
        <v/>
      </c>
      <c r="Z567" s="3">
        <f>N(O567)*IFERROR(VLOOKUP($C567,Assumptions!$A$4:$G$7,2,FALSE),0)</f>
        <v/>
      </c>
      <c r="AA567" s="3">
        <f>N(S567)*IFERROR(VLOOKUP($C567,Assumptions!$A$4:$G$7,3,FALSE),0)*Assumptions!$B$11</f>
        <v/>
      </c>
      <c r="AB567" s="3">
        <f>N(N567)*IFERROR(VLOOKUP($C567,Assumptions!$A$4:$G$7,4,FALSE),0)</f>
        <v/>
      </c>
      <c r="AC567" s="3">
        <f>IF(N(U567)=0,0,V567*IFERROR(VLOOKUP($C567,Assumptions!$A$4:$G$7,5,FALSE),0)*90/N(U567))</f>
        <v/>
      </c>
      <c r="AD567" s="3">
        <f>N(W567)</f>
        <v/>
      </c>
      <c r="AE567" s="3">
        <f>SUM(Y567:AD567)</f>
        <v/>
      </c>
      <c r="AF567" s="3">
        <f>N(AE567)*N(M567)/90</f>
        <v/>
      </c>
      <c r="AG567" s="3">
        <f>IFERROR(AF567-VLOOKUP($C567,Assumptions!$A$29:$C$32,3,FALSE),"")</f>
        <v/>
      </c>
      <c r="AH567" s="3">
        <f>IFERROR(AG567/F567,"")</f>
        <v/>
      </c>
      <c r="AI567">
        <f>IF(AND($E567=TRUE,$C567="GKP"),AF567,"")</f>
        <v/>
      </c>
      <c r="AJ567">
        <f>IF(AND($E567=TRUE,$C567="DEF"),AF567,"")</f>
        <v/>
      </c>
      <c r="AK567">
        <f>IF(AND($E567=TRUE,$C567="MID"),AF567,"")</f>
        <v/>
      </c>
      <c r="AL567">
        <f>IF(AND($E567=TRUE,$C567="FWD"),AF567,"")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b">
        <v>1</v>
      </c>
      <c r="F568" s="2" t="n">
        <v>5</v>
      </c>
      <c r="G568" t="inlineStr">
        <is>
          <t>a</t>
        </is>
      </c>
      <c r="I568" s="2" t="n"/>
      <c r="K568" s="3" t="n">
        <v>1978</v>
      </c>
      <c r="L568" t="inlineStr">
        <is>
          <t>flat</t>
        </is>
      </c>
      <c r="M568" s="4" t="n"/>
      <c r="N568" s="4" t="n"/>
      <c r="O568" s="3" t="n"/>
      <c r="P568" t="inlineStr"/>
      <c r="Q568" s="3" t="n"/>
      <c r="R568" s="3" t="n"/>
      <c r="S568" s="3" t="n"/>
      <c r="T568" s="3" t="n"/>
      <c r="U568" s="4" t="n"/>
      <c r="V568" s="3">
        <f>IF(OR(N(T568)=0,N(U568)=0),0,1-POISSON(IFERROR(VLOOKUP($C568,Assumptions!$A$4:$G$7,7,FALSE),99)-1,N(T568)*N(U568)/90,TRUE))</f>
        <v/>
      </c>
      <c r="W568" s="3" t="n"/>
      <c r="X568" s="3" t="n"/>
      <c r="Y568" s="3">
        <f>IF(X568="",IFERROR(VLOOKUP($C568,Assumptions!$A$4:$G$7,6,FALSE),0),X568)</f>
        <v/>
      </c>
      <c r="Z568" s="3">
        <f>N(O568)*IFERROR(VLOOKUP($C568,Assumptions!$A$4:$G$7,2,FALSE),0)</f>
        <v/>
      </c>
      <c r="AA568" s="3">
        <f>N(S568)*IFERROR(VLOOKUP($C568,Assumptions!$A$4:$G$7,3,FALSE),0)*Assumptions!$B$11</f>
        <v/>
      </c>
      <c r="AB568" s="3">
        <f>N(N568)*IFERROR(VLOOKUP($C568,Assumptions!$A$4:$G$7,4,FALSE),0)</f>
        <v/>
      </c>
      <c r="AC568" s="3">
        <f>IF(N(U568)=0,0,V568*IFERROR(VLOOKUP($C568,Assumptions!$A$4:$G$7,5,FALSE),0)*90/N(U568))</f>
        <v/>
      </c>
      <c r="AD568" s="3">
        <f>N(W568)</f>
        <v/>
      </c>
      <c r="AE568" s="3">
        <f>SUM(Y568:AD568)</f>
        <v/>
      </c>
      <c r="AF568" s="3">
        <f>N(AE568)*N(M568)/90</f>
        <v/>
      </c>
      <c r="AG568" s="3">
        <f>IFERROR(AF568-VLOOKUP($C568,Assumptions!$A$29:$C$32,3,FALSE),"")</f>
        <v/>
      </c>
      <c r="AH568" s="3">
        <f>IFERROR(AG568/F568,"")</f>
        <v/>
      </c>
      <c r="AI568">
        <f>IF(AND($E568=TRUE,$C568="GKP"),AF568,"")</f>
        <v/>
      </c>
      <c r="AJ568">
        <f>IF(AND($E568=TRUE,$C568="DEF"),AF568,"")</f>
        <v/>
      </c>
      <c r="AK568">
        <f>IF(AND($E568=TRUE,$C568="MID"),AF568,"")</f>
        <v/>
      </c>
      <c r="AL568">
        <f>IF(AND($E568=TRUE,$C568="FWD"),AF568,"")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t="b">
        <v>0</v>
      </c>
      <c r="F569" s="2" t="n"/>
      <c r="I569" s="2" t="n">
        <v>2528</v>
      </c>
      <c r="K569" s="3" t="n"/>
      <c r="M569" s="4" t="n">
        <v>2528</v>
      </c>
      <c r="N569" s="4" t="n"/>
      <c r="O569" s="3" t="n">
        <v>0.09080000000000001</v>
      </c>
      <c r="P569" t="inlineStr">
        <is>
          <t>adjusted xGOT</t>
        </is>
      </c>
      <c r="Q569" s="3" t="n">
        <v>1.032</v>
      </c>
      <c r="R569" s="3" t="n">
        <v>5.3</v>
      </c>
      <c r="S569" s="3" t="n">
        <v>0.0174</v>
      </c>
      <c r="T569" s="3" t="n">
        <v>10.364</v>
      </c>
      <c r="U569" s="4" t="n">
        <v>93.8</v>
      </c>
      <c r="V569" s="3">
        <f>IF(OR(N(T569)=0,N(U569)=0),0,1-POISSON(IFERROR(VLOOKUP($C569,Assumptions!$A$4:$G$7,7,FALSE),99)-1,N(T569)*N(U569)/90,TRUE))</f>
        <v/>
      </c>
      <c r="W569" s="3" t="n">
        <v>0.178</v>
      </c>
      <c r="X569" s="3" t="n">
        <v>2.065</v>
      </c>
      <c r="Y569" s="3">
        <f>IF(X569="",IFERROR(VLOOKUP($C569,Assumptions!$A$4:$G$7,6,FALSE),0),X569)</f>
        <v/>
      </c>
      <c r="Z569" s="3">
        <f>N(O569)*IFERROR(VLOOKUP($C569,Assumptions!$A$4:$G$7,2,FALSE),0)</f>
        <v/>
      </c>
      <c r="AA569" s="3">
        <f>N(S569)*IFERROR(VLOOKUP($C569,Assumptions!$A$4:$G$7,3,FALSE),0)*Assumptions!$B$11</f>
        <v/>
      </c>
      <c r="AB569" s="3">
        <f>N(N569)*IFERROR(VLOOKUP($C569,Assumptions!$A$4:$G$7,4,FALSE),0)</f>
        <v/>
      </c>
      <c r="AC569" s="3">
        <f>IF(N(U569)=0,0,V569*IFERROR(VLOOKUP($C569,Assumptions!$A$4:$G$7,5,FALSE),0)*90/N(U569))</f>
        <v/>
      </c>
      <c r="AD569" s="3">
        <f>N(W569)</f>
        <v/>
      </c>
      <c r="AE569" s="3">
        <f>SUM(Y569:AD569)</f>
        <v/>
      </c>
      <c r="AF569" s="3">
        <f>N(AE569)*N(M569)/90</f>
        <v/>
      </c>
      <c r="AG569" s="3">
        <f>IFERROR(AF569-VLOOKUP($C569,Assumptions!$A$29:$C$32,3,FALSE),"")</f>
        <v/>
      </c>
      <c r="AH569" s="3">
        <f>IFERROR(AG569/F569,"")</f>
        <v/>
      </c>
      <c r="AI569">
        <f>IF(AND($E569=TRUE,$C569="GKP"),AF569,"")</f>
        <v/>
      </c>
      <c r="AJ569">
        <f>IF(AND($E569=TRUE,$C569="DEF"),AF569,"")</f>
        <v/>
      </c>
      <c r="AK569">
        <f>IF(AND($E569=TRUE,$C569="MID"),AF569,"")</f>
        <v/>
      </c>
      <c r="AL569">
        <f>IF(AND($E569=TRUE,$C569="FWD"),AF569,"")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b">
        <v>1</v>
      </c>
      <c r="F570" s="2" t="n">
        <v>5</v>
      </c>
      <c r="G570" t="inlineStr">
        <is>
          <t>i</t>
        </is>
      </c>
      <c r="H570" t="inlineStr">
        <is>
          <t>Muscular injury - Unknown return date</t>
        </is>
      </c>
      <c r="I570" s="2" t="n"/>
      <c r="K570" s="3" t="n">
        <v>800</v>
      </c>
      <c r="L570" t="inlineStr">
        <is>
          <t>flat</t>
        </is>
      </c>
      <c r="M570" s="4" t="n"/>
      <c r="N570" s="4" t="n"/>
      <c r="O570" s="3" t="n"/>
      <c r="P570" t="inlineStr"/>
      <c r="Q570" s="3" t="n"/>
      <c r="R570" s="3" t="n"/>
      <c r="S570" s="3" t="n"/>
      <c r="T570" s="3" t="n"/>
      <c r="U570" s="4" t="n"/>
      <c r="V570" s="3">
        <f>IF(OR(N(T570)=0,N(U570)=0),0,1-POISSON(IFERROR(VLOOKUP($C570,Assumptions!$A$4:$G$7,7,FALSE),99)-1,N(T570)*N(U570)/90,TRUE))</f>
        <v/>
      </c>
      <c r="W570" s="3" t="n"/>
      <c r="X570" s="3" t="n"/>
      <c r="Y570" s="3">
        <f>IF(X570="",IFERROR(VLOOKUP($C570,Assumptions!$A$4:$G$7,6,FALSE),0),X570)</f>
        <v/>
      </c>
      <c r="Z570" s="3">
        <f>N(O570)*IFERROR(VLOOKUP($C570,Assumptions!$A$4:$G$7,2,FALSE),0)</f>
        <v/>
      </c>
      <c r="AA570" s="3">
        <f>N(S570)*IFERROR(VLOOKUP($C570,Assumptions!$A$4:$G$7,3,FALSE),0)*Assumptions!$B$11</f>
        <v/>
      </c>
      <c r="AB570" s="3">
        <f>N(N570)*IFERROR(VLOOKUP($C570,Assumptions!$A$4:$G$7,4,FALSE),0)</f>
        <v/>
      </c>
      <c r="AC570" s="3">
        <f>IF(N(U570)=0,0,V570*IFERROR(VLOOKUP($C570,Assumptions!$A$4:$G$7,5,FALSE),0)*90/N(U570))</f>
        <v/>
      </c>
      <c r="AD570" s="3">
        <f>N(W570)</f>
        <v/>
      </c>
      <c r="AE570" s="3">
        <f>SUM(Y570:AD570)</f>
        <v/>
      </c>
      <c r="AF570" s="3">
        <f>N(AE570)*N(M570)/90</f>
        <v/>
      </c>
      <c r="AG570" s="3">
        <f>IFERROR(AF570-VLOOKUP($C570,Assumptions!$A$29:$C$32,3,FALSE),"")</f>
        <v/>
      </c>
      <c r="AH570" s="3">
        <f>IFERROR(AG570/F570,"")</f>
        <v/>
      </c>
      <c r="AI570">
        <f>IF(AND($E570=TRUE,$C570="GKP"),AF570,"")</f>
        <v/>
      </c>
      <c r="AJ570">
        <f>IF(AND($E570=TRUE,$C570="DEF"),AF570,"")</f>
        <v/>
      </c>
      <c r="AK570">
        <f>IF(AND($E570=TRUE,$C570="MID"),AF570,"")</f>
        <v/>
      </c>
      <c r="AL570">
        <f>IF(AND($E570=TRUE,$C570="FWD"),AF570,"")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b">
        <v>1</v>
      </c>
      <c r="F571" s="2" t="n">
        <v>5.5</v>
      </c>
      <c r="G571" t="inlineStr">
        <is>
          <t>a</t>
        </is>
      </c>
      <c r="I571" s="2" t="n"/>
      <c r="K571" s="3" t="n">
        <v>2440</v>
      </c>
      <c r="L571" t="inlineStr">
        <is>
          <t>flat</t>
        </is>
      </c>
      <c r="M571" s="4" t="n"/>
      <c r="N571" s="4" t="n"/>
      <c r="O571" s="3" t="n"/>
      <c r="P571" t="inlineStr"/>
      <c r="Q571" s="3" t="n"/>
      <c r="R571" s="3" t="n"/>
      <c r="S571" s="3" t="n"/>
      <c r="T571" s="3" t="n"/>
      <c r="U571" s="4" t="n"/>
      <c r="V571" s="3">
        <f>IF(OR(N(T571)=0,N(U571)=0),0,1-POISSON(IFERROR(VLOOKUP($C571,Assumptions!$A$4:$G$7,7,FALSE),99)-1,N(T571)*N(U571)/90,TRUE))</f>
        <v/>
      </c>
      <c r="W571" s="3" t="n"/>
      <c r="X571" s="3" t="n"/>
      <c r="Y571" s="3">
        <f>IF(X571="",IFERROR(VLOOKUP($C571,Assumptions!$A$4:$G$7,6,FALSE),0),X571)</f>
        <v/>
      </c>
      <c r="Z571" s="3">
        <f>N(O571)*IFERROR(VLOOKUP($C571,Assumptions!$A$4:$G$7,2,FALSE),0)</f>
        <v/>
      </c>
      <c r="AA571" s="3">
        <f>N(S571)*IFERROR(VLOOKUP($C571,Assumptions!$A$4:$G$7,3,FALSE),0)*Assumptions!$B$11</f>
        <v/>
      </c>
      <c r="AB571" s="3">
        <f>N(N571)*IFERROR(VLOOKUP($C571,Assumptions!$A$4:$G$7,4,FALSE),0)</f>
        <v/>
      </c>
      <c r="AC571" s="3">
        <f>IF(N(U571)=0,0,V571*IFERROR(VLOOKUP($C571,Assumptions!$A$4:$G$7,5,FALSE),0)*90/N(U571))</f>
        <v/>
      </c>
      <c r="AD571" s="3">
        <f>N(W571)</f>
        <v/>
      </c>
      <c r="AE571" s="3">
        <f>SUM(Y571:AD571)</f>
        <v/>
      </c>
      <c r="AF571" s="3">
        <f>N(AE571)*N(M571)/90</f>
        <v/>
      </c>
      <c r="AG571" s="3">
        <f>IFERROR(AF571-VLOOKUP($C571,Assumptions!$A$29:$C$32,3,FALSE),"")</f>
        <v/>
      </c>
      <c r="AH571" s="3">
        <f>IFERROR(AG571/F571,"")</f>
        <v/>
      </c>
      <c r="AI571">
        <f>IF(AND($E571=TRUE,$C571="GKP"),AF571,"")</f>
        <v/>
      </c>
      <c r="AJ571">
        <f>IF(AND($E571=TRUE,$C571="DEF"),AF571,"")</f>
        <v/>
      </c>
      <c r="AK571">
        <f>IF(AND($E571=TRUE,$C571="MID"),AF571,"")</f>
        <v/>
      </c>
      <c r="AL571">
        <f>IF(AND($E571=TRUE,$C571="FWD"),AF571,"")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b">
        <v>1</v>
      </c>
      <c r="F572" s="2" t="n">
        <v>4.5</v>
      </c>
      <c r="G572" t="inlineStr">
        <is>
          <t>a</t>
        </is>
      </c>
      <c r="I572" s="2" t="n"/>
      <c r="K572" s="3" t="n">
        <v>1197</v>
      </c>
      <c r="L572" t="inlineStr">
        <is>
          <t>flat</t>
        </is>
      </c>
      <c r="M572" s="4" t="n"/>
      <c r="N572" s="4" t="n">
        <v>0.316</v>
      </c>
      <c r="O572" s="3" t="n"/>
      <c r="P572" t="inlineStr"/>
      <c r="Q572" s="3" t="n"/>
      <c r="R572" s="3" t="n"/>
      <c r="S572" s="3" t="n"/>
      <c r="T572" s="3" t="n"/>
      <c r="U572" s="4" t="n"/>
      <c r="V572" s="3">
        <f>IF(OR(N(T572)=0,N(U572)=0),0,1-POISSON(IFERROR(VLOOKUP($C572,Assumptions!$A$4:$G$7,7,FALSE),99)-1,N(T572)*N(U572)/90,TRUE))</f>
        <v/>
      </c>
      <c r="W572" s="3" t="n"/>
      <c r="X572" s="3" t="n"/>
      <c r="Y572" s="3">
        <f>IF(X572="",IFERROR(VLOOKUP($C572,Assumptions!$A$4:$G$7,6,FALSE),0),X572)</f>
        <v/>
      </c>
      <c r="Z572" s="3">
        <f>N(O572)*IFERROR(VLOOKUP($C572,Assumptions!$A$4:$G$7,2,FALSE),0)</f>
        <v/>
      </c>
      <c r="AA572" s="3">
        <f>N(S572)*IFERROR(VLOOKUP($C572,Assumptions!$A$4:$G$7,3,FALSE),0)*Assumptions!$B$11</f>
        <v/>
      </c>
      <c r="AB572" s="3">
        <f>N(N572)*IFERROR(VLOOKUP($C572,Assumptions!$A$4:$G$7,4,FALSE),0)</f>
        <v/>
      </c>
      <c r="AC572" s="3">
        <f>IF(N(U572)=0,0,V572*IFERROR(VLOOKUP($C572,Assumptions!$A$4:$G$7,5,FALSE),0)*90/N(U572))</f>
        <v/>
      </c>
      <c r="AD572" s="3">
        <f>N(W572)</f>
        <v/>
      </c>
      <c r="AE572" s="3">
        <f>SUM(Y572:AD572)</f>
        <v/>
      </c>
      <c r="AF572" s="3">
        <f>N(AE572)*N(M572)/90</f>
        <v/>
      </c>
      <c r="AG572" s="3">
        <f>IFERROR(AF572-VLOOKUP($C572,Assumptions!$A$29:$C$32,3,FALSE),"")</f>
        <v/>
      </c>
      <c r="AH572" s="3">
        <f>IFERROR(AG572/F572,"")</f>
        <v/>
      </c>
      <c r="AI572">
        <f>IF(AND($E572=TRUE,$C572="GKP"),AF572,"")</f>
        <v/>
      </c>
      <c r="AJ572">
        <f>IF(AND($E572=TRUE,$C572="DEF"),AF572,"")</f>
        <v/>
      </c>
      <c r="AK572">
        <f>IF(AND($E572=TRUE,$C572="MID"),AF572,"")</f>
        <v/>
      </c>
      <c r="AL572">
        <f>IF(AND($E572=TRUE,$C572="FWD"),AF572,"")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b">
        <v>1</v>
      </c>
      <c r="F573" s="2" t="n">
        <v>4.5</v>
      </c>
      <c r="G573" t="inlineStr">
        <is>
          <t>a</t>
        </is>
      </c>
      <c r="I573" s="2" t="n"/>
      <c r="K573" s="3" t="n">
        <v>2770</v>
      </c>
      <c r="L573" t="inlineStr">
        <is>
          <t>flat</t>
        </is>
      </c>
      <c r="M573" s="4" t="n"/>
      <c r="N573" s="4" t="n"/>
      <c r="O573" s="3" t="n"/>
      <c r="P573" t="inlineStr"/>
      <c r="Q573" s="3" t="n"/>
      <c r="R573" s="3" t="n"/>
      <c r="S573" s="3" t="n"/>
      <c r="T573" s="3" t="n"/>
      <c r="U573" s="4" t="n"/>
      <c r="V573" s="3">
        <f>IF(OR(N(T573)=0,N(U573)=0),0,1-POISSON(IFERROR(VLOOKUP($C573,Assumptions!$A$4:$G$7,7,FALSE),99)-1,N(T573)*N(U573)/90,TRUE))</f>
        <v/>
      </c>
      <c r="W573" s="3" t="n"/>
      <c r="X573" s="3" t="n"/>
      <c r="Y573" s="3">
        <f>IF(X573="",IFERROR(VLOOKUP($C573,Assumptions!$A$4:$G$7,6,FALSE),0),X573)</f>
        <v/>
      </c>
      <c r="Z573" s="3">
        <f>N(O573)*IFERROR(VLOOKUP($C573,Assumptions!$A$4:$G$7,2,FALSE),0)</f>
        <v/>
      </c>
      <c r="AA573" s="3">
        <f>N(S573)*IFERROR(VLOOKUP($C573,Assumptions!$A$4:$G$7,3,FALSE),0)*Assumptions!$B$11</f>
        <v/>
      </c>
      <c r="AB573" s="3">
        <f>N(N573)*IFERROR(VLOOKUP($C573,Assumptions!$A$4:$G$7,4,FALSE),0)</f>
        <v/>
      </c>
      <c r="AC573" s="3">
        <f>IF(N(U573)=0,0,V573*IFERROR(VLOOKUP($C573,Assumptions!$A$4:$G$7,5,FALSE),0)*90/N(U573))</f>
        <v/>
      </c>
      <c r="AD573" s="3">
        <f>N(W573)</f>
        <v/>
      </c>
      <c r="AE573" s="3">
        <f>SUM(Y573:AD573)</f>
        <v/>
      </c>
      <c r="AF573" s="3">
        <f>N(AE573)*N(M573)/90</f>
        <v/>
      </c>
      <c r="AG573" s="3">
        <f>IFERROR(AF573-VLOOKUP($C573,Assumptions!$A$29:$C$32,3,FALSE),"")</f>
        <v/>
      </c>
      <c r="AH573" s="3">
        <f>IFERROR(AG573/F573,"")</f>
        <v/>
      </c>
      <c r="AI573">
        <f>IF(AND($E573=TRUE,$C573="GKP"),AF573,"")</f>
        <v/>
      </c>
      <c r="AJ573">
        <f>IF(AND($E573=TRUE,$C573="DEF"),AF573,"")</f>
        <v/>
      </c>
      <c r="AK573">
        <f>IF(AND($E573=TRUE,$C573="MID"),AF573,"")</f>
        <v/>
      </c>
      <c r="AL573">
        <f>IF(AND($E573=TRUE,$C573="FWD"),AF573,"")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b">
        <v>1</v>
      </c>
      <c r="F574" s="2" t="n">
        <v>5.5</v>
      </c>
      <c r="G574" t="inlineStr">
        <is>
          <t>a</t>
        </is>
      </c>
      <c r="I574" s="2" t="n"/>
      <c r="K574" s="3" t="n">
        <v>1053</v>
      </c>
      <c r="L574" t="inlineStr">
        <is>
          <t>fade (losing his place)</t>
        </is>
      </c>
      <c r="M574" s="4" t="n"/>
      <c r="N574" s="4" t="n">
        <v>0.29</v>
      </c>
      <c r="O574" s="3" t="n"/>
      <c r="P574" t="inlineStr"/>
      <c r="Q574" s="3" t="n"/>
      <c r="R574" s="3" t="n"/>
      <c r="S574" s="3" t="n"/>
      <c r="T574" s="3" t="n"/>
      <c r="U574" s="4" t="n"/>
      <c r="V574" s="3">
        <f>IF(OR(N(T574)=0,N(U574)=0),0,1-POISSON(IFERROR(VLOOKUP($C574,Assumptions!$A$4:$G$7,7,FALSE),99)-1,N(T574)*N(U574)/90,TRUE))</f>
        <v/>
      </c>
      <c r="W574" s="3" t="n"/>
      <c r="X574" s="3" t="n"/>
      <c r="Y574" s="3">
        <f>IF(X574="",IFERROR(VLOOKUP($C574,Assumptions!$A$4:$G$7,6,FALSE),0),X574)</f>
        <v/>
      </c>
      <c r="Z574" s="3">
        <f>N(O574)*IFERROR(VLOOKUP($C574,Assumptions!$A$4:$G$7,2,FALSE),0)</f>
        <v/>
      </c>
      <c r="AA574" s="3">
        <f>N(S574)*IFERROR(VLOOKUP($C574,Assumptions!$A$4:$G$7,3,FALSE),0)*Assumptions!$B$11</f>
        <v/>
      </c>
      <c r="AB574" s="3">
        <f>N(N574)*IFERROR(VLOOKUP($C574,Assumptions!$A$4:$G$7,4,FALSE),0)</f>
        <v/>
      </c>
      <c r="AC574" s="3">
        <f>IF(N(U574)=0,0,V574*IFERROR(VLOOKUP($C574,Assumptions!$A$4:$G$7,5,FALSE),0)*90/N(U574))</f>
        <v/>
      </c>
      <c r="AD574" s="3">
        <f>N(W574)</f>
        <v/>
      </c>
      <c r="AE574" s="3">
        <f>SUM(Y574:AD574)</f>
        <v/>
      </c>
      <c r="AF574" s="3">
        <f>N(AE574)*N(M574)/90</f>
        <v/>
      </c>
      <c r="AG574" s="3">
        <f>IFERROR(AF574-VLOOKUP($C574,Assumptions!$A$29:$C$32,3,FALSE),"")</f>
        <v/>
      </c>
      <c r="AH574" s="3">
        <f>IFERROR(AG574/F574,"")</f>
        <v/>
      </c>
      <c r="AI574">
        <f>IF(AND($E574=TRUE,$C574="GKP"),AF574,"")</f>
        <v/>
      </c>
      <c r="AJ574">
        <f>IF(AND($E574=TRUE,$C574="DEF"),AF574,"")</f>
        <v/>
      </c>
      <c r="AK574">
        <f>IF(AND($E574=TRUE,$C574="MID"),AF574,"")</f>
        <v/>
      </c>
      <c r="AL574">
        <f>IF(AND($E574=TRUE,$C574="FWD"),AF574,"")</f>
        <v/>
      </c>
    </row>
    <row r="575">
      <c r="A575" t="inlineStr">
        <is>
          <t>Valentín Castellanos</t>
        </is>
      </c>
      <c r="D575" t="inlineStr">
        <is>
          <t>FWD</t>
        </is>
      </c>
      <c r="E575" t="b">
        <v>0</v>
      </c>
      <c r="F575" s="2" t="n"/>
      <c r="I575" s="2" t="n">
        <v>1395</v>
      </c>
      <c r="K575" s="3" t="n"/>
      <c r="M575" s="4" t="n">
        <v>1395</v>
      </c>
      <c r="N575" s="4" t="n"/>
      <c r="O575" s="3" t="n">
        <v>0.3858</v>
      </c>
      <c r="P575" t="inlineStr">
        <is>
          <t>adjusted xGOT</t>
        </is>
      </c>
      <c r="Q575" s="3" t="n">
        <v>1.04</v>
      </c>
      <c r="R575" s="3" t="n">
        <v>5.8</v>
      </c>
      <c r="S575" s="3" t="n">
        <v>0.0482</v>
      </c>
      <c r="T575" s="3" t="n">
        <v>4.677</v>
      </c>
      <c r="U575" s="4" t="n">
        <v>81.40000000000001</v>
      </c>
      <c r="V575" s="3">
        <f>IF(OR(N(T575)=0,N(U575)=0),0,1-POISSON(IFERROR(VLOOKUP($C575,Assumptions!$A$4:$G$7,7,FALSE),99)-1,N(T575)*N(U575)/90,TRUE))</f>
        <v/>
      </c>
      <c r="W575" s="3" t="n">
        <v>0.3226</v>
      </c>
      <c r="X575" s="3" t="n">
        <v>2.258</v>
      </c>
      <c r="Y575" s="3">
        <f>IF(X575="",IFERROR(VLOOKUP($C575,Assumptions!$A$4:$G$7,6,FALSE),0),X575)</f>
        <v/>
      </c>
      <c r="Z575" s="3">
        <f>N(O575)*IFERROR(VLOOKUP($C575,Assumptions!$A$4:$G$7,2,FALSE),0)</f>
        <v/>
      </c>
      <c r="AA575" s="3">
        <f>N(S575)*IFERROR(VLOOKUP($C575,Assumptions!$A$4:$G$7,3,FALSE),0)*Assumptions!$B$11</f>
        <v/>
      </c>
      <c r="AB575" s="3">
        <f>N(N575)*IFERROR(VLOOKUP($C575,Assumptions!$A$4:$G$7,4,FALSE),0)</f>
        <v/>
      </c>
      <c r="AC575" s="3">
        <f>IF(N(U575)=0,0,V575*IFERROR(VLOOKUP($C575,Assumptions!$A$4:$G$7,5,FALSE),0)*90/N(U575))</f>
        <v/>
      </c>
      <c r="AD575" s="3">
        <f>N(W575)</f>
        <v/>
      </c>
      <c r="AE575" s="3">
        <f>SUM(Y575:AD575)</f>
        <v/>
      </c>
      <c r="AF575" s="3">
        <f>N(AE575)*N(M575)/90</f>
        <v/>
      </c>
      <c r="AG575" s="3">
        <f>IFERROR(AF575-VLOOKUP($C575,Assumptions!$A$29:$C$32,3,FALSE),"")</f>
        <v/>
      </c>
      <c r="AH575" s="3">
        <f>IFERROR(AG575/F575,"")</f>
        <v/>
      </c>
      <c r="AI575">
        <f>IF(AND($E575=TRUE,$C575="GKP"),AF575,"")</f>
        <v/>
      </c>
      <c r="AJ575">
        <f>IF(AND($E575=TRUE,$C575="DEF"),AF575,"")</f>
        <v/>
      </c>
      <c r="AK575">
        <f>IF(AND($E575=TRUE,$C575="MID"),AF575,"")</f>
        <v/>
      </c>
      <c r="AL575">
        <f>IF(AND($E575=TRUE,$C575="FWD"),AF575,"")</f>
        <v/>
      </c>
    </row>
    <row r="576">
      <c r="A576" t="inlineStr">
        <is>
          <t>Randal Kolo Muani</t>
        </is>
      </c>
      <c r="D576" t="inlineStr">
        <is>
          <t>FWD</t>
        </is>
      </c>
      <c r="E576" t="b">
        <v>0</v>
      </c>
      <c r="F576" s="2" t="n"/>
      <c r="I576" s="2" t="n">
        <v>1670</v>
      </c>
      <c r="K576" s="3" t="n"/>
      <c r="M576" s="4" t="n">
        <v>1670</v>
      </c>
      <c r="N576" s="4" t="n"/>
      <c r="O576" s="3" t="n">
        <v>0.1097</v>
      </c>
      <c r="P576" t="inlineStr">
        <is>
          <t>adjusted xGOT</t>
        </is>
      </c>
      <c r="Q576" s="3" t="n">
        <v>0.983</v>
      </c>
      <c r="R576" s="3" t="n">
        <v>2.1</v>
      </c>
      <c r="S576" s="3" t="n">
        <v>0.09959999999999999</v>
      </c>
      <c r="T576" s="3" t="n">
        <v>5.773</v>
      </c>
      <c r="U576" s="4" t="n">
        <v>78.8</v>
      </c>
      <c r="V576" s="3">
        <f>IF(OR(N(T576)=0,N(U576)=0),0,1-POISSON(IFERROR(VLOOKUP($C576,Assumptions!$A$4:$G$7,7,FALSE),99)-1,N(T576)*N(U576)/90,TRUE))</f>
        <v/>
      </c>
      <c r="W576" s="3" t="n">
        <v>0.0539</v>
      </c>
      <c r="X576" s="3" t="n">
        <v>2.533</v>
      </c>
      <c r="Y576" s="3">
        <f>IF(X576="",IFERROR(VLOOKUP($C576,Assumptions!$A$4:$G$7,6,FALSE),0),X576)</f>
        <v/>
      </c>
      <c r="Z576" s="3">
        <f>N(O576)*IFERROR(VLOOKUP($C576,Assumptions!$A$4:$G$7,2,FALSE),0)</f>
        <v/>
      </c>
      <c r="AA576" s="3">
        <f>N(S576)*IFERROR(VLOOKUP($C576,Assumptions!$A$4:$G$7,3,FALSE),0)*Assumptions!$B$11</f>
        <v/>
      </c>
      <c r="AB576" s="3">
        <f>N(N576)*IFERROR(VLOOKUP($C576,Assumptions!$A$4:$G$7,4,FALSE),0)</f>
        <v/>
      </c>
      <c r="AC576" s="3">
        <f>IF(N(U576)=0,0,V576*IFERROR(VLOOKUP($C576,Assumptions!$A$4:$G$7,5,FALSE),0)*90/N(U576))</f>
        <v/>
      </c>
      <c r="AD576" s="3">
        <f>N(W576)</f>
        <v/>
      </c>
      <c r="AE576" s="3">
        <f>SUM(Y576:AD576)</f>
        <v/>
      </c>
      <c r="AF576" s="3">
        <f>N(AE576)*N(M576)/90</f>
        <v/>
      </c>
      <c r="AG576" s="3">
        <f>IFERROR(AF576-VLOOKUP($C576,Assumptions!$A$29:$C$32,3,FALSE),"")</f>
        <v/>
      </c>
      <c r="AH576" s="3">
        <f>IFERROR(AG576/F576,"")</f>
        <v/>
      </c>
      <c r="AI576">
        <f>IF(AND($E576=TRUE,$C576="GKP"),AF576,"")</f>
        <v/>
      </c>
      <c r="AJ576">
        <f>IF(AND($E576=TRUE,$C576="DEF"),AF576,"")</f>
        <v/>
      </c>
      <c r="AK576">
        <f>IF(AND($E576=TRUE,$C576="MID"),AF576,"")</f>
        <v/>
      </c>
      <c r="AL576">
        <f>IF(AND($E576=TRUE,$C576="FWD"),AF576,"")</f>
        <v/>
      </c>
    </row>
    <row r="577">
      <c r="A577" t="inlineStr">
        <is>
          <t>Lutsharel Geertruida</t>
        </is>
      </c>
      <c r="D577" t="inlineStr">
        <is>
          <t>DEF</t>
        </is>
      </c>
      <c r="E577" t="b">
        <v>0</v>
      </c>
      <c r="F577" s="2" t="n"/>
      <c r="I577" s="2" t="n">
        <v>1685</v>
      </c>
      <c r="K577" s="3" t="n"/>
      <c r="M577" s="4" t="n">
        <v>1685</v>
      </c>
      <c r="N577" s="4" t="n"/>
      <c r="O577" s="3" t="n">
        <v>0.0422</v>
      </c>
      <c r="P577" t="inlineStr">
        <is>
          <t>adjusted xGOT</t>
        </is>
      </c>
      <c r="Q577" s="3" t="n">
        <v>1.001</v>
      </c>
      <c r="R577" s="3" t="n">
        <v>0.8</v>
      </c>
      <c r="S577" s="3" t="n">
        <v>0.0413</v>
      </c>
      <c r="T577" s="3" t="n">
        <v>6.54</v>
      </c>
      <c r="U577" s="4" t="n">
        <v>98.90000000000001</v>
      </c>
      <c r="V577" s="3">
        <f>IF(OR(N(T577)=0,N(U577)=0),0,1-POISSON(IFERROR(VLOOKUP($C577,Assumptions!$A$4:$G$7,7,FALSE),99)-1,N(T577)*N(U577)/90,TRUE))</f>
        <v/>
      </c>
      <c r="W577" s="3" t="n">
        <v>0</v>
      </c>
      <c r="X577" s="3" t="n">
        <v>2.404</v>
      </c>
      <c r="Y577" s="3">
        <f>IF(X577="",IFERROR(VLOOKUP($C577,Assumptions!$A$4:$G$7,6,FALSE),0),X577)</f>
        <v/>
      </c>
      <c r="Z577" s="3">
        <f>N(O577)*IFERROR(VLOOKUP($C577,Assumptions!$A$4:$G$7,2,FALSE),0)</f>
        <v/>
      </c>
      <c r="AA577" s="3">
        <f>N(S577)*IFERROR(VLOOKUP($C577,Assumptions!$A$4:$G$7,3,FALSE),0)*Assumptions!$B$11</f>
        <v/>
      </c>
      <c r="AB577" s="3">
        <f>N(N577)*IFERROR(VLOOKUP($C577,Assumptions!$A$4:$G$7,4,FALSE),0)</f>
        <v/>
      </c>
      <c r="AC577" s="3">
        <f>IF(N(U577)=0,0,V577*IFERROR(VLOOKUP($C577,Assumptions!$A$4:$G$7,5,FALSE),0)*90/N(U577))</f>
        <v/>
      </c>
      <c r="AD577" s="3">
        <f>N(W577)</f>
        <v/>
      </c>
      <c r="AE577" s="3">
        <f>SUM(Y577:AD577)</f>
        <v/>
      </c>
      <c r="AF577" s="3">
        <f>N(AE577)*N(M577)/90</f>
        <v/>
      </c>
      <c r="AG577" s="3">
        <f>IFERROR(AF577-VLOOKUP($C577,Assumptions!$A$29:$C$32,3,FALSE),"")</f>
        <v/>
      </c>
      <c r="AH577" s="3">
        <f>IFERROR(AG577/F577,"")</f>
        <v/>
      </c>
      <c r="AI577">
        <f>IF(AND($E577=TRUE,$C577="GKP"),AF577,"")</f>
        <v/>
      </c>
      <c r="AJ577">
        <f>IF(AND($E577=TRUE,$C577="DEF"),AF577,"")</f>
        <v/>
      </c>
      <c r="AK577">
        <f>IF(AND($E577=TRUE,$C577="MID"),AF577,"")</f>
        <v/>
      </c>
      <c r="AL577">
        <f>IF(AND($E577=TRUE,$C577="FWD"),AF577,"")</f>
        <v/>
      </c>
    </row>
    <row r="578">
      <c r="A578" t="inlineStr">
        <is>
          <t>Hamed Traoré</t>
        </is>
      </c>
      <c r="D578" t="inlineStr">
        <is>
          <t>MID</t>
        </is>
      </c>
      <c r="E578" t="b">
        <v>0</v>
      </c>
      <c r="F578" s="2" t="n"/>
      <c r="I578" s="2" t="n">
        <v>16</v>
      </c>
      <c r="K578" s="3" t="n"/>
      <c r="M578" s="4" t="n">
        <v>16</v>
      </c>
      <c r="N578" s="4" t="n"/>
      <c r="O578" s="3" t="n">
        <v>0</v>
      </c>
      <c r="P578" t="inlineStr">
        <is>
          <t>adjusted xGOT</t>
        </is>
      </c>
      <c r="Q578" s="3" t="n">
        <v>0.869</v>
      </c>
      <c r="R578" s="3" t="n">
        <v>1.2</v>
      </c>
      <c r="S578" s="3" t="n">
        <v>0.5377</v>
      </c>
      <c r="T578" s="3" t="n">
        <v>8.880000000000001</v>
      </c>
      <c r="U578" s="4" t="n">
        <v>85</v>
      </c>
      <c r="V578" s="3">
        <f>IF(OR(N(T578)=0,N(U578)=0),0,1-POISSON(IFERROR(VLOOKUP($C578,Assumptions!$A$4:$G$7,7,FALSE),99)-1,N(T578)*N(U578)/90,TRUE))</f>
        <v/>
      </c>
      <c r="W578" s="3" t="n">
        <v>0</v>
      </c>
      <c r="X578" s="3" t="n">
        <v>5.625</v>
      </c>
      <c r="Y578" s="3">
        <f>IF(X578="",IFERROR(VLOOKUP($C578,Assumptions!$A$4:$G$7,6,FALSE),0),X578)</f>
        <v/>
      </c>
      <c r="Z578" s="3">
        <f>N(O578)*IFERROR(VLOOKUP($C578,Assumptions!$A$4:$G$7,2,FALSE),0)</f>
        <v/>
      </c>
      <c r="AA578" s="3">
        <f>N(S578)*IFERROR(VLOOKUP($C578,Assumptions!$A$4:$G$7,3,FALSE),0)*Assumptions!$B$11</f>
        <v/>
      </c>
      <c r="AB578" s="3">
        <f>N(N578)*IFERROR(VLOOKUP($C578,Assumptions!$A$4:$G$7,4,FALSE),0)</f>
        <v/>
      </c>
      <c r="AC578" s="3">
        <f>IF(N(U578)=0,0,V578*IFERROR(VLOOKUP($C578,Assumptions!$A$4:$G$7,5,FALSE),0)*90/N(U578))</f>
        <v/>
      </c>
      <c r="AD578" s="3">
        <f>N(W578)</f>
        <v/>
      </c>
      <c r="AE578" s="3">
        <f>SUM(Y578:AD578)</f>
        <v/>
      </c>
      <c r="AF578" s="3">
        <f>N(AE578)*N(M578)/90</f>
        <v/>
      </c>
      <c r="AG578" s="3">
        <f>IFERROR(AF578-VLOOKUP($C578,Assumptions!$A$29:$C$32,3,FALSE),"")</f>
        <v/>
      </c>
      <c r="AH578" s="3">
        <f>IFERROR(AG578/F578,"")</f>
        <v/>
      </c>
      <c r="AI578">
        <f>IF(AND($E578=TRUE,$C578="GKP"),AF578,"")</f>
        <v/>
      </c>
      <c r="AJ578">
        <f>IF(AND($E578=TRUE,$C578="DEF"),AF578,"")</f>
        <v/>
      </c>
      <c r="AK578">
        <f>IF(AND($E578=TRUE,$C578="MID"),AF578,"")</f>
        <v/>
      </c>
      <c r="AL578">
        <f>IF(AND($E578=TRUE,$C578="FWD"),AF578,"")</f>
        <v/>
      </c>
    </row>
    <row r="579">
      <c r="A579" t="inlineStr">
        <is>
          <t>Sasa Kalajdzic</t>
        </is>
      </c>
      <c r="D579" t="inlineStr">
        <is>
          <t>FWD</t>
        </is>
      </c>
      <c r="E579" t="b">
        <v>0</v>
      </c>
      <c r="F579" s="2" t="n"/>
      <c r="I579" s="2" t="n">
        <v>14</v>
      </c>
      <c r="K579" s="3" t="n"/>
      <c r="M579" s="4" t="n">
        <v>14</v>
      </c>
      <c r="N579" s="4" t="n"/>
      <c r="O579" s="3" t="n">
        <v>0</v>
      </c>
      <c r="P579" t="inlineStr">
        <is>
          <t>adjusted xGOT</t>
        </is>
      </c>
      <c r="Q579" s="3" t="n">
        <v>1.034</v>
      </c>
      <c r="R579" s="3" t="n">
        <v>1.3</v>
      </c>
      <c r="S579" s="3" t="n">
        <v>0</v>
      </c>
      <c r="T579" s="3" t="n">
        <v>4.947</v>
      </c>
      <c r="U579" s="4" t="n">
        <v>85</v>
      </c>
      <c r="V579" s="3">
        <f>IF(OR(N(T579)=0,N(U579)=0),0,1-POISSON(IFERROR(VLOOKUP($C579,Assumptions!$A$4:$G$7,7,FALSE),99)-1,N(T579)*N(U579)/90,TRUE))</f>
        <v/>
      </c>
      <c r="W579" s="3" t="n">
        <v>0</v>
      </c>
      <c r="X579" s="3" t="n">
        <v>6.429</v>
      </c>
      <c r="Y579" s="3">
        <f>IF(X579="",IFERROR(VLOOKUP($C579,Assumptions!$A$4:$G$7,6,FALSE),0),X579)</f>
        <v/>
      </c>
      <c r="Z579" s="3">
        <f>N(O579)*IFERROR(VLOOKUP($C579,Assumptions!$A$4:$G$7,2,FALSE),0)</f>
        <v/>
      </c>
      <c r="AA579" s="3">
        <f>N(S579)*IFERROR(VLOOKUP($C579,Assumptions!$A$4:$G$7,3,FALSE),0)*Assumptions!$B$11</f>
        <v/>
      </c>
      <c r="AB579" s="3">
        <f>N(N579)*IFERROR(VLOOKUP($C579,Assumptions!$A$4:$G$7,4,FALSE),0)</f>
        <v/>
      </c>
      <c r="AC579" s="3">
        <f>IF(N(U579)=0,0,V579*IFERROR(VLOOKUP($C579,Assumptions!$A$4:$G$7,5,FALSE),0)*90/N(U579))</f>
        <v/>
      </c>
      <c r="AD579" s="3">
        <f>N(W579)</f>
        <v/>
      </c>
      <c r="AE579" s="3">
        <f>SUM(Y579:AD579)</f>
        <v/>
      </c>
      <c r="AF579" s="3">
        <f>N(AE579)*N(M579)/90</f>
        <v/>
      </c>
      <c r="AG579" s="3">
        <f>IFERROR(AF579-VLOOKUP($C579,Assumptions!$A$29:$C$32,3,FALSE),"")</f>
        <v/>
      </c>
      <c r="AH579" s="3">
        <f>IFERROR(AG579/F579,"")</f>
        <v/>
      </c>
      <c r="AI579">
        <f>IF(AND($E579=TRUE,$C579="GKP"),AF579,"")</f>
        <v/>
      </c>
      <c r="AJ579">
        <f>IF(AND($E579=TRUE,$C579="DEF"),AF579,"")</f>
        <v/>
      </c>
      <c r="AK579">
        <f>IF(AND($E579=TRUE,$C579="MID"),AF579,"")</f>
        <v/>
      </c>
      <c r="AL579">
        <f>IF(AND($E579=TRUE,$C579="FWD"),AF579,"")</f>
        <v/>
      </c>
    </row>
    <row r="580">
      <c r="A580" t="inlineStr">
        <is>
          <t>Ladislav Krejcí</t>
        </is>
      </c>
      <c r="D580" t="inlineStr">
        <is>
          <t>DEF</t>
        </is>
      </c>
      <c r="E580" t="b">
        <v>0</v>
      </c>
      <c r="F580" s="2" t="n"/>
      <c r="I580" s="2" t="n">
        <v>2361</v>
      </c>
      <c r="K580" s="3" t="n"/>
      <c r="M580" s="4" t="n">
        <v>2361</v>
      </c>
      <c r="N580" s="4" t="n"/>
      <c r="O580" s="3" t="n">
        <v>0.0897</v>
      </c>
      <c r="P580" t="inlineStr">
        <is>
          <t>adjusted xGOT</t>
        </is>
      </c>
      <c r="Q580" s="3" t="n">
        <v>1.056</v>
      </c>
      <c r="R580" s="3" t="n">
        <v>2.2</v>
      </c>
      <c r="S580" s="3" t="n">
        <v>0.0568</v>
      </c>
      <c r="T580" s="3" t="n">
        <v>7.563</v>
      </c>
      <c r="U580" s="4" t="n">
        <v>87.3</v>
      </c>
      <c r="V580" s="3">
        <f>IF(OR(N(T580)=0,N(U580)=0),0,1-POISSON(IFERROR(VLOOKUP($C580,Assumptions!$A$4:$G$7,7,FALSE),99)-1,N(T580)*N(U580)/90,TRUE))</f>
        <v/>
      </c>
      <c r="W580" s="3" t="n">
        <v>0</v>
      </c>
      <c r="X580" s="3" t="n">
        <v>2.097</v>
      </c>
      <c r="Y580" s="3">
        <f>IF(X580="",IFERROR(VLOOKUP($C580,Assumptions!$A$4:$G$7,6,FALSE),0),X580)</f>
        <v/>
      </c>
      <c r="Z580" s="3">
        <f>N(O580)*IFERROR(VLOOKUP($C580,Assumptions!$A$4:$G$7,2,FALSE),0)</f>
        <v/>
      </c>
      <c r="AA580" s="3">
        <f>N(S580)*IFERROR(VLOOKUP($C580,Assumptions!$A$4:$G$7,3,FALSE),0)*Assumptions!$B$11</f>
        <v/>
      </c>
      <c r="AB580" s="3">
        <f>N(N580)*IFERROR(VLOOKUP($C580,Assumptions!$A$4:$G$7,4,FALSE),0)</f>
        <v/>
      </c>
      <c r="AC580" s="3">
        <f>IF(N(U580)=0,0,V580*IFERROR(VLOOKUP($C580,Assumptions!$A$4:$G$7,5,FALSE),0)*90/N(U580))</f>
        <v/>
      </c>
      <c r="AD580" s="3">
        <f>N(W580)</f>
        <v/>
      </c>
      <c r="AE580" s="3">
        <f>SUM(Y580:AD580)</f>
        <v/>
      </c>
      <c r="AF580" s="3">
        <f>N(AE580)*N(M580)/90</f>
        <v/>
      </c>
      <c r="AG580" s="3">
        <f>IFERROR(AF580-VLOOKUP($C580,Assumptions!$A$29:$C$32,3,FALSE),"")</f>
        <v/>
      </c>
      <c r="AH580" s="3">
        <f>IFERROR(AG580/F580,"")</f>
        <v/>
      </c>
      <c r="AI580">
        <f>IF(AND($E580=TRUE,$C580="GKP"),AF580,"")</f>
        <v/>
      </c>
      <c r="AJ580">
        <f>IF(AND($E580=TRUE,$C580="DEF"),AF580,"")</f>
        <v/>
      </c>
      <c r="AK580">
        <f>IF(AND($E580=TRUE,$C580="MID"),AF580,"")</f>
        <v/>
      </c>
      <c r="AL580">
        <f>IF(AND($E580=TRUE,$C580="FWD"),AF580,"")</f>
        <v/>
      </c>
    </row>
    <row r="581">
      <c r="A581" t="inlineStr">
        <is>
          <t>Zian Flemming</t>
        </is>
      </c>
      <c r="D581" t="inlineStr">
        <is>
          <t>FWD</t>
        </is>
      </c>
      <c r="E581" t="b">
        <v>0</v>
      </c>
      <c r="F581" s="2" t="n"/>
      <c r="I581" s="2" t="n">
        <v>1776</v>
      </c>
      <c r="K581" s="3" t="n"/>
      <c r="M581" s="4" t="n">
        <v>1776</v>
      </c>
      <c r="N581" s="4" t="n"/>
      <c r="O581" s="3" t="n">
        <v>0.3963</v>
      </c>
      <c r="P581" t="inlineStr">
        <is>
          <t>adjusted xGOT</t>
        </is>
      </c>
      <c r="Q581" s="3" t="n">
        <v>0.985</v>
      </c>
      <c r="R581" s="3" t="n">
        <v>7.9</v>
      </c>
      <c r="S581" s="3" t="n">
        <v>0.0347</v>
      </c>
      <c r="T581" s="3" t="n">
        <v>4.976</v>
      </c>
      <c r="U581" s="4" t="n">
        <v>84</v>
      </c>
      <c r="V581" s="3">
        <f>IF(OR(N(T581)=0,N(U581)=0),0,1-POISSON(IFERROR(VLOOKUP($C581,Assumptions!$A$4:$G$7,7,FALSE),99)-1,N(T581)*N(U581)/90,TRUE))</f>
        <v/>
      </c>
      <c r="W581" s="3" t="n">
        <v>0.5574</v>
      </c>
      <c r="X581" s="3" t="n">
        <v>2.483</v>
      </c>
      <c r="Y581" s="3">
        <f>IF(X581="",IFERROR(VLOOKUP($C581,Assumptions!$A$4:$G$7,6,FALSE),0),X581)</f>
        <v/>
      </c>
      <c r="Z581" s="3">
        <f>N(O581)*IFERROR(VLOOKUP($C581,Assumptions!$A$4:$G$7,2,FALSE),0)</f>
        <v/>
      </c>
      <c r="AA581" s="3">
        <f>N(S581)*IFERROR(VLOOKUP($C581,Assumptions!$A$4:$G$7,3,FALSE),0)*Assumptions!$B$11</f>
        <v/>
      </c>
      <c r="AB581" s="3">
        <f>N(N581)*IFERROR(VLOOKUP($C581,Assumptions!$A$4:$G$7,4,FALSE),0)</f>
        <v/>
      </c>
      <c r="AC581" s="3">
        <f>IF(N(U581)=0,0,V581*IFERROR(VLOOKUP($C581,Assumptions!$A$4:$G$7,5,FALSE),0)*90/N(U581))</f>
        <v/>
      </c>
      <c r="AD581" s="3">
        <f>N(W581)</f>
        <v/>
      </c>
      <c r="AE581" s="3">
        <f>SUM(Y581:AD581)</f>
        <v/>
      </c>
      <c r="AF581" s="3">
        <f>N(AE581)*N(M581)/90</f>
        <v/>
      </c>
      <c r="AG581" s="3">
        <f>IFERROR(AF581-VLOOKUP($C581,Assumptions!$A$29:$C$32,3,FALSE),"")</f>
        <v/>
      </c>
      <c r="AH581" s="3">
        <f>IFERROR(AG581/F581,"")</f>
        <v/>
      </c>
      <c r="AI581">
        <f>IF(AND($E581=TRUE,$C581="GKP"),AF581,"")</f>
        <v/>
      </c>
      <c r="AJ581">
        <f>IF(AND($E581=TRUE,$C581="DEF"),AF581,"")</f>
        <v/>
      </c>
      <c r="AK581">
        <f>IF(AND($E581=TRUE,$C581="MID"),AF581,"")</f>
        <v/>
      </c>
      <c r="AL581">
        <f>IF(AND($E581=TRUE,$C581="FWD"),AF581,"")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b">
        <v>1</v>
      </c>
      <c r="F582" s="2" t="n">
        <v>4</v>
      </c>
      <c r="G582" t="inlineStr">
        <is>
          <t>i</t>
        </is>
      </c>
      <c r="H582" t="inlineStr">
        <is>
          <t>Knee injury - Unknown return date</t>
        </is>
      </c>
      <c r="I582" s="2" t="n"/>
      <c r="K582" s="3" t="n">
        <v>0</v>
      </c>
      <c r="L582" t="inlineStr">
        <is>
          <t>flat</t>
        </is>
      </c>
      <c r="M582" s="4" t="n"/>
      <c r="N582" s="4" t="n">
        <v>0.263</v>
      </c>
      <c r="O582" s="3" t="n"/>
      <c r="P582" t="inlineStr"/>
      <c r="Q582" s="3" t="n"/>
      <c r="R582" s="3" t="n"/>
      <c r="S582" s="3" t="n"/>
      <c r="T582" s="3" t="n">
        <v>0</v>
      </c>
      <c r="U582" s="4" t="n"/>
      <c r="V582" s="3">
        <f>IF(OR(N(T582)=0,N(U582)=0),0,1-POISSON(IFERROR(VLOOKUP($C582,Assumptions!$A$4:$G$7,7,FALSE),99)-1,N(T582)*N(U582)/90,TRUE))</f>
        <v/>
      </c>
      <c r="W582" s="3" t="n"/>
      <c r="X582" s="3" t="n"/>
      <c r="Y582" s="3">
        <f>IF(X582="",IFERROR(VLOOKUP($C582,Assumptions!$A$4:$G$7,6,FALSE),0),X582)</f>
        <v/>
      </c>
      <c r="Z582" s="3">
        <f>N(O582)*IFERROR(VLOOKUP($C582,Assumptions!$A$4:$G$7,2,FALSE),0)</f>
        <v/>
      </c>
      <c r="AA582" s="3">
        <f>N(S582)*IFERROR(VLOOKUP($C582,Assumptions!$A$4:$G$7,3,FALSE),0)*Assumptions!$B$11</f>
        <v/>
      </c>
      <c r="AB582" s="3">
        <f>N(N582)*IFERROR(VLOOKUP($C582,Assumptions!$A$4:$G$7,4,FALSE),0)</f>
        <v/>
      </c>
      <c r="AC582" s="3">
        <f>IF(N(U582)=0,0,V582*IFERROR(VLOOKUP($C582,Assumptions!$A$4:$G$7,5,FALSE),0)*90/N(U582))</f>
        <v/>
      </c>
      <c r="AD582" s="3">
        <f>N(W582)</f>
        <v/>
      </c>
      <c r="AE582" s="3">
        <f>SUM(Y582:AD582)</f>
        <v/>
      </c>
      <c r="AF582" s="3">
        <f>N(AE582)*N(M582)/90</f>
        <v/>
      </c>
      <c r="AG582" s="3">
        <f>IFERROR(AF582-VLOOKUP($C582,Assumptions!$A$29:$C$32,3,FALSE),"")</f>
        <v/>
      </c>
      <c r="AH582" s="3">
        <f>IFERROR(AG582/F582,"")</f>
        <v/>
      </c>
      <c r="AI582">
        <f>IF(AND($E582=TRUE,$C582="GKP"),AF582,"")</f>
        <v/>
      </c>
      <c r="AJ582">
        <f>IF(AND($E582=TRUE,$C582="DEF"),AF582,"")</f>
        <v/>
      </c>
      <c r="AK582">
        <f>IF(AND($E582=TRUE,$C582="MID"),AF582,"")</f>
        <v/>
      </c>
      <c r="AL582">
        <f>IF(AND($E582=TRUE,$C582="FWD"),AF582,"")</f>
        <v/>
      </c>
    </row>
    <row r="583">
      <c r="A583" t="inlineStr">
        <is>
          <t>Marshall Munetsi</t>
        </is>
      </c>
      <c r="D583" t="inlineStr">
        <is>
          <t>MID</t>
        </is>
      </c>
      <c r="E583" t="b">
        <v>0</v>
      </c>
      <c r="F583" s="2" t="n"/>
      <c r="I583" s="2" t="n">
        <v>873</v>
      </c>
      <c r="K583" s="3" t="n"/>
      <c r="M583" s="4" t="n">
        <v>873</v>
      </c>
      <c r="N583" s="4" t="n"/>
      <c r="O583" s="3" t="n">
        <v>0.1618</v>
      </c>
      <c r="P583" t="inlineStr">
        <is>
          <t>adjusted xGOT</t>
        </is>
      </c>
      <c r="Q583" s="3" t="n">
        <v>0.957</v>
      </c>
      <c r="R583" s="3" t="n">
        <v>5</v>
      </c>
      <c r="S583" s="3" t="n">
        <v>0.0393</v>
      </c>
      <c r="T583" s="3" t="n">
        <v>8.401999999999999</v>
      </c>
      <c r="U583" s="4" t="n">
        <v>96.90000000000001</v>
      </c>
      <c r="V583" s="3">
        <f>IF(OR(N(T583)=0,N(U583)=0),0,1-POISSON(IFERROR(VLOOKUP($C583,Assumptions!$A$4:$G$7,7,FALSE),99)-1,N(T583)*N(U583)/90,TRUE))</f>
        <v/>
      </c>
      <c r="W583" s="3" t="n">
        <v>0.1031</v>
      </c>
      <c r="X583" s="3" t="n">
        <v>2.268</v>
      </c>
      <c r="Y583" s="3">
        <f>IF(X583="",IFERROR(VLOOKUP($C583,Assumptions!$A$4:$G$7,6,FALSE),0),X583)</f>
        <v/>
      </c>
      <c r="Z583" s="3">
        <f>N(O583)*IFERROR(VLOOKUP($C583,Assumptions!$A$4:$G$7,2,FALSE),0)</f>
        <v/>
      </c>
      <c r="AA583" s="3">
        <f>N(S583)*IFERROR(VLOOKUP($C583,Assumptions!$A$4:$G$7,3,FALSE),0)*Assumptions!$B$11</f>
        <v/>
      </c>
      <c r="AB583" s="3">
        <f>N(N583)*IFERROR(VLOOKUP($C583,Assumptions!$A$4:$G$7,4,FALSE),0)</f>
        <v/>
      </c>
      <c r="AC583" s="3">
        <f>IF(N(U583)=0,0,V583*IFERROR(VLOOKUP($C583,Assumptions!$A$4:$G$7,5,FALSE),0)*90/N(U583))</f>
        <v/>
      </c>
      <c r="AD583" s="3">
        <f>N(W583)</f>
        <v/>
      </c>
      <c r="AE583" s="3">
        <f>SUM(Y583:AD583)</f>
        <v/>
      </c>
      <c r="AF583" s="3">
        <f>N(AE583)*N(M583)/90</f>
        <v/>
      </c>
      <c r="AG583" s="3">
        <f>IFERROR(AF583-VLOOKUP($C583,Assumptions!$A$29:$C$32,3,FALSE),"")</f>
        <v/>
      </c>
      <c r="AH583" s="3">
        <f>IFERROR(AG583/F583,"")</f>
        <v/>
      </c>
      <c r="AI583">
        <f>IF(AND($E583=TRUE,$C583="GKP"),AF583,"")</f>
        <v/>
      </c>
      <c r="AJ583">
        <f>IF(AND($E583=TRUE,$C583="DEF"),AF583,"")</f>
        <v/>
      </c>
      <c r="AK583">
        <f>IF(AND($E583=TRUE,$C583="MID"),AF583,"")</f>
        <v/>
      </c>
      <c r="AL583">
        <f>IF(AND($E583=TRUE,$C583="FWD"),AF583,"")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b">
        <v>1</v>
      </c>
      <c r="F584" s="2" t="n">
        <v>4</v>
      </c>
      <c r="G584" t="inlineStr">
        <is>
          <t>i</t>
        </is>
      </c>
      <c r="H584" t="inlineStr">
        <is>
          <t>Hamstring injury - Expected back 29 Aug</t>
        </is>
      </c>
      <c r="I584" s="2" t="n"/>
      <c r="K584" s="3" t="n">
        <v>619</v>
      </c>
      <c r="L584" t="inlineStr">
        <is>
          <t>flat</t>
        </is>
      </c>
      <c r="M584" s="4" t="n"/>
      <c r="N584" s="4" t="n"/>
      <c r="O584" s="3" t="n"/>
      <c r="P584" t="inlineStr"/>
      <c r="Q584" s="3" t="n"/>
      <c r="R584" s="3" t="n"/>
      <c r="S584" s="3" t="n"/>
      <c r="T584" s="3" t="n"/>
      <c r="U584" s="4" t="n"/>
      <c r="V584" s="3">
        <f>IF(OR(N(T584)=0,N(U584)=0),0,1-POISSON(IFERROR(VLOOKUP($C584,Assumptions!$A$4:$G$7,7,FALSE),99)-1,N(T584)*N(U584)/90,TRUE))</f>
        <v/>
      </c>
      <c r="W584" s="3" t="n"/>
      <c r="X584" s="3" t="n"/>
      <c r="Y584" s="3">
        <f>IF(X584="",IFERROR(VLOOKUP($C584,Assumptions!$A$4:$G$7,6,FALSE),0),X584)</f>
        <v/>
      </c>
      <c r="Z584" s="3">
        <f>N(O584)*IFERROR(VLOOKUP($C584,Assumptions!$A$4:$G$7,2,FALSE),0)</f>
        <v/>
      </c>
      <c r="AA584" s="3">
        <f>N(S584)*IFERROR(VLOOKUP($C584,Assumptions!$A$4:$G$7,3,FALSE),0)*Assumptions!$B$11</f>
        <v/>
      </c>
      <c r="AB584" s="3">
        <f>N(N584)*IFERROR(VLOOKUP($C584,Assumptions!$A$4:$G$7,4,FALSE),0)</f>
        <v/>
      </c>
      <c r="AC584" s="3">
        <f>IF(N(U584)=0,0,V584*IFERROR(VLOOKUP($C584,Assumptions!$A$4:$G$7,5,FALSE),0)*90/N(U584))</f>
        <v/>
      </c>
      <c r="AD584" s="3">
        <f>N(W584)</f>
        <v/>
      </c>
      <c r="AE584" s="3">
        <f>SUM(Y584:AD584)</f>
        <v/>
      </c>
      <c r="AF584" s="3">
        <f>N(AE584)*N(M584)/90</f>
        <v/>
      </c>
      <c r="AG584" s="3">
        <f>IFERROR(AF584-VLOOKUP($C584,Assumptions!$A$29:$C$32,3,FALSE),"")</f>
        <v/>
      </c>
      <c r="AH584" s="3">
        <f>IFERROR(AG584/F584,"")</f>
        <v/>
      </c>
      <c r="AI584">
        <f>IF(AND($E584=TRUE,$C584="GKP"),AF584,"")</f>
        <v/>
      </c>
      <c r="AJ584">
        <f>IF(AND($E584=TRUE,$C584="DEF"),AF584,"")</f>
        <v/>
      </c>
      <c r="AK584">
        <f>IF(AND($E584=TRUE,$C584="MID"),AF584,"")</f>
        <v/>
      </c>
      <c r="AL584">
        <f>IF(AND($E584=TRUE,$C584="FWD"),AF584,"")</f>
        <v/>
      </c>
    </row>
    <row r="585">
      <c r="A585" t="inlineStr">
        <is>
          <t>Lyle Foster</t>
        </is>
      </c>
      <c r="D585" t="inlineStr">
        <is>
          <t>FWD</t>
        </is>
      </c>
      <c r="E585" t="b">
        <v>0</v>
      </c>
      <c r="F585" s="2" t="n"/>
      <c r="I585" s="2" t="n">
        <v>1372</v>
      </c>
      <c r="K585" s="3" t="n"/>
      <c r="M585" s="4" t="n">
        <v>1372</v>
      </c>
      <c r="N585" s="4" t="n"/>
      <c r="O585" s="3" t="n">
        <v>0.2373</v>
      </c>
      <c r="P585" t="inlineStr">
        <is>
          <t>adjusted xGOT</t>
        </is>
      </c>
      <c r="Q585" s="3" t="n">
        <v>1.123</v>
      </c>
      <c r="R585" s="3" t="n">
        <v>7.6</v>
      </c>
      <c r="S585" s="3" t="n">
        <v>0.0752</v>
      </c>
      <c r="T585" s="3" t="n">
        <v>5.334</v>
      </c>
      <c r="U585" s="4" t="n">
        <v>90.7</v>
      </c>
      <c r="V585" s="3">
        <f>IF(OR(N(T585)=0,N(U585)=0),0,1-POISSON(IFERROR(VLOOKUP($C585,Assumptions!$A$4:$G$7,7,FALSE),99)-1,N(T585)*N(U585)/90,TRUE))</f>
        <v/>
      </c>
      <c r="W585" s="3" t="n">
        <v>0.2624</v>
      </c>
      <c r="X585" s="3" t="n">
        <v>2.624</v>
      </c>
      <c r="Y585" s="3">
        <f>IF(X585="",IFERROR(VLOOKUP($C585,Assumptions!$A$4:$G$7,6,FALSE),0),X585)</f>
        <v/>
      </c>
      <c r="Z585" s="3">
        <f>N(O585)*IFERROR(VLOOKUP($C585,Assumptions!$A$4:$G$7,2,FALSE),0)</f>
        <v/>
      </c>
      <c r="AA585" s="3">
        <f>N(S585)*IFERROR(VLOOKUP($C585,Assumptions!$A$4:$G$7,3,FALSE),0)*Assumptions!$B$11</f>
        <v/>
      </c>
      <c r="AB585" s="3">
        <f>N(N585)*IFERROR(VLOOKUP($C585,Assumptions!$A$4:$G$7,4,FALSE),0)</f>
        <v/>
      </c>
      <c r="AC585" s="3">
        <f>IF(N(U585)=0,0,V585*IFERROR(VLOOKUP($C585,Assumptions!$A$4:$G$7,5,FALSE),0)*90/N(U585))</f>
        <v/>
      </c>
      <c r="AD585" s="3">
        <f>N(W585)</f>
        <v/>
      </c>
      <c r="AE585" s="3">
        <f>SUM(Y585:AD585)</f>
        <v/>
      </c>
      <c r="AF585" s="3">
        <f>N(AE585)*N(M585)/90</f>
        <v/>
      </c>
      <c r="AG585" s="3">
        <f>IFERROR(AF585-VLOOKUP($C585,Assumptions!$A$29:$C$32,3,FALSE),"")</f>
        <v/>
      </c>
      <c r="AH585" s="3">
        <f>IFERROR(AG585/F585,"")</f>
        <v/>
      </c>
      <c r="AI585">
        <f>IF(AND($E585=TRUE,$C585="GKP"),AF585,"")</f>
        <v/>
      </c>
      <c r="AJ585">
        <f>IF(AND($E585=TRUE,$C585="DEF"),AF585,"")</f>
        <v/>
      </c>
      <c r="AK585">
        <f>IF(AND($E585=TRUE,$C585="MID"),AF585,"")</f>
        <v/>
      </c>
      <c r="AL585">
        <f>IF(AND($E585=TRUE,$C585="FWD"),AF585,"")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b">
        <v>1</v>
      </c>
      <c r="F586" s="2" t="n">
        <v>4</v>
      </c>
      <c r="G586" t="inlineStr">
        <is>
          <t>a</t>
        </is>
      </c>
      <c r="I586" s="2" t="n"/>
      <c r="K586" s="3" t="n">
        <v>847</v>
      </c>
      <c r="L586" t="inlineStr">
        <is>
          <t>flat</t>
        </is>
      </c>
      <c r="M586" s="4" t="n"/>
      <c r="N586" s="4" t="n"/>
      <c r="O586" s="3" t="n"/>
      <c r="P586" t="inlineStr"/>
      <c r="Q586" s="3" t="n"/>
      <c r="R586" s="3" t="n"/>
      <c r="S586" s="3" t="n"/>
      <c r="T586" s="3" t="n"/>
      <c r="U586" s="4" t="n"/>
      <c r="V586" s="3">
        <f>IF(OR(N(T586)=0,N(U586)=0),0,1-POISSON(IFERROR(VLOOKUP($C586,Assumptions!$A$4:$G$7,7,FALSE),99)-1,N(T586)*N(U586)/90,TRUE))</f>
        <v/>
      </c>
      <c r="W586" s="3" t="n"/>
      <c r="X586" s="3" t="n"/>
      <c r="Y586" s="3">
        <f>IF(X586="",IFERROR(VLOOKUP($C586,Assumptions!$A$4:$G$7,6,FALSE),0),X586)</f>
        <v/>
      </c>
      <c r="Z586" s="3">
        <f>N(O586)*IFERROR(VLOOKUP($C586,Assumptions!$A$4:$G$7,2,FALSE),0)</f>
        <v/>
      </c>
      <c r="AA586" s="3">
        <f>N(S586)*IFERROR(VLOOKUP($C586,Assumptions!$A$4:$G$7,3,FALSE),0)*Assumptions!$B$11</f>
        <v/>
      </c>
      <c r="AB586" s="3">
        <f>N(N586)*IFERROR(VLOOKUP($C586,Assumptions!$A$4:$G$7,4,FALSE),0)</f>
        <v/>
      </c>
      <c r="AC586" s="3">
        <f>IF(N(U586)=0,0,V586*IFERROR(VLOOKUP($C586,Assumptions!$A$4:$G$7,5,FALSE),0)*90/N(U586))</f>
        <v/>
      </c>
      <c r="AD586" s="3">
        <f>N(W586)</f>
        <v/>
      </c>
      <c r="AE586" s="3">
        <f>SUM(Y586:AD586)</f>
        <v/>
      </c>
      <c r="AF586" s="3">
        <f>N(AE586)*N(M586)/90</f>
        <v/>
      </c>
      <c r="AG586" s="3">
        <f>IFERROR(AF586-VLOOKUP($C586,Assumptions!$A$29:$C$32,3,FALSE),"")</f>
        <v/>
      </c>
      <c r="AH586" s="3">
        <f>IFERROR(AG586/F586,"")</f>
        <v/>
      </c>
      <c r="AI586">
        <f>IF(AND($E586=TRUE,$C586="GKP"),AF586,"")</f>
        <v/>
      </c>
      <c r="AJ586">
        <f>IF(AND($E586=TRUE,$C586="DEF"),AF586,"")</f>
        <v/>
      </c>
      <c r="AK586">
        <f>IF(AND($E586=TRUE,$C586="MID"),AF586,"")</f>
        <v/>
      </c>
      <c r="AL586">
        <f>IF(AND($E586=TRUE,$C586="FWD"),AF586,"")</f>
        <v/>
      </c>
    </row>
    <row r="587">
      <c r="A587" t="inlineStr">
        <is>
          <t>Mike Trésor</t>
        </is>
      </c>
      <c r="D587" t="inlineStr">
        <is>
          <t>MID</t>
        </is>
      </c>
      <c r="E587" t="b">
        <v>0</v>
      </c>
      <c r="F587" s="2" t="n"/>
      <c r="I587" s="2" t="n">
        <v>37</v>
      </c>
      <c r="K587" s="3" t="n"/>
      <c r="M587" s="4" t="n">
        <v>37</v>
      </c>
      <c r="N587" s="4" t="n"/>
      <c r="O587" s="3" t="n">
        <v>0</v>
      </c>
      <c r="P587" t="inlineStr">
        <is>
          <t>adjusted xGOT</t>
        </is>
      </c>
      <c r="Q587" s="3" t="n">
        <v>0.956</v>
      </c>
      <c r="R587" s="3" t="n">
        <v>0.4</v>
      </c>
      <c r="S587" s="3" t="n">
        <v>0</v>
      </c>
      <c r="T587" s="3" t="n">
        <v>8.752000000000001</v>
      </c>
      <c r="U587" s="4" t="n">
        <v>85</v>
      </c>
      <c r="V587" s="3">
        <f>IF(OR(N(T587)=0,N(U587)=0),0,1-POISSON(IFERROR(VLOOKUP($C587,Assumptions!$A$4:$G$7,7,FALSE),99)-1,N(T587)*N(U587)/90,TRUE))</f>
        <v/>
      </c>
      <c r="W587" s="3" t="n">
        <v>0</v>
      </c>
      <c r="X587" s="3" t="n">
        <v>14.595</v>
      </c>
      <c r="Y587" s="3">
        <f>IF(X587="",IFERROR(VLOOKUP($C587,Assumptions!$A$4:$G$7,6,FALSE),0),X587)</f>
        <v/>
      </c>
      <c r="Z587" s="3">
        <f>N(O587)*IFERROR(VLOOKUP($C587,Assumptions!$A$4:$G$7,2,FALSE),0)</f>
        <v/>
      </c>
      <c r="AA587" s="3">
        <f>N(S587)*IFERROR(VLOOKUP($C587,Assumptions!$A$4:$G$7,3,FALSE),0)*Assumptions!$B$11</f>
        <v/>
      </c>
      <c r="AB587" s="3">
        <f>N(N587)*IFERROR(VLOOKUP($C587,Assumptions!$A$4:$G$7,4,FALSE),0)</f>
        <v/>
      </c>
      <c r="AC587" s="3">
        <f>IF(N(U587)=0,0,V587*IFERROR(VLOOKUP($C587,Assumptions!$A$4:$G$7,5,FALSE),0)*90/N(U587))</f>
        <v/>
      </c>
      <c r="AD587" s="3">
        <f>N(W587)</f>
        <v/>
      </c>
      <c r="AE587" s="3">
        <f>SUM(Y587:AD587)</f>
        <v/>
      </c>
      <c r="AF587" s="3">
        <f>N(AE587)*N(M587)/90</f>
        <v/>
      </c>
      <c r="AG587" s="3">
        <f>IFERROR(AF587-VLOOKUP($C587,Assumptions!$A$29:$C$32,3,FALSE),"")</f>
        <v/>
      </c>
      <c r="AH587" s="3">
        <f>IFERROR(AG587/F587,"")</f>
        <v/>
      </c>
      <c r="AI587">
        <f>IF(AND($E587=TRUE,$C587="GKP"),AF587,"")</f>
        <v/>
      </c>
      <c r="AJ587">
        <f>IF(AND($E587=TRUE,$C587="DEF"),AF587,"")</f>
        <v/>
      </c>
      <c r="AK587">
        <f>IF(AND($E587=TRUE,$C587="MID"),AF587,"")</f>
        <v/>
      </c>
      <c r="AL587">
        <f>IF(AND($E587=TRUE,$C587="FWD"),AF587,"")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b">
        <v>1</v>
      </c>
      <c r="F588" s="2" t="n">
        <v>6.5</v>
      </c>
      <c r="G588" t="inlineStr">
        <is>
          <t>a</t>
        </is>
      </c>
      <c r="I588" s="2" t="n"/>
      <c r="K588" s="3" t="n">
        <v>2155</v>
      </c>
      <c r="L588" t="inlineStr">
        <is>
          <t>flat</t>
        </is>
      </c>
      <c r="M588" s="4" t="n"/>
      <c r="N588" s="4" t="n">
        <v>0.5</v>
      </c>
      <c r="O588" s="3" t="n"/>
      <c r="P588" t="inlineStr"/>
      <c r="Q588" s="3" t="n"/>
      <c r="R588" s="3" t="n"/>
      <c r="S588" s="3" t="n"/>
      <c r="T588" s="3" t="n"/>
      <c r="U588" s="4" t="n"/>
      <c r="V588" s="3">
        <f>IF(OR(N(T588)=0,N(U588)=0),0,1-POISSON(IFERROR(VLOOKUP($C588,Assumptions!$A$4:$G$7,7,FALSE),99)-1,N(T588)*N(U588)/90,TRUE))</f>
        <v/>
      </c>
      <c r="W588" s="3" t="n"/>
      <c r="X588" s="3" t="n"/>
      <c r="Y588" s="3">
        <f>IF(X588="",IFERROR(VLOOKUP($C588,Assumptions!$A$4:$G$7,6,FALSE),0),X588)</f>
        <v/>
      </c>
      <c r="Z588" s="3">
        <f>N(O588)*IFERROR(VLOOKUP($C588,Assumptions!$A$4:$G$7,2,FALSE),0)</f>
        <v/>
      </c>
      <c r="AA588" s="3">
        <f>N(S588)*IFERROR(VLOOKUP($C588,Assumptions!$A$4:$G$7,3,FALSE),0)*Assumptions!$B$11</f>
        <v/>
      </c>
      <c r="AB588" s="3">
        <f>N(N588)*IFERROR(VLOOKUP($C588,Assumptions!$A$4:$G$7,4,FALSE),0)</f>
        <v/>
      </c>
      <c r="AC588" s="3">
        <f>IF(N(U588)=0,0,V588*IFERROR(VLOOKUP($C588,Assumptions!$A$4:$G$7,5,FALSE),0)*90/N(U588))</f>
        <v/>
      </c>
      <c r="AD588" s="3">
        <f>N(W588)</f>
        <v/>
      </c>
      <c r="AE588" s="3">
        <f>SUM(Y588:AD588)</f>
        <v/>
      </c>
      <c r="AF588" s="3">
        <f>N(AE588)*N(M588)/90</f>
        <v/>
      </c>
      <c r="AG588" s="3">
        <f>IFERROR(AF588-VLOOKUP($C588,Assumptions!$A$29:$C$32,3,FALSE),"")</f>
        <v/>
      </c>
      <c r="AH588" s="3">
        <f>IFERROR(AG588/F588,"")</f>
        <v/>
      </c>
      <c r="AI588">
        <f>IF(AND($E588=TRUE,$C588="GKP"),AF588,"")</f>
        <v/>
      </c>
      <c r="AJ588">
        <f>IF(AND($E588=TRUE,$C588="DEF"),AF588,"")</f>
        <v/>
      </c>
      <c r="AK588">
        <f>IF(AND($E588=TRUE,$C588="MID"),AF588,"")</f>
        <v/>
      </c>
      <c r="AL588">
        <f>IF(AND($E588=TRUE,$C588="FWD"),AF588,"")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b">
        <v>1</v>
      </c>
      <c r="F589" s="2" t="n">
        <v>5</v>
      </c>
      <c r="G589" t="inlineStr">
        <is>
          <t>a</t>
        </is>
      </c>
      <c r="I589" s="2" t="n"/>
      <c r="K589" s="3" t="n">
        <v>192</v>
      </c>
      <c r="L589" t="inlineStr">
        <is>
          <t>flat</t>
        </is>
      </c>
      <c r="M589" s="4" t="n"/>
      <c r="N589" s="4" t="n"/>
      <c r="O589" s="3" t="n"/>
      <c r="P589" t="inlineStr"/>
      <c r="Q589" s="3" t="n"/>
      <c r="R589" s="3" t="n"/>
      <c r="S589" s="3" t="n"/>
      <c r="T589" s="3" t="n"/>
      <c r="U589" s="4" t="n"/>
      <c r="V589" s="3">
        <f>IF(OR(N(T589)=0,N(U589)=0),0,1-POISSON(IFERROR(VLOOKUP($C589,Assumptions!$A$4:$G$7,7,FALSE),99)-1,N(T589)*N(U589)/90,TRUE))</f>
        <v/>
      </c>
      <c r="W589" s="3" t="n"/>
      <c r="X589" s="3" t="n"/>
      <c r="Y589" s="3">
        <f>IF(X589="",IFERROR(VLOOKUP($C589,Assumptions!$A$4:$G$7,6,FALSE),0),X589)</f>
        <v/>
      </c>
      <c r="Z589" s="3">
        <f>N(O589)*IFERROR(VLOOKUP($C589,Assumptions!$A$4:$G$7,2,FALSE),0)</f>
        <v/>
      </c>
      <c r="AA589" s="3">
        <f>N(S589)*IFERROR(VLOOKUP($C589,Assumptions!$A$4:$G$7,3,FALSE),0)*Assumptions!$B$11</f>
        <v/>
      </c>
      <c r="AB589" s="3">
        <f>N(N589)*IFERROR(VLOOKUP($C589,Assumptions!$A$4:$G$7,4,FALSE),0)</f>
        <v/>
      </c>
      <c r="AC589" s="3">
        <f>IF(N(U589)=0,0,V589*IFERROR(VLOOKUP($C589,Assumptions!$A$4:$G$7,5,FALSE),0)*90/N(U589))</f>
        <v/>
      </c>
      <c r="AD589" s="3">
        <f>N(W589)</f>
        <v/>
      </c>
      <c r="AE589" s="3">
        <f>SUM(Y589:AD589)</f>
        <v/>
      </c>
      <c r="AF589" s="3">
        <f>N(AE589)*N(M589)/90</f>
        <v/>
      </c>
      <c r="AG589" s="3">
        <f>IFERROR(AF589-VLOOKUP($C589,Assumptions!$A$29:$C$32,3,FALSE),"")</f>
        <v/>
      </c>
      <c r="AH589" s="3">
        <f>IFERROR(AG589/F589,"")</f>
        <v/>
      </c>
      <c r="AI589">
        <f>IF(AND($E589=TRUE,$C589="GKP"),AF589,"")</f>
        <v/>
      </c>
      <c r="AJ589">
        <f>IF(AND($E589=TRUE,$C589="DEF"),AF589,"")</f>
        <v/>
      </c>
      <c r="AK589">
        <f>IF(AND($E589=TRUE,$C589="MID"),AF589,"")</f>
        <v/>
      </c>
      <c r="AL589">
        <f>IF(AND($E589=TRUE,$C589="FWD"),AF589,"")</f>
        <v/>
      </c>
    </row>
    <row r="590">
      <c r="A590" t="inlineStr">
        <is>
          <t>Armando Broja</t>
        </is>
      </c>
      <c r="D590" t="inlineStr">
        <is>
          <t>FWD</t>
        </is>
      </c>
      <c r="E590" t="b">
        <v>0</v>
      </c>
      <c r="F590" s="2" t="n"/>
      <c r="I590" s="2" t="n">
        <v>849</v>
      </c>
      <c r="K590" s="3" t="n"/>
      <c r="M590" s="4" t="n">
        <v>849</v>
      </c>
      <c r="N590" s="4" t="n"/>
      <c r="O590" s="3" t="n">
        <v>0.228</v>
      </c>
      <c r="P590" t="inlineStr">
        <is>
          <t>adjusted xGOT</t>
        </is>
      </c>
      <c r="Q590" s="3" t="n">
        <v>1.005</v>
      </c>
      <c r="R590" s="3" t="n">
        <v>5.3</v>
      </c>
      <c r="S590" s="3" t="n">
        <v>0.0646</v>
      </c>
      <c r="T590" s="3" t="n">
        <v>4.741</v>
      </c>
      <c r="U590" s="4" t="n">
        <v>105.4</v>
      </c>
      <c r="V590" s="3">
        <f>IF(OR(N(T590)=0,N(U590)=0),0,1-POISSON(IFERROR(VLOOKUP($C590,Assumptions!$A$4:$G$7,7,FALSE),99)-1,N(T590)*N(U590)/90,TRUE))</f>
        <v/>
      </c>
      <c r="W590" s="3" t="n">
        <v>0.212</v>
      </c>
      <c r="X590" s="3" t="n">
        <v>3.392</v>
      </c>
      <c r="Y590" s="3">
        <f>IF(X590="",IFERROR(VLOOKUP($C590,Assumptions!$A$4:$G$7,6,FALSE),0),X590)</f>
        <v/>
      </c>
      <c r="Z590" s="3">
        <f>N(O590)*IFERROR(VLOOKUP($C590,Assumptions!$A$4:$G$7,2,FALSE),0)</f>
        <v/>
      </c>
      <c r="AA590" s="3">
        <f>N(S590)*IFERROR(VLOOKUP($C590,Assumptions!$A$4:$G$7,3,FALSE),0)*Assumptions!$B$11</f>
        <v/>
      </c>
      <c r="AB590" s="3">
        <f>N(N590)*IFERROR(VLOOKUP($C590,Assumptions!$A$4:$G$7,4,FALSE),0)</f>
        <v/>
      </c>
      <c r="AC590" s="3">
        <f>IF(N(U590)=0,0,V590*IFERROR(VLOOKUP($C590,Assumptions!$A$4:$G$7,5,FALSE),0)*90/N(U590))</f>
        <v/>
      </c>
      <c r="AD590" s="3">
        <f>N(W590)</f>
        <v/>
      </c>
      <c r="AE590" s="3">
        <f>SUM(Y590:AD590)</f>
        <v/>
      </c>
      <c r="AF590" s="3">
        <f>N(AE590)*N(M590)/90</f>
        <v/>
      </c>
      <c r="AG590" s="3">
        <f>IFERROR(AF590-VLOOKUP($C590,Assumptions!$A$29:$C$32,3,FALSE),"")</f>
        <v/>
      </c>
      <c r="AH590" s="3">
        <f>IFERROR(AG590/F590,"")</f>
        <v/>
      </c>
      <c r="AI590">
        <f>IF(AND($E590=TRUE,$C590="GKP"),AF590,"")</f>
        <v/>
      </c>
      <c r="AJ590">
        <f>IF(AND($E590=TRUE,$C590="DEF"),AF590,"")</f>
        <v/>
      </c>
      <c r="AK590">
        <f>IF(AND($E590=TRUE,$C590="MID"),AF590,"")</f>
        <v/>
      </c>
      <c r="AL590">
        <f>IF(AND($E590=TRUE,$C590="FWD"),AF590,"")</f>
        <v/>
      </c>
    </row>
    <row r="591">
      <c r="A591" t="inlineStr">
        <is>
          <t>Ki-Jana Hoever</t>
        </is>
      </c>
      <c r="D591" t="inlineStr">
        <is>
          <t>DEF</t>
        </is>
      </c>
      <c r="E591" t="b">
        <v>0</v>
      </c>
      <c r="F591" s="2" t="n"/>
      <c r="I591" s="2" t="n">
        <v>428</v>
      </c>
      <c r="K591" s="3" t="n"/>
      <c r="M591" s="4" t="n">
        <v>428</v>
      </c>
      <c r="N591" s="4" t="n"/>
      <c r="O591" s="3" t="n">
        <v>0.0042</v>
      </c>
      <c r="P591" t="inlineStr">
        <is>
          <t>adjusted xGOT</t>
        </is>
      </c>
      <c r="Q591" s="3" t="n">
        <v>0.998</v>
      </c>
      <c r="R591" s="3" t="n">
        <v>0</v>
      </c>
      <c r="S591" s="3" t="n">
        <v>0.0712</v>
      </c>
      <c r="T591" s="3" t="n">
        <v>7.991</v>
      </c>
      <c r="U591" s="4" t="n">
        <v>70.5</v>
      </c>
      <c r="V591" s="3">
        <f>IF(OR(N(T591)=0,N(U591)=0),0,1-POISSON(IFERROR(VLOOKUP($C591,Assumptions!$A$4:$G$7,7,FALSE),99)-1,N(T591)*N(U591)/90,TRUE))</f>
        <v/>
      </c>
      <c r="W591" s="3" t="n">
        <v>0</v>
      </c>
      <c r="X591" s="3" t="n">
        <v>2.523</v>
      </c>
      <c r="Y591" s="3">
        <f>IF(X591="",IFERROR(VLOOKUP($C591,Assumptions!$A$4:$G$7,6,FALSE),0),X591)</f>
        <v/>
      </c>
      <c r="Z591" s="3">
        <f>N(O591)*IFERROR(VLOOKUP($C591,Assumptions!$A$4:$G$7,2,FALSE),0)</f>
        <v/>
      </c>
      <c r="AA591" s="3">
        <f>N(S591)*IFERROR(VLOOKUP($C591,Assumptions!$A$4:$G$7,3,FALSE),0)*Assumptions!$B$11</f>
        <v/>
      </c>
      <c r="AB591" s="3">
        <f>N(N591)*IFERROR(VLOOKUP($C591,Assumptions!$A$4:$G$7,4,FALSE),0)</f>
        <v/>
      </c>
      <c r="AC591" s="3">
        <f>IF(N(U591)=0,0,V591*IFERROR(VLOOKUP($C591,Assumptions!$A$4:$G$7,5,FALSE),0)*90/N(U591))</f>
        <v/>
      </c>
      <c r="AD591" s="3">
        <f>N(W591)</f>
        <v/>
      </c>
      <c r="AE591" s="3">
        <f>SUM(Y591:AD591)</f>
        <v/>
      </c>
      <c r="AF591" s="3">
        <f>N(AE591)*N(M591)/90</f>
        <v/>
      </c>
      <c r="AG591" s="3">
        <f>IFERROR(AF591-VLOOKUP($C591,Assumptions!$A$29:$C$32,3,FALSE),"")</f>
        <v/>
      </c>
      <c r="AH591" s="3">
        <f>IFERROR(AG591/F591,"")</f>
        <v/>
      </c>
      <c r="AI591">
        <f>IF(AND($E591=TRUE,$C591="GKP"),AF591,"")</f>
        <v/>
      </c>
      <c r="AJ591">
        <f>IF(AND($E591=TRUE,$C591="DEF"),AF591,"")</f>
        <v/>
      </c>
      <c r="AK591">
        <f>IF(AND($E591=TRUE,$C591="MID"),AF591,"")</f>
        <v/>
      </c>
      <c r="AL591">
        <f>IF(AND($E591=TRUE,$C591="FWD"),AF591,"")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b">
        <v>1</v>
      </c>
      <c r="F592" s="2" t="n">
        <v>5.5</v>
      </c>
      <c r="G592" t="inlineStr">
        <is>
          <t>a</t>
        </is>
      </c>
      <c r="I592" s="2" t="n"/>
      <c r="K592" s="3" t="n">
        <v>2502</v>
      </c>
      <c r="L592" t="inlineStr">
        <is>
          <t>flat</t>
        </is>
      </c>
      <c r="M592" s="4" t="n"/>
      <c r="N592" s="4" t="n"/>
      <c r="O592" s="3" t="n"/>
      <c r="P592" t="inlineStr"/>
      <c r="Q592" s="3" t="n"/>
      <c r="R592" s="3" t="n"/>
      <c r="S592" s="3" t="n"/>
      <c r="T592" s="3" t="n"/>
      <c r="U592" s="4" t="n"/>
      <c r="V592" s="3">
        <f>IF(OR(N(T592)=0,N(U592)=0),0,1-POISSON(IFERROR(VLOOKUP($C592,Assumptions!$A$4:$G$7,7,FALSE),99)-1,N(T592)*N(U592)/90,TRUE))</f>
        <v/>
      </c>
      <c r="W592" s="3" t="n"/>
      <c r="X592" s="3" t="n"/>
      <c r="Y592" s="3">
        <f>IF(X592="",IFERROR(VLOOKUP($C592,Assumptions!$A$4:$G$7,6,FALSE),0),X592)</f>
        <v/>
      </c>
      <c r="Z592" s="3">
        <f>N(O592)*IFERROR(VLOOKUP($C592,Assumptions!$A$4:$G$7,2,FALSE),0)</f>
        <v/>
      </c>
      <c r="AA592" s="3">
        <f>N(S592)*IFERROR(VLOOKUP($C592,Assumptions!$A$4:$G$7,3,FALSE),0)*Assumptions!$B$11</f>
        <v/>
      </c>
      <c r="AB592" s="3">
        <f>N(N592)*IFERROR(VLOOKUP($C592,Assumptions!$A$4:$G$7,4,FALSE),0)</f>
        <v/>
      </c>
      <c r="AC592" s="3">
        <f>IF(N(U592)=0,0,V592*IFERROR(VLOOKUP($C592,Assumptions!$A$4:$G$7,5,FALSE),0)*90/N(U592))</f>
        <v/>
      </c>
      <c r="AD592" s="3">
        <f>N(W592)</f>
        <v/>
      </c>
      <c r="AE592" s="3">
        <f>SUM(Y592:AD592)</f>
        <v/>
      </c>
      <c r="AF592" s="3">
        <f>N(AE592)*N(M592)/90</f>
        <v/>
      </c>
      <c r="AG592" s="3">
        <f>IFERROR(AF592-VLOOKUP($C592,Assumptions!$A$29:$C$32,3,FALSE),"")</f>
        <v/>
      </c>
      <c r="AH592" s="3">
        <f>IFERROR(AG592/F592,"")</f>
        <v/>
      </c>
      <c r="AI592">
        <f>IF(AND($E592=TRUE,$C592="GKP"),AF592,"")</f>
        <v/>
      </c>
      <c r="AJ592">
        <f>IF(AND($E592=TRUE,$C592="DEF"),AF592,"")</f>
        <v/>
      </c>
      <c r="AK592">
        <f>IF(AND($E592=TRUE,$C592="MID"),AF592,"")</f>
        <v/>
      </c>
      <c r="AL592">
        <f>IF(AND($E592=TRUE,$C592="FWD"),AF592,"")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b">
        <v>1</v>
      </c>
      <c r="F593" s="2" t="n">
        <v>5.5</v>
      </c>
      <c r="G593" t="inlineStr">
        <is>
          <t>a</t>
        </is>
      </c>
      <c r="I593" s="2" t="n"/>
      <c r="K593" s="3" t="n">
        <v>1060</v>
      </c>
      <c r="L593" t="inlineStr">
        <is>
          <t>flat</t>
        </is>
      </c>
      <c r="M593" s="4" t="n"/>
      <c r="N593" s="4" t="n"/>
      <c r="O593" s="3" t="n"/>
      <c r="P593" t="inlineStr"/>
      <c r="Q593" s="3" t="n"/>
      <c r="R593" s="3" t="n"/>
      <c r="S593" s="3" t="n"/>
      <c r="T593" s="3" t="n"/>
      <c r="U593" s="4" t="n"/>
      <c r="V593" s="3">
        <f>IF(OR(N(T593)=0,N(U593)=0),0,1-POISSON(IFERROR(VLOOKUP($C593,Assumptions!$A$4:$G$7,7,FALSE),99)-1,N(T593)*N(U593)/90,TRUE))</f>
        <v/>
      </c>
      <c r="W593" s="3" t="n"/>
      <c r="X593" s="3" t="n"/>
      <c r="Y593" s="3">
        <f>IF(X593="",IFERROR(VLOOKUP($C593,Assumptions!$A$4:$G$7,6,FALSE),0),X593)</f>
        <v/>
      </c>
      <c r="Z593" s="3">
        <f>N(O593)*IFERROR(VLOOKUP($C593,Assumptions!$A$4:$G$7,2,FALSE),0)</f>
        <v/>
      </c>
      <c r="AA593" s="3">
        <f>N(S593)*IFERROR(VLOOKUP($C593,Assumptions!$A$4:$G$7,3,FALSE),0)*Assumptions!$B$11</f>
        <v/>
      </c>
      <c r="AB593" s="3">
        <f>N(N593)*IFERROR(VLOOKUP($C593,Assumptions!$A$4:$G$7,4,FALSE),0)</f>
        <v/>
      </c>
      <c r="AC593" s="3">
        <f>IF(N(U593)=0,0,V593*IFERROR(VLOOKUP($C593,Assumptions!$A$4:$G$7,5,FALSE),0)*90/N(U593))</f>
        <v/>
      </c>
      <c r="AD593" s="3">
        <f>N(W593)</f>
        <v/>
      </c>
      <c r="AE593" s="3">
        <f>SUM(Y593:AD593)</f>
        <v/>
      </c>
      <c r="AF593" s="3">
        <f>N(AE593)*N(M593)/90</f>
        <v/>
      </c>
      <c r="AG593" s="3">
        <f>IFERROR(AF593-VLOOKUP($C593,Assumptions!$A$29:$C$32,3,FALSE),"")</f>
        <v/>
      </c>
      <c r="AH593" s="3">
        <f>IFERROR(AG593/F593,"")</f>
        <v/>
      </c>
      <c r="AI593">
        <f>IF(AND($E593=TRUE,$C593="GKP"),AF593,"")</f>
        <v/>
      </c>
      <c r="AJ593">
        <f>IF(AND($E593=TRUE,$C593="DEF"),AF593,"")</f>
        <v/>
      </c>
      <c r="AK593">
        <f>IF(AND($E593=TRUE,$C593="MID"),AF593,"")</f>
        <v/>
      </c>
      <c r="AL593">
        <f>IF(AND($E593=TRUE,$C593="FWD"),AF593,"")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b">
        <v>1</v>
      </c>
      <c r="F594" s="2" t="n">
        <v>4</v>
      </c>
      <c r="G594" t="inlineStr">
        <is>
          <t>a</t>
        </is>
      </c>
      <c r="I594" s="2" t="n"/>
      <c r="K594" s="3" t="n">
        <v>0</v>
      </c>
      <c r="L594" t="inlineStr">
        <is>
          <t>flat</t>
        </is>
      </c>
      <c r="M594" s="4" t="n"/>
      <c r="N594" s="4" t="n"/>
      <c r="O594" s="3" t="n"/>
      <c r="P594" t="inlineStr"/>
      <c r="Q594" s="3" t="n"/>
      <c r="R594" s="3" t="n"/>
      <c r="S594" s="3" t="n"/>
      <c r="T594" s="3" t="n">
        <v>0</v>
      </c>
      <c r="U594" s="4" t="n"/>
      <c r="V594" s="3">
        <f>IF(OR(N(T594)=0,N(U594)=0),0,1-POISSON(IFERROR(VLOOKUP($C594,Assumptions!$A$4:$G$7,7,FALSE),99)-1,N(T594)*N(U594)/90,TRUE))</f>
        <v/>
      </c>
      <c r="W594" s="3" t="n"/>
      <c r="X594" s="3" t="n"/>
      <c r="Y594" s="3">
        <f>IF(X594="",IFERROR(VLOOKUP($C594,Assumptions!$A$4:$G$7,6,FALSE),0),X594)</f>
        <v/>
      </c>
      <c r="Z594" s="3">
        <f>N(O594)*IFERROR(VLOOKUP($C594,Assumptions!$A$4:$G$7,2,FALSE),0)</f>
        <v/>
      </c>
      <c r="AA594" s="3">
        <f>N(S594)*IFERROR(VLOOKUP($C594,Assumptions!$A$4:$G$7,3,FALSE),0)*Assumptions!$B$11</f>
        <v/>
      </c>
      <c r="AB594" s="3">
        <f>N(N594)*IFERROR(VLOOKUP($C594,Assumptions!$A$4:$G$7,4,FALSE),0)</f>
        <v/>
      </c>
      <c r="AC594" s="3">
        <f>IF(N(U594)=0,0,V594*IFERROR(VLOOKUP($C594,Assumptions!$A$4:$G$7,5,FALSE),0)*90/N(U594))</f>
        <v/>
      </c>
      <c r="AD594" s="3">
        <f>N(W594)</f>
        <v/>
      </c>
      <c r="AE594" s="3">
        <f>SUM(Y594:AD594)</f>
        <v/>
      </c>
      <c r="AF594" s="3">
        <f>N(AE594)*N(M594)/90</f>
        <v/>
      </c>
      <c r="AG594" s="3">
        <f>IFERROR(AF594-VLOOKUP($C594,Assumptions!$A$29:$C$32,3,FALSE),"")</f>
        <v/>
      </c>
      <c r="AH594" s="3">
        <f>IFERROR(AG594/F594,"")</f>
        <v/>
      </c>
      <c r="AI594">
        <f>IF(AND($E594=TRUE,$C594="GKP"),AF594,"")</f>
        <v/>
      </c>
      <c r="AJ594">
        <f>IF(AND($E594=TRUE,$C594="DEF"),AF594,"")</f>
        <v/>
      </c>
      <c r="AK594">
        <f>IF(AND($E594=TRUE,$C594="MID"),AF594,"")</f>
        <v/>
      </c>
      <c r="AL594">
        <f>IF(AND($E594=TRUE,$C594="FWD"),AF594,"")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b">
        <v>1</v>
      </c>
      <c r="F595" s="2" t="n">
        <v>5</v>
      </c>
      <c r="G595" t="inlineStr">
        <is>
          <t>a</t>
        </is>
      </c>
      <c r="I595" s="2" t="n"/>
      <c r="K595" s="3" t="n">
        <v>2525</v>
      </c>
      <c r="L595" t="inlineStr">
        <is>
          <t>flat</t>
        </is>
      </c>
      <c r="M595" s="4" t="n"/>
      <c r="N595" s="4" t="n"/>
      <c r="O595" s="3" t="n"/>
      <c r="P595" t="inlineStr"/>
      <c r="Q595" s="3" t="n"/>
      <c r="R595" s="3" t="n"/>
      <c r="S595" s="3" t="n"/>
      <c r="T595" s="3" t="n"/>
      <c r="U595" s="4" t="n"/>
      <c r="V595" s="3">
        <f>IF(OR(N(T595)=0,N(U595)=0),0,1-POISSON(IFERROR(VLOOKUP($C595,Assumptions!$A$4:$G$7,7,FALSE),99)-1,N(T595)*N(U595)/90,TRUE))</f>
        <v/>
      </c>
      <c r="W595" s="3" t="n"/>
      <c r="X595" s="3" t="n"/>
      <c r="Y595" s="3">
        <f>IF(X595="",IFERROR(VLOOKUP($C595,Assumptions!$A$4:$G$7,6,FALSE),0),X595)</f>
        <v/>
      </c>
      <c r="Z595" s="3">
        <f>N(O595)*IFERROR(VLOOKUP($C595,Assumptions!$A$4:$G$7,2,FALSE),0)</f>
        <v/>
      </c>
      <c r="AA595" s="3">
        <f>N(S595)*IFERROR(VLOOKUP($C595,Assumptions!$A$4:$G$7,3,FALSE),0)*Assumptions!$B$11</f>
        <v/>
      </c>
      <c r="AB595" s="3">
        <f>N(N595)*IFERROR(VLOOKUP($C595,Assumptions!$A$4:$G$7,4,FALSE),0)</f>
        <v/>
      </c>
      <c r="AC595" s="3">
        <f>IF(N(U595)=0,0,V595*IFERROR(VLOOKUP($C595,Assumptions!$A$4:$G$7,5,FALSE),0)*90/N(U595))</f>
        <v/>
      </c>
      <c r="AD595" s="3">
        <f>N(W595)</f>
        <v/>
      </c>
      <c r="AE595" s="3">
        <f>SUM(Y595:AD595)</f>
        <v/>
      </c>
      <c r="AF595" s="3">
        <f>N(AE595)*N(M595)/90</f>
        <v/>
      </c>
      <c r="AG595" s="3">
        <f>IFERROR(AF595-VLOOKUP($C595,Assumptions!$A$29:$C$32,3,FALSE),"")</f>
        <v/>
      </c>
      <c r="AH595" s="3">
        <f>IFERROR(AG595/F595,"")</f>
        <v/>
      </c>
      <c r="AI595">
        <f>IF(AND($E595=TRUE,$C595="GKP"),AF595,"")</f>
        <v/>
      </c>
      <c r="AJ595">
        <f>IF(AND($E595=TRUE,$C595="DEF"),AF595,"")</f>
        <v/>
      </c>
      <c r="AK595">
        <f>IF(AND($E595=TRUE,$C595="MID"),AF595,"")</f>
        <v/>
      </c>
      <c r="AL595">
        <f>IF(AND($E595=TRUE,$C595="FWD"),AF595,"")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b">
        <v>1</v>
      </c>
      <c r="F596" s="2" t="n">
        <v>5.5</v>
      </c>
      <c r="G596" t="inlineStr">
        <is>
          <t>a</t>
        </is>
      </c>
      <c r="I596" s="2" t="n"/>
      <c r="K596" s="3" t="n">
        <v>1984</v>
      </c>
      <c r="L596" t="inlineStr">
        <is>
          <t>flat</t>
        </is>
      </c>
      <c r="M596" s="4" t="n"/>
      <c r="N596" s="4" t="n">
        <v>0.263</v>
      </c>
      <c r="O596" s="3" t="n"/>
      <c r="P596" t="inlineStr"/>
      <c r="Q596" s="3" t="n"/>
      <c r="R596" s="3" t="n"/>
      <c r="S596" s="3" t="n"/>
      <c r="T596" s="3" t="n"/>
      <c r="U596" s="4" t="n"/>
      <c r="V596" s="3">
        <f>IF(OR(N(T596)=0,N(U596)=0),0,1-POISSON(IFERROR(VLOOKUP($C596,Assumptions!$A$4:$G$7,7,FALSE),99)-1,N(T596)*N(U596)/90,TRUE))</f>
        <v/>
      </c>
      <c r="W596" s="3" t="n"/>
      <c r="X596" s="3" t="n"/>
      <c r="Y596" s="3">
        <f>IF(X596="",IFERROR(VLOOKUP($C596,Assumptions!$A$4:$G$7,6,FALSE),0),X596)</f>
        <v/>
      </c>
      <c r="Z596" s="3">
        <f>N(O596)*IFERROR(VLOOKUP($C596,Assumptions!$A$4:$G$7,2,FALSE),0)</f>
        <v/>
      </c>
      <c r="AA596" s="3">
        <f>N(S596)*IFERROR(VLOOKUP($C596,Assumptions!$A$4:$G$7,3,FALSE),0)*Assumptions!$B$11</f>
        <v/>
      </c>
      <c r="AB596" s="3">
        <f>N(N596)*IFERROR(VLOOKUP($C596,Assumptions!$A$4:$G$7,4,FALSE),0)</f>
        <v/>
      </c>
      <c r="AC596" s="3">
        <f>IF(N(U596)=0,0,V596*IFERROR(VLOOKUP($C596,Assumptions!$A$4:$G$7,5,FALSE),0)*90/N(U596))</f>
        <v/>
      </c>
      <c r="AD596" s="3">
        <f>N(W596)</f>
        <v/>
      </c>
      <c r="AE596" s="3">
        <f>SUM(Y596:AD596)</f>
        <v/>
      </c>
      <c r="AF596" s="3">
        <f>N(AE596)*N(M596)/90</f>
        <v/>
      </c>
      <c r="AG596" s="3">
        <f>IFERROR(AF596-VLOOKUP($C596,Assumptions!$A$29:$C$32,3,FALSE),"")</f>
        <v/>
      </c>
      <c r="AH596" s="3">
        <f>IFERROR(AG596/F596,"")</f>
        <v/>
      </c>
      <c r="AI596">
        <f>IF(AND($E596=TRUE,$C596="GKP"),AF596,"")</f>
        <v/>
      </c>
      <c r="AJ596">
        <f>IF(AND($E596=TRUE,$C596="DEF"),AF596,"")</f>
        <v/>
      </c>
      <c r="AK596">
        <f>IF(AND($E596=TRUE,$C596="MID"),AF596,"")</f>
        <v/>
      </c>
      <c r="AL596">
        <f>IF(AND($E596=TRUE,$C596="FWD"),AF596,"")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b">
        <v>1</v>
      </c>
      <c r="F597" s="2" t="n">
        <v>4</v>
      </c>
      <c r="G597" t="inlineStr">
        <is>
          <t>d</t>
        </is>
      </c>
      <c r="H597" t="inlineStr">
        <is>
          <t>Hip injury - 75% chance of playing</t>
        </is>
      </c>
      <c r="I597" s="2" t="n"/>
      <c r="K597" s="3" t="n">
        <v>38</v>
      </c>
      <c r="L597" t="inlineStr">
        <is>
          <t>flat</t>
        </is>
      </c>
      <c r="M597" s="4" t="n"/>
      <c r="N597" s="4" t="n"/>
      <c r="O597" s="3" t="n"/>
      <c r="P597" t="inlineStr"/>
      <c r="Q597" s="3" t="n"/>
      <c r="R597" s="3" t="n"/>
      <c r="S597" s="3" t="n"/>
      <c r="T597" s="3" t="n"/>
      <c r="U597" s="4" t="n"/>
      <c r="V597" s="3">
        <f>IF(OR(N(T597)=0,N(U597)=0),0,1-POISSON(IFERROR(VLOOKUP($C597,Assumptions!$A$4:$G$7,7,FALSE),99)-1,N(T597)*N(U597)/90,TRUE))</f>
        <v/>
      </c>
      <c r="W597" s="3" t="n"/>
      <c r="X597" s="3" t="n"/>
      <c r="Y597" s="3">
        <f>IF(X597="",IFERROR(VLOOKUP($C597,Assumptions!$A$4:$G$7,6,FALSE),0),X597)</f>
        <v/>
      </c>
      <c r="Z597" s="3">
        <f>N(O597)*IFERROR(VLOOKUP($C597,Assumptions!$A$4:$G$7,2,FALSE),0)</f>
        <v/>
      </c>
      <c r="AA597" s="3">
        <f>N(S597)*IFERROR(VLOOKUP($C597,Assumptions!$A$4:$G$7,3,FALSE),0)*Assumptions!$B$11</f>
        <v/>
      </c>
      <c r="AB597" s="3">
        <f>N(N597)*IFERROR(VLOOKUP($C597,Assumptions!$A$4:$G$7,4,FALSE),0)</f>
        <v/>
      </c>
      <c r="AC597" s="3">
        <f>IF(N(U597)=0,0,V597*IFERROR(VLOOKUP($C597,Assumptions!$A$4:$G$7,5,FALSE),0)*90/N(U597))</f>
        <v/>
      </c>
      <c r="AD597" s="3">
        <f>N(W597)</f>
        <v/>
      </c>
      <c r="AE597" s="3">
        <f>SUM(Y597:AD597)</f>
        <v/>
      </c>
      <c r="AF597" s="3">
        <f>N(AE597)*N(M597)/90</f>
        <v/>
      </c>
      <c r="AG597" s="3">
        <f>IFERROR(AF597-VLOOKUP($C597,Assumptions!$A$29:$C$32,3,FALSE),"")</f>
        <v/>
      </c>
      <c r="AH597" s="3">
        <f>IFERROR(AG597/F597,"")</f>
        <v/>
      </c>
      <c r="AI597">
        <f>IF(AND($E597=TRUE,$C597="GKP"),AF597,"")</f>
        <v/>
      </c>
      <c r="AJ597">
        <f>IF(AND($E597=TRUE,$C597="DEF"),AF597,"")</f>
        <v/>
      </c>
      <c r="AK597">
        <f>IF(AND($E597=TRUE,$C597="MID"),AF597,"")</f>
        <v/>
      </c>
      <c r="AL597">
        <f>IF(AND($E597=TRUE,$C597="FWD"),AF597,"")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b">
        <v>1</v>
      </c>
      <c r="F598" s="2" t="n">
        <v>4</v>
      </c>
      <c r="G598" t="inlineStr">
        <is>
          <t>a</t>
        </is>
      </c>
      <c r="I598" s="2" t="n"/>
      <c r="K598" s="3" t="n">
        <v>1533</v>
      </c>
      <c r="L598" t="inlineStr">
        <is>
          <t>flat</t>
        </is>
      </c>
      <c r="M598" s="4" t="n"/>
      <c r="N598" s="4" t="n"/>
      <c r="O598" s="3" t="n"/>
      <c r="P598" t="inlineStr"/>
      <c r="Q598" s="3" t="n"/>
      <c r="R598" s="3" t="n"/>
      <c r="S598" s="3" t="n"/>
      <c r="T598" s="3" t="n"/>
      <c r="U598" s="4" t="n"/>
      <c r="V598" s="3">
        <f>IF(OR(N(T598)=0,N(U598)=0),0,1-POISSON(IFERROR(VLOOKUP($C598,Assumptions!$A$4:$G$7,7,FALSE),99)-1,N(T598)*N(U598)/90,TRUE))</f>
        <v/>
      </c>
      <c r="W598" s="3" t="n"/>
      <c r="X598" s="3" t="n"/>
      <c r="Y598" s="3">
        <f>IF(X598="",IFERROR(VLOOKUP($C598,Assumptions!$A$4:$G$7,6,FALSE),0),X598)</f>
        <v/>
      </c>
      <c r="Z598" s="3">
        <f>N(O598)*IFERROR(VLOOKUP($C598,Assumptions!$A$4:$G$7,2,FALSE),0)</f>
        <v/>
      </c>
      <c r="AA598" s="3">
        <f>N(S598)*IFERROR(VLOOKUP($C598,Assumptions!$A$4:$G$7,3,FALSE),0)*Assumptions!$B$11</f>
        <v/>
      </c>
      <c r="AB598" s="3">
        <f>N(N598)*IFERROR(VLOOKUP($C598,Assumptions!$A$4:$G$7,4,FALSE),0)</f>
        <v/>
      </c>
      <c r="AC598" s="3">
        <f>IF(N(U598)=0,0,V598*IFERROR(VLOOKUP($C598,Assumptions!$A$4:$G$7,5,FALSE),0)*90/N(U598))</f>
        <v/>
      </c>
      <c r="AD598" s="3">
        <f>N(W598)</f>
        <v/>
      </c>
      <c r="AE598" s="3">
        <f>SUM(Y598:AD598)</f>
        <v/>
      </c>
      <c r="AF598" s="3">
        <f>N(AE598)*N(M598)/90</f>
        <v/>
      </c>
      <c r="AG598" s="3">
        <f>IFERROR(AF598-VLOOKUP($C598,Assumptions!$A$29:$C$32,3,FALSE),"")</f>
        <v/>
      </c>
      <c r="AH598" s="3">
        <f>IFERROR(AG598/F598,"")</f>
        <v/>
      </c>
      <c r="AI598">
        <f>IF(AND($E598=TRUE,$C598="GKP"),AF598,"")</f>
        <v/>
      </c>
      <c r="AJ598">
        <f>IF(AND($E598=TRUE,$C598="DEF"),AF598,"")</f>
        <v/>
      </c>
      <c r="AK598">
        <f>IF(AND($E598=TRUE,$C598="MID"),AF598,"")</f>
        <v/>
      </c>
      <c r="AL598">
        <f>IF(AND($E598=TRUE,$C598="FWD"),AF598,"")</f>
        <v/>
      </c>
    </row>
    <row r="599">
      <c r="A599" t="inlineStr">
        <is>
          <t>Crysencio Summerville</t>
        </is>
      </c>
      <c r="D599" t="inlineStr">
        <is>
          <t>MID</t>
        </is>
      </c>
      <c r="E599" t="b">
        <v>0</v>
      </c>
      <c r="F599" s="2" t="n"/>
      <c r="I599" s="2" t="n">
        <v>2480</v>
      </c>
      <c r="K599" s="3" t="n"/>
      <c r="M599" s="4" t="n">
        <v>2480</v>
      </c>
      <c r="N599" s="4" t="n"/>
      <c r="O599" s="3" t="n">
        <v>0.2029</v>
      </c>
      <c r="P599" t="inlineStr">
        <is>
          <t>adjusted xGOT</t>
        </is>
      </c>
      <c r="Q599" s="3" t="n">
        <v>1.03</v>
      </c>
      <c r="R599" s="3" t="n">
        <v>9.9</v>
      </c>
      <c r="S599" s="3" t="n">
        <v>0.1174</v>
      </c>
      <c r="T599" s="3" t="n">
        <v>8.002000000000001</v>
      </c>
      <c r="U599" s="4" t="n">
        <v>85.2</v>
      </c>
      <c r="V599" s="3">
        <f>IF(OR(N(T599)=0,N(U599)=0),0,1-POISSON(IFERROR(VLOOKUP($C599,Assumptions!$A$4:$G$7,7,FALSE),99)-1,N(T599)*N(U599)/90,TRUE))</f>
        <v/>
      </c>
      <c r="W599" s="3" t="n">
        <v>0.3266</v>
      </c>
      <c r="X599" s="3" t="n">
        <v>2.141</v>
      </c>
      <c r="Y599" s="3">
        <f>IF(X599="",IFERROR(VLOOKUP($C599,Assumptions!$A$4:$G$7,6,FALSE),0),X599)</f>
        <v/>
      </c>
      <c r="Z599" s="3">
        <f>N(O599)*IFERROR(VLOOKUP($C599,Assumptions!$A$4:$G$7,2,FALSE),0)</f>
        <v/>
      </c>
      <c r="AA599" s="3">
        <f>N(S599)*IFERROR(VLOOKUP($C599,Assumptions!$A$4:$G$7,3,FALSE),0)*Assumptions!$B$11</f>
        <v/>
      </c>
      <c r="AB599" s="3">
        <f>N(N599)*IFERROR(VLOOKUP($C599,Assumptions!$A$4:$G$7,4,FALSE),0)</f>
        <v/>
      </c>
      <c r="AC599" s="3">
        <f>IF(N(U599)=0,0,V599*IFERROR(VLOOKUP($C599,Assumptions!$A$4:$G$7,5,FALSE),0)*90/N(U599))</f>
        <v/>
      </c>
      <c r="AD599" s="3">
        <f>N(W599)</f>
        <v/>
      </c>
      <c r="AE599" s="3">
        <f>SUM(Y599:AD599)</f>
        <v/>
      </c>
      <c r="AF599" s="3">
        <f>N(AE599)*N(M599)/90</f>
        <v/>
      </c>
      <c r="AG599" s="3">
        <f>IFERROR(AF599-VLOOKUP($C599,Assumptions!$A$29:$C$32,3,FALSE),"")</f>
        <v/>
      </c>
      <c r="AH599" s="3">
        <f>IFERROR(AG599/F599,"")</f>
        <v/>
      </c>
      <c r="AI599">
        <f>IF(AND($E599=TRUE,$C599="GKP"),AF599,"")</f>
        <v/>
      </c>
      <c r="AJ599">
        <f>IF(AND($E599=TRUE,$C599="DEF"),AF599,"")</f>
        <v/>
      </c>
      <c r="AK599">
        <f>IF(AND($E599=TRUE,$C599="MID"),AF599,"")</f>
        <v/>
      </c>
      <c r="AL599">
        <f>IF(AND($E599=TRUE,$C599="FWD"),AF599,"")</f>
        <v/>
      </c>
    </row>
    <row r="600">
      <c r="A600" t="inlineStr">
        <is>
          <t>Myles Peart-Harris</t>
        </is>
      </c>
      <c r="D600" t="inlineStr">
        <is>
          <t>MID</t>
        </is>
      </c>
      <c r="E600" t="b">
        <v>0</v>
      </c>
      <c r="F600" s="2" t="n"/>
      <c r="I600" s="2" t="n">
        <v>1</v>
      </c>
      <c r="K600" s="3" t="n"/>
      <c r="M600" s="4" t="n">
        <v>1</v>
      </c>
      <c r="N600" s="4" t="n"/>
      <c r="O600" s="3" t="n">
        <v>0</v>
      </c>
      <c r="P600" t="inlineStr">
        <is>
          <t>blended xG</t>
        </is>
      </c>
      <c r="Q600" s="3" t="n">
        <v>1</v>
      </c>
      <c r="R600" s="3" t="n">
        <v>0</v>
      </c>
      <c r="S600" s="3" t="n">
        <v>0</v>
      </c>
      <c r="T600" s="3" t="n">
        <v>8.565</v>
      </c>
      <c r="U600" s="4" t="n">
        <v>85</v>
      </c>
      <c r="V600" s="3">
        <f>IF(OR(N(T600)=0,N(U600)=0),0,1-POISSON(IFERROR(VLOOKUP($C600,Assumptions!$A$4:$G$7,7,FALSE),99)-1,N(T600)*N(U600)/90,TRUE))</f>
        <v/>
      </c>
      <c r="W600" s="3" t="n">
        <v>0</v>
      </c>
      <c r="X600" s="3" t="n">
        <v>90</v>
      </c>
      <c r="Y600" s="3">
        <f>IF(X600="",IFERROR(VLOOKUP($C600,Assumptions!$A$4:$G$7,6,FALSE),0),X600)</f>
        <v/>
      </c>
      <c r="Z600" s="3">
        <f>N(O600)*IFERROR(VLOOKUP($C600,Assumptions!$A$4:$G$7,2,FALSE),0)</f>
        <v/>
      </c>
      <c r="AA600" s="3">
        <f>N(S600)*IFERROR(VLOOKUP($C600,Assumptions!$A$4:$G$7,3,FALSE),0)*Assumptions!$B$11</f>
        <v/>
      </c>
      <c r="AB600" s="3">
        <f>N(N600)*IFERROR(VLOOKUP($C600,Assumptions!$A$4:$G$7,4,FALSE),0)</f>
        <v/>
      </c>
      <c r="AC600" s="3">
        <f>IF(N(U600)=0,0,V600*IFERROR(VLOOKUP($C600,Assumptions!$A$4:$G$7,5,FALSE),0)*90/N(U600))</f>
        <v/>
      </c>
      <c r="AD600" s="3">
        <f>N(W600)</f>
        <v/>
      </c>
      <c r="AE600" s="3">
        <f>SUM(Y600:AD600)</f>
        <v/>
      </c>
      <c r="AF600" s="3">
        <f>N(AE600)*N(M600)/90</f>
        <v/>
      </c>
      <c r="AG600" s="3">
        <f>IFERROR(AF600-VLOOKUP($C600,Assumptions!$A$29:$C$32,3,FALSE),"")</f>
        <v/>
      </c>
      <c r="AH600" s="3">
        <f>IFERROR(AG600/F600,"")</f>
        <v/>
      </c>
      <c r="AI600">
        <f>IF(AND($E600=TRUE,$C600="GKP"),AF600,"")</f>
        <v/>
      </c>
      <c r="AJ600">
        <f>IF(AND($E600=TRUE,$C600="DEF"),AF600,"")</f>
        <v/>
      </c>
      <c r="AK600">
        <f>IF(AND($E600=TRUE,$C600="MID"),AF600,"")</f>
        <v/>
      </c>
      <c r="AL600">
        <f>IF(AND($E600=TRUE,$C600="FWD"),AF600,"")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b">
        <v>1</v>
      </c>
      <c r="F601" s="2" t="n">
        <v>4</v>
      </c>
      <c r="G601" t="inlineStr">
        <is>
          <t>a</t>
        </is>
      </c>
      <c r="I601" s="2" t="n"/>
      <c r="K601" s="3" t="n">
        <v>3342</v>
      </c>
      <c r="L601" t="inlineStr">
        <is>
          <t>flat</t>
        </is>
      </c>
      <c r="M601" s="4" t="n"/>
      <c r="N601" s="4" t="n"/>
      <c r="O601" s="3" t="n"/>
      <c r="P601" t="inlineStr"/>
      <c r="Q601" s="3" t="n"/>
      <c r="R601" s="3" t="n"/>
      <c r="S601" s="3" t="n"/>
      <c r="T601" s="3" t="n"/>
      <c r="U601" s="4" t="n"/>
      <c r="V601" s="3">
        <f>IF(OR(N(T601)=0,N(U601)=0),0,1-POISSON(IFERROR(VLOOKUP($C601,Assumptions!$A$4:$G$7,7,FALSE),99)-1,N(T601)*N(U601)/90,TRUE))</f>
        <v/>
      </c>
      <c r="W601" s="3" t="n"/>
      <c r="X601" s="3" t="n"/>
      <c r="Y601" s="3">
        <f>IF(X601="",IFERROR(VLOOKUP($C601,Assumptions!$A$4:$G$7,6,FALSE),0),X601)</f>
        <v/>
      </c>
      <c r="Z601" s="3">
        <f>N(O601)*IFERROR(VLOOKUP($C601,Assumptions!$A$4:$G$7,2,FALSE),0)</f>
        <v/>
      </c>
      <c r="AA601" s="3">
        <f>N(S601)*IFERROR(VLOOKUP($C601,Assumptions!$A$4:$G$7,3,FALSE),0)*Assumptions!$B$11</f>
        <v/>
      </c>
      <c r="AB601" s="3">
        <f>N(N601)*IFERROR(VLOOKUP($C601,Assumptions!$A$4:$G$7,4,FALSE),0)</f>
        <v/>
      </c>
      <c r="AC601" s="3">
        <f>IF(N(U601)=0,0,V601*IFERROR(VLOOKUP($C601,Assumptions!$A$4:$G$7,5,FALSE),0)*90/N(U601))</f>
        <v/>
      </c>
      <c r="AD601" s="3">
        <f>N(W601)</f>
        <v/>
      </c>
      <c r="AE601" s="3">
        <f>SUM(Y601:AD601)</f>
        <v/>
      </c>
      <c r="AF601" s="3">
        <f>N(AE601)*N(M601)/90</f>
        <v/>
      </c>
      <c r="AG601" s="3">
        <f>IFERROR(AF601-VLOOKUP($C601,Assumptions!$A$29:$C$32,3,FALSE),"")</f>
        <v/>
      </c>
      <c r="AH601" s="3">
        <f>IFERROR(AG601/F601,"")</f>
        <v/>
      </c>
      <c r="AI601">
        <f>IF(AND($E601=TRUE,$C601="GKP"),AF601,"")</f>
        <v/>
      </c>
      <c r="AJ601">
        <f>IF(AND($E601=TRUE,$C601="DEF"),AF601,"")</f>
        <v/>
      </c>
      <c r="AK601">
        <f>IF(AND($E601=TRUE,$C601="MID"),AF601,"")</f>
        <v/>
      </c>
      <c r="AL601">
        <f>IF(AND($E601=TRUE,$C601="FWD"),AF601,"")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b">
        <v>1</v>
      </c>
      <c r="F602" s="2" t="n">
        <v>4.5</v>
      </c>
      <c r="G602" t="inlineStr">
        <is>
          <t>a</t>
        </is>
      </c>
      <c r="I602" s="2" t="n"/>
      <c r="K602" s="3" t="n">
        <v>346</v>
      </c>
      <c r="L602" t="inlineStr">
        <is>
          <t>flat</t>
        </is>
      </c>
      <c r="M602" s="4" t="n"/>
      <c r="N602" s="4" t="n">
        <v>0.263</v>
      </c>
      <c r="O602" s="3" t="n"/>
      <c r="P602" t="inlineStr"/>
      <c r="Q602" s="3" t="n"/>
      <c r="R602" s="3" t="n"/>
      <c r="S602" s="3" t="n"/>
      <c r="T602" s="3" t="n"/>
      <c r="U602" s="4" t="n"/>
      <c r="V602" s="3">
        <f>IF(OR(N(T602)=0,N(U602)=0),0,1-POISSON(IFERROR(VLOOKUP($C602,Assumptions!$A$4:$G$7,7,FALSE),99)-1,N(T602)*N(U602)/90,TRUE))</f>
        <v/>
      </c>
      <c r="W602" s="3" t="n"/>
      <c r="X602" s="3" t="n"/>
      <c r="Y602" s="3">
        <f>IF(X602="",IFERROR(VLOOKUP($C602,Assumptions!$A$4:$G$7,6,FALSE),0),X602)</f>
        <v/>
      </c>
      <c r="Z602" s="3">
        <f>N(O602)*IFERROR(VLOOKUP($C602,Assumptions!$A$4:$G$7,2,FALSE),0)</f>
        <v/>
      </c>
      <c r="AA602" s="3">
        <f>N(S602)*IFERROR(VLOOKUP($C602,Assumptions!$A$4:$G$7,3,FALSE),0)*Assumptions!$B$11</f>
        <v/>
      </c>
      <c r="AB602" s="3">
        <f>N(N602)*IFERROR(VLOOKUP($C602,Assumptions!$A$4:$G$7,4,FALSE),0)</f>
        <v/>
      </c>
      <c r="AC602" s="3">
        <f>IF(N(U602)=0,0,V602*IFERROR(VLOOKUP($C602,Assumptions!$A$4:$G$7,5,FALSE),0)*90/N(U602))</f>
        <v/>
      </c>
      <c r="AD602" s="3">
        <f>N(W602)</f>
        <v/>
      </c>
      <c r="AE602" s="3">
        <f>SUM(Y602:AD602)</f>
        <v/>
      </c>
      <c r="AF602" s="3">
        <f>N(AE602)*N(M602)/90</f>
        <v/>
      </c>
      <c r="AG602" s="3">
        <f>IFERROR(AF602-VLOOKUP($C602,Assumptions!$A$29:$C$32,3,FALSE),"")</f>
        <v/>
      </c>
      <c r="AH602" s="3">
        <f>IFERROR(AG602/F602,"")</f>
        <v/>
      </c>
      <c r="AI602">
        <f>IF(AND($E602=TRUE,$C602="GKP"),AF602,"")</f>
        <v/>
      </c>
      <c r="AJ602">
        <f>IF(AND($E602=TRUE,$C602="DEF"),AF602,"")</f>
        <v/>
      </c>
      <c r="AK602">
        <f>IF(AND($E602=TRUE,$C602="MID"),AF602,"")</f>
        <v/>
      </c>
      <c r="AL602">
        <f>IF(AND($E602=TRUE,$C602="FWD"),AF602,"")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b">
        <v>1</v>
      </c>
      <c r="F603" s="2" t="n">
        <v>5</v>
      </c>
      <c r="G603" t="inlineStr">
        <is>
          <t>a</t>
        </is>
      </c>
      <c r="I603" s="2" t="n"/>
      <c r="K603" s="3" t="n">
        <v>148</v>
      </c>
      <c r="L603" t="inlineStr">
        <is>
          <t>flat</t>
        </is>
      </c>
      <c r="M603" s="4" t="n"/>
      <c r="N603" s="4" t="n">
        <v>0.263</v>
      </c>
      <c r="O603" s="3" t="n"/>
      <c r="P603" t="inlineStr"/>
      <c r="Q603" s="3" t="n"/>
      <c r="R603" s="3" t="n"/>
      <c r="S603" s="3" t="n"/>
      <c r="T603" s="3" t="n"/>
      <c r="U603" s="4" t="n"/>
      <c r="V603" s="3">
        <f>IF(OR(N(T603)=0,N(U603)=0),0,1-POISSON(IFERROR(VLOOKUP($C603,Assumptions!$A$4:$G$7,7,FALSE),99)-1,N(T603)*N(U603)/90,TRUE))</f>
        <v/>
      </c>
      <c r="W603" s="3" t="n"/>
      <c r="X603" s="3" t="n"/>
      <c r="Y603" s="3">
        <f>IF(X603="",IFERROR(VLOOKUP($C603,Assumptions!$A$4:$G$7,6,FALSE),0),X603)</f>
        <v/>
      </c>
      <c r="Z603" s="3">
        <f>N(O603)*IFERROR(VLOOKUP($C603,Assumptions!$A$4:$G$7,2,FALSE),0)</f>
        <v/>
      </c>
      <c r="AA603" s="3">
        <f>N(S603)*IFERROR(VLOOKUP($C603,Assumptions!$A$4:$G$7,3,FALSE),0)*Assumptions!$B$11</f>
        <v/>
      </c>
      <c r="AB603" s="3">
        <f>N(N603)*IFERROR(VLOOKUP($C603,Assumptions!$A$4:$G$7,4,FALSE),0)</f>
        <v/>
      </c>
      <c r="AC603" s="3">
        <f>IF(N(U603)=0,0,V603*IFERROR(VLOOKUP($C603,Assumptions!$A$4:$G$7,5,FALSE),0)*90/N(U603))</f>
        <v/>
      </c>
      <c r="AD603" s="3">
        <f>N(W603)</f>
        <v/>
      </c>
      <c r="AE603" s="3">
        <f>SUM(Y603:AD603)</f>
        <v/>
      </c>
      <c r="AF603" s="3">
        <f>N(AE603)*N(M603)/90</f>
        <v/>
      </c>
      <c r="AG603" s="3">
        <f>IFERROR(AF603-VLOOKUP($C603,Assumptions!$A$29:$C$32,3,FALSE),"")</f>
        <v/>
      </c>
      <c r="AH603" s="3">
        <f>IFERROR(AG603/F603,"")</f>
        <v/>
      </c>
      <c r="AI603">
        <f>IF(AND($E603=TRUE,$C603="GKP"),AF603,"")</f>
        <v/>
      </c>
      <c r="AJ603">
        <f>IF(AND($E603=TRUE,$C603="DEF"),AF603,"")</f>
        <v/>
      </c>
      <c r="AK603">
        <f>IF(AND($E603=TRUE,$C603="MID"),AF603,"")</f>
        <v/>
      </c>
      <c r="AL603">
        <f>IF(AND($E603=TRUE,$C603="FWD"),AF603,"")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b">
        <v>1</v>
      </c>
      <c r="F604" s="2" t="n">
        <v>4</v>
      </c>
      <c r="G604" t="inlineStr">
        <is>
          <t>a</t>
        </is>
      </c>
      <c r="I604" s="2" t="n"/>
      <c r="K604" s="3" t="n">
        <v>3186</v>
      </c>
      <c r="L604" t="inlineStr">
        <is>
          <t>flat</t>
        </is>
      </c>
      <c r="M604" s="4" t="n"/>
      <c r="N604" s="4" t="n"/>
      <c r="O604" s="3" t="n"/>
      <c r="P604" t="inlineStr"/>
      <c r="Q604" s="3" t="n"/>
      <c r="R604" s="3" t="n"/>
      <c r="S604" s="3" t="n"/>
      <c r="T604" s="3" t="n"/>
      <c r="U604" s="4" t="n"/>
      <c r="V604" s="3">
        <f>IF(OR(N(T604)=0,N(U604)=0),0,1-POISSON(IFERROR(VLOOKUP($C604,Assumptions!$A$4:$G$7,7,FALSE),99)-1,N(T604)*N(U604)/90,TRUE))</f>
        <v/>
      </c>
      <c r="W604" s="3" t="n"/>
      <c r="X604" s="3" t="n"/>
      <c r="Y604" s="3">
        <f>IF(X604="",IFERROR(VLOOKUP($C604,Assumptions!$A$4:$G$7,6,FALSE),0),X604)</f>
        <v/>
      </c>
      <c r="Z604" s="3">
        <f>N(O604)*IFERROR(VLOOKUP($C604,Assumptions!$A$4:$G$7,2,FALSE),0)</f>
        <v/>
      </c>
      <c r="AA604" s="3">
        <f>N(S604)*IFERROR(VLOOKUP($C604,Assumptions!$A$4:$G$7,3,FALSE),0)*Assumptions!$B$11</f>
        <v/>
      </c>
      <c r="AB604" s="3">
        <f>N(N604)*IFERROR(VLOOKUP($C604,Assumptions!$A$4:$G$7,4,FALSE),0)</f>
        <v/>
      </c>
      <c r="AC604" s="3">
        <f>IF(N(U604)=0,0,V604*IFERROR(VLOOKUP($C604,Assumptions!$A$4:$G$7,5,FALSE),0)*90/N(U604))</f>
        <v/>
      </c>
      <c r="AD604" s="3">
        <f>N(W604)</f>
        <v/>
      </c>
      <c r="AE604" s="3">
        <f>SUM(Y604:AD604)</f>
        <v/>
      </c>
      <c r="AF604" s="3">
        <f>N(AE604)*N(M604)/90</f>
        <v/>
      </c>
      <c r="AG604" s="3">
        <f>IFERROR(AF604-VLOOKUP($C604,Assumptions!$A$29:$C$32,3,FALSE),"")</f>
        <v/>
      </c>
      <c r="AH604" s="3">
        <f>IFERROR(AG604/F604,"")</f>
        <v/>
      </c>
      <c r="AI604">
        <f>IF(AND($E604=TRUE,$C604="GKP"),AF604,"")</f>
        <v/>
      </c>
      <c r="AJ604">
        <f>IF(AND($E604=TRUE,$C604="DEF"),AF604,"")</f>
        <v/>
      </c>
      <c r="AK604">
        <f>IF(AND($E604=TRUE,$C604="MID"),AF604,"")</f>
        <v/>
      </c>
      <c r="AL604">
        <f>IF(AND($E604=TRUE,$C604="FWD"),AF604,"")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b">
        <v>1</v>
      </c>
      <c r="F605" s="2" t="n">
        <v>4</v>
      </c>
      <c r="G605" t="inlineStr">
        <is>
          <t>a</t>
        </is>
      </c>
      <c r="I605" s="2" t="n"/>
      <c r="K605" s="3" t="n">
        <v>3135</v>
      </c>
      <c r="L605" t="inlineStr">
        <is>
          <t>flat</t>
        </is>
      </c>
      <c r="M605" s="4" t="n"/>
      <c r="N605" s="4" t="n"/>
      <c r="O605" s="3" t="n"/>
      <c r="P605" t="inlineStr"/>
      <c r="Q605" s="3" t="n"/>
      <c r="R605" s="3" t="n"/>
      <c r="S605" s="3" t="n"/>
      <c r="T605" s="3" t="n"/>
      <c r="U605" s="4" t="n"/>
      <c r="V605" s="3">
        <f>IF(OR(N(T605)=0,N(U605)=0),0,1-POISSON(IFERROR(VLOOKUP($C605,Assumptions!$A$4:$G$7,7,FALSE),99)-1,N(T605)*N(U605)/90,TRUE))</f>
        <v/>
      </c>
      <c r="W605" s="3" t="n"/>
      <c r="X605" s="3" t="n"/>
      <c r="Y605" s="3">
        <f>IF(X605="",IFERROR(VLOOKUP($C605,Assumptions!$A$4:$G$7,6,FALSE),0),X605)</f>
        <v/>
      </c>
      <c r="Z605" s="3">
        <f>N(O605)*IFERROR(VLOOKUP($C605,Assumptions!$A$4:$G$7,2,FALSE),0)</f>
        <v/>
      </c>
      <c r="AA605" s="3">
        <f>N(S605)*IFERROR(VLOOKUP($C605,Assumptions!$A$4:$G$7,3,FALSE),0)*Assumptions!$B$11</f>
        <v/>
      </c>
      <c r="AB605" s="3">
        <f>N(N605)*IFERROR(VLOOKUP($C605,Assumptions!$A$4:$G$7,4,FALSE),0)</f>
        <v/>
      </c>
      <c r="AC605" s="3">
        <f>IF(N(U605)=0,0,V605*IFERROR(VLOOKUP($C605,Assumptions!$A$4:$G$7,5,FALSE),0)*90/N(U605))</f>
        <v/>
      </c>
      <c r="AD605" s="3">
        <f>N(W605)</f>
        <v/>
      </c>
      <c r="AE605" s="3">
        <f>SUM(Y605:AD605)</f>
        <v/>
      </c>
      <c r="AF605" s="3">
        <f>N(AE605)*N(M605)/90</f>
        <v/>
      </c>
      <c r="AG605" s="3">
        <f>IFERROR(AF605-VLOOKUP($C605,Assumptions!$A$29:$C$32,3,FALSE),"")</f>
        <v/>
      </c>
      <c r="AH605" s="3">
        <f>IFERROR(AG605/F605,"")</f>
        <v/>
      </c>
      <c r="AI605">
        <f>IF(AND($E605=TRUE,$C605="GKP"),AF605,"")</f>
        <v/>
      </c>
      <c r="AJ605">
        <f>IF(AND($E605=TRUE,$C605="DEF"),AF605,"")</f>
        <v/>
      </c>
      <c r="AK605">
        <f>IF(AND($E605=TRUE,$C605="MID"),AF605,"")</f>
        <v/>
      </c>
      <c r="AL605">
        <f>IF(AND($E605=TRUE,$C605="FWD"),AF605,"")</f>
        <v/>
      </c>
    </row>
    <row r="606">
      <c r="A606" t="inlineStr">
        <is>
          <t>Bashir Humphreys</t>
        </is>
      </c>
      <c r="D606" t="inlineStr">
        <is>
          <t>DEF</t>
        </is>
      </c>
      <c r="E606" t="b">
        <v>0</v>
      </c>
      <c r="F606" s="2" t="n"/>
      <c r="I606" s="2" t="n">
        <v>1578</v>
      </c>
      <c r="K606" s="3" t="n"/>
      <c r="M606" s="4" t="n">
        <v>1578</v>
      </c>
      <c r="N606" s="4" t="n"/>
      <c r="O606" s="3" t="n">
        <v>0.0245</v>
      </c>
      <c r="P606" t="inlineStr">
        <is>
          <t>adjusted xGOT</t>
        </is>
      </c>
      <c r="Q606" s="3" t="n">
        <v>1.021</v>
      </c>
      <c r="R606" s="3" t="n">
        <v>0.4</v>
      </c>
      <c r="S606" s="3" t="n">
        <v>0.0493</v>
      </c>
      <c r="T606" s="3" t="n">
        <v>7.944</v>
      </c>
      <c r="U606" s="4" t="n">
        <v>92.59999999999999</v>
      </c>
      <c r="V606" s="3">
        <f>IF(OR(N(T606)=0,N(U606)=0),0,1-POISSON(IFERROR(VLOOKUP($C606,Assumptions!$A$4:$G$7,7,FALSE),99)-1,N(T606)*N(U606)/90,TRUE))</f>
        <v/>
      </c>
      <c r="W606" s="3" t="n">
        <v>0</v>
      </c>
      <c r="X606" s="3" t="n">
        <v>2.167</v>
      </c>
      <c r="Y606" s="3">
        <f>IF(X606="",IFERROR(VLOOKUP($C606,Assumptions!$A$4:$G$7,6,FALSE),0),X606)</f>
        <v/>
      </c>
      <c r="Z606" s="3">
        <f>N(O606)*IFERROR(VLOOKUP($C606,Assumptions!$A$4:$G$7,2,FALSE),0)</f>
        <v/>
      </c>
      <c r="AA606" s="3">
        <f>N(S606)*IFERROR(VLOOKUP($C606,Assumptions!$A$4:$G$7,3,FALSE),0)*Assumptions!$B$11</f>
        <v/>
      </c>
      <c r="AB606" s="3">
        <f>N(N606)*IFERROR(VLOOKUP($C606,Assumptions!$A$4:$G$7,4,FALSE),0)</f>
        <v/>
      </c>
      <c r="AC606" s="3">
        <f>IF(N(U606)=0,0,V606*IFERROR(VLOOKUP($C606,Assumptions!$A$4:$G$7,5,FALSE),0)*90/N(U606))</f>
        <v/>
      </c>
      <c r="AD606" s="3">
        <f>N(W606)</f>
        <v/>
      </c>
      <c r="AE606" s="3">
        <f>SUM(Y606:AD606)</f>
        <v/>
      </c>
      <c r="AF606" s="3">
        <f>N(AE606)*N(M606)/90</f>
        <v/>
      </c>
      <c r="AG606" s="3">
        <f>IFERROR(AF606-VLOOKUP($C606,Assumptions!$A$29:$C$32,3,FALSE),"")</f>
        <v/>
      </c>
      <c r="AH606" s="3">
        <f>IFERROR(AG606/F606,"")</f>
        <v/>
      </c>
      <c r="AI606">
        <f>IF(AND($E606=TRUE,$C606="GKP"),AF606,"")</f>
        <v/>
      </c>
      <c r="AJ606">
        <f>IF(AND($E606=TRUE,$C606="DEF"),AF606,"")</f>
        <v/>
      </c>
      <c r="AK606">
        <f>IF(AND($E606=TRUE,$C606="MID"),AF606,"")</f>
        <v/>
      </c>
      <c r="AL606">
        <f>IF(AND($E606=TRUE,$C606="FWD"),AF606,"")</f>
        <v/>
      </c>
    </row>
    <row r="607">
      <c r="A607" t="inlineStr">
        <is>
          <t>Dennis Cirkin</t>
        </is>
      </c>
      <c r="D607" t="inlineStr">
        <is>
          <t>DEF</t>
        </is>
      </c>
      <c r="E607" t="b">
        <v>0</v>
      </c>
      <c r="F607" s="2" t="n"/>
      <c r="I607" s="2" t="n">
        <v>320</v>
      </c>
      <c r="K607" s="3" t="n"/>
      <c r="M607" s="4" t="n">
        <v>320</v>
      </c>
      <c r="N607" s="4" t="n"/>
      <c r="O607" s="3" t="n">
        <v>0.0222</v>
      </c>
      <c r="P607" t="inlineStr">
        <is>
          <t>adjusted xGOT</t>
        </is>
      </c>
      <c r="Q607" s="3" t="n">
        <v>0.99</v>
      </c>
      <c r="R607" s="3" t="n">
        <v>0.1</v>
      </c>
      <c r="S607" s="3" t="n">
        <v>0</v>
      </c>
      <c r="T607" s="3" t="n">
        <v>7.751</v>
      </c>
      <c r="U607" s="4" t="n">
        <v>106.3</v>
      </c>
      <c r="V607" s="3">
        <f>IF(OR(N(T607)=0,N(U607)=0),0,1-POISSON(IFERROR(VLOOKUP($C607,Assumptions!$A$4:$G$7,7,FALSE),99)-1,N(T607)*N(U607)/90,TRUE))</f>
        <v/>
      </c>
      <c r="W607" s="3" t="n">
        <v>0</v>
      </c>
      <c r="X607" s="3" t="n">
        <v>2.812</v>
      </c>
      <c r="Y607" s="3">
        <f>IF(X607="",IFERROR(VLOOKUP($C607,Assumptions!$A$4:$G$7,6,FALSE),0),X607)</f>
        <v/>
      </c>
      <c r="Z607" s="3">
        <f>N(O607)*IFERROR(VLOOKUP($C607,Assumptions!$A$4:$G$7,2,FALSE),0)</f>
        <v/>
      </c>
      <c r="AA607" s="3">
        <f>N(S607)*IFERROR(VLOOKUP($C607,Assumptions!$A$4:$G$7,3,FALSE),0)*Assumptions!$B$11</f>
        <v/>
      </c>
      <c r="AB607" s="3">
        <f>N(N607)*IFERROR(VLOOKUP($C607,Assumptions!$A$4:$G$7,4,FALSE),0)</f>
        <v/>
      </c>
      <c r="AC607" s="3">
        <f>IF(N(U607)=0,0,V607*IFERROR(VLOOKUP($C607,Assumptions!$A$4:$G$7,5,FALSE),0)*90/N(U607))</f>
        <v/>
      </c>
      <c r="AD607" s="3">
        <f>N(W607)</f>
        <v/>
      </c>
      <c r="AE607" s="3">
        <f>SUM(Y607:AD607)</f>
        <v/>
      </c>
      <c r="AF607" s="3">
        <f>N(AE607)*N(M607)/90</f>
        <v/>
      </c>
      <c r="AG607" s="3">
        <f>IFERROR(AF607-VLOOKUP($C607,Assumptions!$A$29:$C$32,3,FALSE),"")</f>
        <v/>
      </c>
      <c r="AH607" s="3">
        <f>IFERROR(AG607/F607,"")</f>
        <v/>
      </c>
      <c r="AI607">
        <f>IF(AND($E607=TRUE,$C607="GKP"),AF607,"")</f>
        <v/>
      </c>
      <c r="AJ607">
        <f>IF(AND($E607=TRUE,$C607="DEF"),AF607,"")</f>
        <v/>
      </c>
      <c r="AK607">
        <f>IF(AND($E607=TRUE,$C607="MID"),AF607,"")</f>
        <v/>
      </c>
      <c r="AL607">
        <f>IF(AND($E607=TRUE,$C607="FWD"),AF607,"")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b">
        <v>1</v>
      </c>
      <c r="F608" s="2" t="n">
        <v>4.5</v>
      </c>
      <c r="G608" t="inlineStr">
        <is>
          <t>a</t>
        </is>
      </c>
      <c r="I608" s="2" t="n"/>
      <c r="K608" s="3" t="n">
        <v>0</v>
      </c>
      <c r="L608" t="inlineStr">
        <is>
          <t>flat</t>
        </is>
      </c>
      <c r="M608" s="4" t="n"/>
      <c r="N608" s="4" t="n"/>
      <c r="O608" s="3" t="n"/>
      <c r="P608" t="inlineStr"/>
      <c r="Q608" s="3" t="n"/>
      <c r="R608" s="3" t="n"/>
      <c r="S608" s="3" t="n"/>
      <c r="T608" s="3" t="n"/>
      <c r="U608" s="4" t="n"/>
      <c r="V608" s="3">
        <f>IF(OR(N(T608)=0,N(U608)=0),0,1-POISSON(IFERROR(VLOOKUP($C608,Assumptions!$A$4:$G$7,7,FALSE),99)-1,N(T608)*N(U608)/90,TRUE))</f>
        <v/>
      </c>
      <c r="W608" s="3" t="n"/>
      <c r="X608" s="3" t="n"/>
      <c r="Y608" s="3">
        <f>IF(X608="",IFERROR(VLOOKUP($C608,Assumptions!$A$4:$G$7,6,FALSE),0),X608)</f>
        <v/>
      </c>
      <c r="Z608" s="3">
        <f>N(O608)*IFERROR(VLOOKUP($C608,Assumptions!$A$4:$G$7,2,FALSE),0)</f>
        <v/>
      </c>
      <c r="AA608" s="3">
        <f>N(S608)*IFERROR(VLOOKUP($C608,Assumptions!$A$4:$G$7,3,FALSE),0)*Assumptions!$B$11</f>
        <v/>
      </c>
      <c r="AB608" s="3">
        <f>N(N608)*IFERROR(VLOOKUP($C608,Assumptions!$A$4:$G$7,4,FALSE),0)</f>
        <v/>
      </c>
      <c r="AC608" s="3">
        <f>IF(N(U608)=0,0,V608*IFERROR(VLOOKUP($C608,Assumptions!$A$4:$G$7,5,FALSE),0)*90/N(U608))</f>
        <v/>
      </c>
      <c r="AD608" s="3">
        <f>N(W608)</f>
        <v/>
      </c>
      <c r="AE608" s="3">
        <f>SUM(Y608:AD608)</f>
        <v/>
      </c>
      <c r="AF608" s="3">
        <f>N(AE608)*N(M608)/90</f>
        <v/>
      </c>
      <c r="AG608" s="3">
        <f>IFERROR(AF608-VLOOKUP($C608,Assumptions!$A$29:$C$32,3,FALSE),"")</f>
        <v/>
      </c>
      <c r="AH608" s="3">
        <f>IFERROR(AG608/F608,"")</f>
        <v/>
      </c>
      <c r="AI608">
        <f>IF(AND($E608=TRUE,$C608="GKP"),AF608,"")</f>
        <v/>
      </c>
      <c r="AJ608">
        <f>IF(AND($E608=TRUE,$C608="DEF"),AF608,"")</f>
        <v/>
      </c>
      <c r="AK608">
        <f>IF(AND($E608=TRUE,$C608="MID"),AF608,"")</f>
        <v/>
      </c>
      <c r="AL608">
        <f>IF(AND($E608=TRUE,$C608="FWD"),AF608,"")</f>
        <v/>
      </c>
    </row>
    <row r="609">
      <c r="A609" t="inlineStr">
        <is>
          <t>Jean-Clair Todibo</t>
        </is>
      </c>
      <c r="D609" t="inlineStr">
        <is>
          <t>DEF</t>
        </is>
      </c>
      <c r="E609" t="b">
        <v>0</v>
      </c>
      <c r="F609" s="2" t="n"/>
      <c r="I609" s="2" t="n">
        <v>1817</v>
      </c>
      <c r="K609" s="3" t="n"/>
      <c r="M609" s="4" t="n">
        <v>1817</v>
      </c>
      <c r="N609" s="4" t="n"/>
      <c r="O609" s="3" t="n">
        <v>0.0115</v>
      </c>
      <c r="P609" t="inlineStr">
        <is>
          <t>adjusted xGOT</t>
        </is>
      </c>
      <c r="Q609" s="3" t="n">
        <v>0.929</v>
      </c>
      <c r="R609" s="3" t="n">
        <v>0.6</v>
      </c>
      <c r="S609" s="3" t="n">
        <v>0.0188</v>
      </c>
      <c r="T609" s="3" t="n">
        <v>8.034000000000001</v>
      </c>
      <c r="U609" s="4" t="n">
        <v>82.59999999999999</v>
      </c>
      <c r="V609" s="3">
        <f>IF(OR(N(T609)=0,N(U609)=0),0,1-POISSON(IFERROR(VLOOKUP($C609,Assumptions!$A$4:$G$7,7,FALSE),99)-1,N(T609)*N(U609)/90,TRUE))</f>
        <v/>
      </c>
      <c r="W609" s="3" t="n">
        <v>0.0495</v>
      </c>
      <c r="X609" s="3" t="n">
        <v>2.08</v>
      </c>
      <c r="Y609" s="3">
        <f>IF(X609="",IFERROR(VLOOKUP($C609,Assumptions!$A$4:$G$7,6,FALSE),0),X609)</f>
        <v/>
      </c>
      <c r="Z609" s="3">
        <f>N(O609)*IFERROR(VLOOKUP($C609,Assumptions!$A$4:$G$7,2,FALSE),0)</f>
        <v/>
      </c>
      <c r="AA609" s="3">
        <f>N(S609)*IFERROR(VLOOKUP($C609,Assumptions!$A$4:$G$7,3,FALSE),0)*Assumptions!$B$11</f>
        <v/>
      </c>
      <c r="AB609" s="3">
        <f>N(N609)*IFERROR(VLOOKUP($C609,Assumptions!$A$4:$G$7,4,FALSE),0)</f>
        <v/>
      </c>
      <c r="AC609" s="3">
        <f>IF(N(U609)=0,0,V609*IFERROR(VLOOKUP($C609,Assumptions!$A$4:$G$7,5,FALSE),0)*90/N(U609))</f>
        <v/>
      </c>
      <c r="AD609" s="3">
        <f>N(W609)</f>
        <v/>
      </c>
      <c r="AE609" s="3">
        <f>SUM(Y609:AD609)</f>
        <v/>
      </c>
      <c r="AF609" s="3">
        <f>N(AE609)*N(M609)/90</f>
        <v/>
      </c>
      <c r="AG609" s="3">
        <f>IFERROR(AF609-VLOOKUP($C609,Assumptions!$A$29:$C$32,3,FALSE),"")</f>
        <v/>
      </c>
      <c r="AH609" s="3">
        <f>IFERROR(AG609/F609,"")</f>
        <v/>
      </c>
      <c r="AI609">
        <f>IF(AND($E609=TRUE,$C609="GKP"),AF609,"")</f>
        <v/>
      </c>
      <c r="AJ609">
        <f>IF(AND($E609=TRUE,$C609="DEF"),AF609,"")</f>
        <v/>
      </c>
      <c r="AK609">
        <f>IF(AND($E609=TRUE,$C609="MID"),AF609,"")</f>
        <v/>
      </c>
      <c r="AL609">
        <f>IF(AND($E609=TRUE,$C609="FWD"),AF609,"")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b">
        <v>1</v>
      </c>
      <c r="F610" s="2" t="n">
        <v>5</v>
      </c>
      <c r="G610" t="inlineStr">
        <is>
          <t>a</t>
        </is>
      </c>
      <c r="I610" s="2" t="n"/>
      <c r="K610" s="3" t="n">
        <v>38</v>
      </c>
      <c r="L610" t="inlineStr">
        <is>
          <t>flat</t>
        </is>
      </c>
      <c r="M610" s="4" t="n"/>
      <c r="N610" s="4" t="n"/>
      <c r="O610" s="3" t="n"/>
      <c r="P610" t="inlineStr"/>
      <c r="Q610" s="3" t="n"/>
      <c r="R610" s="3" t="n"/>
      <c r="S610" s="3" t="n"/>
      <c r="T610" s="3" t="n"/>
      <c r="U610" s="4" t="n"/>
      <c r="V610" s="3">
        <f>IF(OR(N(T610)=0,N(U610)=0),0,1-POISSON(IFERROR(VLOOKUP($C610,Assumptions!$A$4:$G$7,7,FALSE),99)-1,N(T610)*N(U610)/90,TRUE))</f>
        <v/>
      </c>
      <c r="W610" s="3" t="n"/>
      <c r="X610" s="3" t="n"/>
      <c r="Y610" s="3">
        <f>IF(X610="",IFERROR(VLOOKUP($C610,Assumptions!$A$4:$G$7,6,FALSE),0),X610)</f>
        <v/>
      </c>
      <c r="Z610" s="3">
        <f>N(O610)*IFERROR(VLOOKUP($C610,Assumptions!$A$4:$G$7,2,FALSE),0)</f>
        <v/>
      </c>
      <c r="AA610" s="3">
        <f>N(S610)*IFERROR(VLOOKUP($C610,Assumptions!$A$4:$G$7,3,FALSE),0)*Assumptions!$B$11</f>
        <v/>
      </c>
      <c r="AB610" s="3">
        <f>N(N610)*IFERROR(VLOOKUP($C610,Assumptions!$A$4:$G$7,4,FALSE),0)</f>
        <v/>
      </c>
      <c r="AC610" s="3">
        <f>IF(N(U610)=0,0,V610*IFERROR(VLOOKUP($C610,Assumptions!$A$4:$G$7,5,FALSE),0)*90/N(U610))</f>
        <v/>
      </c>
      <c r="AD610" s="3">
        <f>N(W610)</f>
        <v/>
      </c>
      <c r="AE610" s="3">
        <f>SUM(Y610:AD610)</f>
        <v/>
      </c>
      <c r="AF610" s="3">
        <f>N(AE610)*N(M610)/90</f>
        <v/>
      </c>
      <c r="AG610" s="3">
        <f>IFERROR(AF610-VLOOKUP($C610,Assumptions!$A$29:$C$32,3,FALSE),"")</f>
        <v/>
      </c>
      <c r="AH610" s="3">
        <f>IFERROR(AG610/F610,"")</f>
        <v/>
      </c>
      <c r="AI610">
        <f>IF(AND($E610=TRUE,$C610="GKP"),AF610,"")</f>
        <v/>
      </c>
      <c r="AJ610">
        <f>IF(AND($E610=TRUE,$C610="DEF"),AF610,"")</f>
        <v/>
      </c>
      <c r="AK610">
        <f>IF(AND($E610=TRUE,$C610="MID"),AF610,"")</f>
        <v/>
      </c>
      <c r="AL610">
        <f>IF(AND($E610=TRUE,$C610="FWD"),AF610,"")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b">
        <v>1</v>
      </c>
      <c r="F611" s="2" t="n">
        <v>5</v>
      </c>
      <c r="G611" t="inlineStr">
        <is>
          <t>a</t>
        </is>
      </c>
      <c r="I611" s="2" t="n"/>
      <c r="K611" s="3" t="n">
        <v>1305</v>
      </c>
      <c r="L611" t="inlineStr">
        <is>
          <t>flat</t>
        </is>
      </c>
      <c r="M611" s="4" t="n"/>
      <c r="N611" s="4" t="n">
        <v>0.237</v>
      </c>
      <c r="O611" s="3" t="n"/>
      <c r="P611" t="inlineStr"/>
      <c r="Q611" s="3" t="n"/>
      <c r="R611" s="3" t="n"/>
      <c r="S611" s="3" t="n"/>
      <c r="T611" s="3" t="n"/>
      <c r="U611" s="4" t="n"/>
      <c r="V611" s="3">
        <f>IF(OR(N(T611)=0,N(U611)=0),0,1-POISSON(IFERROR(VLOOKUP($C611,Assumptions!$A$4:$G$7,7,FALSE),99)-1,N(T611)*N(U611)/90,TRUE))</f>
        <v/>
      </c>
      <c r="W611" s="3" t="n"/>
      <c r="X611" s="3" t="n"/>
      <c r="Y611" s="3">
        <f>IF(X611="",IFERROR(VLOOKUP($C611,Assumptions!$A$4:$G$7,6,FALSE),0),X611)</f>
        <v/>
      </c>
      <c r="Z611" s="3">
        <f>N(O611)*IFERROR(VLOOKUP($C611,Assumptions!$A$4:$G$7,2,FALSE),0)</f>
        <v/>
      </c>
      <c r="AA611" s="3">
        <f>N(S611)*IFERROR(VLOOKUP($C611,Assumptions!$A$4:$G$7,3,FALSE),0)*Assumptions!$B$11</f>
        <v/>
      </c>
      <c r="AB611" s="3">
        <f>N(N611)*IFERROR(VLOOKUP($C611,Assumptions!$A$4:$G$7,4,FALSE),0)</f>
        <v/>
      </c>
      <c r="AC611" s="3">
        <f>IF(N(U611)=0,0,V611*IFERROR(VLOOKUP($C611,Assumptions!$A$4:$G$7,5,FALSE),0)*90/N(U611))</f>
        <v/>
      </c>
      <c r="AD611" s="3">
        <f>N(W611)</f>
        <v/>
      </c>
      <c r="AE611" s="3">
        <f>SUM(Y611:AD611)</f>
        <v/>
      </c>
      <c r="AF611" s="3">
        <f>N(AE611)*N(M611)/90</f>
        <v/>
      </c>
      <c r="AG611" s="3">
        <f>IFERROR(AF611-VLOOKUP($C611,Assumptions!$A$29:$C$32,3,FALSE),"")</f>
        <v/>
      </c>
      <c r="AH611" s="3">
        <f>IFERROR(AG611/F611,"")</f>
        <v/>
      </c>
      <c r="AI611">
        <f>IF(AND($E611=TRUE,$C611="GKP"),AF611,"")</f>
        <v/>
      </c>
      <c r="AJ611">
        <f>IF(AND($E611=TRUE,$C611="DEF"),AF611,"")</f>
        <v/>
      </c>
      <c r="AK611">
        <f>IF(AND($E611=TRUE,$C611="MID"),AF611,"")</f>
        <v/>
      </c>
      <c r="AL611">
        <f>IF(AND($E611=TRUE,$C611="FWD"),AF611,"")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b">
        <v>1</v>
      </c>
      <c r="F612" s="2" t="n">
        <v>4</v>
      </c>
      <c r="G612" t="inlineStr">
        <is>
          <t>a</t>
        </is>
      </c>
      <c r="I612" s="2" t="n"/>
      <c r="K612" s="3" t="n">
        <v>0</v>
      </c>
      <c r="L612" t="inlineStr">
        <is>
          <t>flat</t>
        </is>
      </c>
      <c r="M612" s="4" t="n"/>
      <c r="N612" s="4" t="n">
        <v>0.263</v>
      </c>
      <c r="O612" s="3" t="n"/>
      <c r="P612" t="inlineStr"/>
      <c r="Q612" s="3" t="n"/>
      <c r="R612" s="3" t="n"/>
      <c r="S612" s="3" t="n"/>
      <c r="T612" s="3" t="n">
        <v>0</v>
      </c>
      <c r="U612" s="4" t="n"/>
      <c r="V612" s="3">
        <f>IF(OR(N(T612)=0,N(U612)=0),0,1-POISSON(IFERROR(VLOOKUP($C612,Assumptions!$A$4:$G$7,7,FALSE),99)-1,N(T612)*N(U612)/90,TRUE))</f>
        <v/>
      </c>
      <c r="W612" s="3" t="n"/>
      <c r="X612" s="3" t="n"/>
      <c r="Y612" s="3">
        <f>IF(X612="",IFERROR(VLOOKUP($C612,Assumptions!$A$4:$G$7,6,FALSE),0),X612)</f>
        <v/>
      </c>
      <c r="Z612" s="3">
        <f>N(O612)*IFERROR(VLOOKUP($C612,Assumptions!$A$4:$G$7,2,FALSE),0)</f>
        <v/>
      </c>
      <c r="AA612" s="3">
        <f>N(S612)*IFERROR(VLOOKUP($C612,Assumptions!$A$4:$G$7,3,FALSE),0)*Assumptions!$B$11</f>
        <v/>
      </c>
      <c r="AB612" s="3">
        <f>N(N612)*IFERROR(VLOOKUP($C612,Assumptions!$A$4:$G$7,4,FALSE),0)</f>
        <v/>
      </c>
      <c r="AC612" s="3">
        <f>IF(N(U612)=0,0,V612*IFERROR(VLOOKUP($C612,Assumptions!$A$4:$G$7,5,FALSE),0)*90/N(U612))</f>
        <v/>
      </c>
      <c r="AD612" s="3">
        <f>N(W612)</f>
        <v/>
      </c>
      <c r="AE612" s="3">
        <f>SUM(Y612:AD612)</f>
        <v/>
      </c>
      <c r="AF612" s="3">
        <f>N(AE612)*N(M612)/90</f>
        <v/>
      </c>
      <c r="AG612" s="3">
        <f>IFERROR(AF612-VLOOKUP($C612,Assumptions!$A$29:$C$32,3,FALSE),"")</f>
        <v/>
      </c>
      <c r="AH612" s="3">
        <f>IFERROR(AG612/F612,"")</f>
        <v/>
      </c>
      <c r="AI612">
        <f>IF(AND($E612=TRUE,$C612="GKP"),AF612,"")</f>
        <v/>
      </c>
      <c r="AJ612">
        <f>IF(AND($E612=TRUE,$C612="DEF"),AF612,"")</f>
        <v/>
      </c>
      <c r="AK612">
        <f>IF(AND($E612=TRUE,$C612="MID"),AF612,"")</f>
        <v/>
      </c>
      <c r="AL612">
        <f>IF(AND($E612=TRUE,$C612="FWD"),AF612,"")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b">
        <v>1</v>
      </c>
      <c r="F613" s="2" t="n">
        <v>4</v>
      </c>
      <c r="G613" t="inlineStr">
        <is>
          <t>a</t>
        </is>
      </c>
      <c r="I613" s="2" t="n"/>
      <c r="K613" s="3" t="n">
        <v>253</v>
      </c>
      <c r="L613" t="inlineStr">
        <is>
          <t>flat</t>
        </is>
      </c>
      <c r="M613" s="4" t="n"/>
      <c r="N613" s="4" t="n"/>
      <c r="O613" s="3" t="n"/>
      <c r="P613" t="inlineStr"/>
      <c r="Q613" s="3" t="n"/>
      <c r="R613" s="3" t="n"/>
      <c r="S613" s="3" t="n"/>
      <c r="T613" s="3" t="n"/>
      <c r="U613" s="4" t="n"/>
      <c r="V613" s="3">
        <f>IF(OR(N(T613)=0,N(U613)=0),0,1-POISSON(IFERROR(VLOOKUP($C613,Assumptions!$A$4:$G$7,7,FALSE),99)-1,N(T613)*N(U613)/90,TRUE))</f>
        <v/>
      </c>
      <c r="W613" s="3" t="n"/>
      <c r="X613" s="3" t="n"/>
      <c r="Y613" s="3">
        <f>IF(X613="",IFERROR(VLOOKUP($C613,Assumptions!$A$4:$G$7,6,FALSE),0),X613)</f>
        <v/>
      </c>
      <c r="Z613" s="3">
        <f>N(O613)*IFERROR(VLOOKUP($C613,Assumptions!$A$4:$G$7,2,FALSE),0)</f>
        <v/>
      </c>
      <c r="AA613" s="3">
        <f>N(S613)*IFERROR(VLOOKUP($C613,Assumptions!$A$4:$G$7,3,FALSE),0)*Assumptions!$B$11</f>
        <v/>
      </c>
      <c r="AB613" s="3">
        <f>N(N613)*IFERROR(VLOOKUP($C613,Assumptions!$A$4:$G$7,4,FALSE),0)</f>
        <v/>
      </c>
      <c r="AC613" s="3">
        <f>IF(N(U613)=0,0,V613*IFERROR(VLOOKUP($C613,Assumptions!$A$4:$G$7,5,FALSE),0)*90/N(U613))</f>
        <v/>
      </c>
      <c r="AD613" s="3">
        <f>N(W613)</f>
        <v/>
      </c>
      <c r="AE613" s="3">
        <f>SUM(Y613:AD613)</f>
        <v/>
      </c>
      <c r="AF613" s="3">
        <f>N(AE613)*N(M613)/90</f>
        <v/>
      </c>
      <c r="AG613" s="3">
        <f>IFERROR(AF613-VLOOKUP($C613,Assumptions!$A$29:$C$32,3,FALSE),"")</f>
        <v/>
      </c>
      <c r="AH613" s="3">
        <f>IFERROR(AG613/F613,"")</f>
        <v/>
      </c>
      <c r="AI613">
        <f>IF(AND($E613=TRUE,$C613="GKP"),AF613,"")</f>
        <v/>
      </c>
      <c r="AJ613">
        <f>IF(AND($E613=TRUE,$C613="DEF"),AF613,"")</f>
        <v/>
      </c>
      <c r="AK613">
        <f>IF(AND($E613=TRUE,$C613="MID"),AF613,"")</f>
        <v/>
      </c>
      <c r="AL613">
        <f>IF(AND($E613=TRUE,$C613="FWD"),AF613,"")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b">
        <v>1</v>
      </c>
      <c r="F614" s="2" t="n">
        <v>4.5</v>
      </c>
      <c r="G614" t="inlineStr">
        <is>
          <t>i</t>
        </is>
      </c>
      <c r="H614" t="inlineStr">
        <is>
          <t>Knee injury - Unknown return date</t>
        </is>
      </c>
      <c r="I614" s="2" t="n"/>
      <c r="K614" s="3" t="n">
        <v>0</v>
      </c>
      <c r="L614" t="inlineStr">
        <is>
          <t>flat</t>
        </is>
      </c>
      <c r="M614" s="4" t="n"/>
      <c r="N614" s="4" t="n"/>
      <c r="O614" s="3" t="n"/>
      <c r="P614" t="inlineStr"/>
      <c r="Q614" s="3" t="n"/>
      <c r="R614" s="3" t="n"/>
      <c r="S614" s="3" t="n"/>
      <c r="T614" s="3" t="n"/>
      <c r="U614" s="4" t="n"/>
      <c r="V614" s="3">
        <f>IF(OR(N(T614)=0,N(U614)=0),0,1-POISSON(IFERROR(VLOOKUP($C614,Assumptions!$A$4:$G$7,7,FALSE),99)-1,N(T614)*N(U614)/90,TRUE))</f>
        <v/>
      </c>
      <c r="W614" s="3" t="n"/>
      <c r="X614" s="3" t="n"/>
      <c r="Y614" s="3">
        <f>IF(X614="",IFERROR(VLOOKUP($C614,Assumptions!$A$4:$G$7,6,FALSE),0),X614)</f>
        <v/>
      </c>
      <c r="Z614" s="3">
        <f>N(O614)*IFERROR(VLOOKUP($C614,Assumptions!$A$4:$G$7,2,FALSE),0)</f>
        <v/>
      </c>
      <c r="AA614" s="3">
        <f>N(S614)*IFERROR(VLOOKUP($C614,Assumptions!$A$4:$G$7,3,FALSE),0)*Assumptions!$B$11</f>
        <v/>
      </c>
      <c r="AB614" s="3">
        <f>N(N614)*IFERROR(VLOOKUP($C614,Assumptions!$A$4:$G$7,4,FALSE),0)</f>
        <v/>
      </c>
      <c r="AC614" s="3">
        <f>IF(N(U614)=0,0,V614*IFERROR(VLOOKUP($C614,Assumptions!$A$4:$G$7,5,FALSE),0)*90/N(U614))</f>
        <v/>
      </c>
      <c r="AD614" s="3">
        <f>N(W614)</f>
        <v/>
      </c>
      <c r="AE614" s="3">
        <f>SUM(Y614:AD614)</f>
        <v/>
      </c>
      <c r="AF614" s="3">
        <f>N(AE614)*N(M614)/90</f>
        <v/>
      </c>
      <c r="AG614" s="3">
        <f>IFERROR(AF614-VLOOKUP($C614,Assumptions!$A$29:$C$32,3,FALSE),"")</f>
        <v/>
      </c>
      <c r="AH614" s="3">
        <f>IFERROR(AG614/F614,"")</f>
        <v/>
      </c>
      <c r="AI614">
        <f>IF(AND($E614=TRUE,$C614="GKP"),AF614,"")</f>
        <v/>
      </c>
      <c r="AJ614">
        <f>IF(AND($E614=TRUE,$C614="DEF"),AF614,"")</f>
        <v/>
      </c>
      <c r="AK614">
        <f>IF(AND($E614=TRUE,$C614="MID"),AF614,"")</f>
        <v/>
      </c>
      <c r="AL614">
        <f>IF(AND($E614=TRUE,$C614="FWD"),AF614,"")</f>
        <v/>
      </c>
    </row>
    <row r="615">
      <c r="A615" t="inlineStr">
        <is>
          <t>Hannibal Mejbri</t>
        </is>
      </c>
      <c r="D615" t="inlineStr">
        <is>
          <t>MID</t>
        </is>
      </c>
      <c r="E615" t="b">
        <v>0</v>
      </c>
      <c r="F615" s="2" t="n"/>
      <c r="I615" s="2" t="n">
        <v>1231</v>
      </c>
      <c r="K615" s="3" t="n"/>
      <c r="M615" s="4" t="n">
        <v>1231</v>
      </c>
      <c r="N615" s="4" t="n"/>
      <c r="O615" s="3" t="n">
        <v>0.06619999999999999</v>
      </c>
      <c r="P615" t="inlineStr">
        <is>
          <t>adjusted xGOT</t>
        </is>
      </c>
      <c r="Q615" s="3" t="n">
        <v>0.996</v>
      </c>
      <c r="R615" s="3" t="n">
        <v>0.9</v>
      </c>
      <c r="S615" s="3" t="n">
        <v>0.2075</v>
      </c>
      <c r="T615" s="3" t="n">
        <v>8.337</v>
      </c>
      <c r="U615" s="4" t="n">
        <v>81.3</v>
      </c>
      <c r="V615" s="3">
        <f>IF(OR(N(T615)=0,N(U615)=0),0,1-POISSON(IFERROR(VLOOKUP($C615,Assumptions!$A$4:$G$7,7,FALSE),99)-1,N(T615)*N(U615)/90,TRUE))</f>
        <v/>
      </c>
      <c r="W615" s="3" t="n">
        <v>0.2924</v>
      </c>
      <c r="X615" s="3" t="n">
        <v>2.851</v>
      </c>
      <c r="Y615" s="3">
        <f>IF(X615="",IFERROR(VLOOKUP($C615,Assumptions!$A$4:$G$7,6,FALSE),0),X615)</f>
        <v/>
      </c>
      <c r="Z615" s="3">
        <f>N(O615)*IFERROR(VLOOKUP($C615,Assumptions!$A$4:$G$7,2,FALSE),0)</f>
        <v/>
      </c>
      <c r="AA615" s="3">
        <f>N(S615)*IFERROR(VLOOKUP($C615,Assumptions!$A$4:$G$7,3,FALSE),0)*Assumptions!$B$11</f>
        <v/>
      </c>
      <c r="AB615" s="3">
        <f>N(N615)*IFERROR(VLOOKUP($C615,Assumptions!$A$4:$G$7,4,FALSE),0)</f>
        <v/>
      </c>
      <c r="AC615" s="3">
        <f>IF(N(U615)=0,0,V615*IFERROR(VLOOKUP($C615,Assumptions!$A$4:$G$7,5,FALSE),0)*90/N(U615))</f>
        <v/>
      </c>
      <c r="AD615" s="3">
        <f>N(W615)</f>
        <v/>
      </c>
      <c r="AE615" s="3">
        <f>SUM(Y615:AD615)</f>
        <v/>
      </c>
      <c r="AF615" s="3">
        <f>N(AE615)*N(M615)/90</f>
        <v/>
      </c>
      <c r="AG615" s="3">
        <f>IFERROR(AF615-VLOOKUP($C615,Assumptions!$A$29:$C$32,3,FALSE),"")</f>
        <v/>
      </c>
      <c r="AH615" s="3">
        <f>IFERROR(AG615/F615,"")</f>
        <v/>
      </c>
      <c r="AI615">
        <f>IF(AND($E615=TRUE,$C615="GKP"),AF615,"")</f>
        <v/>
      </c>
      <c r="AJ615">
        <f>IF(AND($E615=TRUE,$C615="DEF"),AF615,"")</f>
        <v/>
      </c>
      <c r="AK615">
        <f>IF(AND($E615=TRUE,$C615="MID"),AF615,"")</f>
        <v/>
      </c>
      <c r="AL615">
        <f>IF(AND($E615=TRUE,$C615="FWD"),AF615,"")</f>
        <v/>
      </c>
    </row>
    <row r="616">
      <c r="A616" t="inlineStr">
        <is>
          <t>Mads Hermansen</t>
        </is>
      </c>
      <c r="D616" t="inlineStr">
        <is>
          <t>GKP</t>
        </is>
      </c>
      <c r="E616" t="b">
        <v>0</v>
      </c>
      <c r="F616" s="2" t="n"/>
      <c r="I616" s="2" t="n">
        <v>1620</v>
      </c>
      <c r="K616" s="3" t="n"/>
      <c r="M616" s="4" t="n">
        <v>1620</v>
      </c>
      <c r="N616" s="4" t="n"/>
      <c r="O616" s="3" t="n">
        <v>0</v>
      </c>
      <c r="P616" t="inlineStr">
        <is>
          <t>blended xG</t>
        </is>
      </c>
      <c r="Q616" s="3" t="n">
        <v>1</v>
      </c>
      <c r="R616" s="3" t="n">
        <v>0</v>
      </c>
      <c r="S616" s="3" t="n">
        <v>0.0021</v>
      </c>
      <c r="T616" s="3" t="n">
        <v>0</v>
      </c>
      <c r="U616" s="4" t="n">
        <v>90</v>
      </c>
      <c r="V616" s="3">
        <f>IF(OR(N(T616)=0,N(U616)=0),0,1-POISSON(IFERROR(VLOOKUP($C616,Assumptions!$A$4:$G$7,7,FALSE),99)-1,N(T616)*N(U616)/90,TRUE))</f>
        <v/>
      </c>
      <c r="W616" s="3" t="n">
        <v>0.4444</v>
      </c>
      <c r="X616" s="3" t="n">
        <v>2</v>
      </c>
      <c r="Y616" s="3">
        <f>IF(X616="",IFERROR(VLOOKUP($C616,Assumptions!$A$4:$G$7,6,FALSE),0),X616)</f>
        <v/>
      </c>
      <c r="Z616" s="3">
        <f>N(O616)*IFERROR(VLOOKUP($C616,Assumptions!$A$4:$G$7,2,FALSE),0)</f>
        <v/>
      </c>
      <c r="AA616" s="3">
        <f>N(S616)*IFERROR(VLOOKUP($C616,Assumptions!$A$4:$G$7,3,FALSE),0)*Assumptions!$B$11</f>
        <v/>
      </c>
      <c r="AB616" s="3">
        <f>N(N616)*IFERROR(VLOOKUP($C616,Assumptions!$A$4:$G$7,4,FALSE),0)</f>
        <v/>
      </c>
      <c r="AC616" s="3">
        <f>IF(N(U616)=0,0,V616*IFERROR(VLOOKUP($C616,Assumptions!$A$4:$G$7,5,FALSE),0)*90/N(U616))</f>
        <v/>
      </c>
      <c r="AD616" s="3">
        <f>N(W616)</f>
        <v/>
      </c>
      <c r="AE616" s="3">
        <f>SUM(Y616:AD616)</f>
        <v/>
      </c>
      <c r="AF616" s="3">
        <f>N(AE616)*N(M616)/90</f>
        <v/>
      </c>
      <c r="AG616" s="3">
        <f>IFERROR(AF616-VLOOKUP($C616,Assumptions!$A$29:$C$32,3,FALSE),"")</f>
        <v/>
      </c>
      <c r="AH616" s="3">
        <f>IFERROR(AG616/F616,"")</f>
        <v/>
      </c>
      <c r="AI616">
        <f>IF(AND($E616=TRUE,$C616="GKP"),AF616,"")</f>
        <v/>
      </c>
      <c r="AJ616">
        <f>IF(AND($E616=TRUE,$C616="DEF"),AF616,"")</f>
        <v/>
      </c>
      <c r="AK616">
        <f>IF(AND($E616=TRUE,$C616="MID"),AF616,"")</f>
        <v/>
      </c>
      <c r="AL616">
        <f>IF(AND($E616=TRUE,$C616="FWD"),AF616,"")</f>
        <v/>
      </c>
    </row>
    <row r="617">
      <c r="A617" t="inlineStr">
        <is>
          <t>Lorenzo Lucca</t>
        </is>
      </c>
      <c r="D617" t="inlineStr">
        <is>
          <t>FWD</t>
        </is>
      </c>
      <c r="E617" t="b">
        <v>0</v>
      </c>
      <c r="F617" s="2" t="n"/>
      <c r="I617" s="2" t="n">
        <v>127</v>
      </c>
      <c r="K617" s="3" t="n"/>
      <c r="M617" s="4" t="n">
        <v>127</v>
      </c>
      <c r="N617" s="4" t="n"/>
      <c r="O617" s="3" t="n">
        <v>0.5223</v>
      </c>
      <c r="P617" t="inlineStr">
        <is>
          <t>adjusted xGOT</t>
        </is>
      </c>
      <c r="Q617" s="3" t="n">
        <v>0.9330000000000001</v>
      </c>
      <c r="R617" s="3" t="n">
        <v>0.8</v>
      </c>
      <c r="S617" s="3" t="n">
        <v>0.026</v>
      </c>
      <c r="T617" s="3" t="n">
        <v>4.824</v>
      </c>
      <c r="U617" s="4" t="n">
        <v>126</v>
      </c>
      <c r="V617" s="3">
        <f>IF(OR(N(T617)=0,N(U617)=0),0,1-POISSON(IFERROR(VLOOKUP($C617,Assumptions!$A$4:$G$7,7,FALSE),99)-1,N(T617)*N(U617)/90,TRUE))</f>
        <v/>
      </c>
      <c r="W617" s="3" t="n">
        <v>0</v>
      </c>
      <c r="X617" s="3" t="n">
        <v>3.543</v>
      </c>
      <c r="Y617" s="3">
        <f>IF(X617="",IFERROR(VLOOKUP($C617,Assumptions!$A$4:$G$7,6,FALSE),0),X617)</f>
        <v/>
      </c>
      <c r="Z617" s="3">
        <f>N(O617)*IFERROR(VLOOKUP($C617,Assumptions!$A$4:$G$7,2,FALSE),0)</f>
        <v/>
      </c>
      <c r="AA617" s="3">
        <f>N(S617)*IFERROR(VLOOKUP($C617,Assumptions!$A$4:$G$7,3,FALSE),0)*Assumptions!$B$11</f>
        <v/>
      </c>
      <c r="AB617" s="3">
        <f>N(N617)*IFERROR(VLOOKUP($C617,Assumptions!$A$4:$G$7,4,FALSE),0)</f>
        <v/>
      </c>
      <c r="AC617" s="3">
        <f>IF(N(U617)=0,0,V617*IFERROR(VLOOKUP($C617,Assumptions!$A$4:$G$7,5,FALSE),0)*90/N(U617))</f>
        <v/>
      </c>
      <c r="AD617" s="3">
        <f>N(W617)</f>
        <v/>
      </c>
      <c r="AE617" s="3">
        <f>SUM(Y617:AD617)</f>
        <v/>
      </c>
      <c r="AF617" s="3">
        <f>N(AE617)*N(M617)/90</f>
        <v/>
      </c>
      <c r="AG617" s="3">
        <f>IFERROR(AF617-VLOOKUP($C617,Assumptions!$A$29:$C$32,3,FALSE),"")</f>
        <v/>
      </c>
      <c r="AH617" s="3">
        <f>IFERROR(AG617/F617,"")</f>
        <v/>
      </c>
      <c r="AI617">
        <f>IF(AND($E617=TRUE,$C617="GKP"),AF617,"")</f>
        <v/>
      </c>
      <c r="AJ617">
        <f>IF(AND($E617=TRUE,$C617="DEF"),AF617,"")</f>
        <v/>
      </c>
      <c r="AK617">
        <f>IF(AND($E617=TRUE,$C617="MID"),AF617,"")</f>
        <v/>
      </c>
      <c r="AL617">
        <f>IF(AND($E617=TRUE,$C617="FWD"),AF617,"")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b">
        <v>1</v>
      </c>
      <c r="F618" s="2" t="n">
        <v>5</v>
      </c>
      <c r="G618" t="inlineStr">
        <is>
          <t>a</t>
        </is>
      </c>
      <c r="I618" s="2" t="n"/>
      <c r="K618" s="3" t="n">
        <v>3374</v>
      </c>
      <c r="L618" t="inlineStr">
        <is>
          <t>flat</t>
        </is>
      </c>
      <c r="M618" s="4" t="n"/>
      <c r="N618" s="4" t="n">
        <v>0.21</v>
      </c>
      <c r="O618" s="3" t="n"/>
      <c r="P618" t="inlineStr"/>
      <c r="Q618" s="3" t="n"/>
      <c r="R618" s="3" t="n"/>
      <c r="S618" s="3" t="n"/>
      <c r="T618" s="3" t="n">
        <v>0</v>
      </c>
      <c r="U618" s="4" t="n"/>
      <c r="V618" s="3">
        <f>IF(OR(N(T618)=0,N(U618)=0),0,1-POISSON(IFERROR(VLOOKUP($C618,Assumptions!$A$4:$G$7,7,FALSE),99)-1,N(T618)*N(U618)/90,TRUE))</f>
        <v/>
      </c>
      <c r="W618" s="3" t="n"/>
      <c r="X618" s="3" t="n"/>
      <c r="Y618" s="3">
        <f>IF(X618="",IFERROR(VLOOKUP($C618,Assumptions!$A$4:$G$7,6,FALSE),0),X618)</f>
        <v/>
      </c>
      <c r="Z618" s="3">
        <f>N(O618)*IFERROR(VLOOKUP($C618,Assumptions!$A$4:$G$7,2,FALSE),0)</f>
        <v/>
      </c>
      <c r="AA618" s="3">
        <f>N(S618)*IFERROR(VLOOKUP($C618,Assumptions!$A$4:$G$7,3,FALSE),0)*Assumptions!$B$11</f>
        <v/>
      </c>
      <c r="AB618" s="3">
        <f>N(N618)*IFERROR(VLOOKUP($C618,Assumptions!$A$4:$G$7,4,FALSE),0)</f>
        <v/>
      </c>
      <c r="AC618" s="3">
        <f>IF(N(U618)=0,0,V618*IFERROR(VLOOKUP($C618,Assumptions!$A$4:$G$7,5,FALSE),0)*90/N(U618))</f>
        <v/>
      </c>
      <c r="AD618" s="3">
        <f>N(W618)</f>
        <v/>
      </c>
      <c r="AE618" s="3">
        <f>SUM(Y618:AD618)</f>
        <v/>
      </c>
      <c r="AF618" s="3">
        <f>N(AE618)*N(M618)/90</f>
        <v/>
      </c>
      <c r="AG618" s="3">
        <f>IFERROR(AF618-VLOOKUP($C618,Assumptions!$A$29:$C$32,3,FALSE),"")</f>
        <v/>
      </c>
      <c r="AH618" s="3">
        <f>IFERROR(AG618/F618,"")</f>
        <v/>
      </c>
      <c r="AI618">
        <f>IF(AND($E618=TRUE,$C618="GKP"),AF618,"")</f>
        <v/>
      </c>
      <c r="AJ618">
        <f>IF(AND($E618=TRUE,$C618="DEF"),AF618,"")</f>
        <v/>
      </c>
      <c r="AK618">
        <f>IF(AND($E618=TRUE,$C618="MID"),AF618,"")</f>
        <v/>
      </c>
      <c r="AL618">
        <f>IF(AND($E618=TRUE,$C618="FWD"),AF618,"")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b">
        <v>1</v>
      </c>
      <c r="F619" s="2" t="n">
        <v>4.5</v>
      </c>
      <c r="G619" t="inlineStr">
        <is>
          <t>a</t>
        </is>
      </c>
      <c r="I619" s="2" t="n"/>
      <c r="K619" s="3" t="n">
        <v>3385</v>
      </c>
      <c r="L619" t="inlineStr">
        <is>
          <t>flat</t>
        </is>
      </c>
      <c r="M619" s="4" t="n"/>
      <c r="N619" s="4" t="n"/>
      <c r="O619" s="3" t="n"/>
      <c r="P619" t="inlineStr"/>
      <c r="Q619" s="3" t="n"/>
      <c r="R619" s="3" t="n"/>
      <c r="S619" s="3" t="n"/>
      <c r="T619" s="3" t="n">
        <v>0</v>
      </c>
      <c r="U619" s="4" t="n"/>
      <c r="V619" s="3">
        <f>IF(OR(N(T619)=0,N(U619)=0),0,1-POISSON(IFERROR(VLOOKUP($C619,Assumptions!$A$4:$G$7,7,FALSE),99)-1,N(T619)*N(U619)/90,TRUE))</f>
        <v/>
      </c>
      <c r="W619" s="3" t="n"/>
      <c r="X619" s="3" t="n"/>
      <c r="Y619" s="3">
        <f>IF(X619="",IFERROR(VLOOKUP($C619,Assumptions!$A$4:$G$7,6,FALSE),0),X619)</f>
        <v/>
      </c>
      <c r="Z619" s="3">
        <f>N(O619)*IFERROR(VLOOKUP($C619,Assumptions!$A$4:$G$7,2,FALSE),0)</f>
        <v/>
      </c>
      <c r="AA619" s="3">
        <f>N(S619)*IFERROR(VLOOKUP($C619,Assumptions!$A$4:$G$7,3,FALSE),0)*Assumptions!$B$11</f>
        <v/>
      </c>
      <c r="AB619" s="3">
        <f>N(N619)*IFERROR(VLOOKUP($C619,Assumptions!$A$4:$G$7,4,FALSE),0)</f>
        <v/>
      </c>
      <c r="AC619" s="3">
        <f>IF(N(U619)=0,0,V619*IFERROR(VLOOKUP($C619,Assumptions!$A$4:$G$7,5,FALSE),0)*90/N(U619))</f>
        <v/>
      </c>
      <c r="AD619" s="3">
        <f>N(W619)</f>
        <v/>
      </c>
      <c r="AE619" s="3">
        <f>SUM(Y619:AD619)</f>
        <v/>
      </c>
      <c r="AF619" s="3">
        <f>N(AE619)*N(M619)/90</f>
        <v/>
      </c>
      <c r="AG619" s="3">
        <f>IFERROR(AF619-VLOOKUP($C619,Assumptions!$A$29:$C$32,3,FALSE),"")</f>
        <v/>
      </c>
      <c r="AH619" s="3">
        <f>IFERROR(AG619/F619,"")</f>
        <v/>
      </c>
      <c r="AI619">
        <f>IF(AND($E619=TRUE,$C619="GKP"),AF619,"")</f>
        <v/>
      </c>
      <c r="AJ619">
        <f>IF(AND($E619=TRUE,$C619="DEF"),AF619,"")</f>
        <v/>
      </c>
      <c r="AK619">
        <f>IF(AND($E619=TRUE,$C619="MID"),AF619,"")</f>
        <v/>
      </c>
      <c r="AL619">
        <f>IF(AND($E619=TRUE,$C619="FWD"),AF619,"")</f>
        <v/>
      </c>
    </row>
    <row r="620">
      <c r="A620" t="inlineStr">
        <is>
          <t>Maxime Estève</t>
        </is>
      </c>
      <c r="D620" t="inlineStr">
        <is>
          <t>DEF</t>
        </is>
      </c>
      <c r="E620" t="b">
        <v>0</v>
      </c>
      <c r="F620" s="2" t="n"/>
      <c r="I620" s="2" t="n">
        <v>2937</v>
      </c>
      <c r="K620" s="3" t="n"/>
      <c r="M620" s="4" t="n">
        <v>2937</v>
      </c>
      <c r="N620" s="4" t="n"/>
      <c r="O620" s="3" t="n">
        <v>0.0201</v>
      </c>
      <c r="P620" t="inlineStr">
        <is>
          <t>adjusted xGOT</t>
        </is>
      </c>
      <c r="Q620" s="3" t="n">
        <v>0.9</v>
      </c>
      <c r="R620" s="3" t="n">
        <v>1</v>
      </c>
      <c r="S620" s="3" t="n">
        <v>0.0215</v>
      </c>
      <c r="T620" s="3" t="n">
        <v>9.744</v>
      </c>
      <c r="U620" s="4" t="n">
        <v>86.3</v>
      </c>
      <c r="V620" s="3">
        <f>IF(OR(N(T620)=0,N(U620)=0),0,1-POISSON(IFERROR(VLOOKUP($C620,Assumptions!$A$4:$G$7,7,FALSE),99)-1,N(T620)*N(U620)/90,TRUE))</f>
        <v/>
      </c>
      <c r="W620" s="3" t="n">
        <v>0</v>
      </c>
      <c r="X620" s="3" t="n">
        <v>2.053</v>
      </c>
      <c r="Y620" s="3">
        <f>IF(X620="",IFERROR(VLOOKUP($C620,Assumptions!$A$4:$G$7,6,FALSE),0),X620)</f>
        <v/>
      </c>
      <c r="Z620" s="3">
        <f>N(O620)*IFERROR(VLOOKUP($C620,Assumptions!$A$4:$G$7,2,FALSE),0)</f>
        <v/>
      </c>
      <c r="AA620" s="3">
        <f>N(S620)*IFERROR(VLOOKUP($C620,Assumptions!$A$4:$G$7,3,FALSE),0)*Assumptions!$B$11</f>
        <v/>
      </c>
      <c r="AB620" s="3">
        <f>N(N620)*IFERROR(VLOOKUP($C620,Assumptions!$A$4:$G$7,4,FALSE),0)</f>
        <v/>
      </c>
      <c r="AC620" s="3">
        <f>IF(N(U620)=0,0,V620*IFERROR(VLOOKUP($C620,Assumptions!$A$4:$G$7,5,FALSE),0)*90/N(U620))</f>
        <v/>
      </c>
      <c r="AD620" s="3">
        <f>N(W620)</f>
        <v/>
      </c>
      <c r="AE620" s="3">
        <f>SUM(Y620:AD620)</f>
        <v/>
      </c>
      <c r="AF620" s="3">
        <f>N(AE620)*N(M620)/90</f>
        <v/>
      </c>
      <c r="AG620" s="3">
        <f>IFERROR(AF620-VLOOKUP($C620,Assumptions!$A$29:$C$32,3,FALSE),"")</f>
        <v/>
      </c>
      <c r="AH620" s="3">
        <f>IFERROR(AG620/F620,"")</f>
        <v/>
      </c>
      <c r="AI620">
        <f>IF(AND($E620=TRUE,$C620="GKP"),AF620,"")</f>
        <v/>
      </c>
      <c r="AJ620">
        <f>IF(AND($E620=TRUE,$C620="DEF"),AF620,"")</f>
        <v/>
      </c>
      <c r="AK620">
        <f>IF(AND($E620=TRUE,$C620="MID"),AF620,"")</f>
        <v/>
      </c>
      <c r="AL620">
        <f>IF(AND($E620=TRUE,$C620="FWD"),AF620,"")</f>
        <v/>
      </c>
    </row>
    <row r="621">
      <c r="A621" t="inlineStr">
        <is>
          <t>Hjalmar Ekdal</t>
        </is>
      </c>
      <c r="D621" t="inlineStr">
        <is>
          <t>DEF</t>
        </is>
      </c>
      <c r="E621" t="b">
        <v>0</v>
      </c>
      <c r="F621" s="2" t="n"/>
      <c r="I621" s="2" t="n">
        <v>1539</v>
      </c>
      <c r="K621" s="3" t="n"/>
      <c r="M621" s="4" t="n">
        <v>1539</v>
      </c>
      <c r="N621" s="4" t="n"/>
      <c r="O621" s="3" t="n">
        <v>0.0143</v>
      </c>
      <c r="P621" t="inlineStr">
        <is>
          <t>adjusted xGOT</t>
        </is>
      </c>
      <c r="Q621" s="3" t="n">
        <v>0.975</v>
      </c>
      <c r="R621" s="3" t="n">
        <v>0.3</v>
      </c>
      <c r="S621" s="3" t="n">
        <v>0.0098</v>
      </c>
      <c r="T621" s="3" t="n">
        <v>9.382</v>
      </c>
      <c r="U621" s="4" t="n">
        <v>90.5</v>
      </c>
      <c r="V621" s="3">
        <f>IF(OR(N(T621)=0,N(U621)=0),0,1-POISSON(IFERROR(VLOOKUP($C621,Assumptions!$A$4:$G$7,7,FALSE),99)-1,N(T621)*N(U621)/90,TRUE))</f>
        <v/>
      </c>
      <c r="W621" s="3" t="n">
        <v>0.117</v>
      </c>
      <c r="X621" s="3" t="n">
        <v>2.105</v>
      </c>
      <c r="Y621" s="3">
        <f>IF(X621="",IFERROR(VLOOKUP($C621,Assumptions!$A$4:$G$7,6,FALSE),0),X621)</f>
        <v/>
      </c>
      <c r="Z621" s="3">
        <f>N(O621)*IFERROR(VLOOKUP($C621,Assumptions!$A$4:$G$7,2,FALSE),0)</f>
        <v/>
      </c>
      <c r="AA621" s="3">
        <f>N(S621)*IFERROR(VLOOKUP($C621,Assumptions!$A$4:$G$7,3,FALSE),0)*Assumptions!$B$11</f>
        <v/>
      </c>
      <c r="AB621" s="3">
        <f>N(N621)*IFERROR(VLOOKUP($C621,Assumptions!$A$4:$G$7,4,FALSE),0)</f>
        <v/>
      </c>
      <c r="AC621" s="3">
        <f>IF(N(U621)=0,0,V621*IFERROR(VLOOKUP($C621,Assumptions!$A$4:$G$7,5,FALSE),0)*90/N(U621))</f>
        <v/>
      </c>
      <c r="AD621" s="3">
        <f>N(W621)</f>
        <v/>
      </c>
      <c r="AE621" s="3">
        <f>SUM(Y621:AD621)</f>
        <v/>
      </c>
      <c r="AF621" s="3">
        <f>N(AE621)*N(M621)/90</f>
        <v/>
      </c>
      <c r="AG621" s="3">
        <f>IFERROR(AF621-VLOOKUP($C621,Assumptions!$A$29:$C$32,3,FALSE),"")</f>
        <v/>
      </c>
      <c r="AH621" s="3">
        <f>IFERROR(AG621/F621,"")</f>
        <v/>
      </c>
      <c r="AI621">
        <f>IF(AND($E621=TRUE,$C621="GKP"),AF621,"")</f>
        <v/>
      </c>
      <c r="AJ621">
        <f>IF(AND($E621=TRUE,$C621="DEF"),AF621,"")</f>
        <v/>
      </c>
      <c r="AK621">
        <f>IF(AND($E621=TRUE,$C621="MID"),AF621,"")</f>
        <v/>
      </c>
      <c r="AL621">
        <f>IF(AND($E621=TRUE,$C621="FWD"),AF621,"")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b">
        <v>1</v>
      </c>
      <c r="F622" s="2" t="n">
        <v>5</v>
      </c>
      <c r="G622" t="inlineStr">
        <is>
          <t>d</t>
        </is>
      </c>
      <c r="H622" t="inlineStr">
        <is>
          <t>Shoulder injury - 75% chance of playing</t>
        </is>
      </c>
      <c r="I622" s="2" t="n"/>
      <c r="K622" s="3" t="n">
        <v>948</v>
      </c>
      <c r="L622" t="inlineStr">
        <is>
          <t>flat</t>
        </is>
      </c>
      <c r="M622" s="4" t="n"/>
      <c r="N622" s="4" t="n"/>
      <c r="O622" s="3" t="n"/>
      <c r="P622" t="inlineStr"/>
      <c r="Q622" s="3" t="n"/>
      <c r="R622" s="3" t="n"/>
      <c r="S622" s="3" t="n"/>
      <c r="T622" s="3" t="n"/>
      <c r="U622" s="4" t="n"/>
      <c r="V622" s="3">
        <f>IF(OR(N(T622)=0,N(U622)=0),0,1-POISSON(IFERROR(VLOOKUP($C622,Assumptions!$A$4:$G$7,7,FALSE),99)-1,N(T622)*N(U622)/90,TRUE))</f>
        <v/>
      </c>
      <c r="W622" s="3" t="n"/>
      <c r="X622" s="3" t="n"/>
      <c r="Y622" s="3">
        <f>IF(X622="",IFERROR(VLOOKUP($C622,Assumptions!$A$4:$G$7,6,FALSE),0),X622)</f>
        <v/>
      </c>
      <c r="Z622" s="3">
        <f>N(O622)*IFERROR(VLOOKUP($C622,Assumptions!$A$4:$G$7,2,FALSE),0)</f>
        <v/>
      </c>
      <c r="AA622" s="3">
        <f>N(S622)*IFERROR(VLOOKUP($C622,Assumptions!$A$4:$G$7,3,FALSE),0)*Assumptions!$B$11</f>
        <v/>
      </c>
      <c r="AB622" s="3">
        <f>N(N622)*IFERROR(VLOOKUP($C622,Assumptions!$A$4:$G$7,4,FALSE),0)</f>
        <v/>
      </c>
      <c r="AC622" s="3">
        <f>IF(N(U622)=0,0,V622*IFERROR(VLOOKUP($C622,Assumptions!$A$4:$G$7,5,FALSE),0)*90/N(U622))</f>
        <v/>
      </c>
      <c r="AD622" s="3">
        <f>N(W622)</f>
        <v/>
      </c>
      <c r="AE622" s="3">
        <f>SUM(Y622:AD622)</f>
        <v/>
      </c>
      <c r="AF622" s="3">
        <f>N(AE622)*N(M622)/90</f>
        <v/>
      </c>
      <c r="AG622" s="3">
        <f>IFERROR(AF622-VLOOKUP($C622,Assumptions!$A$29:$C$32,3,FALSE),"")</f>
        <v/>
      </c>
      <c r="AH622" s="3">
        <f>IFERROR(AG622/F622,"")</f>
        <v/>
      </c>
      <c r="AI622">
        <f>IF(AND($E622=TRUE,$C622="GKP"),AF622,"")</f>
        <v/>
      </c>
      <c r="AJ622">
        <f>IF(AND($E622=TRUE,$C622="DEF"),AF622,"")</f>
        <v/>
      </c>
      <c r="AK622">
        <f>IF(AND($E622=TRUE,$C622="MID"),AF622,"")</f>
        <v/>
      </c>
      <c r="AL622">
        <f>IF(AND($E622=TRUE,$C622="FWD"),AF622,"")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b">
        <v>1</v>
      </c>
      <c r="F623" s="2" t="n">
        <v>5.5</v>
      </c>
      <c r="G623" t="inlineStr">
        <is>
          <t>a</t>
        </is>
      </c>
      <c r="I623" s="2" t="n"/>
      <c r="K623" s="3" t="n">
        <v>958</v>
      </c>
      <c r="L623" t="inlineStr">
        <is>
          <t>flat</t>
        </is>
      </c>
      <c r="M623" s="4" t="n"/>
      <c r="N623" s="4" t="n"/>
      <c r="O623" s="3" t="n"/>
      <c r="P623" t="inlineStr"/>
      <c r="Q623" s="3" t="n"/>
      <c r="R623" s="3" t="n"/>
      <c r="S623" s="3" t="n"/>
      <c r="T623" s="3" t="n"/>
      <c r="U623" s="4" t="n"/>
      <c r="V623" s="3">
        <f>IF(OR(N(T623)=0,N(U623)=0),0,1-POISSON(IFERROR(VLOOKUP($C623,Assumptions!$A$4:$G$7,7,FALSE),99)-1,N(T623)*N(U623)/90,TRUE))</f>
        <v/>
      </c>
      <c r="W623" s="3" t="n"/>
      <c r="X623" s="3" t="n"/>
      <c r="Y623" s="3">
        <f>IF(X623="",IFERROR(VLOOKUP($C623,Assumptions!$A$4:$G$7,6,FALSE),0),X623)</f>
        <v/>
      </c>
      <c r="Z623" s="3">
        <f>N(O623)*IFERROR(VLOOKUP($C623,Assumptions!$A$4:$G$7,2,FALSE),0)</f>
        <v/>
      </c>
      <c r="AA623" s="3">
        <f>N(S623)*IFERROR(VLOOKUP($C623,Assumptions!$A$4:$G$7,3,FALSE),0)*Assumptions!$B$11</f>
        <v/>
      </c>
      <c r="AB623" s="3">
        <f>N(N623)*IFERROR(VLOOKUP($C623,Assumptions!$A$4:$G$7,4,FALSE),0)</f>
        <v/>
      </c>
      <c r="AC623" s="3">
        <f>IF(N(U623)=0,0,V623*IFERROR(VLOOKUP($C623,Assumptions!$A$4:$G$7,5,FALSE),0)*90/N(U623))</f>
        <v/>
      </c>
      <c r="AD623" s="3">
        <f>N(W623)</f>
        <v/>
      </c>
      <c r="AE623" s="3">
        <f>SUM(Y623:AD623)</f>
        <v/>
      </c>
      <c r="AF623" s="3">
        <f>N(AE623)*N(M623)/90</f>
        <v/>
      </c>
      <c r="AG623" s="3">
        <f>IFERROR(AF623-VLOOKUP($C623,Assumptions!$A$29:$C$32,3,FALSE),"")</f>
        <v/>
      </c>
      <c r="AH623" s="3">
        <f>IFERROR(AG623/F623,"")</f>
        <v/>
      </c>
      <c r="AI623">
        <f>IF(AND($E623=TRUE,$C623="GKP"),AF623,"")</f>
        <v/>
      </c>
      <c r="AJ623">
        <f>IF(AND($E623=TRUE,$C623="DEF"),AF623,"")</f>
        <v/>
      </c>
      <c r="AK623">
        <f>IF(AND($E623=TRUE,$C623="MID"),AF623,"")</f>
        <v/>
      </c>
      <c r="AL623">
        <f>IF(AND($E623=TRUE,$C623="FWD"),AF623,"")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b">
        <v>1</v>
      </c>
      <c r="F624" s="2" t="n">
        <v>5</v>
      </c>
      <c r="G624" t="inlineStr">
        <is>
          <t>a</t>
        </is>
      </c>
      <c r="I624" s="2" t="n"/>
      <c r="K624" s="3" t="n">
        <v>3175</v>
      </c>
      <c r="L624" t="inlineStr">
        <is>
          <t>flat</t>
        </is>
      </c>
      <c r="M624" s="4" t="n"/>
      <c r="N624" s="4" t="n">
        <v>0.29</v>
      </c>
      <c r="O624" s="3" t="n"/>
      <c r="P624" t="inlineStr"/>
      <c r="Q624" s="3" t="n"/>
      <c r="R624" s="3" t="n"/>
      <c r="S624" s="3" t="n"/>
      <c r="T624" s="3" t="n"/>
      <c r="U624" s="4" t="n"/>
      <c r="V624" s="3">
        <f>IF(OR(N(T624)=0,N(U624)=0),0,1-POISSON(IFERROR(VLOOKUP($C624,Assumptions!$A$4:$G$7,7,FALSE),99)-1,N(T624)*N(U624)/90,TRUE))</f>
        <v/>
      </c>
      <c r="W624" s="3" t="n"/>
      <c r="X624" s="3" t="n"/>
      <c r="Y624" s="3">
        <f>IF(X624="",IFERROR(VLOOKUP($C624,Assumptions!$A$4:$G$7,6,FALSE),0),X624)</f>
        <v/>
      </c>
      <c r="Z624" s="3">
        <f>N(O624)*IFERROR(VLOOKUP($C624,Assumptions!$A$4:$G$7,2,FALSE),0)</f>
        <v/>
      </c>
      <c r="AA624" s="3">
        <f>N(S624)*IFERROR(VLOOKUP($C624,Assumptions!$A$4:$G$7,3,FALSE),0)*Assumptions!$B$11</f>
        <v/>
      </c>
      <c r="AB624" s="3">
        <f>N(N624)*IFERROR(VLOOKUP($C624,Assumptions!$A$4:$G$7,4,FALSE),0)</f>
        <v/>
      </c>
      <c r="AC624" s="3">
        <f>IF(N(U624)=0,0,V624*IFERROR(VLOOKUP($C624,Assumptions!$A$4:$G$7,5,FALSE),0)*90/N(U624))</f>
        <v/>
      </c>
      <c r="AD624" s="3">
        <f>N(W624)</f>
        <v/>
      </c>
      <c r="AE624" s="3">
        <f>SUM(Y624:AD624)</f>
        <v/>
      </c>
      <c r="AF624" s="3">
        <f>N(AE624)*N(M624)/90</f>
        <v/>
      </c>
      <c r="AG624" s="3">
        <f>IFERROR(AF624-VLOOKUP($C624,Assumptions!$A$29:$C$32,3,FALSE),"")</f>
        <v/>
      </c>
      <c r="AH624" s="3">
        <f>IFERROR(AG624/F624,"")</f>
        <v/>
      </c>
      <c r="AI624">
        <f>IF(AND($E624=TRUE,$C624="GKP"),AF624,"")</f>
        <v/>
      </c>
      <c r="AJ624">
        <f>IF(AND($E624=TRUE,$C624="DEF"),AF624,"")</f>
        <v/>
      </c>
      <c r="AK624">
        <f>IF(AND($E624=TRUE,$C624="MID"),AF624,"")</f>
        <v/>
      </c>
      <c r="AL624">
        <f>IF(AND($E624=TRUE,$C624="FWD"),AF624,"")</f>
        <v/>
      </c>
    </row>
    <row r="625">
      <c r="A625" t="inlineStr">
        <is>
          <t>Rodrigo Gomes</t>
        </is>
      </c>
      <c r="D625" t="inlineStr">
        <is>
          <t>DEF</t>
        </is>
      </c>
      <c r="E625" t="b">
        <v>0</v>
      </c>
      <c r="F625" s="2" t="n"/>
      <c r="I625" s="2" t="n">
        <v>960</v>
      </c>
      <c r="K625" s="3" t="n"/>
      <c r="M625" s="4" t="n">
        <v>960</v>
      </c>
      <c r="N625" s="4" t="n"/>
      <c r="O625" s="3" t="n">
        <v>0.1877</v>
      </c>
      <c r="P625" t="inlineStr">
        <is>
          <t>adjusted xGOT</t>
        </is>
      </c>
      <c r="Q625" s="3" t="n">
        <v>0.9399999999999999</v>
      </c>
      <c r="R625" s="3" t="n">
        <v>2.8</v>
      </c>
      <c r="S625" s="3" t="n">
        <v>0.0142</v>
      </c>
      <c r="T625" s="3" t="n">
        <v>5.725</v>
      </c>
      <c r="U625" s="4" t="n">
        <v>106</v>
      </c>
      <c r="V625" s="3">
        <f>IF(OR(N(T625)=0,N(U625)=0),0,1-POISSON(IFERROR(VLOOKUP($C625,Assumptions!$A$4:$G$7,7,FALSE),99)-1,N(T625)*N(U625)/90,TRUE))</f>
        <v/>
      </c>
      <c r="W625" s="3" t="n">
        <v>0</v>
      </c>
      <c r="X625" s="3" t="n">
        <v>2.719</v>
      </c>
      <c r="Y625" s="3">
        <f>IF(X625="",IFERROR(VLOOKUP($C625,Assumptions!$A$4:$G$7,6,FALSE),0),X625)</f>
        <v/>
      </c>
      <c r="Z625" s="3">
        <f>N(O625)*IFERROR(VLOOKUP($C625,Assumptions!$A$4:$G$7,2,FALSE),0)</f>
        <v/>
      </c>
      <c r="AA625" s="3">
        <f>N(S625)*IFERROR(VLOOKUP($C625,Assumptions!$A$4:$G$7,3,FALSE),0)*Assumptions!$B$11</f>
        <v/>
      </c>
      <c r="AB625" s="3">
        <f>N(N625)*IFERROR(VLOOKUP($C625,Assumptions!$A$4:$G$7,4,FALSE),0)</f>
        <v/>
      </c>
      <c r="AC625" s="3">
        <f>IF(N(U625)=0,0,V625*IFERROR(VLOOKUP($C625,Assumptions!$A$4:$G$7,5,FALSE),0)*90/N(U625))</f>
        <v/>
      </c>
      <c r="AD625" s="3">
        <f>N(W625)</f>
        <v/>
      </c>
      <c r="AE625" s="3">
        <f>SUM(Y625:AD625)</f>
        <v/>
      </c>
      <c r="AF625" s="3">
        <f>N(AE625)*N(M625)/90</f>
        <v/>
      </c>
      <c r="AG625" s="3">
        <f>IFERROR(AF625-VLOOKUP($C625,Assumptions!$A$29:$C$32,3,FALSE),"")</f>
        <v/>
      </c>
      <c r="AH625" s="3">
        <f>IFERROR(AG625/F625,"")</f>
        <v/>
      </c>
      <c r="AI625">
        <f>IF(AND($E625=TRUE,$C625="GKP"),AF625,"")</f>
        <v/>
      </c>
      <c r="AJ625">
        <f>IF(AND($E625=TRUE,$C625="DEF"),AF625,"")</f>
        <v/>
      </c>
      <c r="AK625">
        <f>IF(AND($E625=TRUE,$C625="MID"),AF625,"")</f>
        <v/>
      </c>
      <c r="AL625">
        <f>IF(AND($E625=TRUE,$C625="FWD"),AF625,"")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b">
        <v>1</v>
      </c>
      <c r="F626" s="2" t="n">
        <v>4</v>
      </c>
      <c r="G626" t="inlineStr">
        <is>
          <t>a</t>
        </is>
      </c>
      <c r="I626" s="2" t="n"/>
      <c r="K626" s="3" t="n">
        <v>0</v>
      </c>
      <c r="L626" t="inlineStr">
        <is>
          <t>flat</t>
        </is>
      </c>
      <c r="M626" s="4" t="n"/>
      <c r="N626" s="4" t="n"/>
      <c r="O626" s="3" t="n"/>
      <c r="P626" t="inlineStr"/>
      <c r="Q626" s="3" t="n"/>
      <c r="R626" s="3" t="n"/>
      <c r="S626" s="3" t="n"/>
      <c r="T626" s="3" t="n">
        <v>0</v>
      </c>
      <c r="U626" s="4" t="n"/>
      <c r="V626" s="3">
        <f>IF(OR(N(T626)=0,N(U626)=0),0,1-POISSON(IFERROR(VLOOKUP($C626,Assumptions!$A$4:$G$7,7,FALSE),99)-1,N(T626)*N(U626)/90,TRUE))</f>
        <v/>
      </c>
      <c r="W626" s="3" t="n"/>
      <c r="X626" s="3" t="n"/>
      <c r="Y626" s="3">
        <f>IF(X626="",IFERROR(VLOOKUP($C626,Assumptions!$A$4:$G$7,6,FALSE),0),X626)</f>
        <v/>
      </c>
      <c r="Z626" s="3">
        <f>N(O626)*IFERROR(VLOOKUP($C626,Assumptions!$A$4:$G$7,2,FALSE),0)</f>
        <v/>
      </c>
      <c r="AA626" s="3">
        <f>N(S626)*IFERROR(VLOOKUP($C626,Assumptions!$A$4:$G$7,3,FALSE),0)*Assumptions!$B$11</f>
        <v/>
      </c>
      <c r="AB626" s="3">
        <f>N(N626)*IFERROR(VLOOKUP($C626,Assumptions!$A$4:$G$7,4,FALSE),0)</f>
        <v/>
      </c>
      <c r="AC626" s="3">
        <f>IF(N(U626)=0,0,V626*IFERROR(VLOOKUP($C626,Assumptions!$A$4:$G$7,5,FALSE),0)*90/N(U626))</f>
        <v/>
      </c>
      <c r="AD626" s="3">
        <f>N(W626)</f>
        <v/>
      </c>
      <c r="AE626" s="3">
        <f>SUM(Y626:AD626)</f>
        <v/>
      </c>
      <c r="AF626" s="3">
        <f>N(AE626)*N(M626)/90</f>
        <v/>
      </c>
      <c r="AG626" s="3">
        <f>IFERROR(AF626-VLOOKUP($C626,Assumptions!$A$29:$C$32,3,FALSE),"")</f>
        <v/>
      </c>
      <c r="AH626" s="3">
        <f>IFERROR(AG626/F626,"")</f>
        <v/>
      </c>
      <c r="AI626">
        <f>IF(AND($E626=TRUE,$C626="GKP"),AF626,"")</f>
        <v/>
      </c>
      <c r="AJ626">
        <f>IF(AND($E626=TRUE,$C626="DEF"),AF626,"")</f>
        <v/>
      </c>
      <c r="AK626">
        <f>IF(AND($E626=TRUE,$C626="MID"),AF626,"")</f>
        <v/>
      </c>
      <c r="AL626">
        <f>IF(AND($E626=TRUE,$C626="FWD"),AF626,"")</f>
        <v/>
      </c>
    </row>
    <row r="627">
      <c r="A627" t="inlineStr">
        <is>
          <t>Tolu Arokodare</t>
        </is>
      </c>
      <c r="D627" t="inlineStr">
        <is>
          <t>FWD</t>
        </is>
      </c>
      <c r="E627" t="b">
        <v>0</v>
      </c>
      <c r="F627" s="2" t="n"/>
      <c r="I627" s="2" t="n">
        <v>1407</v>
      </c>
      <c r="K627" s="3" t="n"/>
      <c r="M627" s="4" t="n">
        <v>1407</v>
      </c>
      <c r="N627" s="4" t="n"/>
      <c r="O627" s="3" t="n">
        <v>0.3124</v>
      </c>
      <c r="P627" t="inlineStr">
        <is>
          <t>adjusted xGOT</t>
        </is>
      </c>
      <c r="Q627" s="3" t="n">
        <v>0.89</v>
      </c>
      <c r="R627" s="3" t="n">
        <v>5.5</v>
      </c>
      <c r="S627" s="3" t="n">
        <v>0.0742</v>
      </c>
      <c r="T627" s="3" t="n">
        <v>5.147</v>
      </c>
      <c r="U627" s="4" t="n">
        <v>107.8</v>
      </c>
      <c r="V627" s="3">
        <f>IF(OR(N(T627)=0,N(U627)=0),0,1-POISSON(IFERROR(VLOOKUP($C627,Assumptions!$A$4:$G$7,7,FALSE),99)-1,N(T627)*N(U627)/90,TRUE))</f>
        <v/>
      </c>
      <c r="W627" s="3" t="n">
        <v>0.3198</v>
      </c>
      <c r="X627" s="3" t="n">
        <v>3.006</v>
      </c>
      <c r="Y627" s="3">
        <f>IF(X627="",IFERROR(VLOOKUP($C627,Assumptions!$A$4:$G$7,6,FALSE),0),X627)</f>
        <v/>
      </c>
      <c r="Z627" s="3">
        <f>N(O627)*IFERROR(VLOOKUP($C627,Assumptions!$A$4:$G$7,2,FALSE),0)</f>
        <v/>
      </c>
      <c r="AA627" s="3">
        <f>N(S627)*IFERROR(VLOOKUP($C627,Assumptions!$A$4:$G$7,3,FALSE),0)*Assumptions!$B$11</f>
        <v/>
      </c>
      <c r="AB627" s="3">
        <f>N(N627)*IFERROR(VLOOKUP($C627,Assumptions!$A$4:$G$7,4,FALSE),0)</f>
        <v/>
      </c>
      <c r="AC627" s="3">
        <f>IF(N(U627)=0,0,V627*IFERROR(VLOOKUP($C627,Assumptions!$A$4:$G$7,5,FALSE),0)*90/N(U627))</f>
        <v/>
      </c>
      <c r="AD627" s="3">
        <f>N(W627)</f>
        <v/>
      </c>
      <c r="AE627" s="3">
        <f>SUM(Y627:AD627)</f>
        <v/>
      </c>
      <c r="AF627" s="3">
        <f>N(AE627)*N(M627)/90</f>
        <v/>
      </c>
      <c r="AG627" s="3">
        <f>IFERROR(AF627-VLOOKUP($C627,Assumptions!$A$29:$C$32,3,FALSE),"")</f>
        <v/>
      </c>
      <c r="AH627" s="3">
        <f>IFERROR(AG627/F627,"")</f>
        <v/>
      </c>
      <c r="AI627">
        <f>IF(AND($E627=TRUE,$C627="GKP"),AF627,"")</f>
        <v/>
      </c>
      <c r="AJ627">
        <f>IF(AND($E627=TRUE,$C627="DEF"),AF627,"")</f>
        <v/>
      </c>
      <c r="AK627">
        <f>IF(AND($E627=TRUE,$C627="MID"),AF627,"")</f>
        <v/>
      </c>
      <c r="AL627">
        <f>IF(AND($E627=TRUE,$C627="FWD"),AF627,"")</f>
        <v/>
      </c>
    </row>
    <row r="628">
      <c r="A628" t="inlineStr">
        <is>
          <t>Freddie Potts</t>
        </is>
      </c>
      <c r="D628" t="inlineStr">
        <is>
          <t>MID</t>
        </is>
      </c>
      <c r="E628" t="b">
        <v>0</v>
      </c>
      <c r="F628" s="2" t="n"/>
      <c r="I628" s="2" t="n">
        <v>1167</v>
      </c>
      <c r="K628" s="3" t="n"/>
      <c r="M628" s="4" t="n">
        <v>1167</v>
      </c>
      <c r="N628" s="4" t="n"/>
      <c r="O628" s="3" t="n">
        <v>0.0167</v>
      </c>
      <c r="P628" t="inlineStr">
        <is>
          <t>adjusted xGOT</t>
        </is>
      </c>
      <c r="Q628" s="3" t="n">
        <v>1.035</v>
      </c>
      <c r="R628" s="3" t="n">
        <v>0.2</v>
      </c>
      <c r="S628" s="3" t="n">
        <v>0.0931</v>
      </c>
      <c r="T628" s="3" t="n">
        <v>8.972</v>
      </c>
      <c r="U628" s="4" t="n">
        <v>96.8</v>
      </c>
      <c r="V628" s="3">
        <f>IF(OR(N(T628)=0,N(U628)=0),0,1-POISSON(IFERROR(VLOOKUP($C628,Assumptions!$A$4:$G$7,7,FALSE),99)-1,N(T628)*N(U628)/90,TRUE))</f>
        <v/>
      </c>
      <c r="W628" s="3" t="n">
        <v>0</v>
      </c>
      <c r="X628" s="3" t="n">
        <v>2.468</v>
      </c>
      <c r="Y628" s="3">
        <f>IF(X628="",IFERROR(VLOOKUP($C628,Assumptions!$A$4:$G$7,6,FALSE),0),X628)</f>
        <v/>
      </c>
      <c r="Z628" s="3">
        <f>N(O628)*IFERROR(VLOOKUP($C628,Assumptions!$A$4:$G$7,2,FALSE),0)</f>
        <v/>
      </c>
      <c r="AA628" s="3">
        <f>N(S628)*IFERROR(VLOOKUP($C628,Assumptions!$A$4:$G$7,3,FALSE),0)*Assumptions!$B$11</f>
        <v/>
      </c>
      <c r="AB628" s="3">
        <f>N(N628)*IFERROR(VLOOKUP($C628,Assumptions!$A$4:$G$7,4,FALSE),0)</f>
        <v/>
      </c>
      <c r="AC628" s="3">
        <f>IF(N(U628)=0,0,V628*IFERROR(VLOOKUP($C628,Assumptions!$A$4:$G$7,5,FALSE),0)*90/N(U628))</f>
        <v/>
      </c>
      <c r="AD628" s="3">
        <f>N(W628)</f>
        <v/>
      </c>
      <c r="AE628" s="3">
        <f>SUM(Y628:AD628)</f>
        <v/>
      </c>
      <c r="AF628" s="3">
        <f>N(AE628)*N(M628)/90</f>
        <v/>
      </c>
      <c r="AG628" s="3">
        <f>IFERROR(AF628-VLOOKUP($C628,Assumptions!$A$29:$C$32,3,FALSE),"")</f>
        <v/>
      </c>
      <c r="AH628" s="3">
        <f>IFERROR(AG628/F628,"")</f>
        <v/>
      </c>
      <c r="AI628">
        <f>IF(AND($E628=TRUE,$C628="GKP"),AF628,"")</f>
        <v/>
      </c>
      <c r="AJ628">
        <f>IF(AND($E628=TRUE,$C628="DEF"),AF628,"")</f>
        <v/>
      </c>
      <c r="AK628">
        <f>IF(AND($E628=TRUE,$C628="MID"),AF628,"")</f>
        <v/>
      </c>
      <c r="AL628">
        <f>IF(AND($E628=TRUE,$C628="FWD"),AF628,"")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b">
        <v>1</v>
      </c>
      <c r="F629" s="2" t="n">
        <v>5</v>
      </c>
      <c r="G629" t="inlineStr">
        <is>
          <t>u</t>
        </is>
      </c>
      <c r="H629" t="inlineStr">
        <is>
          <t>Has joined Portsmouth permanently</t>
        </is>
      </c>
      <c r="I629" s="2" t="n"/>
      <c r="K629" s="3" t="n"/>
      <c r="M629" s="4" t="n"/>
      <c r="N629" s="4" t="n"/>
      <c r="O629" s="3" t="n"/>
      <c r="P629" t="inlineStr"/>
      <c r="Q629" s="3" t="n"/>
      <c r="R629" s="3" t="n"/>
      <c r="S629" s="3" t="n"/>
      <c r="T629" s="3" t="n"/>
      <c r="U629" s="4" t="n"/>
      <c r="V629" s="3">
        <f>IF(OR(N(T629)=0,N(U629)=0),0,1-POISSON(IFERROR(VLOOKUP($C629,Assumptions!$A$4:$G$7,7,FALSE),99)-1,N(T629)*N(U629)/90,TRUE))</f>
        <v/>
      </c>
      <c r="W629" s="3" t="n"/>
      <c r="X629" s="3" t="n"/>
      <c r="Y629" s="3">
        <f>IF(X629="",IFERROR(VLOOKUP($C629,Assumptions!$A$4:$G$7,6,FALSE),0),X629)</f>
        <v/>
      </c>
      <c r="Z629" s="3">
        <f>N(O629)*IFERROR(VLOOKUP($C629,Assumptions!$A$4:$G$7,2,FALSE),0)</f>
        <v/>
      </c>
      <c r="AA629" s="3">
        <f>N(S629)*IFERROR(VLOOKUP($C629,Assumptions!$A$4:$G$7,3,FALSE),0)*Assumptions!$B$11</f>
        <v/>
      </c>
      <c r="AB629" s="3">
        <f>N(N629)*IFERROR(VLOOKUP($C629,Assumptions!$A$4:$G$7,4,FALSE),0)</f>
        <v/>
      </c>
      <c r="AC629" s="3">
        <f>IF(N(U629)=0,0,V629*IFERROR(VLOOKUP($C629,Assumptions!$A$4:$G$7,5,FALSE),0)*90/N(U629))</f>
        <v/>
      </c>
      <c r="AD629" s="3">
        <f>N(W629)</f>
        <v/>
      </c>
      <c r="AE629" s="3">
        <f>SUM(Y629:AD629)</f>
        <v/>
      </c>
      <c r="AF629" s="3">
        <f>N(AE629)*N(M629)/90</f>
        <v/>
      </c>
      <c r="AG629" s="3">
        <f>IFERROR(AF629-VLOOKUP($C629,Assumptions!$A$29:$C$32,3,FALSE),"")</f>
        <v/>
      </c>
      <c r="AH629" s="3">
        <f>IFERROR(AG629/F629,"")</f>
        <v/>
      </c>
      <c r="AI629">
        <f>IF(AND($E629=TRUE,$C629="GKP"),AF629,"")</f>
        <v/>
      </c>
      <c r="AJ629">
        <f>IF(AND($E629=TRUE,$C629="DEF"),AF629,"")</f>
        <v/>
      </c>
      <c r="AK629">
        <f>IF(AND($E629=TRUE,$C629="MID"),AF629,"")</f>
        <v/>
      </c>
      <c r="AL629">
        <f>IF(AND($E629=TRUE,$C629="FWD"),AF629,"")</f>
        <v/>
      </c>
    </row>
    <row r="630">
      <c r="A630" t="inlineStr">
        <is>
          <t>Hugo Bueno</t>
        </is>
      </c>
      <c r="D630" t="inlineStr">
        <is>
          <t>DEF</t>
        </is>
      </c>
      <c r="E630" t="b">
        <v>0</v>
      </c>
      <c r="F630" s="2" t="n"/>
      <c r="I630" s="2" t="n">
        <v>2364</v>
      </c>
      <c r="K630" s="3" t="n"/>
      <c r="M630" s="4" t="n">
        <v>2364</v>
      </c>
      <c r="N630" s="4" t="n"/>
      <c r="O630" s="3" t="n">
        <v>0.0326</v>
      </c>
      <c r="P630" t="inlineStr">
        <is>
          <t>adjusted xGOT</t>
        </is>
      </c>
      <c r="Q630" s="3" t="n">
        <v>0.996</v>
      </c>
      <c r="R630" s="3" t="n">
        <v>1.3</v>
      </c>
      <c r="S630" s="3" t="n">
        <v>0.1402</v>
      </c>
      <c r="T630" s="3" t="n">
        <v>6.825</v>
      </c>
      <c r="U630" s="4" t="n">
        <v>90.7</v>
      </c>
      <c r="V630" s="3">
        <f>IF(OR(N(T630)=0,N(U630)=0),0,1-POISSON(IFERROR(VLOOKUP($C630,Assumptions!$A$4:$G$7,7,FALSE),99)-1,N(T630)*N(U630)/90,TRUE))</f>
        <v/>
      </c>
      <c r="W630" s="3" t="n">
        <v>0.1904</v>
      </c>
      <c r="X630" s="3" t="n">
        <v>2.246</v>
      </c>
      <c r="Y630" s="3">
        <f>IF(X630="",IFERROR(VLOOKUP($C630,Assumptions!$A$4:$G$7,6,FALSE),0),X630)</f>
        <v/>
      </c>
      <c r="Z630" s="3">
        <f>N(O630)*IFERROR(VLOOKUP($C630,Assumptions!$A$4:$G$7,2,FALSE),0)</f>
        <v/>
      </c>
      <c r="AA630" s="3">
        <f>N(S630)*IFERROR(VLOOKUP($C630,Assumptions!$A$4:$G$7,3,FALSE),0)*Assumptions!$B$11</f>
        <v/>
      </c>
      <c r="AB630" s="3">
        <f>N(N630)*IFERROR(VLOOKUP($C630,Assumptions!$A$4:$G$7,4,FALSE),0)</f>
        <v/>
      </c>
      <c r="AC630" s="3">
        <f>IF(N(U630)=0,0,V630*IFERROR(VLOOKUP($C630,Assumptions!$A$4:$G$7,5,FALSE),0)*90/N(U630))</f>
        <v/>
      </c>
      <c r="AD630" s="3">
        <f>N(W630)</f>
        <v/>
      </c>
      <c r="AE630" s="3">
        <f>SUM(Y630:AD630)</f>
        <v/>
      </c>
      <c r="AF630" s="3">
        <f>N(AE630)*N(M630)/90</f>
        <v/>
      </c>
      <c r="AG630" s="3">
        <f>IFERROR(AF630-VLOOKUP($C630,Assumptions!$A$29:$C$32,3,FALSE),"")</f>
        <v/>
      </c>
      <c r="AH630" s="3">
        <f>IFERROR(AG630/F630,"")</f>
        <v/>
      </c>
      <c r="AI630">
        <f>IF(AND($E630=TRUE,$C630="GKP"),AF630,"")</f>
        <v/>
      </c>
      <c r="AJ630">
        <f>IF(AND($E630=TRUE,$C630="DEF"),AF630,"")</f>
        <v/>
      </c>
      <c r="AK630">
        <f>IF(AND($E630=TRUE,$C630="MID"),AF630,"")</f>
        <v/>
      </c>
      <c r="AL630">
        <f>IF(AND($E630=TRUE,$C630="FWD"),AF630,"")</f>
        <v/>
      </c>
    </row>
    <row r="631">
      <c r="A631" t="inlineStr">
        <is>
          <t>George Earthy</t>
        </is>
      </c>
      <c r="D631" t="inlineStr">
        <is>
          <t>MID</t>
        </is>
      </c>
      <c r="E631" t="b">
        <v>0</v>
      </c>
      <c r="F631" s="2" t="n"/>
      <c r="I631" s="2" t="n">
        <v>8</v>
      </c>
      <c r="K631" s="3" t="n"/>
      <c r="M631" s="4" t="n">
        <v>8</v>
      </c>
      <c r="N631" s="4" t="n"/>
      <c r="O631" s="3" t="n">
        <v>0</v>
      </c>
      <c r="P631" t="inlineStr">
        <is>
          <t>adjusted xGOT</t>
        </is>
      </c>
      <c r="Q631" s="3" t="n">
        <v>1.054</v>
      </c>
      <c r="R631" s="3" t="n">
        <v>0.4</v>
      </c>
      <c r="S631" s="3" t="n">
        <v>0</v>
      </c>
      <c r="T631" s="3" t="n">
        <v>8.483000000000001</v>
      </c>
      <c r="U631" s="4" t="n">
        <v>85</v>
      </c>
      <c r="V631" s="3">
        <f>IF(OR(N(T631)=0,N(U631)=0),0,1-POISSON(IFERROR(VLOOKUP($C631,Assumptions!$A$4:$G$7,7,FALSE),99)-1,N(T631)*N(U631)/90,TRUE))</f>
        <v/>
      </c>
      <c r="W631" s="3" t="n">
        <v>0</v>
      </c>
      <c r="X631" s="3" t="n">
        <v>11.25</v>
      </c>
      <c r="Y631" s="3">
        <f>IF(X631="",IFERROR(VLOOKUP($C631,Assumptions!$A$4:$G$7,6,FALSE),0),X631)</f>
        <v/>
      </c>
      <c r="Z631" s="3">
        <f>N(O631)*IFERROR(VLOOKUP($C631,Assumptions!$A$4:$G$7,2,FALSE),0)</f>
        <v/>
      </c>
      <c r="AA631" s="3">
        <f>N(S631)*IFERROR(VLOOKUP($C631,Assumptions!$A$4:$G$7,3,FALSE),0)*Assumptions!$B$11</f>
        <v/>
      </c>
      <c r="AB631" s="3">
        <f>N(N631)*IFERROR(VLOOKUP($C631,Assumptions!$A$4:$G$7,4,FALSE),0)</f>
        <v/>
      </c>
      <c r="AC631" s="3">
        <f>IF(N(U631)=0,0,V631*IFERROR(VLOOKUP($C631,Assumptions!$A$4:$G$7,5,FALSE),0)*90/N(U631))</f>
        <v/>
      </c>
      <c r="AD631" s="3">
        <f>N(W631)</f>
        <v/>
      </c>
      <c r="AE631" s="3">
        <f>SUM(Y631:AD631)</f>
        <v/>
      </c>
      <c r="AF631" s="3">
        <f>N(AE631)*N(M631)/90</f>
        <v/>
      </c>
      <c r="AG631" s="3">
        <f>IFERROR(AF631-VLOOKUP($C631,Assumptions!$A$29:$C$32,3,FALSE),"")</f>
        <v/>
      </c>
      <c r="AH631" s="3">
        <f>IFERROR(AG631/F631,"")</f>
        <v/>
      </c>
      <c r="AI631">
        <f>IF(AND($E631=TRUE,$C631="GKP"),AF631,"")</f>
        <v/>
      </c>
      <c r="AJ631">
        <f>IF(AND($E631=TRUE,$C631="DEF"),AF631,"")</f>
        <v/>
      </c>
      <c r="AK631">
        <f>IF(AND($E631=TRUE,$C631="MID"),AF631,"")</f>
        <v/>
      </c>
      <c r="AL631">
        <f>IF(AND($E631=TRUE,$C631="FWD"),AF631,"")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b">
        <v>1</v>
      </c>
      <c r="F632" s="2" t="n">
        <v>4.5</v>
      </c>
      <c r="G632" t="inlineStr">
        <is>
          <t>a</t>
        </is>
      </c>
      <c r="I632" s="2" t="n"/>
      <c r="K632" s="3" t="n">
        <v>0</v>
      </c>
      <c r="L632" t="inlineStr">
        <is>
          <t>flat</t>
        </is>
      </c>
      <c r="M632" s="4" t="n"/>
      <c r="N632" s="4" t="n"/>
      <c r="O632" s="3" t="n"/>
      <c r="P632" t="inlineStr"/>
      <c r="Q632" s="3" t="n"/>
      <c r="R632" s="3" t="n"/>
      <c r="S632" s="3" t="n"/>
      <c r="T632" s="3" t="n"/>
      <c r="U632" s="4" t="n"/>
      <c r="V632" s="3">
        <f>IF(OR(N(T632)=0,N(U632)=0),0,1-POISSON(IFERROR(VLOOKUP($C632,Assumptions!$A$4:$G$7,7,FALSE),99)-1,N(T632)*N(U632)/90,TRUE))</f>
        <v/>
      </c>
      <c r="W632" s="3" t="n"/>
      <c r="X632" s="3" t="n"/>
      <c r="Y632" s="3">
        <f>IF(X632="",IFERROR(VLOOKUP($C632,Assumptions!$A$4:$G$7,6,FALSE),0),X632)</f>
        <v/>
      </c>
      <c r="Z632" s="3">
        <f>N(O632)*IFERROR(VLOOKUP($C632,Assumptions!$A$4:$G$7,2,FALSE),0)</f>
        <v/>
      </c>
      <c r="AA632" s="3">
        <f>N(S632)*IFERROR(VLOOKUP($C632,Assumptions!$A$4:$G$7,3,FALSE),0)*Assumptions!$B$11</f>
        <v/>
      </c>
      <c r="AB632" s="3">
        <f>N(N632)*IFERROR(VLOOKUP($C632,Assumptions!$A$4:$G$7,4,FALSE),0)</f>
        <v/>
      </c>
      <c r="AC632" s="3">
        <f>IF(N(U632)=0,0,V632*IFERROR(VLOOKUP($C632,Assumptions!$A$4:$G$7,5,FALSE),0)*90/N(U632))</f>
        <v/>
      </c>
      <c r="AD632" s="3">
        <f>N(W632)</f>
        <v/>
      </c>
      <c r="AE632" s="3">
        <f>SUM(Y632:AD632)</f>
        <v/>
      </c>
      <c r="AF632" s="3">
        <f>N(AE632)*N(M632)/90</f>
        <v/>
      </c>
      <c r="AG632" s="3">
        <f>IFERROR(AF632-VLOOKUP($C632,Assumptions!$A$29:$C$32,3,FALSE),"")</f>
        <v/>
      </c>
      <c r="AH632" s="3">
        <f>IFERROR(AG632/F632,"")</f>
        <v/>
      </c>
      <c r="AI632">
        <f>IF(AND($E632=TRUE,$C632="GKP"),AF632,"")</f>
        <v/>
      </c>
      <c r="AJ632">
        <f>IF(AND($E632=TRUE,$C632="DEF"),AF632,"")</f>
        <v/>
      </c>
      <c r="AK632">
        <f>IF(AND($E632=TRUE,$C632="MID"),AF632,"")</f>
        <v/>
      </c>
      <c r="AL632">
        <f>IF(AND($E632=TRUE,$C632="FWD"),AF632,"")</f>
        <v/>
      </c>
    </row>
    <row r="633">
      <c r="A633" t="inlineStr">
        <is>
          <t>Zeki Amdouni</t>
        </is>
      </c>
      <c r="D633" t="inlineStr">
        <is>
          <t>FWD</t>
        </is>
      </c>
      <c r="E633" t="b">
        <v>0</v>
      </c>
      <c r="F633" s="2" t="n"/>
      <c r="I633" s="2" t="n">
        <v>69</v>
      </c>
      <c r="K633" s="3" t="n"/>
      <c r="M633" s="4" t="n">
        <v>69</v>
      </c>
      <c r="N633" s="4" t="n"/>
      <c r="O633" s="3" t="n">
        <v>0.3196</v>
      </c>
      <c r="P633" t="inlineStr">
        <is>
          <t>adjusted xGOT</t>
        </is>
      </c>
      <c r="Q633" s="3" t="n">
        <v>1.022</v>
      </c>
      <c r="R633" s="3" t="n">
        <v>5.8</v>
      </c>
      <c r="S633" s="3" t="n">
        <v>0</v>
      </c>
      <c r="T633" s="3" t="n">
        <v>4.488</v>
      </c>
      <c r="U633" s="4" t="n">
        <v>85</v>
      </c>
      <c r="V633" s="3">
        <f>IF(OR(N(T633)=0,N(U633)=0),0,1-POISSON(IFERROR(VLOOKUP($C633,Assumptions!$A$4:$G$7,7,FALSE),99)-1,N(T633)*N(U633)/90,TRUE))</f>
        <v/>
      </c>
      <c r="W633" s="3" t="n">
        <v>0</v>
      </c>
      <c r="X633" s="3" t="n">
        <v>5.217</v>
      </c>
      <c r="Y633" s="3">
        <f>IF(X633="",IFERROR(VLOOKUP($C633,Assumptions!$A$4:$G$7,6,FALSE),0),X633)</f>
        <v/>
      </c>
      <c r="Z633" s="3">
        <f>N(O633)*IFERROR(VLOOKUP($C633,Assumptions!$A$4:$G$7,2,FALSE),0)</f>
        <v/>
      </c>
      <c r="AA633" s="3">
        <f>N(S633)*IFERROR(VLOOKUP($C633,Assumptions!$A$4:$G$7,3,FALSE),0)*Assumptions!$B$11</f>
        <v/>
      </c>
      <c r="AB633" s="3">
        <f>N(N633)*IFERROR(VLOOKUP($C633,Assumptions!$A$4:$G$7,4,FALSE),0)</f>
        <v/>
      </c>
      <c r="AC633" s="3">
        <f>IF(N(U633)=0,0,V633*IFERROR(VLOOKUP($C633,Assumptions!$A$4:$G$7,5,FALSE),0)*90/N(U633))</f>
        <v/>
      </c>
      <c r="AD633" s="3">
        <f>N(W633)</f>
        <v/>
      </c>
      <c r="AE633" s="3">
        <f>SUM(Y633:AD633)</f>
        <v/>
      </c>
      <c r="AF633" s="3">
        <f>N(AE633)*N(M633)/90</f>
        <v/>
      </c>
      <c r="AG633" s="3">
        <f>IFERROR(AF633-VLOOKUP($C633,Assumptions!$A$29:$C$32,3,FALSE),"")</f>
        <v/>
      </c>
      <c r="AH633" s="3">
        <f>IFERROR(AG633/F633,"")</f>
        <v/>
      </c>
      <c r="AI633">
        <f>IF(AND($E633=TRUE,$C633="GKP"),AF633,"")</f>
        <v/>
      </c>
      <c r="AJ633">
        <f>IF(AND($E633=TRUE,$C633="DEF"),AF633,"")</f>
        <v/>
      </c>
      <c r="AK633">
        <f>IF(AND($E633=TRUE,$C633="MID"),AF633,"")</f>
        <v/>
      </c>
      <c r="AL633">
        <f>IF(AND($E633=TRUE,$C633="FWD"),AF633,"")</f>
        <v/>
      </c>
    </row>
    <row r="634">
      <c r="A634" t="inlineStr">
        <is>
          <t>Radu Dragusin</t>
        </is>
      </c>
      <c r="D634" t="inlineStr">
        <is>
          <t>DEF</t>
        </is>
      </c>
      <c r="E634" t="b">
        <v>0</v>
      </c>
      <c r="F634" s="2" t="n"/>
      <c r="I634" s="2" t="n">
        <v>515</v>
      </c>
      <c r="K634" s="3" t="n"/>
      <c r="M634" s="4" t="n">
        <v>515</v>
      </c>
      <c r="N634" s="4" t="n"/>
      <c r="O634" s="3" t="n">
        <v>0.0505</v>
      </c>
      <c r="P634" t="inlineStr">
        <is>
          <t>adjusted xGOT</t>
        </is>
      </c>
      <c r="Q634" s="3" t="n">
        <v>0.9320000000000001</v>
      </c>
      <c r="R634" s="3" t="n">
        <v>0.6</v>
      </c>
      <c r="S634" s="3" t="n">
        <v>0</v>
      </c>
      <c r="T634" s="3" t="n">
        <v>9.946</v>
      </c>
      <c r="U634" s="4" t="n">
        <v>103</v>
      </c>
      <c r="V634" s="3">
        <f>IF(OR(N(T634)=0,N(U634)=0),0,1-POISSON(IFERROR(VLOOKUP($C634,Assumptions!$A$4:$G$7,7,FALSE),99)-1,N(T634)*N(U634)/90,TRUE))</f>
        <v/>
      </c>
      <c r="W634" s="3" t="n">
        <v>0</v>
      </c>
      <c r="X634" s="3" t="n">
        <v>2.621</v>
      </c>
      <c r="Y634" s="3">
        <f>IF(X634="",IFERROR(VLOOKUP($C634,Assumptions!$A$4:$G$7,6,FALSE),0),X634)</f>
        <v/>
      </c>
      <c r="Z634" s="3">
        <f>N(O634)*IFERROR(VLOOKUP($C634,Assumptions!$A$4:$G$7,2,FALSE),0)</f>
        <v/>
      </c>
      <c r="AA634" s="3">
        <f>N(S634)*IFERROR(VLOOKUP($C634,Assumptions!$A$4:$G$7,3,FALSE),0)*Assumptions!$B$11</f>
        <v/>
      </c>
      <c r="AB634" s="3">
        <f>N(N634)*IFERROR(VLOOKUP($C634,Assumptions!$A$4:$G$7,4,FALSE),0)</f>
        <v/>
      </c>
      <c r="AC634" s="3">
        <f>IF(N(U634)=0,0,V634*IFERROR(VLOOKUP($C634,Assumptions!$A$4:$G$7,5,FALSE),0)*90/N(U634))</f>
        <v/>
      </c>
      <c r="AD634" s="3">
        <f>N(W634)</f>
        <v/>
      </c>
      <c r="AE634" s="3">
        <f>SUM(Y634:AD634)</f>
        <v/>
      </c>
      <c r="AF634" s="3">
        <f>N(AE634)*N(M634)/90</f>
        <v/>
      </c>
      <c r="AG634" s="3">
        <f>IFERROR(AF634-VLOOKUP($C634,Assumptions!$A$29:$C$32,3,FALSE),"")</f>
        <v/>
      </c>
      <c r="AH634" s="3">
        <f>IFERROR(AG634/F634,"")</f>
        <v/>
      </c>
      <c r="AI634">
        <f>IF(AND($E634=TRUE,$C634="GKP"),AF634,"")</f>
        <v/>
      </c>
      <c r="AJ634">
        <f>IF(AND($E634=TRUE,$C634="DEF"),AF634,"")</f>
        <v/>
      </c>
      <c r="AK634">
        <f>IF(AND($E634=TRUE,$C634="MID"),AF634,"")</f>
        <v/>
      </c>
      <c r="AL634">
        <f>IF(AND($E634=TRUE,$C634="FWD"),AF634,"")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b">
        <v>1</v>
      </c>
      <c r="F635" s="2" t="n">
        <v>4.5</v>
      </c>
      <c r="G635" t="inlineStr">
        <is>
          <t>a</t>
        </is>
      </c>
      <c r="I635" s="2" t="n"/>
      <c r="K635" s="3" t="n">
        <v>3098</v>
      </c>
      <c r="L635" t="inlineStr">
        <is>
          <t>flat</t>
        </is>
      </c>
      <c r="M635" s="4" t="n"/>
      <c r="N635" s="4" t="n">
        <v>0.29</v>
      </c>
      <c r="O635" s="3" t="n"/>
      <c r="P635" t="inlineStr"/>
      <c r="Q635" s="3" t="n"/>
      <c r="R635" s="3" t="n"/>
      <c r="S635" s="3" t="n"/>
      <c r="T635" s="3" t="n"/>
      <c r="U635" s="4" t="n"/>
      <c r="V635" s="3">
        <f>IF(OR(N(T635)=0,N(U635)=0),0,1-POISSON(IFERROR(VLOOKUP($C635,Assumptions!$A$4:$G$7,7,FALSE),99)-1,N(T635)*N(U635)/90,TRUE))</f>
        <v/>
      </c>
      <c r="W635" s="3" t="n"/>
      <c r="X635" s="3" t="n"/>
      <c r="Y635" s="3">
        <f>IF(X635="",IFERROR(VLOOKUP($C635,Assumptions!$A$4:$G$7,6,FALSE),0),X635)</f>
        <v/>
      </c>
      <c r="Z635" s="3">
        <f>N(O635)*IFERROR(VLOOKUP($C635,Assumptions!$A$4:$G$7,2,FALSE),0)</f>
        <v/>
      </c>
      <c r="AA635" s="3">
        <f>N(S635)*IFERROR(VLOOKUP($C635,Assumptions!$A$4:$G$7,3,FALSE),0)*Assumptions!$B$11</f>
        <v/>
      </c>
      <c r="AB635" s="3">
        <f>N(N635)*IFERROR(VLOOKUP($C635,Assumptions!$A$4:$G$7,4,FALSE),0)</f>
        <v/>
      </c>
      <c r="AC635" s="3">
        <f>IF(N(U635)=0,0,V635*IFERROR(VLOOKUP($C635,Assumptions!$A$4:$G$7,5,FALSE),0)*90/N(U635))</f>
        <v/>
      </c>
      <c r="AD635" s="3">
        <f>N(W635)</f>
        <v/>
      </c>
      <c r="AE635" s="3">
        <f>SUM(Y635:AD635)</f>
        <v/>
      </c>
      <c r="AF635" s="3">
        <f>N(AE635)*N(M635)/90</f>
        <v/>
      </c>
      <c r="AG635" s="3">
        <f>IFERROR(AF635-VLOOKUP($C635,Assumptions!$A$29:$C$32,3,FALSE),"")</f>
        <v/>
      </c>
      <c r="AH635" s="3">
        <f>IFERROR(AG635/F635,"")</f>
        <v/>
      </c>
      <c r="AI635">
        <f>IF(AND($E635=TRUE,$C635="GKP"),AF635,"")</f>
        <v/>
      </c>
      <c r="AJ635">
        <f>IF(AND($E635=TRUE,$C635="DEF"),AF635,"")</f>
        <v/>
      </c>
      <c r="AK635">
        <f>IF(AND($E635=TRUE,$C635="MID"),AF635,"")</f>
        <v/>
      </c>
      <c r="AL635">
        <f>IF(AND($E635=TRUE,$C635="FWD"),AF635,"")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b">
        <v>1</v>
      </c>
      <c r="F636" s="2" t="n">
        <v>4</v>
      </c>
      <c r="G636" t="inlineStr">
        <is>
          <t>u</t>
        </is>
      </c>
      <c r="H636" t="inlineStr">
        <is>
          <t>Has joined Grimsby Town on loan for the rest of the season</t>
        </is>
      </c>
      <c r="I636" s="2" t="n"/>
      <c r="K636" s="3" t="n"/>
      <c r="M636" s="4" t="n"/>
      <c r="N636" s="4" t="n"/>
      <c r="O636" s="3" t="n"/>
      <c r="P636" t="inlineStr"/>
      <c r="Q636" s="3" t="n"/>
      <c r="R636" s="3" t="n"/>
      <c r="S636" s="3" t="n"/>
      <c r="T636" s="3" t="n">
        <v>0</v>
      </c>
      <c r="U636" s="4" t="n"/>
      <c r="V636" s="3">
        <f>IF(OR(N(T636)=0,N(U636)=0),0,1-POISSON(IFERROR(VLOOKUP($C636,Assumptions!$A$4:$G$7,7,FALSE),99)-1,N(T636)*N(U636)/90,TRUE))</f>
        <v/>
      </c>
      <c r="W636" s="3" t="n"/>
      <c r="X636" s="3" t="n"/>
      <c r="Y636" s="3">
        <f>IF(X636="",IFERROR(VLOOKUP($C636,Assumptions!$A$4:$G$7,6,FALSE),0),X636)</f>
        <v/>
      </c>
      <c r="Z636" s="3">
        <f>N(O636)*IFERROR(VLOOKUP($C636,Assumptions!$A$4:$G$7,2,FALSE),0)</f>
        <v/>
      </c>
      <c r="AA636" s="3">
        <f>N(S636)*IFERROR(VLOOKUP($C636,Assumptions!$A$4:$G$7,3,FALSE),0)*Assumptions!$B$11</f>
        <v/>
      </c>
      <c r="AB636" s="3">
        <f>N(N636)*IFERROR(VLOOKUP($C636,Assumptions!$A$4:$G$7,4,FALSE),0)</f>
        <v/>
      </c>
      <c r="AC636" s="3">
        <f>IF(N(U636)=0,0,V636*IFERROR(VLOOKUP($C636,Assumptions!$A$4:$G$7,5,FALSE),0)*90/N(U636))</f>
        <v/>
      </c>
      <c r="AD636" s="3">
        <f>N(W636)</f>
        <v/>
      </c>
      <c r="AE636" s="3">
        <f>SUM(Y636:AD636)</f>
        <v/>
      </c>
      <c r="AF636" s="3">
        <f>N(AE636)*N(M636)/90</f>
        <v/>
      </c>
      <c r="AG636" s="3">
        <f>IFERROR(AF636-VLOOKUP($C636,Assumptions!$A$29:$C$32,3,FALSE),"")</f>
        <v/>
      </c>
      <c r="AH636" s="3">
        <f>IFERROR(AG636/F636,"")</f>
        <v/>
      </c>
      <c r="AI636">
        <f>IF(AND($E636=TRUE,$C636="GKP"),AF636,"")</f>
        <v/>
      </c>
      <c r="AJ636">
        <f>IF(AND($E636=TRUE,$C636="DEF"),AF636,"")</f>
        <v/>
      </c>
      <c r="AK636">
        <f>IF(AND($E636=TRUE,$C636="MID"),AF636,"")</f>
        <v/>
      </c>
      <c r="AL636">
        <f>IF(AND($E636=TRUE,$C636="FWD"),AF636,"")</f>
        <v/>
      </c>
    </row>
    <row r="637">
      <c r="A637" t="inlineStr">
        <is>
          <t>Quilindschy Hartman</t>
        </is>
      </c>
      <c r="D637" t="inlineStr">
        <is>
          <t>DEF</t>
        </is>
      </c>
      <c r="E637" t="b">
        <v>0</v>
      </c>
      <c r="F637" s="2" t="n"/>
      <c r="I637" s="2" t="n">
        <v>1830</v>
      </c>
      <c r="K637" s="3" t="n"/>
      <c r="M637" s="4" t="n">
        <v>1830</v>
      </c>
      <c r="N637" s="4" t="n"/>
      <c r="O637" s="3" t="n">
        <v>0.0155</v>
      </c>
      <c r="P637" t="inlineStr">
        <is>
          <t>adjusted xGOT</t>
        </is>
      </c>
      <c r="Q637" s="3" t="n">
        <v>0.986</v>
      </c>
      <c r="R637" s="3" t="n">
        <v>0.3</v>
      </c>
      <c r="S637" s="3" t="n">
        <v>0.1372</v>
      </c>
      <c r="T637" s="3" t="n">
        <v>7.585</v>
      </c>
      <c r="U637" s="4" t="n">
        <v>86.90000000000001</v>
      </c>
      <c r="V637" s="3">
        <f>IF(OR(N(T637)=0,N(U637)=0),0,1-POISSON(IFERROR(VLOOKUP($C637,Assumptions!$A$4:$G$7,7,FALSE),99)-1,N(T637)*N(U637)/90,TRUE))</f>
        <v/>
      </c>
      <c r="W637" s="3" t="n">
        <v>0</v>
      </c>
      <c r="X637" s="3" t="n">
        <v>2.066</v>
      </c>
      <c r="Y637" s="3">
        <f>IF(X637="",IFERROR(VLOOKUP($C637,Assumptions!$A$4:$G$7,6,FALSE),0),X637)</f>
        <v/>
      </c>
      <c r="Z637" s="3">
        <f>N(O637)*IFERROR(VLOOKUP($C637,Assumptions!$A$4:$G$7,2,FALSE),0)</f>
        <v/>
      </c>
      <c r="AA637" s="3">
        <f>N(S637)*IFERROR(VLOOKUP($C637,Assumptions!$A$4:$G$7,3,FALSE),0)*Assumptions!$B$11</f>
        <v/>
      </c>
      <c r="AB637" s="3">
        <f>N(N637)*IFERROR(VLOOKUP($C637,Assumptions!$A$4:$G$7,4,FALSE),0)</f>
        <v/>
      </c>
      <c r="AC637" s="3">
        <f>IF(N(U637)=0,0,V637*IFERROR(VLOOKUP($C637,Assumptions!$A$4:$G$7,5,FALSE),0)*90/N(U637))</f>
        <v/>
      </c>
      <c r="AD637" s="3">
        <f>N(W637)</f>
        <v/>
      </c>
      <c r="AE637" s="3">
        <f>SUM(Y637:AD637)</f>
        <v/>
      </c>
      <c r="AF637" s="3">
        <f>N(AE637)*N(M637)/90</f>
        <v/>
      </c>
      <c r="AG637" s="3">
        <f>IFERROR(AF637-VLOOKUP($C637,Assumptions!$A$29:$C$32,3,FALSE),"")</f>
        <v/>
      </c>
      <c r="AH637" s="3">
        <f>IFERROR(AG637/F637,"")</f>
        <v/>
      </c>
      <c r="AI637">
        <f>IF(AND($E637=TRUE,$C637="GKP"),AF637,"")</f>
        <v/>
      </c>
      <c r="AJ637">
        <f>IF(AND($E637=TRUE,$C637="DEF"),AF637,"")</f>
        <v/>
      </c>
      <c r="AK637">
        <f>IF(AND($E637=TRUE,$C637="MID"),AF637,"")</f>
        <v/>
      </c>
      <c r="AL637">
        <f>IF(AND($E637=TRUE,$C637="FWD"),AF637,"")</f>
        <v/>
      </c>
    </row>
    <row r="638">
      <c r="A638" t="inlineStr">
        <is>
          <t>Tawanda Chirewa</t>
        </is>
      </c>
      <c r="D638" t="inlineStr">
        <is>
          <t>MID</t>
        </is>
      </c>
      <c r="E638" t="b">
        <v>0</v>
      </c>
      <c r="F638" s="2" t="n"/>
      <c r="I638" s="2" t="n">
        <v>25</v>
      </c>
      <c r="K638" s="3" t="n"/>
      <c r="M638" s="4" t="n">
        <v>25</v>
      </c>
      <c r="N638" s="4" t="n"/>
      <c r="O638" s="3" t="n">
        <v>0</v>
      </c>
      <c r="P638" t="inlineStr">
        <is>
          <t>adjusted xGOT</t>
        </is>
      </c>
      <c r="Q638" s="3" t="n">
        <v>0.993</v>
      </c>
      <c r="R638" s="3" t="n">
        <v>0.2</v>
      </c>
      <c r="S638" s="3" t="n">
        <v>0</v>
      </c>
      <c r="T638" s="3" t="n">
        <v>8.772</v>
      </c>
      <c r="U638" s="4" t="n">
        <v>85</v>
      </c>
      <c r="V638" s="3">
        <f>IF(OR(N(T638)=0,N(U638)=0),0,1-POISSON(IFERROR(VLOOKUP($C638,Assumptions!$A$4:$G$7,7,FALSE),99)-1,N(T638)*N(U638)/90,TRUE))</f>
        <v/>
      </c>
      <c r="W638" s="3" t="n">
        <v>0</v>
      </c>
      <c r="X638" s="3" t="n">
        <v>7.2</v>
      </c>
      <c r="Y638" s="3">
        <f>IF(X638="",IFERROR(VLOOKUP($C638,Assumptions!$A$4:$G$7,6,FALSE),0),X638)</f>
        <v/>
      </c>
      <c r="Z638" s="3">
        <f>N(O638)*IFERROR(VLOOKUP($C638,Assumptions!$A$4:$G$7,2,FALSE),0)</f>
        <v/>
      </c>
      <c r="AA638" s="3">
        <f>N(S638)*IFERROR(VLOOKUP($C638,Assumptions!$A$4:$G$7,3,FALSE),0)*Assumptions!$B$11</f>
        <v/>
      </c>
      <c r="AB638" s="3">
        <f>N(N638)*IFERROR(VLOOKUP($C638,Assumptions!$A$4:$G$7,4,FALSE),0)</f>
        <v/>
      </c>
      <c r="AC638" s="3">
        <f>IF(N(U638)=0,0,V638*IFERROR(VLOOKUP($C638,Assumptions!$A$4:$G$7,5,FALSE),0)*90/N(U638))</f>
        <v/>
      </c>
      <c r="AD638" s="3">
        <f>N(W638)</f>
        <v/>
      </c>
      <c r="AE638" s="3">
        <f>SUM(Y638:AD638)</f>
        <v/>
      </c>
      <c r="AF638" s="3">
        <f>N(AE638)*N(M638)/90</f>
        <v/>
      </c>
      <c r="AG638" s="3">
        <f>IFERROR(AF638-VLOOKUP($C638,Assumptions!$A$29:$C$32,3,FALSE),"")</f>
        <v/>
      </c>
      <c r="AH638" s="3">
        <f>IFERROR(AG638/F638,"")</f>
        <v/>
      </c>
      <c r="AI638">
        <f>IF(AND($E638=TRUE,$C638="GKP"),AF638,"")</f>
        <v/>
      </c>
      <c r="AJ638">
        <f>IF(AND($E638=TRUE,$C638="DEF"),AF638,"")</f>
        <v/>
      </c>
      <c r="AK638">
        <f>IF(AND($E638=TRUE,$C638="MID"),AF638,"")</f>
        <v/>
      </c>
      <c r="AL638">
        <f>IF(AND($E638=TRUE,$C638="FWD"),AF638,"")</f>
        <v/>
      </c>
    </row>
    <row r="639">
      <c r="A639" t="inlineStr">
        <is>
          <t>David Møller Wolfe</t>
        </is>
      </c>
      <c r="D639" t="inlineStr">
        <is>
          <t>DEF</t>
        </is>
      </c>
      <c r="E639" t="b">
        <v>0</v>
      </c>
      <c r="F639" s="2" t="n"/>
      <c r="I639" s="2" t="n">
        <v>1049</v>
      </c>
      <c r="K639" s="3" t="n"/>
      <c r="M639" s="4" t="n">
        <v>1049</v>
      </c>
      <c r="N639" s="4" t="n"/>
      <c r="O639" s="3" t="n">
        <v>0.011</v>
      </c>
      <c r="P639" t="inlineStr">
        <is>
          <t>adjusted xGOT</t>
        </is>
      </c>
      <c r="Q639" s="3" t="n">
        <v>0.984</v>
      </c>
      <c r="R639" s="3" t="n">
        <v>0.1</v>
      </c>
      <c r="S639" s="3" t="n">
        <v>0.1119</v>
      </c>
      <c r="T639" s="3" t="n">
        <v>5.694</v>
      </c>
      <c r="U639" s="4" t="n">
        <v>94.7</v>
      </c>
      <c r="V639" s="3">
        <f>IF(OR(N(T639)=0,N(U639)=0),0,1-POISSON(IFERROR(VLOOKUP($C639,Assumptions!$A$4:$G$7,7,FALSE),99)-1,N(T639)*N(U639)/90,TRUE))</f>
        <v/>
      </c>
      <c r="W639" s="3" t="n">
        <v>0</v>
      </c>
      <c r="X639" s="3" t="n">
        <v>2.745</v>
      </c>
      <c r="Y639" s="3">
        <f>IF(X639="",IFERROR(VLOOKUP($C639,Assumptions!$A$4:$G$7,6,FALSE),0),X639)</f>
        <v/>
      </c>
      <c r="Z639" s="3">
        <f>N(O639)*IFERROR(VLOOKUP($C639,Assumptions!$A$4:$G$7,2,FALSE),0)</f>
        <v/>
      </c>
      <c r="AA639" s="3">
        <f>N(S639)*IFERROR(VLOOKUP($C639,Assumptions!$A$4:$G$7,3,FALSE),0)*Assumptions!$B$11</f>
        <v/>
      </c>
      <c r="AB639" s="3">
        <f>N(N639)*IFERROR(VLOOKUP($C639,Assumptions!$A$4:$G$7,4,FALSE),0)</f>
        <v/>
      </c>
      <c r="AC639" s="3">
        <f>IF(N(U639)=0,0,V639*IFERROR(VLOOKUP($C639,Assumptions!$A$4:$G$7,5,FALSE),0)*90/N(U639))</f>
        <v/>
      </c>
      <c r="AD639" s="3">
        <f>N(W639)</f>
        <v/>
      </c>
      <c r="AE639" s="3">
        <f>SUM(Y639:AD639)</f>
        <v/>
      </c>
      <c r="AF639" s="3">
        <f>N(AE639)*N(M639)/90</f>
        <v/>
      </c>
      <c r="AG639" s="3">
        <f>IFERROR(AF639-VLOOKUP($C639,Assumptions!$A$29:$C$32,3,FALSE),"")</f>
        <v/>
      </c>
      <c r="AH639" s="3">
        <f>IFERROR(AG639/F639,"")</f>
        <v/>
      </c>
      <c r="AI639">
        <f>IF(AND($E639=TRUE,$C639="GKP"),AF639,"")</f>
        <v/>
      </c>
      <c r="AJ639">
        <f>IF(AND($E639=TRUE,$C639="DEF"),AF639,"")</f>
        <v/>
      </c>
      <c r="AK639">
        <f>IF(AND($E639=TRUE,$C639="MID"),AF639,"")</f>
        <v/>
      </c>
      <c r="AL639">
        <f>IF(AND($E639=TRUE,$C639="FWD"),AF639,"")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b">
        <v>1</v>
      </c>
      <c r="F640" s="2" t="n">
        <v>5</v>
      </c>
      <c r="G640" t="inlineStr">
        <is>
          <t>a</t>
        </is>
      </c>
      <c r="I640" s="2" t="n"/>
      <c r="K640" s="3" t="n">
        <v>534</v>
      </c>
      <c r="L640" t="inlineStr">
        <is>
          <t>flat</t>
        </is>
      </c>
      <c r="M640" s="4" t="n"/>
      <c r="N640" s="4" t="n">
        <v>0.237</v>
      </c>
      <c r="O640" s="3" t="n"/>
      <c r="P640" t="inlineStr"/>
      <c r="Q640" s="3" t="n"/>
      <c r="R640" s="3" t="n"/>
      <c r="S640" s="3" t="n"/>
      <c r="T640" s="3" t="n"/>
      <c r="U640" s="4" t="n"/>
      <c r="V640" s="3">
        <f>IF(OR(N(T640)=0,N(U640)=0),0,1-POISSON(IFERROR(VLOOKUP($C640,Assumptions!$A$4:$G$7,7,FALSE),99)-1,N(T640)*N(U640)/90,TRUE))</f>
        <v/>
      </c>
      <c r="W640" s="3" t="n"/>
      <c r="X640" s="3" t="n"/>
      <c r="Y640" s="3">
        <f>IF(X640="",IFERROR(VLOOKUP($C640,Assumptions!$A$4:$G$7,6,FALSE),0),X640)</f>
        <v/>
      </c>
      <c r="Z640" s="3">
        <f>N(O640)*IFERROR(VLOOKUP($C640,Assumptions!$A$4:$G$7,2,FALSE),0)</f>
        <v/>
      </c>
      <c r="AA640" s="3">
        <f>N(S640)*IFERROR(VLOOKUP($C640,Assumptions!$A$4:$G$7,3,FALSE),0)*Assumptions!$B$11</f>
        <v/>
      </c>
      <c r="AB640" s="3">
        <f>N(N640)*IFERROR(VLOOKUP($C640,Assumptions!$A$4:$G$7,4,FALSE),0)</f>
        <v/>
      </c>
      <c r="AC640" s="3">
        <f>IF(N(U640)=0,0,V640*IFERROR(VLOOKUP($C640,Assumptions!$A$4:$G$7,5,FALSE),0)*90/N(U640))</f>
        <v/>
      </c>
      <c r="AD640" s="3">
        <f>N(W640)</f>
        <v/>
      </c>
      <c r="AE640" s="3">
        <f>SUM(Y640:AD640)</f>
        <v/>
      </c>
      <c r="AF640" s="3">
        <f>N(AE640)*N(M640)/90</f>
        <v/>
      </c>
      <c r="AG640" s="3">
        <f>IFERROR(AF640-VLOOKUP($C640,Assumptions!$A$29:$C$32,3,FALSE),"")</f>
        <v/>
      </c>
      <c r="AH640" s="3">
        <f>IFERROR(AG640/F640,"")</f>
        <v/>
      </c>
      <c r="AI640">
        <f>IF(AND($E640=TRUE,$C640="GKP"),AF640,"")</f>
        <v/>
      </c>
      <c r="AJ640">
        <f>IF(AND($E640=TRUE,$C640="DEF"),AF640,"")</f>
        <v/>
      </c>
      <c r="AK640">
        <f>IF(AND($E640=TRUE,$C640="MID"),AF640,"")</f>
        <v/>
      </c>
      <c r="AL640">
        <f>IF(AND($E640=TRUE,$C640="FWD"),AF640,"")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b">
        <v>1</v>
      </c>
      <c r="F641" s="2" t="n">
        <v>4.5</v>
      </c>
      <c r="G641" t="inlineStr">
        <is>
          <t>a</t>
        </is>
      </c>
      <c r="I641" s="2" t="n"/>
      <c r="K641" s="3" t="n">
        <v>93</v>
      </c>
      <c r="L641" t="inlineStr">
        <is>
          <t>flat</t>
        </is>
      </c>
      <c r="M641" s="4" t="n"/>
      <c r="N641" s="4" t="n"/>
      <c r="O641" s="3" t="n"/>
      <c r="P641" t="inlineStr"/>
      <c r="Q641" s="3" t="n"/>
      <c r="R641" s="3" t="n"/>
      <c r="S641" s="3" t="n"/>
      <c r="T641" s="3" t="n"/>
      <c r="U641" s="4" t="n"/>
      <c r="V641" s="3">
        <f>IF(OR(N(T641)=0,N(U641)=0),0,1-POISSON(IFERROR(VLOOKUP($C641,Assumptions!$A$4:$G$7,7,FALSE),99)-1,N(T641)*N(U641)/90,TRUE))</f>
        <v/>
      </c>
      <c r="W641" s="3" t="n"/>
      <c r="X641" s="3" t="n"/>
      <c r="Y641" s="3">
        <f>IF(X641="",IFERROR(VLOOKUP($C641,Assumptions!$A$4:$G$7,6,FALSE),0),X641)</f>
        <v/>
      </c>
      <c r="Z641" s="3">
        <f>N(O641)*IFERROR(VLOOKUP($C641,Assumptions!$A$4:$G$7,2,FALSE),0)</f>
        <v/>
      </c>
      <c r="AA641" s="3">
        <f>N(S641)*IFERROR(VLOOKUP($C641,Assumptions!$A$4:$G$7,3,FALSE),0)*Assumptions!$B$11</f>
        <v/>
      </c>
      <c r="AB641" s="3">
        <f>N(N641)*IFERROR(VLOOKUP($C641,Assumptions!$A$4:$G$7,4,FALSE),0)</f>
        <v/>
      </c>
      <c r="AC641" s="3">
        <f>IF(N(U641)=0,0,V641*IFERROR(VLOOKUP($C641,Assumptions!$A$4:$G$7,5,FALSE),0)*90/N(U641))</f>
        <v/>
      </c>
      <c r="AD641" s="3">
        <f>N(W641)</f>
        <v/>
      </c>
      <c r="AE641" s="3">
        <f>SUM(Y641:AD641)</f>
        <v/>
      </c>
      <c r="AF641" s="3">
        <f>N(AE641)*N(M641)/90</f>
        <v/>
      </c>
      <c r="AG641" s="3">
        <f>IFERROR(AF641-VLOOKUP($C641,Assumptions!$A$29:$C$32,3,FALSE),"")</f>
        <v/>
      </c>
      <c r="AH641" s="3">
        <f>IFERROR(AG641/F641,"")</f>
        <v/>
      </c>
      <c r="AI641">
        <f>IF(AND($E641=TRUE,$C641="GKP"),AF641,"")</f>
        <v/>
      </c>
      <c r="AJ641">
        <f>IF(AND($E641=TRUE,$C641="DEF"),AF641,"")</f>
        <v/>
      </c>
      <c r="AK641">
        <f>IF(AND($E641=TRUE,$C641="MID"),AF641,"")</f>
        <v/>
      </c>
      <c r="AL641">
        <f>IF(AND($E641=TRUE,$C641="FWD"),AF641,"")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b">
        <v>1</v>
      </c>
      <c r="F642" s="2" t="n">
        <v>5</v>
      </c>
      <c r="G642" t="inlineStr">
        <is>
          <t>a</t>
        </is>
      </c>
      <c r="I642" s="2" t="n"/>
      <c r="K642" s="3" t="n">
        <v>2736</v>
      </c>
      <c r="L642" t="inlineStr">
        <is>
          <t>flat</t>
        </is>
      </c>
      <c r="M642" s="4" t="n"/>
      <c r="N642" s="4" t="n"/>
      <c r="O642" s="3" t="n"/>
      <c r="P642" t="inlineStr"/>
      <c r="Q642" s="3" t="n"/>
      <c r="R642" s="3" t="n"/>
      <c r="S642" s="3" t="n"/>
      <c r="T642" s="3" t="n"/>
      <c r="U642" s="4" t="n"/>
      <c r="V642" s="3">
        <f>IF(OR(N(T642)=0,N(U642)=0),0,1-POISSON(IFERROR(VLOOKUP($C642,Assumptions!$A$4:$G$7,7,FALSE),99)-1,N(T642)*N(U642)/90,TRUE))</f>
        <v/>
      </c>
      <c r="W642" s="3" t="n"/>
      <c r="X642" s="3" t="n"/>
      <c r="Y642" s="3">
        <f>IF(X642="",IFERROR(VLOOKUP($C642,Assumptions!$A$4:$G$7,6,FALSE),0),X642)</f>
        <v/>
      </c>
      <c r="Z642" s="3">
        <f>N(O642)*IFERROR(VLOOKUP($C642,Assumptions!$A$4:$G$7,2,FALSE),0)</f>
        <v/>
      </c>
      <c r="AA642" s="3">
        <f>N(S642)*IFERROR(VLOOKUP($C642,Assumptions!$A$4:$G$7,3,FALSE),0)*Assumptions!$B$11</f>
        <v/>
      </c>
      <c r="AB642" s="3">
        <f>N(N642)*IFERROR(VLOOKUP($C642,Assumptions!$A$4:$G$7,4,FALSE),0)</f>
        <v/>
      </c>
      <c r="AC642" s="3">
        <f>IF(N(U642)=0,0,V642*IFERROR(VLOOKUP($C642,Assumptions!$A$4:$G$7,5,FALSE),0)*90/N(U642))</f>
        <v/>
      </c>
      <c r="AD642" s="3">
        <f>N(W642)</f>
        <v/>
      </c>
      <c r="AE642" s="3">
        <f>SUM(Y642:AD642)</f>
        <v/>
      </c>
      <c r="AF642" s="3">
        <f>N(AE642)*N(M642)/90</f>
        <v/>
      </c>
      <c r="AG642" s="3">
        <f>IFERROR(AF642-VLOOKUP($C642,Assumptions!$A$29:$C$32,3,FALSE),"")</f>
        <v/>
      </c>
      <c r="AH642" s="3">
        <f>IFERROR(AG642/F642,"")</f>
        <v/>
      </c>
      <c r="AI642">
        <f>IF(AND($E642=TRUE,$C642="GKP"),AF642,"")</f>
        <v/>
      </c>
      <c r="AJ642">
        <f>IF(AND($E642=TRUE,$C642="DEF"),AF642,"")</f>
        <v/>
      </c>
      <c r="AK642">
        <f>IF(AND($E642=TRUE,$C642="MID"),AF642,"")</f>
        <v/>
      </c>
      <c r="AL642">
        <f>IF(AND($E642=TRUE,$C642="FWD"),AF642,"")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b">
        <v>1</v>
      </c>
      <c r="F643" s="2" t="n">
        <v>5</v>
      </c>
      <c r="G643" t="inlineStr">
        <is>
          <t>a</t>
        </is>
      </c>
      <c r="I643" s="2" t="n"/>
      <c r="K643" s="3" t="n">
        <v>1927</v>
      </c>
      <c r="L643" t="inlineStr">
        <is>
          <t>flat</t>
        </is>
      </c>
      <c r="M643" s="4" t="n"/>
      <c r="N643" s="4" t="n"/>
      <c r="O643" s="3" t="n"/>
      <c r="P643" t="inlineStr"/>
      <c r="Q643" s="3" t="n"/>
      <c r="R643" s="3" t="n"/>
      <c r="S643" s="3" t="n"/>
      <c r="T643" s="3" t="n"/>
      <c r="U643" s="4" t="n"/>
      <c r="V643" s="3">
        <f>IF(OR(N(T643)=0,N(U643)=0),0,1-POISSON(IFERROR(VLOOKUP($C643,Assumptions!$A$4:$G$7,7,FALSE),99)-1,N(T643)*N(U643)/90,TRUE))</f>
        <v/>
      </c>
      <c r="W643" s="3" t="n"/>
      <c r="X643" s="3" t="n"/>
      <c r="Y643" s="3">
        <f>IF(X643="",IFERROR(VLOOKUP($C643,Assumptions!$A$4:$G$7,6,FALSE),0),X643)</f>
        <v/>
      </c>
      <c r="Z643" s="3">
        <f>N(O643)*IFERROR(VLOOKUP($C643,Assumptions!$A$4:$G$7,2,FALSE),0)</f>
        <v/>
      </c>
      <c r="AA643" s="3">
        <f>N(S643)*IFERROR(VLOOKUP($C643,Assumptions!$A$4:$G$7,3,FALSE),0)*Assumptions!$B$11</f>
        <v/>
      </c>
      <c r="AB643" s="3">
        <f>N(N643)*IFERROR(VLOOKUP($C643,Assumptions!$A$4:$G$7,4,FALSE),0)</f>
        <v/>
      </c>
      <c r="AC643" s="3">
        <f>IF(N(U643)=0,0,V643*IFERROR(VLOOKUP($C643,Assumptions!$A$4:$G$7,5,FALSE),0)*90/N(U643))</f>
        <v/>
      </c>
      <c r="AD643" s="3">
        <f>N(W643)</f>
        <v/>
      </c>
      <c r="AE643" s="3">
        <f>SUM(Y643:AD643)</f>
        <v/>
      </c>
      <c r="AF643" s="3">
        <f>N(AE643)*N(M643)/90</f>
        <v/>
      </c>
      <c r="AG643" s="3">
        <f>IFERROR(AF643-VLOOKUP($C643,Assumptions!$A$29:$C$32,3,FALSE),"")</f>
        <v/>
      </c>
      <c r="AH643" s="3">
        <f>IFERROR(AG643/F643,"")</f>
        <v/>
      </c>
      <c r="AI643">
        <f>IF(AND($E643=TRUE,$C643="GKP"),AF643,"")</f>
        <v/>
      </c>
      <c r="AJ643">
        <f>IF(AND($E643=TRUE,$C643="DEF"),AF643,"")</f>
        <v/>
      </c>
      <c r="AK643">
        <f>IF(AND($E643=TRUE,$C643="MID"),AF643,"")</f>
        <v/>
      </c>
      <c r="AL643">
        <f>IF(AND($E643=TRUE,$C643="FWD"),AF643,"")</f>
        <v/>
      </c>
    </row>
    <row r="644">
      <c r="A644" t="inlineStr">
        <is>
          <t>Yerson Mosquera</t>
        </is>
      </c>
      <c r="D644" t="inlineStr">
        <is>
          <t>DEF</t>
        </is>
      </c>
      <c r="E644" t="b">
        <v>0</v>
      </c>
      <c r="F644" s="2" t="n"/>
      <c r="I644" s="2" t="n">
        <v>2142</v>
      </c>
      <c r="K644" s="3" t="n"/>
      <c r="M644" s="4" t="n">
        <v>2142</v>
      </c>
      <c r="N644" s="4" t="n"/>
      <c r="O644" s="3" t="n">
        <v>0.0837</v>
      </c>
      <c r="P644" t="inlineStr">
        <is>
          <t>adjusted xGOT</t>
        </is>
      </c>
      <c r="Q644" s="3" t="n">
        <v>0.793</v>
      </c>
      <c r="R644" s="3" t="n">
        <v>2.8</v>
      </c>
      <c r="S644" s="3" t="n">
        <v>0.0505</v>
      </c>
      <c r="T644" s="3" t="n">
        <v>8.836</v>
      </c>
      <c r="U644" s="4" t="n">
        <v>89</v>
      </c>
      <c r="V644" s="3">
        <f>IF(OR(N(T644)=0,N(U644)=0),0,1-POISSON(IFERROR(VLOOKUP($C644,Assumptions!$A$4:$G$7,7,FALSE),99)-1,N(T644)*N(U644)/90,TRUE))</f>
        <v/>
      </c>
      <c r="W644" s="3" t="n">
        <v>0.1261</v>
      </c>
      <c r="X644" s="3" t="n">
        <v>2.143</v>
      </c>
      <c r="Y644" s="3">
        <f>IF(X644="",IFERROR(VLOOKUP($C644,Assumptions!$A$4:$G$7,6,FALSE),0),X644)</f>
        <v/>
      </c>
      <c r="Z644" s="3">
        <f>N(O644)*IFERROR(VLOOKUP($C644,Assumptions!$A$4:$G$7,2,FALSE),0)</f>
        <v/>
      </c>
      <c r="AA644" s="3">
        <f>N(S644)*IFERROR(VLOOKUP($C644,Assumptions!$A$4:$G$7,3,FALSE),0)*Assumptions!$B$11</f>
        <v/>
      </c>
      <c r="AB644" s="3">
        <f>N(N644)*IFERROR(VLOOKUP($C644,Assumptions!$A$4:$G$7,4,FALSE),0)</f>
        <v/>
      </c>
      <c r="AC644" s="3">
        <f>IF(N(U644)=0,0,V644*IFERROR(VLOOKUP($C644,Assumptions!$A$4:$G$7,5,FALSE),0)*90/N(U644))</f>
        <v/>
      </c>
      <c r="AD644" s="3">
        <f>N(W644)</f>
        <v/>
      </c>
      <c r="AE644" s="3">
        <f>SUM(Y644:AD644)</f>
        <v/>
      </c>
      <c r="AF644" s="3">
        <f>N(AE644)*N(M644)/90</f>
        <v/>
      </c>
      <c r="AG644" s="3">
        <f>IFERROR(AF644-VLOOKUP($C644,Assumptions!$A$29:$C$32,3,FALSE),"")</f>
        <v/>
      </c>
      <c r="AH644" s="3">
        <f>IFERROR(AG644/F644,"")</f>
        <v/>
      </c>
      <c r="AI644">
        <f>IF(AND($E644=TRUE,$C644="GKP"),AF644,"")</f>
        <v/>
      </c>
      <c r="AJ644">
        <f>IF(AND($E644=TRUE,$C644="DEF"),AF644,"")</f>
        <v/>
      </c>
      <c r="AK644">
        <f>IF(AND($E644=TRUE,$C644="MID"),AF644,"")</f>
        <v/>
      </c>
      <c r="AL644">
        <f>IF(AND($E644=TRUE,$C644="FWD"),AF644,"")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b">
        <v>1</v>
      </c>
      <c r="F645" s="2" t="n">
        <v>4</v>
      </c>
      <c r="G645" t="inlineStr">
        <is>
          <t>i</t>
        </is>
      </c>
      <c r="H645" t="inlineStr">
        <is>
          <t>Groin injury - Unknown return date</t>
        </is>
      </c>
      <c r="I645" s="2" t="n"/>
      <c r="K645" s="3" t="n">
        <v>2673</v>
      </c>
      <c r="L645" t="inlineStr">
        <is>
          <t>ramp-up (injury / late WC return)</t>
        </is>
      </c>
      <c r="M645" s="4" t="n"/>
      <c r="N645" s="4" t="n"/>
      <c r="O645" s="3" t="n"/>
      <c r="P645" t="inlineStr"/>
      <c r="Q645" s="3" t="n"/>
      <c r="R645" s="3" t="n"/>
      <c r="S645" s="3" t="n"/>
      <c r="T645" s="3" t="n"/>
      <c r="U645" s="4" t="n"/>
      <c r="V645" s="3">
        <f>IF(OR(N(T645)=0,N(U645)=0),0,1-POISSON(IFERROR(VLOOKUP($C645,Assumptions!$A$4:$G$7,7,FALSE),99)-1,N(T645)*N(U645)/90,TRUE))</f>
        <v/>
      </c>
      <c r="W645" s="3" t="n"/>
      <c r="X645" s="3" t="n"/>
      <c r="Y645" s="3">
        <f>IF(X645="",IFERROR(VLOOKUP($C645,Assumptions!$A$4:$G$7,6,FALSE),0),X645)</f>
        <v/>
      </c>
      <c r="Z645" s="3">
        <f>N(O645)*IFERROR(VLOOKUP($C645,Assumptions!$A$4:$G$7,2,FALSE),0)</f>
        <v/>
      </c>
      <c r="AA645" s="3">
        <f>N(S645)*IFERROR(VLOOKUP($C645,Assumptions!$A$4:$G$7,3,FALSE),0)*Assumptions!$B$11</f>
        <v/>
      </c>
      <c r="AB645" s="3">
        <f>N(N645)*IFERROR(VLOOKUP($C645,Assumptions!$A$4:$G$7,4,FALSE),0)</f>
        <v/>
      </c>
      <c r="AC645" s="3">
        <f>IF(N(U645)=0,0,V645*IFERROR(VLOOKUP($C645,Assumptions!$A$4:$G$7,5,FALSE),0)*90/N(U645))</f>
        <v/>
      </c>
      <c r="AD645" s="3">
        <f>N(W645)</f>
        <v/>
      </c>
      <c r="AE645" s="3">
        <f>SUM(Y645:AD645)</f>
        <v/>
      </c>
      <c r="AF645" s="3">
        <f>N(AE645)*N(M645)/90</f>
        <v/>
      </c>
      <c r="AG645" s="3">
        <f>IFERROR(AF645-VLOOKUP($C645,Assumptions!$A$29:$C$32,3,FALSE),"")</f>
        <v/>
      </c>
      <c r="AH645" s="3">
        <f>IFERROR(AG645/F645,"")</f>
        <v/>
      </c>
      <c r="AI645">
        <f>IF(AND($E645=TRUE,$C645="GKP"),AF645,"")</f>
        <v/>
      </c>
      <c r="AJ645">
        <f>IF(AND($E645=TRUE,$C645="DEF"),AF645,"")</f>
        <v/>
      </c>
      <c r="AK645">
        <f>IF(AND($E645=TRUE,$C645="MID"),AF645,"")</f>
        <v/>
      </c>
      <c r="AL645">
        <f>IF(AND($E645=TRUE,$C645="FWD"),AF645,"")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b">
        <v>1</v>
      </c>
      <c r="F646" s="2" t="n">
        <v>5</v>
      </c>
      <c r="G646" t="inlineStr">
        <is>
          <t>d</t>
        </is>
      </c>
      <c r="H646" t="inlineStr">
        <is>
          <t>Hamstring injury - 75% chance of playing</t>
        </is>
      </c>
      <c r="I646" s="2" t="n"/>
      <c r="K646" s="3" t="n">
        <v>0</v>
      </c>
      <c r="L646" t="inlineStr">
        <is>
          <t>flat</t>
        </is>
      </c>
      <c r="M646" s="4" t="n"/>
      <c r="N646" s="4" t="n">
        <v>0.237</v>
      </c>
      <c r="O646" s="3" t="n"/>
      <c r="P646" t="inlineStr"/>
      <c r="Q646" s="3" t="n"/>
      <c r="R646" s="3" t="n"/>
      <c r="S646" s="3" t="n"/>
      <c r="T646" s="3" t="n"/>
      <c r="U646" s="4" t="n"/>
      <c r="V646" s="3">
        <f>IF(OR(N(T646)=0,N(U646)=0),0,1-POISSON(IFERROR(VLOOKUP($C646,Assumptions!$A$4:$G$7,7,FALSE),99)-1,N(T646)*N(U646)/90,TRUE))</f>
        <v/>
      </c>
      <c r="W646" s="3" t="n"/>
      <c r="X646" s="3" t="n"/>
      <c r="Y646" s="3">
        <f>IF(X646="",IFERROR(VLOOKUP($C646,Assumptions!$A$4:$G$7,6,FALSE),0),X646)</f>
        <v/>
      </c>
      <c r="Z646" s="3">
        <f>N(O646)*IFERROR(VLOOKUP($C646,Assumptions!$A$4:$G$7,2,FALSE),0)</f>
        <v/>
      </c>
      <c r="AA646" s="3">
        <f>N(S646)*IFERROR(VLOOKUP($C646,Assumptions!$A$4:$G$7,3,FALSE),0)*Assumptions!$B$11</f>
        <v/>
      </c>
      <c r="AB646" s="3">
        <f>N(N646)*IFERROR(VLOOKUP($C646,Assumptions!$A$4:$G$7,4,FALSE),0)</f>
        <v/>
      </c>
      <c r="AC646" s="3">
        <f>IF(N(U646)=0,0,V646*IFERROR(VLOOKUP($C646,Assumptions!$A$4:$G$7,5,FALSE),0)*90/N(U646))</f>
        <v/>
      </c>
      <c r="AD646" s="3">
        <f>N(W646)</f>
        <v/>
      </c>
      <c r="AE646" s="3">
        <f>SUM(Y646:AD646)</f>
        <v/>
      </c>
      <c r="AF646" s="3">
        <f>N(AE646)*N(M646)/90</f>
        <v/>
      </c>
      <c r="AG646" s="3">
        <f>IFERROR(AF646-VLOOKUP($C646,Assumptions!$A$29:$C$32,3,FALSE),"")</f>
        <v/>
      </c>
      <c r="AH646" s="3">
        <f>IFERROR(AG646/F646,"")</f>
        <v/>
      </c>
      <c r="AI646">
        <f>IF(AND($E646=TRUE,$C646="GKP"),AF646,"")</f>
        <v/>
      </c>
      <c r="AJ646">
        <f>IF(AND($E646=TRUE,$C646="DEF"),AF646,"")</f>
        <v/>
      </c>
      <c r="AK646">
        <f>IF(AND($E646=TRUE,$C646="MID"),AF646,"")</f>
        <v/>
      </c>
      <c r="AL646">
        <f>IF(AND($E646=TRUE,$C646="FWD"),AF646,"")</f>
        <v/>
      </c>
    </row>
    <row r="647">
      <c r="A647" t="inlineStr">
        <is>
          <t>Lesley Ugochukwu</t>
        </is>
      </c>
      <c r="D647" t="inlineStr">
        <is>
          <t>MID</t>
        </is>
      </c>
      <c r="E647" t="b">
        <v>0</v>
      </c>
      <c r="F647" s="2" t="n"/>
      <c r="I647" s="2" t="n">
        <v>2350</v>
      </c>
      <c r="K647" s="3" t="n"/>
      <c r="M647" s="4" t="n">
        <v>2350</v>
      </c>
      <c r="N647" s="4" t="n"/>
      <c r="O647" s="3" t="n">
        <v>0.0936</v>
      </c>
      <c r="P647" t="inlineStr">
        <is>
          <t>adjusted xGOT</t>
        </is>
      </c>
      <c r="Q647" s="3" t="n">
        <v>0.978</v>
      </c>
      <c r="R647" s="3" t="n">
        <v>3.4</v>
      </c>
      <c r="S647" s="3" t="n">
        <v>0.0172</v>
      </c>
      <c r="T647" s="3" t="n">
        <v>8.339</v>
      </c>
      <c r="U647" s="4" t="n">
        <v>86.3</v>
      </c>
      <c r="V647" s="3">
        <f>IF(OR(N(T647)=0,N(U647)=0),0,1-POISSON(IFERROR(VLOOKUP($C647,Assumptions!$A$4:$G$7,7,FALSE),99)-1,N(T647)*N(U647)/90,TRUE))</f>
        <v/>
      </c>
      <c r="W647" s="3" t="n">
        <v>0.1532</v>
      </c>
      <c r="X647" s="3" t="n">
        <v>2.336</v>
      </c>
      <c r="Y647" s="3">
        <f>IF(X647="",IFERROR(VLOOKUP($C647,Assumptions!$A$4:$G$7,6,FALSE),0),X647)</f>
        <v/>
      </c>
      <c r="Z647" s="3">
        <f>N(O647)*IFERROR(VLOOKUP($C647,Assumptions!$A$4:$G$7,2,FALSE),0)</f>
        <v/>
      </c>
      <c r="AA647" s="3">
        <f>N(S647)*IFERROR(VLOOKUP($C647,Assumptions!$A$4:$G$7,3,FALSE),0)*Assumptions!$B$11</f>
        <v/>
      </c>
      <c r="AB647" s="3">
        <f>N(N647)*IFERROR(VLOOKUP($C647,Assumptions!$A$4:$G$7,4,FALSE),0)</f>
        <v/>
      </c>
      <c r="AC647" s="3">
        <f>IF(N(U647)=0,0,V647*IFERROR(VLOOKUP($C647,Assumptions!$A$4:$G$7,5,FALSE),0)*90/N(U647))</f>
        <v/>
      </c>
      <c r="AD647" s="3">
        <f>N(W647)</f>
        <v/>
      </c>
      <c r="AE647" s="3">
        <f>SUM(Y647:AD647)</f>
        <v/>
      </c>
      <c r="AF647" s="3">
        <f>N(AE647)*N(M647)/90</f>
        <v/>
      </c>
      <c r="AG647" s="3">
        <f>IFERROR(AF647-VLOOKUP($C647,Assumptions!$A$29:$C$32,3,FALSE),"")</f>
        <v/>
      </c>
      <c r="AH647" s="3">
        <f>IFERROR(AG647/F647,"")</f>
        <v/>
      </c>
      <c r="AI647">
        <f>IF(AND($E647=TRUE,$C647="GKP"),AF647,"")</f>
        <v/>
      </c>
      <c r="AJ647">
        <f>IF(AND($E647=TRUE,$C647="DEF"),AF647,"")</f>
        <v/>
      </c>
      <c r="AK647">
        <f>IF(AND($E647=TRUE,$C647="MID"),AF647,"")</f>
        <v/>
      </c>
      <c r="AL647">
        <f>IF(AND($E647=TRUE,$C647="FWD"),AF647,"")</f>
        <v/>
      </c>
    </row>
    <row r="648">
      <c r="A648" t="inlineStr">
        <is>
          <t>André</t>
        </is>
      </c>
      <c r="D648" t="inlineStr">
        <is>
          <t>MID</t>
        </is>
      </c>
      <c r="E648" t="b">
        <v>0</v>
      </c>
      <c r="F648" s="2" t="n"/>
      <c r="I648" s="2" t="n">
        <v>2766</v>
      </c>
      <c r="K648" s="3" t="n"/>
      <c r="M648" s="4" t="n">
        <v>2766</v>
      </c>
      <c r="N648" s="4" t="n"/>
      <c r="O648" s="3" t="n">
        <v>0.0154</v>
      </c>
      <c r="P648" t="inlineStr">
        <is>
          <t>adjusted xGOT</t>
        </is>
      </c>
      <c r="Q648" s="3" t="n">
        <v>0.907</v>
      </c>
      <c r="R648" s="3" t="n">
        <v>0.9</v>
      </c>
      <c r="S648" s="3" t="n">
        <v>0.0406</v>
      </c>
      <c r="T648" s="3" t="n">
        <v>11.68</v>
      </c>
      <c r="U648" s="4" t="n">
        <v>92</v>
      </c>
      <c r="V648" s="3">
        <f>IF(OR(N(T648)=0,N(U648)=0),0,1-POISSON(IFERROR(VLOOKUP($C648,Assumptions!$A$4:$G$7,7,FALSE),99)-1,N(T648)*N(U648)/90,TRUE))</f>
        <v/>
      </c>
      <c r="W648" s="3" t="n">
        <v>0.1302</v>
      </c>
      <c r="X648" s="3" t="n">
        <v>2.115</v>
      </c>
      <c r="Y648" s="3">
        <f>IF(X648="",IFERROR(VLOOKUP($C648,Assumptions!$A$4:$G$7,6,FALSE),0),X648)</f>
        <v/>
      </c>
      <c r="Z648" s="3">
        <f>N(O648)*IFERROR(VLOOKUP($C648,Assumptions!$A$4:$G$7,2,FALSE),0)</f>
        <v/>
      </c>
      <c r="AA648" s="3">
        <f>N(S648)*IFERROR(VLOOKUP($C648,Assumptions!$A$4:$G$7,3,FALSE),0)*Assumptions!$B$11</f>
        <v/>
      </c>
      <c r="AB648" s="3">
        <f>N(N648)*IFERROR(VLOOKUP($C648,Assumptions!$A$4:$G$7,4,FALSE),0)</f>
        <v/>
      </c>
      <c r="AC648" s="3">
        <f>IF(N(U648)=0,0,V648*IFERROR(VLOOKUP($C648,Assumptions!$A$4:$G$7,5,FALSE),0)*90/N(U648))</f>
        <v/>
      </c>
      <c r="AD648" s="3">
        <f>N(W648)</f>
        <v/>
      </c>
      <c r="AE648" s="3">
        <f>SUM(Y648:AD648)</f>
        <v/>
      </c>
      <c r="AF648" s="3">
        <f>N(AE648)*N(M648)/90</f>
        <v/>
      </c>
      <c r="AG648" s="3">
        <f>IFERROR(AF648-VLOOKUP($C648,Assumptions!$A$29:$C$32,3,FALSE),"")</f>
        <v/>
      </c>
      <c r="AH648" s="3">
        <f>IFERROR(AG648/F648,"")</f>
        <v/>
      </c>
      <c r="AI648">
        <f>IF(AND($E648=TRUE,$C648="GKP"),AF648,"")</f>
        <v/>
      </c>
      <c r="AJ648">
        <f>IF(AND($E648=TRUE,$C648="DEF"),AF648,"")</f>
        <v/>
      </c>
      <c r="AK648">
        <f>IF(AND($E648=TRUE,$C648="MID"),AF648,"")</f>
        <v/>
      </c>
      <c r="AL648">
        <f>IF(AND($E648=TRUE,$C648="FWD"),AF648,"")</f>
        <v/>
      </c>
    </row>
    <row r="649">
      <c r="A649" t="inlineStr">
        <is>
          <t>Toti Gomes</t>
        </is>
      </c>
      <c r="D649" t="inlineStr">
        <is>
          <t>DEF</t>
        </is>
      </c>
      <c r="E649" t="b">
        <v>0</v>
      </c>
      <c r="F649" s="2" t="n"/>
      <c r="I649" s="2" t="n">
        <v>1427</v>
      </c>
      <c r="K649" s="3" t="n"/>
      <c r="M649" s="4" t="n">
        <v>1427</v>
      </c>
      <c r="N649" s="4" t="n"/>
      <c r="O649" s="3" t="n">
        <v>0.0307</v>
      </c>
      <c r="P649" t="inlineStr">
        <is>
          <t>adjusted xGOT</t>
        </is>
      </c>
      <c r="Q649" s="3" t="n">
        <v>0.917</v>
      </c>
      <c r="R649" s="3" t="n">
        <v>3.2</v>
      </c>
      <c r="S649" s="3" t="n">
        <v>0.01</v>
      </c>
      <c r="T649" s="3" t="n">
        <v>8.587999999999999</v>
      </c>
      <c r="U649" s="4" t="n">
        <v>83.7</v>
      </c>
      <c r="V649" s="3">
        <f>IF(OR(N(T649)=0,N(U649)=0),0,1-POISSON(IFERROR(VLOOKUP($C649,Assumptions!$A$4:$G$7,7,FALSE),99)-1,N(T649)*N(U649)/90,TRUE))</f>
        <v/>
      </c>
      <c r="W649" s="3" t="n">
        <v>0</v>
      </c>
      <c r="X649" s="3" t="n">
        <v>2.144</v>
      </c>
      <c r="Y649" s="3">
        <f>IF(X649="",IFERROR(VLOOKUP($C649,Assumptions!$A$4:$G$7,6,FALSE),0),X649)</f>
        <v/>
      </c>
      <c r="Z649" s="3">
        <f>N(O649)*IFERROR(VLOOKUP($C649,Assumptions!$A$4:$G$7,2,FALSE),0)</f>
        <v/>
      </c>
      <c r="AA649" s="3">
        <f>N(S649)*IFERROR(VLOOKUP($C649,Assumptions!$A$4:$G$7,3,FALSE),0)*Assumptions!$B$11</f>
        <v/>
      </c>
      <c r="AB649" s="3">
        <f>N(N649)*IFERROR(VLOOKUP($C649,Assumptions!$A$4:$G$7,4,FALSE),0)</f>
        <v/>
      </c>
      <c r="AC649" s="3">
        <f>IF(N(U649)=0,0,V649*IFERROR(VLOOKUP($C649,Assumptions!$A$4:$G$7,5,FALSE),0)*90/N(U649))</f>
        <v/>
      </c>
      <c r="AD649" s="3">
        <f>N(W649)</f>
        <v/>
      </c>
      <c r="AE649" s="3">
        <f>SUM(Y649:AD649)</f>
        <v/>
      </c>
      <c r="AF649" s="3">
        <f>N(AE649)*N(M649)/90</f>
        <v/>
      </c>
      <c r="AG649" s="3">
        <f>IFERROR(AF649-VLOOKUP($C649,Assumptions!$A$29:$C$32,3,FALSE),"")</f>
        <v/>
      </c>
      <c r="AH649" s="3">
        <f>IFERROR(AG649/F649,"")</f>
        <v/>
      </c>
      <c r="AI649">
        <f>IF(AND($E649=TRUE,$C649="GKP"),AF649,"")</f>
        <v/>
      </c>
      <c r="AJ649">
        <f>IF(AND($E649=TRUE,$C649="DEF"),AF649,"")</f>
        <v/>
      </c>
      <c r="AK649">
        <f>IF(AND($E649=TRUE,$C649="MID"),AF649,"")</f>
        <v/>
      </c>
      <c r="AL649">
        <f>IF(AND($E649=TRUE,$C649="FWD"),AF649,"")</f>
        <v/>
      </c>
    </row>
    <row r="650">
      <c r="A650" t="inlineStr">
        <is>
          <t>Jota Silva</t>
        </is>
      </c>
      <c r="D650" t="inlineStr">
        <is>
          <t>MID</t>
        </is>
      </c>
      <c r="E650" t="b">
        <v>0</v>
      </c>
      <c r="F650" s="2" t="n"/>
      <c r="I650" s="2" t="n">
        <v>11</v>
      </c>
      <c r="K650" s="3" t="n"/>
      <c r="M650" s="4" t="n">
        <v>11</v>
      </c>
      <c r="N650" s="4" t="n"/>
      <c r="O650" s="3" t="n">
        <v>0</v>
      </c>
      <c r="P650" t="inlineStr">
        <is>
          <t>adjusted xGOT</t>
        </is>
      </c>
      <c r="Q650" s="3" t="n">
        <v>0.987</v>
      </c>
      <c r="R650" s="3" t="n">
        <v>2.1</v>
      </c>
      <c r="S650" s="3" t="n">
        <v>0</v>
      </c>
      <c r="T650" s="3" t="n">
        <v>8.817</v>
      </c>
      <c r="U650" s="4" t="n">
        <v>85</v>
      </c>
      <c r="V650" s="3">
        <f>IF(OR(N(T650)=0,N(U650)=0),0,1-POISSON(IFERROR(VLOOKUP($C650,Assumptions!$A$4:$G$7,7,FALSE),99)-1,N(T650)*N(U650)/90,TRUE))</f>
        <v/>
      </c>
      <c r="W650" s="3" t="n">
        <v>0</v>
      </c>
      <c r="X650" s="3" t="n">
        <v>8.182</v>
      </c>
      <c r="Y650" s="3">
        <f>IF(X650="",IFERROR(VLOOKUP($C650,Assumptions!$A$4:$G$7,6,FALSE),0),X650)</f>
        <v/>
      </c>
      <c r="Z650" s="3">
        <f>N(O650)*IFERROR(VLOOKUP($C650,Assumptions!$A$4:$G$7,2,FALSE),0)</f>
        <v/>
      </c>
      <c r="AA650" s="3">
        <f>N(S650)*IFERROR(VLOOKUP($C650,Assumptions!$A$4:$G$7,3,FALSE),0)*Assumptions!$B$11</f>
        <v/>
      </c>
      <c r="AB650" s="3">
        <f>N(N650)*IFERROR(VLOOKUP($C650,Assumptions!$A$4:$G$7,4,FALSE),0)</f>
        <v/>
      </c>
      <c r="AC650" s="3">
        <f>IF(N(U650)=0,0,V650*IFERROR(VLOOKUP($C650,Assumptions!$A$4:$G$7,5,FALSE),0)*90/N(U650))</f>
        <v/>
      </c>
      <c r="AD650" s="3">
        <f>N(W650)</f>
        <v/>
      </c>
      <c r="AE650" s="3">
        <f>SUM(Y650:AD650)</f>
        <v/>
      </c>
      <c r="AF650" s="3">
        <f>N(AE650)*N(M650)/90</f>
        <v/>
      </c>
      <c r="AG650" s="3">
        <f>IFERROR(AF650-VLOOKUP($C650,Assumptions!$A$29:$C$32,3,FALSE),"")</f>
        <v/>
      </c>
      <c r="AH650" s="3">
        <f>IFERROR(AG650/F650,"")</f>
        <v/>
      </c>
      <c r="AI650">
        <f>IF(AND($E650=TRUE,$C650="GKP"),AF650,"")</f>
        <v/>
      </c>
      <c r="AJ650">
        <f>IF(AND($E650=TRUE,$C650="DEF"),AF650,"")</f>
        <v/>
      </c>
      <c r="AK650">
        <f>IF(AND($E650=TRUE,$C650="MID"),AF650,"")</f>
        <v/>
      </c>
      <c r="AL650">
        <f>IF(AND($E650=TRUE,$C650="FWD"),AF650,"")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b">
        <v>1</v>
      </c>
      <c r="F651" s="2" t="n">
        <v>4.5</v>
      </c>
      <c r="G651" t="inlineStr">
        <is>
          <t>a</t>
        </is>
      </c>
      <c r="I651" s="2" t="n"/>
      <c r="K651" s="3" t="n">
        <v>80</v>
      </c>
      <c r="L651" t="inlineStr">
        <is>
          <t>flat</t>
        </is>
      </c>
      <c r="M651" s="4" t="n"/>
      <c r="N651" s="4" t="n">
        <v>0.263</v>
      </c>
      <c r="O651" s="3" t="n"/>
      <c r="P651" t="inlineStr"/>
      <c r="Q651" s="3" t="n"/>
      <c r="R651" s="3" t="n"/>
      <c r="S651" s="3" t="n"/>
      <c r="T651" s="3" t="n"/>
      <c r="U651" s="4" t="n"/>
      <c r="V651" s="3">
        <f>IF(OR(N(T651)=0,N(U651)=0),0,1-POISSON(IFERROR(VLOOKUP($C651,Assumptions!$A$4:$G$7,7,FALSE),99)-1,N(T651)*N(U651)/90,TRUE))</f>
        <v/>
      </c>
      <c r="W651" s="3" t="n"/>
      <c r="X651" s="3" t="n"/>
      <c r="Y651" s="3">
        <f>IF(X651="",IFERROR(VLOOKUP($C651,Assumptions!$A$4:$G$7,6,FALSE),0),X651)</f>
        <v/>
      </c>
      <c r="Z651" s="3">
        <f>N(O651)*IFERROR(VLOOKUP($C651,Assumptions!$A$4:$G$7,2,FALSE),0)</f>
        <v/>
      </c>
      <c r="AA651" s="3">
        <f>N(S651)*IFERROR(VLOOKUP($C651,Assumptions!$A$4:$G$7,3,FALSE),0)*Assumptions!$B$11</f>
        <v/>
      </c>
      <c r="AB651" s="3">
        <f>N(N651)*IFERROR(VLOOKUP($C651,Assumptions!$A$4:$G$7,4,FALSE),0)</f>
        <v/>
      </c>
      <c r="AC651" s="3">
        <f>IF(N(U651)=0,0,V651*IFERROR(VLOOKUP($C651,Assumptions!$A$4:$G$7,5,FALSE),0)*90/N(U651))</f>
        <v/>
      </c>
      <c r="AD651" s="3">
        <f>N(W651)</f>
        <v/>
      </c>
      <c r="AE651" s="3">
        <f>SUM(Y651:AD651)</f>
        <v/>
      </c>
      <c r="AF651" s="3">
        <f>N(AE651)*N(M651)/90</f>
        <v/>
      </c>
      <c r="AG651" s="3">
        <f>IFERROR(AF651-VLOOKUP($C651,Assumptions!$A$29:$C$32,3,FALSE),"")</f>
        <v/>
      </c>
      <c r="AH651" s="3">
        <f>IFERROR(AG651/F651,"")</f>
        <v/>
      </c>
      <c r="AI651">
        <f>IF(AND($E651=TRUE,$C651="GKP"),AF651,"")</f>
        <v/>
      </c>
      <c r="AJ651">
        <f>IF(AND($E651=TRUE,$C651="DEF"),AF651,"")</f>
        <v/>
      </c>
      <c r="AK651">
        <f>IF(AND($E651=TRUE,$C651="MID"),AF651,"")</f>
        <v/>
      </c>
      <c r="AL651">
        <f>IF(AND($E651=TRUE,$C651="FWD"),AF651,"")</f>
        <v/>
      </c>
    </row>
    <row r="652">
      <c r="A652" t="inlineStr">
        <is>
          <t>Brajan Gruda</t>
        </is>
      </c>
      <c r="D652" t="inlineStr">
        <is>
          <t>MID</t>
        </is>
      </c>
      <c r="E652" t="b">
        <v>0</v>
      </c>
      <c r="F652" s="2" t="n"/>
      <c r="I652" s="2" t="n">
        <v>715</v>
      </c>
      <c r="K652" s="3" t="n"/>
      <c r="M652" s="4" t="n">
        <v>715</v>
      </c>
      <c r="N652" s="4" t="n"/>
      <c r="O652" s="3" t="n">
        <v>0.2424</v>
      </c>
      <c r="P652" t="inlineStr">
        <is>
          <t>adjusted xGOT</t>
        </is>
      </c>
      <c r="Q652" s="3" t="n">
        <v>1.035</v>
      </c>
      <c r="R652" s="3" t="n">
        <v>3</v>
      </c>
      <c r="S652" s="3" t="n">
        <v>0.153</v>
      </c>
      <c r="T652" s="3" t="n">
        <v>7.98</v>
      </c>
      <c r="U652" s="4" t="n">
        <v>88.5</v>
      </c>
      <c r="V652" s="3">
        <f>IF(OR(N(T652)=0,N(U652)=0),0,1-POISSON(IFERROR(VLOOKUP($C652,Assumptions!$A$4:$G$7,7,FALSE),99)-1,N(T652)*N(U652)/90,TRUE))</f>
        <v/>
      </c>
      <c r="W652" s="3" t="n">
        <v>0.3776</v>
      </c>
      <c r="X652" s="3" t="n">
        <v>3.147</v>
      </c>
      <c r="Y652" s="3">
        <f>IF(X652="",IFERROR(VLOOKUP($C652,Assumptions!$A$4:$G$7,6,FALSE),0),X652)</f>
        <v/>
      </c>
      <c r="Z652" s="3">
        <f>N(O652)*IFERROR(VLOOKUP($C652,Assumptions!$A$4:$G$7,2,FALSE),0)</f>
        <v/>
      </c>
      <c r="AA652" s="3">
        <f>N(S652)*IFERROR(VLOOKUP($C652,Assumptions!$A$4:$G$7,3,FALSE),0)*Assumptions!$B$11</f>
        <v/>
      </c>
      <c r="AB652" s="3">
        <f>N(N652)*IFERROR(VLOOKUP($C652,Assumptions!$A$4:$G$7,4,FALSE),0)</f>
        <v/>
      </c>
      <c r="AC652" s="3">
        <f>IF(N(U652)=0,0,V652*IFERROR(VLOOKUP($C652,Assumptions!$A$4:$G$7,5,FALSE),0)*90/N(U652))</f>
        <v/>
      </c>
      <c r="AD652" s="3">
        <f>N(W652)</f>
        <v/>
      </c>
      <c r="AE652" s="3">
        <f>SUM(Y652:AD652)</f>
        <v/>
      </c>
      <c r="AF652" s="3">
        <f>N(AE652)*N(M652)/90</f>
        <v/>
      </c>
      <c r="AG652" s="3">
        <f>IFERROR(AF652-VLOOKUP($C652,Assumptions!$A$29:$C$32,3,FALSE),"")</f>
        <v/>
      </c>
      <c r="AH652" s="3">
        <f>IFERROR(AG652/F652,"")</f>
        <v/>
      </c>
      <c r="AI652">
        <f>IF(AND($E652=TRUE,$C652="GKP"),AF652,"")</f>
        <v/>
      </c>
      <c r="AJ652">
        <f>IF(AND($E652=TRUE,$C652="DEF"),AF652,"")</f>
        <v/>
      </c>
      <c r="AK652">
        <f>IF(AND($E652=TRUE,$C652="MID"),AF652,"")</f>
        <v/>
      </c>
      <c r="AL652">
        <f>IF(AND($E652=TRUE,$C652="FWD"),AF652,"")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b">
        <v>1</v>
      </c>
      <c r="F653" s="2" t="n">
        <v>5.5</v>
      </c>
      <c r="G653" t="inlineStr">
        <is>
          <t>a</t>
        </is>
      </c>
      <c r="I653" s="2" t="n"/>
      <c r="K653" s="3" t="n">
        <v>3050</v>
      </c>
      <c r="L653" t="inlineStr">
        <is>
          <t>flat</t>
        </is>
      </c>
      <c r="M653" s="4" t="n"/>
      <c r="N653" s="4" t="n">
        <v>0.263</v>
      </c>
      <c r="O653" s="3" t="n"/>
      <c r="P653" t="inlineStr"/>
      <c r="Q653" s="3" t="n"/>
      <c r="R653" s="3" t="n"/>
      <c r="S653" s="3" t="n"/>
      <c r="T653" s="3" t="n"/>
      <c r="U653" s="4" t="n"/>
      <c r="V653" s="3">
        <f>IF(OR(N(T653)=0,N(U653)=0),0,1-POISSON(IFERROR(VLOOKUP($C653,Assumptions!$A$4:$G$7,7,FALSE),99)-1,N(T653)*N(U653)/90,TRUE))</f>
        <v/>
      </c>
      <c r="W653" s="3" t="n"/>
      <c r="X653" s="3" t="n"/>
      <c r="Y653" s="3">
        <f>IF(X653="",IFERROR(VLOOKUP($C653,Assumptions!$A$4:$G$7,6,FALSE),0),X653)</f>
        <v/>
      </c>
      <c r="Z653" s="3">
        <f>N(O653)*IFERROR(VLOOKUP($C653,Assumptions!$A$4:$G$7,2,FALSE),0)</f>
        <v/>
      </c>
      <c r="AA653" s="3">
        <f>N(S653)*IFERROR(VLOOKUP($C653,Assumptions!$A$4:$G$7,3,FALSE),0)*Assumptions!$B$11</f>
        <v/>
      </c>
      <c r="AB653" s="3">
        <f>N(N653)*IFERROR(VLOOKUP($C653,Assumptions!$A$4:$G$7,4,FALSE),0)</f>
        <v/>
      </c>
      <c r="AC653" s="3">
        <f>IF(N(U653)=0,0,V653*IFERROR(VLOOKUP($C653,Assumptions!$A$4:$G$7,5,FALSE),0)*90/N(U653))</f>
        <v/>
      </c>
      <c r="AD653" s="3">
        <f>N(W653)</f>
        <v/>
      </c>
      <c r="AE653" s="3">
        <f>SUM(Y653:AD653)</f>
        <v/>
      </c>
      <c r="AF653" s="3">
        <f>N(AE653)*N(M653)/90</f>
        <v/>
      </c>
      <c r="AG653" s="3">
        <f>IFERROR(AF653-VLOOKUP($C653,Assumptions!$A$29:$C$32,3,FALSE),"")</f>
        <v/>
      </c>
      <c r="AH653" s="3">
        <f>IFERROR(AG653/F653,"")</f>
        <v/>
      </c>
      <c r="AI653">
        <f>IF(AND($E653=TRUE,$C653="GKP"),AF653,"")</f>
        <v/>
      </c>
      <c r="AJ653">
        <f>IF(AND($E653=TRUE,$C653="DEF"),AF653,"")</f>
        <v/>
      </c>
      <c r="AK653">
        <f>IF(AND($E653=TRUE,$C653="MID"),AF653,"")</f>
        <v/>
      </c>
      <c r="AL653">
        <f>IF(AND($E653=TRUE,$C653="FWD"),AF653,"")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b">
        <v>1</v>
      </c>
      <c r="F654" s="2" t="n">
        <v>5</v>
      </c>
      <c r="G654" t="inlineStr">
        <is>
          <t>a</t>
        </is>
      </c>
      <c r="I654" s="2" t="n"/>
      <c r="K654" s="3" t="n">
        <v>0</v>
      </c>
      <c r="L654" t="inlineStr">
        <is>
          <t>flat</t>
        </is>
      </c>
      <c r="M654" s="4" t="n"/>
      <c r="N654" s="4" t="n">
        <v>0.263</v>
      </c>
      <c r="O654" s="3" t="n"/>
      <c r="P654" t="inlineStr"/>
      <c r="Q654" s="3" t="n"/>
      <c r="R654" s="3" t="n"/>
      <c r="S654" s="3" t="n"/>
      <c r="T654" s="3" t="n"/>
      <c r="U654" s="4" t="n"/>
      <c r="V654" s="3">
        <f>IF(OR(N(T654)=0,N(U654)=0),0,1-POISSON(IFERROR(VLOOKUP($C654,Assumptions!$A$4:$G$7,7,FALSE),99)-1,N(T654)*N(U654)/90,TRUE))</f>
        <v/>
      </c>
      <c r="W654" s="3" t="n"/>
      <c r="X654" s="3" t="n"/>
      <c r="Y654" s="3">
        <f>IF(X654="",IFERROR(VLOOKUP($C654,Assumptions!$A$4:$G$7,6,FALSE),0),X654)</f>
        <v/>
      </c>
      <c r="Z654" s="3">
        <f>N(O654)*IFERROR(VLOOKUP($C654,Assumptions!$A$4:$G$7,2,FALSE),0)</f>
        <v/>
      </c>
      <c r="AA654" s="3">
        <f>N(S654)*IFERROR(VLOOKUP($C654,Assumptions!$A$4:$G$7,3,FALSE),0)*Assumptions!$B$11</f>
        <v/>
      </c>
      <c r="AB654" s="3">
        <f>N(N654)*IFERROR(VLOOKUP($C654,Assumptions!$A$4:$G$7,4,FALSE),0)</f>
        <v/>
      </c>
      <c r="AC654" s="3">
        <f>IF(N(U654)=0,0,V654*IFERROR(VLOOKUP($C654,Assumptions!$A$4:$G$7,5,FALSE),0)*90/N(U654))</f>
        <v/>
      </c>
      <c r="AD654" s="3">
        <f>N(W654)</f>
        <v/>
      </c>
      <c r="AE654" s="3">
        <f>SUM(Y654:AD654)</f>
        <v/>
      </c>
      <c r="AF654" s="3">
        <f>N(AE654)*N(M654)/90</f>
        <v/>
      </c>
      <c r="AG654" s="3">
        <f>IFERROR(AF654-VLOOKUP($C654,Assumptions!$A$29:$C$32,3,FALSE),"")</f>
        <v/>
      </c>
      <c r="AH654" s="3">
        <f>IFERROR(AG654/F654,"")</f>
        <v/>
      </c>
      <c r="AI654">
        <f>IF(AND($E654=TRUE,$C654="GKP"),AF654,"")</f>
        <v/>
      </c>
      <c r="AJ654">
        <f>IF(AND($E654=TRUE,$C654="DEF"),AF654,"")</f>
        <v/>
      </c>
      <c r="AK654">
        <f>IF(AND($E654=TRUE,$C654="MID"),AF654,"")</f>
        <v/>
      </c>
      <c r="AL654">
        <f>IF(AND($E654=TRUE,$C654="FWD"),AF654,"")</f>
        <v/>
      </c>
    </row>
    <row r="655">
      <c r="A655" t="inlineStr">
        <is>
          <t>Emmanuel Agbadou</t>
        </is>
      </c>
      <c r="D655" t="inlineStr">
        <is>
          <t>DEF</t>
        </is>
      </c>
      <c r="E655" t="b">
        <v>0</v>
      </c>
      <c r="F655" s="2" t="n"/>
      <c r="I655" s="2" t="n">
        <v>1101</v>
      </c>
      <c r="K655" s="3" t="n"/>
      <c r="M655" s="4" t="n">
        <v>1101</v>
      </c>
      <c r="N655" s="4" t="n"/>
      <c r="O655" s="3" t="n">
        <v>0.0468</v>
      </c>
      <c r="P655" t="inlineStr">
        <is>
          <t>adjusted xGOT</t>
        </is>
      </c>
      <c r="Q655" s="3" t="n">
        <v>1.003</v>
      </c>
      <c r="R655" s="3" t="n">
        <v>1.5</v>
      </c>
      <c r="S655" s="3" t="n">
        <v>0.014</v>
      </c>
      <c r="T655" s="3" t="n">
        <v>9.222</v>
      </c>
      <c r="U655" s="4" t="n">
        <v>91.7</v>
      </c>
      <c r="V655" s="3">
        <f>IF(OR(N(T655)=0,N(U655)=0),0,1-POISSON(IFERROR(VLOOKUP($C655,Assumptions!$A$4:$G$7,7,FALSE),99)-1,N(T655)*N(U655)/90,TRUE))</f>
        <v/>
      </c>
      <c r="W655" s="3" t="n">
        <v>0</v>
      </c>
      <c r="X655" s="3" t="n">
        <v>2.044</v>
      </c>
      <c r="Y655" s="3">
        <f>IF(X655="",IFERROR(VLOOKUP($C655,Assumptions!$A$4:$G$7,6,FALSE),0),X655)</f>
        <v/>
      </c>
      <c r="Z655" s="3">
        <f>N(O655)*IFERROR(VLOOKUP($C655,Assumptions!$A$4:$G$7,2,FALSE),0)</f>
        <v/>
      </c>
      <c r="AA655" s="3">
        <f>N(S655)*IFERROR(VLOOKUP($C655,Assumptions!$A$4:$G$7,3,FALSE),0)*Assumptions!$B$11</f>
        <v/>
      </c>
      <c r="AB655" s="3">
        <f>N(N655)*IFERROR(VLOOKUP($C655,Assumptions!$A$4:$G$7,4,FALSE),0)</f>
        <v/>
      </c>
      <c r="AC655" s="3">
        <f>IF(N(U655)=0,0,V655*IFERROR(VLOOKUP($C655,Assumptions!$A$4:$G$7,5,FALSE),0)*90/N(U655))</f>
        <v/>
      </c>
      <c r="AD655" s="3">
        <f>N(W655)</f>
        <v/>
      </c>
      <c r="AE655" s="3">
        <f>SUM(Y655:AD655)</f>
        <v/>
      </c>
      <c r="AF655" s="3">
        <f>N(AE655)*N(M655)/90</f>
        <v/>
      </c>
      <c r="AG655" s="3">
        <f>IFERROR(AF655-VLOOKUP($C655,Assumptions!$A$29:$C$32,3,FALSE),"")</f>
        <v/>
      </c>
      <c r="AH655" s="3">
        <f>IFERROR(AG655/F655,"")</f>
        <v/>
      </c>
      <c r="AI655">
        <f>IF(AND($E655=TRUE,$C655="GKP"),AF655,"")</f>
        <v/>
      </c>
      <c r="AJ655">
        <f>IF(AND($E655=TRUE,$C655="DEF"),AF655,"")</f>
        <v/>
      </c>
      <c r="AK655">
        <f>IF(AND($E655=TRUE,$C655="MID"),AF655,"")</f>
        <v/>
      </c>
      <c r="AL655">
        <f>IF(AND($E655=TRUE,$C655="FWD"),AF655,"")</f>
        <v/>
      </c>
    </row>
    <row r="656">
      <c r="A656" t="inlineStr">
        <is>
          <t>Max Weiss</t>
        </is>
      </c>
      <c r="D656" t="inlineStr">
        <is>
          <t>GKP</t>
        </is>
      </c>
      <c r="E656" t="b">
        <v>0</v>
      </c>
      <c r="F656" s="2" t="n"/>
      <c r="I656" s="2" t="n">
        <v>270</v>
      </c>
      <c r="K656" s="3" t="n"/>
      <c r="M656" s="4" t="n">
        <v>270</v>
      </c>
      <c r="N656" s="4" t="n"/>
      <c r="O656" s="3" t="n">
        <v>0</v>
      </c>
      <c r="P656" t="inlineStr">
        <is>
          <t>blended xG</t>
        </is>
      </c>
      <c r="Q656" s="3" t="n">
        <v>1</v>
      </c>
      <c r="R656" s="3" t="n">
        <v>0</v>
      </c>
      <c r="S656" s="3" t="n">
        <v>0.0536</v>
      </c>
      <c r="T656" s="3" t="n">
        <v>0</v>
      </c>
      <c r="U656" s="4" t="n">
        <v>90</v>
      </c>
      <c r="V656" s="3">
        <f>IF(OR(N(T656)=0,N(U656)=0),0,1-POISSON(IFERROR(VLOOKUP($C656,Assumptions!$A$4:$G$7,7,FALSE),99)-1,N(T656)*N(U656)/90,TRUE))</f>
        <v/>
      </c>
      <c r="W656" s="3" t="n">
        <v>0</v>
      </c>
      <c r="X656" s="3" t="n">
        <v>2</v>
      </c>
      <c r="Y656" s="3">
        <f>IF(X656="",IFERROR(VLOOKUP($C656,Assumptions!$A$4:$G$7,6,FALSE),0),X656)</f>
        <v/>
      </c>
      <c r="Z656" s="3">
        <f>N(O656)*IFERROR(VLOOKUP($C656,Assumptions!$A$4:$G$7,2,FALSE),0)</f>
        <v/>
      </c>
      <c r="AA656" s="3">
        <f>N(S656)*IFERROR(VLOOKUP($C656,Assumptions!$A$4:$G$7,3,FALSE),0)*Assumptions!$B$11</f>
        <v/>
      </c>
      <c r="AB656" s="3">
        <f>N(N656)*IFERROR(VLOOKUP($C656,Assumptions!$A$4:$G$7,4,FALSE),0)</f>
        <v/>
      </c>
      <c r="AC656" s="3">
        <f>IF(N(U656)=0,0,V656*IFERROR(VLOOKUP($C656,Assumptions!$A$4:$G$7,5,FALSE),0)*90/N(U656))</f>
        <v/>
      </c>
      <c r="AD656" s="3">
        <f>N(W656)</f>
        <v/>
      </c>
      <c r="AE656" s="3">
        <f>SUM(Y656:AD656)</f>
        <v/>
      </c>
      <c r="AF656" s="3">
        <f>N(AE656)*N(M656)/90</f>
        <v/>
      </c>
      <c r="AG656" s="3">
        <f>IFERROR(AF656-VLOOKUP($C656,Assumptions!$A$29:$C$32,3,FALSE),"")</f>
        <v/>
      </c>
      <c r="AH656" s="3">
        <f>IFERROR(AG656/F656,"")</f>
        <v/>
      </c>
      <c r="AI656">
        <f>IF(AND($E656=TRUE,$C656="GKP"),AF656,"")</f>
        <v/>
      </c>
      <c r="AJ656">
        <f>IF(AND($E656=TRUE,$C656="DEF"),AF656,"")</f>
        <v/>
      </c>
      <c r="AK656">
        <f>IF(AND($E656=TRUE,$C656="MID"),AF656,"")</f>
        <v/>
      </c>
      <c r="AL656">
        <f>IF(AND($E656=TRUE,$C656="FWD"),AF656,"")</f>
        <v/>
      </c>
    </row>
    <row r="657">
      <c r="A657" t="inlineStr">
        <is>
          <t>Oliver Sonne</t>
        </is>
      </c>
      <c r="D657" t="inlineStr">
        <is>
          <t>DEF</t>
        </is>
      </c>
      <c r="E657" t="b">
        <v>0</v>
      </c>
      <c r="F657" s="2" t="n"/>
      <c r="I657" s="2" t="n">
        <v>165</v>
      </c>
      <c r="K657" s="3" t="n"/>
      <c r="M657" s="4" t="n">
        <v>165</v>
      </c>
      <c r="N657" s="4" t="n"/>
      <c r="O657" s="3" t="n">
        <v>0.3125</v>
      </c>
      <c r="P657" t="inlineStr">
        <is>
          <t>adjusted xGOT</t>
        </is>
      </c>
      <c r="Q657" s="3" t="n">
        <v>1.041</v>
      </c>
      <c r="R657" s="3" t="n">
        <v>0.6</v>
      </c>
      <c r="S657" s="3" t="n">
        <v>0.0147</v>
      </c>
      <c r="T657" s="3" t="n">
        <v>6.972</v>
      </c>
      <c r="U657" s="4" t="n">
        <v>164</v>
      </c>
      <c r="V657" s="3">
        <f>IF(OR(N(T657)=0,N(U657)=0),0,1-POISSON(IFERROR(VLOOKUP($C657,Assumptions!$A$4:$G$7,7,FALSE),99)-1,N(T657)*N(U657)/90,TRUE))</f>
        <v/>
      </c>
      <c r="W657" s="3" t="n">
        <v>0</v>
      </c>
      <c r="X657" s="3" t="n">
        <v>4.364</v>
      </c>
      <c r="Y657" s="3">
        <f>IF(X657="",IFERROR(VLOOKUP($C657,Assumptions!$A$4:$G$7,6,FALSE),0),X657)</f>
        <v/>
      </c>
      <c r="Z657" s="3">
        <f>N(O657)*IFERROR(VLOOKUP($C657,Assumptions!$A$4:$G$7,2,FALSE),0)</f>
        <v/>
      </c>
      <c r="AA657" s="3">
        <f>N(S657)*IFERROR(VLOOKUP($C657,Assumptions!$A$4:$G$7,3,FALSE),0)*Assumptions!$B$11</f>
        <v/>
      </c>
      <c r="AB657" s="3">
        <f>N(N657)*IFERROR(VLOOKUP($C657,Assumptions!$A$4:$G$7,4,FALSE),0)</f>
        <v/>
      </c>
      <c r="AC657" s="3">
        <f>IF(N(U657)=0,0,V657*IFERROR(VLOOKUP($C657,Assumptions!$A$4:$G$7,5,FALSE),0)*90/N(U657))</f>
        <v/>
      </c>
      <c r="AD657" s="3">
        <f>N(W657)</f>
        <v/>
      </c>
      <c r="AE657" s="3">
        <f>SUM(Y657:AD657)</f>
        <v/>
      </c>
      <c r="AF657" s="3">
        <f>N(AE657)*N(M657)/90</f>
        <v/>
      </c>
      <c r="AG657" s="3">
        <f>IFERROR(AF657-VLOOKUP($C657,Assumptions!$A$29:$C$32,3,FALSE),"")</f>
        <v/>
      </c>
      <c r="AH657" s="3">
        <f>IFERROR(AG657/F657,"")</f>
        <v/>
      </c>
      <c r="AI657">
        <f>IF(AND($E657=TRUE,$C657="GKP"),AF657,"")</f>
        <v/>
      </c>
      <c r="AJ657">
        <f>IF(AND($E657=TRUE,$C657="DEF"),AF657,"")</f>
        <v/>
      </c>
      <c r="AK657">
        <f>IF(AND($E657=TRUE,$C657="MID"),AF657,"")</f>
        <v/>
      </c>
      <c r="AL657">
        <f>IF(AND($E657=TRUE,$C657="FWD"),AF657,"")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b">
        <v>1</v>
      </c>
      <c r="F658" s="2" t="n">
        <v>5</v>
      </c>
      <c r="G658" t="inlineStr">
        <is>
          <t>a</t>
        </is>
      </c>
      <c r="I658" s="2" t="n"/>
      <c r="K658" s="3" t="n">
        <v>3209</v>
      </c>
      <c r="L658" t="inlineStr">
        <is>
          <t>flat</t>
        </is>
      </c>
      <c r="M658" s="4" t="n"/>
      <c r="N658" s="4" t="n">
        <v>0.21</v>
      </c>
      <c r="O658" s="3" t="n"/>
      <c r="P658" t="inlineStr"/>
      <c r="Q658" s="3" t="n"/>
      <c r="R658" s="3" t="n"/>
      <c r="S658" s="3" t="n"/>
      <c r="T658" s="3" t="n"/>
      <c r="U658" s="4" t="n"/>
      <c r="V658" s="3">
        <f>IF(OR(N(T658)=0,N(U658)=0),0,1-POISSON(IFERROR(VLOOKUP($C658,Assumptions!$A$4:$G$7,7,FALSE),99)-1,N(T658)*N(U658)/90,TRUE))</f>
        <v/>
      </c>
      <c r="W658" s="3" t="n"/>
      <c r="X658" s="3" t="n"/>
      <c r="Y658" s="3">
        <f>IF(X658="",IFERROR(VLOOKUP($C658,Assumptions!$A$4:$G$7,6,FALSE),0),X658)</f>
        <v/>
      </c>
      <c r="Z658" s="3">
        <f>N(O658)*IFERROR(VLOOKUP($C658,Assumptions!$A$4:$G$7,2,FALSE),0)</f>
        <v/>
      </c>
      <c r="AA658" s="3">
        <f>N(S658)*IFERROR(VLOOKUP($C658,Assumptions!$A$4:$G$7,3,FALSE),0)*Assumptions!$B$11</f>
        <v/>
      </c>
      <c r="AB658" s="3">
        <f>N(N658)*IFERROR(VLOOKUP($C658,Assumptions!$A$4:$G$7,4,FALSE),0)</f>
        <v/>
      </c>
      <c r="AC658" s="3">
        <f>IF(N(U658)=0,0,V658*IFERROR(VLOOKUP($C658,Assumptions!$A$4:$G$7,5,FALSE),0)*90/N(U658))</f>
        <v/>
      </c>
      <c r="AD658" s="3">
        <f>N(W658)</f>
        <v/>
      </c>
      <c r="AE658" s="3">
        <f>SUM(Y658:AD658)</f>
        <v/>
      </c>
      <c r="AF658" s="3">
        <f>N(AE658)*N(M658)/90</f>
        <v/>
      </c>
      <c r="AG658" s="3">
        <f>IFERROR(AF658-VLOOKUP($C658,Assumptions!$A$29:$C$32,3,FALSE),"")</f>
        <v/>
      </c>
      <c r="AH658" s="3">
        <f>IFERROR(AG658/F658,"")</f>
        <v/>
      </c>
      <c r="AI658">
        <f>IF(AND($E658=TRUE,$C658="GKP"),AF658,"")</f>
        <v/>
      </c>
      <c r="AJ658">
        <f>IF(AND($E658=TRUE,$C658="DEF"),AF658,"")</f>
        <v/>
      </c>
      <c r="AK658">
        <f>IF(AND($E658=TRUE,$C658="MID"),AF658,"")</f>
        <v/>
      </c>
      <c r="AL658">
        <f>IF(AND($E658=TRUE,$C658="FWD"),AF658,"")</f>
        <v/>
      </c>
    </row>
    <row r="659">
      <c r="A659" t="inlineStr">
        <is>
          <t>Jackson Tchatchoua</t>
        </is>
      </c>
      <c r="D659" t="inlineStr">
        <is>
          <t>DEF</t>
        </is>
      </c>
      <c r="E659" t="b">
        <v>0</v>
      </c>
      <c r="F659" s="2" t="n"/>
      <c r="I659" s="2" t="n">
        <v>1837</v>
      </c>
      <c r="K659" s="3" t="n"/>
      <c r="M659" s="4" t="n">
        <v>1837</v>
      </c>
      <c r="N659" s="4" t="n"/>
      <c r="O659" s="3" t="n">
        <v>0.0159</v>
      </c>
      <c r="P659" t="inlineStr">
        <is>
          <t>adjusted xGOT</t>
        </is>
      </c>
      <c r="Q659" s="3" t="n">
        <v>0.984</v>
      </c>
      <c r="R659" s="3" t="n">
        <v>0.3</v>
      </c>
      <c r="S659" s="3" t="n">
        <v>0.1099</v>
      </c>
      <c r="T659" s="3" t="n">
        <v>5.972</v>
      </c>
      <c r="U659" s="4" t="n">
        <v>96.5</v>
      </c>
      <c r="V659" s="3">
        <f>IF(OR(N(T659)=0,N(U659)=0),0,1-POISSON(IFERROR(VLOOKUP($C659,Assumptions!$A$4:$G$7,7,FALSE),99)-1,N(T659)*N(U659)/90,TRUE))</f>
        <v/>
      </c>
      <c r="W659" s="3" t="n">
        <v>0</v>
      </c>
      <c r="X659" s="3" t="n">
        <v>2.352</v>
      </c>
      <c r="Y659" s="3">
        <f>IF(X659="",IFERROR(VLOOKUP($C659,Assumptions!$A$4:$G$7,6,FALSE),0),X659)</f>
        <v/>
      </c>
      <c r="Z659" s="3">
        <f>N(O659)*IFERROR(VLOOKUP($C659,Assumptions!$A$4:$G$7,2,FALSE),0)</f>
        <v/>
      </c>
      <c r="AA659" s="3">
        <f>N(S659)*IFERROR(VLOOKUP($C659,Assumptions!$A$4:$G$7,3,FALSE),0)*Assumptions!$B$11</f>
        <v/>
      </c>
      <c r="AB659" s="3">
        <f>N(N659)*IFERROR(VLOOKUP($C659,Assumptions!$A$4:$G$7,4,FALSE),0)</f>
        <v/>
      </c>
      <c r="AC659" s="3">
        <f>IF(N(U659)=0,0,V659*IFERROR(VLOOKUP($C659,Assumptions!$A$4:$G$7,5,FALSE),0)*90/N(U659))</f>
        <v/>
      </c>
      <c r="AD659" s="3">
        <f>N(W659)</f>
        <v/>
      </c>
      <c r="AE659" s="3">
        <f>SUM(Y659:AD659)</f>
        <v/>
      </c>
      <c r="AF659" s="3">
        <f>N(AE659)*N(M659)/90</f>
        <v/>
      </c>
      <c r="AG659" s="3">
        <f>IFERROR(AF659-VLOOKUP($C659,Assumptions!$A$29:$C$32,3,FALSE),"")</f>
        <v/>
      </c>
      <c r="AH659" s="3">
        <f>IFERROR(AG659/F659,"")</f>
        <v/>
      </c>
      <c r="AI659">
        <f>IF(AND($E659=TRUE,$C659="GKP"),AF659,"")</f>
        <v/>
      </c>
      <c r="AJ659">
        <f>IF(AND($E659=TRUE,$C659="DEF"),AF659,"")</f>
        <v/>
      </c>
      <c r="AK659">
        <f>IF(AND($E659=TRUE,$C659="MID"),AF659,"")</f>
        <v/>
      </c>
      <c r="AL659">
        <f>IF(AND($E659=TRUE,$C659="FWD"),AF659,"")</f>
        <v/>
      </c>
    </row>
    <row r="660">
      <c r="A660" t="inlineStr">
        <is>
          <t>Kaden Rodney</t>
        </is>
      </c>
      <c r="D660" t="inlineStr">
        <is>
          <t>MID</t>
        </is>
      </c>
      <c r="E660" t="b">
        <v>0</v>
      </c>
      <c r="F660" s="2" t="n"/>
      <c r="I660" s="2" t="n">
        <v>3</v>
      </c>
      <c r="K660" s="3" t="n"/>
      <c r="M660" s="4" t="n">
        <v>3</v>
      </c>
      <c r="N660" s="4" t="n"/>
      <c r="O660" s="3" t="n"/>
      <c r="P660" t="inlineStr"/>
      <c r="Q660" s="3" t="n">
        <v>1</v>
      </c>
      <c r="R660" s="3" t="n">
        <v>0</v>
      </c>
      <c r="S660" s="3" t="n"/>
      <c r="T660" s="3" t="n">
        <v>8.541</v>
      </c>
      <c r="U660" s="4" t="n">
        <v>85</v>
      </c>
      <c r="V660" s="3">
        <f>IF(OR(N(T660)=0,N(U660)=0),0,1-POISSON(IFERROR(VLOOKUP($C660,Assumptions!$A$4:$G$7,7,FALSE),99)-1,N(T660)*N(U660)/90,TRUE))</f>
        <v/>
      </c>
      <c r="W660" s="3" t="n">
        <v>0</v>
      </c>
      <c r="X660" s="3" t="n">
        <v>30</v>
      </c>
      <c r="Y660" s="3">
        <f>IF(X660="",IFERROR(VLOOKUP($C660,Assumptions!$A$4:$G$7,6,FALSE),0),X660)</f>
        <v/>
      </c>
      <c r="Z660" s="3">
        <f>N(O660)*IFERROR(VLOOKUP($C660,Assumptions!$A$4:$G$7,2,FALSE),0)</f>
        <v/>
      </c>
      <c r="AA660" s="3">
        <f>N(S660)*IFERROR(VLOOKUP($C660,Assumptions!$A$4:$G$7,3,FALSE),0)*Assumptions!$B$11</f>
        <v/>
      </c>
      <c r="AB660" s="3">
        <f>N(N660)*IFERROR(VLOOKUP($C660,Assumptions!$A$4:$G$7,4,FALSE),0)</f>
        <v/>
      </c>
      <c r="AC660" s="3">
        <f>IF(N(U660)=0,0,V660*IFERROR(VLOOKUP($C660,Assumptions!$A$4:$G$7,5,FALSE),0)*90/N(U660))</f>
        <v/>
      </c>
      <c r="AD660" s="3">
        <f>N(W660)</f>
        <v/>
      </c>
      <c r="AE660" s="3">
        <f>SUM(Y660:AD660)</f>
        <v/>
      </c>
      <c r="AF660" s="3">
        <f>N(AE660)*N(M660)/90</f>
        <v/>
      </c>
      <c r="AG660" s="3">
        <f>IFERROR(AF660-VLOOKUP($C660,Assumptions!$A$29:$C$32,3,FALSE),"")</f>
        <v/>
      </c>
      <c r="AH660" s="3">
        <f>IFERROR(AG660/F660,"")</f>
        <v/>
      </c>
      <c r="AI660">
        <f>IF(AND($E660=TRUE,$C660="GKP"),AF660,"")</f>
        <v/>
      </c>
      <c r="AJ660">
        <f>IF(AND($E660=TRUE,$C660="DEF"),AF660,"")</f>
        <v/>
      </c>
      <c r="AK660">
        <f>IF(AND($E660=TRUE,$C660="MID"),AF660,"")</f>
        <v/>
      </c>
      <c r="AL660">
        <f>IF(AND($E660=TRUE,$C660="FWD"),AF660,"")</f>
        <v/>
      </c>
    </row>
    <row r="661">
      <c r="A661" t="inlineStr">
        <is>
          <t>Pablo</t>
        </is>
      </c>
      <c r="D661" t="inlineStr">
        <is>
          <t>FWD</t>
        </is>
      </c>
      <c r="E661" t="b">
        <v>0</v>
      </c>
      <c r="F661" s="2" t="n"/>
      <c r="I661" s="2" t="n">
        <v>826</v>
      </c>
      <c r="K661" s="3" t="n"/>
      <c r="M661" s="4" t="n">
        <v>826</v>
      </c>
      <c r="N661" s="4" t="n"/>
      <c r="O661" s="3" t="n">
        <v>0.1074</v>
      </c>
      <c r="P661" t="inlineStr">
        <is>
          <t>adjusted xGOT</t>
        </is>
      </c>
      <c r="Q661" s="3" t="n">
        <v>0.9389999999999999</v>
      </c>
      <c r="R661" s="3" t="n">
        <v>1</v>
      </c>
      <c r="S661" s="3" t="n">
        <v>0.1409</v>
      </c>
      <c r="T661" s="3" t="n">
        <v>6.453</v>
      </c>
      <c r="U661" s="4" t="n">
        <v>81.90000000000001</v>
      </c>
      <c r="V661" s="3">
        <f>IF(OR(N(T661)=0,N(U661)=0),0,1-POISSON(IFERROR(VLOOKUP($C661,Assumptions!$A$4:$G$7,7,FALSE),99)-1,N(T661)*N(U661)/90,TRUE))</f>
        <v/>
      </c>
      <c r="W661" s="3" t="n">
        <v>0</v>
      </c>
      <c r="X661" s="3" t="n">
        <v>2.506</v>
      </c>
      <c r="Y661" s="3">
        <f>IF(X661="",IFERROR(VLOOKUP($C661,Assumptions!$A$4:$G$7,6,FALSE),0),X661)</f>
        <v/>
      </c>
      <c r="Z661" s="3">
        <f>N(O661)*IFERROR(VLOOKUP($C661,Assumptions!$A$4:$G$7,2,FALSE),0)</f>
        <v/>
      </c>
      <c r="AA661" s="3">
        <f>N(S661)*IFERROR(VLOOKUP($C661,Assumptions!$A$4:$G$7,3,FALSE),0)*Assumptions!$B$11</f>
        <v/>
      </c>
      <c r="AB661" s="3">
        <f>N(N661)*IFERROR(VLOOKUP($C661,Assumptions!$A$4:$G$7,4,FALSE),0)</f>
        <v/>
      </c>
      <c r="AC661" s="3">
        <f>IF(N(U661)=0,0,V661*IFERROR(VLOOKUP($C661,Assumptions!$A$4:$G$7,5,FALSE),0)*90/N(U661))</f>
        <v/>
      </c>
      <c r="AD661" s="3">
        <f>N(W661)</f>
        <v/>
      </c>
      <c r="AE661" s="3">
        <f>SUM(Y661:AD661)</f>
        <v/>
      </c>
      <c r="AF661" s="3">
        <f>N(AE661)*N(M661)/90</f>
        <v/>
      </c>
      <c r="AG661" s="3">
        <f>IFERROR(AF661-VLOOKUP($C661,Assumptions!$A$29:$C$32,3,FALSE),"")</f>
        <v/>
      </c>
      <c r="AH661" s="3">
        <f>IFERROR(AG661/F661,"")</f>
        <v/>
      </c>
      <c r="AI661">
        <f>IF(AND($E661=TRUE,$C661="GKP"),AF661,"")</f>
        <v/>
      </c>
      <c r="AJ661">
        <f>IF(AND($E661=TRUE,$C661="DEF"),AF661,"")</f>
        <v/>
      </c>
      <c r="AK661">
        <f>IF(AND($E661=TRUE,$C661="MID"),AF661,"")</f>
        <v/>
      </c>
      <c r="AL661">
        <f>IF(AND($E661=TRUE,$C661="FWD"),AF661,"")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b">
        <v>1</v>
      </c>
      <c r="F662" s="2" t="n">
        <v>5.5</v>
      </c>
      <c r="G662" t="inlineStr">
        <is>
          <t>a</t>
        </is>
      </c>
      <c r="I662" s="2" t="n"/>
      <c r="K662" s="3" t="n">
        <v>2189</v>
      </c>
      <c r="L662" t="inlineStr">
        <is>
          <t>flat</t>
        </is>
      </c>
      <c r="M662" s="4" t="n"/>
      <c r="N662" s="4" t="n"/>
      <c r="O662" s="3" t="n"/>
      <c r="P662" t="inlineStr"/>
      <c r="Q662" s="3" t="n"/>
      <c r="R662" s="3" t="n"/>
      <c r="S662" s="3" t="n"/>
      <c r="T662" s="3" t="n"/>
      <c r="U662" s="4" t="n"/>
      <c r="V662" s="3">
        <f>IF(OR(N(T662)=0,N(U662)=0),0,1-POISSON(IFERROR(VLOOKUP($C662,Assumptions!$A$4:$G$7,7,FALSE),99)-1,N(T662)*N(U662)/90,TRUE))</f>
        <v/>
      </c>
      <c r="W662" s="3" t="n"/>
      <c r="X662" s="3" t="n"/>
      <c r="Y662" s="3">
        <f>IF(X662="",IFERROR(VLOOKUP($C662,Assumptions!$A$4:$G$7,6,FALSE),0),X662)</f>
        <v/>
      </c>
      <c r="Z662" s="3">
        <f>N(O662)*IFERROR(VLOOKUP($C662,Assumptions!$A$4:$G$7,2,FALSE),0)</f>
        <v/>
      </c>
      <c r="AA662" s="3">
        <f>N(S662)*IFERROR(VLOOKUP($C662,Assumptions!$A$4:$G$7,3,FALSE),0)*Assumptions!$B$11</f>
        <v/>
      </c>
      <c r="AB662" s="3">
        <f>N(N662)*IFERROR(VLOOKUP($C662,Assumptions!$A$4:$G$7,4,FALSE),0)</f>
        <v/>
      </c>
      <c r="AC662" s="3">
        <f>IF(N(U662)=0,0,V662*IFERROR(VLOOKUP($C662,Assumptions!$A$4:$G$7,5,FALSE),0)*90/N(U662))</f>
        <v/>
      </c>
      <c r="AD662" s="3">
        <f>N(W662)</f>
        <v/>
      </c>
      <c r="AE662" s="3">
        <f>SUM(Y662:AD662)</f>
        <v/>
      </c>
      <c r="AF662" s="3">
        <f>N(AE662)*N(M662)/90</f>
        <v/>
      </c>
      <c r="AG662" s="3">
        <f>IFERROR(AF662-VLOOKUP($C662,Assumptions!$A$29:$C$32,3,FALSE),"")</f>
        <v/>
      </c>
      <c r="AH662" s="3">
        <f>IFERROR(AG662/F662,"")</f>
        <v/>
      </c>
      <c r="AI662">
        <f>IF(AND($E662=TRUE,$C662="GKP"),AF662,"")</f>
        <v/>
      </c>
      <c r="AJ662">
        <f>IF(AND($E662=TRUE,$C662="DEF"),AF662,"")</f>
        <v/>
      </c>
      <c r="AK662">
        <f>IF(AND($E662=TRUE,$C662="MID"),AF662,"")</f>
        <v/>
      </c>
      <c r="AL662">
        <f>IF(AND($E662=TRUE,$C662="FWD"),AF662,"")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b">
        <v>1</v>
      </c>
      <c r="F663" s="2" t="n">
        <v>4.5</v>
      </c>
      <c r="G663" t="inlineStr">
        <is>
          <t>u</t>
        </is>
      </c>
      <c r="H663" t="inlineStr">
        <is>
          <t>Has joined Sheffield Wednesday on loan for the rest of the season</t>
        </is>
      </c>
      <c r="I663" s="2" t="n"/>
      <c r="K663" s="3" t="n"/>
      <c r="M663" s="4" t="n"/>
      <c r="N663" s="4" t="n"/>
      <c r="O663" s="3" t="n"/>
      <c r="P663" t="inlineStr"/>
      <c r="Q663" s="3" t="n"/>
      <c r="R663" s="3" t="n"/>
      <c r="S663" s="3" t="n"/>
      <c r="T663" s="3" t="n"/>
      <c r="U663" s="4" t="n"/>
      <c r="V663" s="3">
        <f>IF(OR(N(T663)=0,N(U663)=0),0,1-POISSON(IFERROR(VLOOKUP($C663,Assumptions!$A$4:$G$7,7,FALSE),99)-1,N(T663)*N(U663)/90,TRUE))</f>
        <v/>
      </c>
      <c r="W663" s="3" t="n"/>
      <c r="X663" s="3" t="n"/>
      <c r="Y663" s="3">
        <f>IF(X663="",IFERROR(VLOOKUP($C663,Assumptions!$A$4:$G$7,6,FALSE),0),X663)</f>
        <v/>
      </c>
      <c r="Z663" s="3">
        <f>N(O663)*IFERROR(VLOOKUP($C663,Assumptions!$A$4:$G$7,2,FALSE),0)</f>
        <v/>
      </c>
      <c r="AA663" s="3">
        <f>N(S663)*IFERROR(VLOOKUP($C663,Assumptions!$A$4:$G$7,3,FALSE),0)*Assumptions!$B$11</f>
        <v/>
      </c>
      <c r="AB663" s="3">
        <f>N(N663)*IFERROR(VLOOKUP($C663,Assumptions!$A$4:$G$7,4,FALSE),0)</f>
        <v/>
      </c>
      <c r="AC663" s="3">
        <f>IF(N(U663)=0,0,V663*IFERROR(VLOOKUP($C663,Assumptions!$A$4:$G$7,5,FALSE),0)*90/N(U663))</f>
        <v/>
      </c>
      <c r="AD663" s="3">
        <f>N(W663)</f>
        <v/>
      </c>
      <c r="AE663" s="3">
        <f>SUM(Y663:AD663)</f>
        <v/>
      </c>
      <c r="AF663" s="3">
        <f>N(AE663)*N(M663)/90</f>
        <v/>
      </c>
      <c r="AG663" s="3">
        <f>IFERROR(AF663-VLOOKUP($C663,Assumptions!$A$29:$C$32,3,FALSE),"")</f>
        <v/>
      </c>
      <c r="AH663" s="3">
        <f>IFERROR(AG663/F663,"")</f>
        <v/>
      </c>
      <c r="AI663">
        <f>IF(AND($E663=TRUE,$C663="GKP"),AF663,"")</f>
        <v/>
      </c>
      <c r="AJ663">
        <f>IF(AND($E663=TRUE,$C663="DEF"),AF663,"")</f>
        <v/>
      </c>
      <c r="AK663">
        <f>IF(AND($E663=TRUE,$C663="MID"),AF663,"")</f>
        <v/>
      </c>
      <c r="AL663">
        <f>IF(AND($E663=TRUE,$C663="FWD"),AF663,"")</f>
        <v/>
      </c>
    </row>
    <row r="664">
      <c r="A664" t="inlineStr">
        <is>
          <t>Ollie Scarles</t>
        </is>
      </c>
      <c r="D664" t="inlineStr">
        <is>
          <t>DEF</t>
        </is>
      </c>
      <c r="E664" t="b">
        <v>0</v>
      </c>
      <c r="F664" s="2" t="n"/>
      <c r="I664" s="2" t="n">
        <v>659</v>
      </c>
      <c r="K664" s="3" t="n"/>
      <c r="M664" s="4" t="n">
        <v>659</v>
      </c>
      <c r="N664" s="4" t="n"/>
      <c r="O664" s="3" t="n">
        <v>0.0238</v>
      </c>
      <c r="P664" t="inlineStr">
        <is>
          <t>adjusted xGOT</t>
        </is>
      </c>
      <c r="Q664" s="3" t="n">
        <v>0.965</v>
      </c>
      <c r="R664" s="3" t="n">
        <v>0.3</v>
      </c>
      <c r="S664" s="3" t="n">
        <v>0.1333</v>
      </c>
      <c r="T664" s="3" t="n">
        <v>8.861000000000001</v>
      </c>
      <c r="U664" s="4" t="n">
        <v>72.90000000000001</v>
      </c>
      <c r="V664" s="3">
        <f>IF(OR(N(T664)=0,N(U664)=0),0,1-POISSON(IFERROR(VLOOKUP($C664,Assumptions!$A$4:$G$7,7,FALSE),99)-1,N(T664)*N(U664)/90,TRUE))</f>
        <v/>
      </c>
      <c r="W664" s="3" t="n">
        <v>0</v>
      </c>
      <c r="X664" s="3" t="n">
        <v>2.731</v>
      </c>
      <c r="Y664" s="3">
        <f>IF(X664="",IFERROR(VLOOKUP($C664,Assumptions!$A$4:$G$7,6,FALSE),0),X664)</f>
        <v/>
      </c>
      <c r="Z664" s="3">
        <f>N(O664)*IFERROR(VLOOKUP($C664,Assumptions!$A$4:$G$7,2,FALSE),0)</f>
        <v/>
      </c>
      <c r="AA664" s="3">
        <f>N(S664)*IFERROR(VLOOKUP($C664,Assumptions!$A$4:$G$7,3,FALSE),0)*Assumptions!$B$11</f>
        <v/>
      </c>
      <c r="AB664" s="3">
        <f>N(N664)*IFERROR(VLOOKUP($C664,Assumptions!$A$4:$G$7,4,FALSE),0)</f>
        <v/>
      </c>
      <c r="AC664" s="3">
        <f>IF(N(U664)=0,0,V664*IFERROR(VLOOKUP($C664,Assumptions!$A$4:$G$7,5,FALSE),0)*90/N(U664))</f>
        <v/>
      </c>
      <c r="AD664" s="3">
        <f>N(W664)</f>
        <v/>
      </c>
      <c r="AE664" s="3">
        <f>SUM(Y664:AD664)</f>
        <v/>
      </c>
      <c r="AF664" s="3">
        <f>N(AE664)*N(M664)/90</f>
        <v/>
      </c>
      <c r="AG664" s="3">
        <f>IFERROR(AF664-VLOOKUP($C664,Assumptions!$A$29:$C$32,3,FALSE),"")</f>
        <v/>
      </c>
      <c r="AH664" s="3">
        <f>IFERROR(AG664/F664,"")</f>
        <v/>
      </c>
      <c r="AI664">
        <f>IF(AND($E664=TRUE,$C664="GKP"),AF664,"")</f>
        <v/>
      </c>
      <c r="AJ664">
        <f>IF(AND($E664=TRUE,$C664="DEF"),AF664,"")</f>
        <v/>
      </c>
      <c r="AK664">
        <f>IF(AND($E664=TRUE,$C664="MID"),AF664,"")</f>
        <v/>
      </c>
      <c r="AL664">
        <f>IF(AND($E664=TRUE,$C664="FWD"),AF664,"")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b">
        <v>1</v>
      </c>
      <c r="F665" s="2" t="n">
        <v>4</v>
      </c>
      <c r="G665" t="inlineStr">
        <is>
          <t>a</t>
        </is>
      </c>
      <c r="I665" s="2" t="n"/>
      <c r="K665" s="3" t="n">
        <v>0</v>
      </c>
      <c r="L665" t="inlineStr">
        <is>
          <t>flat</t>
        </is>
      </c>
      <c r="M665" s="4" t="n"/>
      <c r="N665" s="4" t="n">
        <v>0.237</v>
      </c>
      <c r="O665" s="3" t="n"/>
      <c r="P665" t="inlineStr"/>
      <c r="Q665" s="3" t="n"/>
      <c r="R665" s="3" t="n"/>
      <c r="S665" s="3" t="n"/>
      <c r="T665" s="3" t="n"/>
      <c r="U665" s="4" t="n"/>
      <c r="V665" s="3">
        <f>IF(OR(N(T665)=0,N(U665)=0),0,1-POISSON(IFERROR(VLOOKUP($C665,Assumptions!$A$4:$G$7,7,FALSE),99)-1,N(T665)*N(U665)/90,TRUE))</f>
        <v/>
      </c>
      <c r="W665" s="3" t="n"/>
      <c r="X665" s="3" t="n"/>
      <c r="Y665" s="3">
        <f>IF(X665="",IFERROR(VLOOKUP($C665,Assumptions!$A$4:$G$7,6,FALSE),0),X665)</f>
        <v/>
      </c>
      <c r="Z665" s="3">
        <f>N(O665)*IFERROR(VLOOKUP($C665,Assumptions!$A$4:$G$7,2,FALSE),0)</f>
        <v/>
      </c>
      <c r="AA665" s="3">
        <f>N(S665)*IFERROR(VLOOKUP($C665,Assumptions!$A$4:$G$7,3,FALSE),0)*Assumptions!$B$11</f>
        <v/>
      </c>
      <c r="AB665" s="3">
        <f>N(N665)*IFERROR(VLOOKUP($C665,Assumptions!$A$4:$G$7,4,FALSE),0)</f>
        <v/>
      </c>
      <c r="AC665" s="3">
        <f>IF(N(U665)=0,0,V665*IFERROR(VLOOKUP($C665,Assumptions!$A$4:$G$7,5,FALSE),0)*90/N(U665))</f>
        <v/>
      </c>
      <c r="AD665" s="3">
        <f>N(W665)</f>
        <v/>
      </c>
      <c r="AE665" s="3">
        <f>SUM(Y665:AD665)</f>
        <v/>
      </c>
      <c r="AF665" s="3">
        <f>N(AE665)*N(M665)/90</f>
        <v/>
      </c>
      <c r="AG665" s="3">
        <f>IFERROR(AF665-VLOOKUP($C665,Assumptions!$A$29:$C$32,3,FALSE),"")</f>
        <v/>
      </c>
      <c r="AH665" s="3">
        <f>IFERROR(AG665/F665,"")</f>
        <v/>
      </c>
      <c r="AI665">
        <f>IF(AND($E665=TRUE,$C665="GKP"),AF665,"")</f>
        <v/>
      </c>
      <c r="AJ665">
        <f>IF(AND($E665=TRUE,$C665="DEF"),AF665,"")</f>
        <v/>
      </c>
      <c r="AK665">
        <f>IF(AND($E665=TRUE,$C665="MID"),AF665,"")</f>
        <v/>
      </c>
      <c r="AL665">
        <f>IF(AND($E665=TRUE,$C665="FWD"),AF665,"")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b">
        <v>1</v>
      </c>
      <c r="F666" s="2" t="n">
        <v>4</v>
      </c>
      <c r="G666" t="inlineStr">
        <is>
          <t>a</t>
        </is>
      </c>
      <c r="I666" s="2" t="n"/>
      <c r="K666" s="3" t="n">
        <v>2725</v>
      </c>
      <c r="L666" t="inlineStr">
        <is>
          <t>flat</t>
        </is>
      </c>
      <c r="M666" s="4" t="n"/>
      <c r="N666" s="4" t="n"/>
      <c r="O666" s="3" t="n"/>
      <c r="P666" t="inlineStr"/>
      <c r="Q666" s="3" t="n"/>
      <c r="R666" s="3" t="n"/>
      <c r="S666" s="3" t="n"/>
      <c r="T666" s="3" t="n"/>
      <c r="U666" s="4" t="n"/>
      <c r="V666" s="3">
        <f>IF(OR(N(T666)=0,N(U666)=0),0,1-POISSON(IFERROR(VLOOKUP($C666,Assumptions!$A$4:$G$7,7,FALSE),99)-1,N(T666)*N(U666)/90,TRUE))</f>
        <v/>
      </c>
      <c r="W666" s="3" t="n"/>
      <c r="X666" s="3" t="n"/>
      <c r="Y666" s="3">
        <f>IF(X666="",IFERROR(VLOOKUP($C666,Assumptions!$A$4:$G$7,6,FALSE),0),X666)</f>
        <v/>
      </c>
      <c r="Z666" s="3">
        <f>N(O666)*IFERROR(VLOOKUP($C666,Assumptions!$A$4:$G$7,2,FALSE),0)</f>
        <v/>
      </c>
      <c r="AA666" s="3">
        <f>N(S666)*IFERROR(VLOOKUP($C666,Assumptions!$A$4:$G$7,3,FALSE),0)*Assumptions!$B$11</f>
        <v/>
      </c>
      <c r="AB666" s="3">
        <f>N(N666)*IFERROR(VLOOKUP($C666,Assumptions!$A$4:$G$7,4,FALSE),0)</f>
        <v/>
      </c>
      <c r="AC666" s="3">
        <f>IF(N(U666)=0,0,V666*IFERROR(VLOOKUP($C666,Assumptions!$A$4:$G$7,5,FALSE),0)*90/N(U666))</f>
        <v/>
      </c>
      <c r="AD666" s="3">
        <f>N(W666)</f>
        <v/>
      </c>
      <c r="AE666" s="3">
        <f>SUM(Y666:AD666)</f>
        <v/>
      </c>
      <c r="AF666" s="3">
        <f>N(AE666)*N(M666)/90</f>
        <v/>
      </c>
      <c r="AG666" s="3">
        <f>IFERROR(AF666-VLOOKUP($C666,Assumptions!$A$29:$C$32,3,FALSE),"")</f>
        <v/>
      </c>
      <c r="AH666" s="3">
        <f>IFERROR(AG666/F666,"")</f>
        <v/>
      </c>
      <c r="AI666">
        <f>IF(AND($E666=TRUE,$C666="GKP"),AF666,"")</f>
        <v/>
      </c>
      <c r="AJ666">
        <f>IF(AND($E666=TRUE,$C666="DEF"),AF666,"")</f>
        <v/>
      </c>
      <c r="AK666">
        <f>IF(AND($E666=TRUE,$C666="MID"),AF666,"")</f>
        <v/>
      </c>
      <c r="AL666">
        <f>IF(AND($E666=TRUE,$C666="FWD"),AF666,"")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b">
        <v>1</v>
      </c>
      <c r="F667" s="2" t="n">
        <v>5</v>
      </c>
      <c r="G667" t="inlineStr">
        <is>
          <t>a</t>
        </is>
      </c>
      <c r="I667" s="2" t="n"/>
      <c r="K667" s="3" t="n">
        <v>2257</v>
      </c>
      <c r="L667" t="inlineStr">
        <is>
          <t>flat</t>
        </is>
      </c>
      <c r="M667" s="4" t="n"/>
      <c r="N667" s="4" t="n"/>
      <c r="O667" s="3" t="n"/>
      <c r="P667" t="inlineStr"/>
      <c r="Q667" s="3" t="n"/>
      <c r="R667" s="3" t="n"/>
      <c r="S667" s="3" t="n"/>
      <c r="T667" s="3" t="n"/>
      <c r="U667" s="4" t="n"/>
      <c r="V667" s="3">
        <f>IF(OR(N(T667)=0,N(U667)=0),0,1-POISSON(IFERROR(VLOOKUP($C667,Assumptions!$A$4:$G$7,7,FALSE),99)-1,N(T667)*N(U667)/90,TRUE))</f>
        <v/>
      </c>
      <c r="W667" s="3" t="n"/>
      <c r="X667" s="3" t="n"/>
      <c r="Y667" s="3">
        <f>IF(X667="",IFERROR(VLOOKUP($C667,Assumptions!$A$4:$G$7,6,FALSE),0),X667)</f>
        <v/>
      </c>
      <c r="Z667" s="3">
        <f>N(O667)*IFERROR(VLOOKUP($C667,Assumptions!$A$4:$G$7,2,FALSE),0)</f>
        <v/>
      </c>
      <c r="AA667" s="3">
        <f>N(S667)*IFERROR(VLOOKUP($C667,Assumptions!$A$4:$G$7,3,FALSE),0)*Assumptions!$B$11</f>
        <v/>
      </c>
      <c r="AB667" s="3">
        <f>N(N667)*IFERROR(VLOOKUP($C667,Assumptions!$A$4:$G$7,4,FALSE),0)</f>
        <v/>
      </c>
      <c r="AC667" s="3">
        <f>IF(N(U667)=0,0,V667*IFERROR(VLOOKUP($C667,Assumptions!$A$4:$G$7,5,FALSE),0)*90/N(U667))</f>
        <v/>
      </c>
      <c r="AD667" s="3">
        <f>N(W667)</f>
        <v/>
      </c>
      <c r="AE667" s="3">
        <f>SUM(Y667:AD667)</f>
        <v/>
      </c>
      <c r="AF667" s="3">
        <f>N(AE667)*N(M667)/90</f>
        <v/>
      </c>
      <c r="AG667" s="3">
        <f>IFERROR(AF667-VLOOKUP($C667,Assumptions!$A$29:$C$32,3,FALSE),"")</f>
        <v/>
      </c>
      <c r="AH667" s="3">
        <f>IFERROR(AG667/F667,"")</f>
        <v/>
      </c>
      <c r="AI667">
        <f>IF(AND($E667=TRUE,$C667="GKP"),AF667,"")</f>
        <v/>
      </c>
      <c r="AJ667">
        <f>IF(AND($E667=TRUE,$C667="DEF"),AF667,"")</f>
        <v/>
      </c>
      <c r="AK667">
        <f>IF(AND($E667=TRUE,$C667="MID"),AF667,"")</f>
        <v/>
      </c>
      <c r="AL667">
        <f>IF(AND($E667=TRUE,$C667="FWD"),AF667,"")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b">
        <v>1</v>
      </c>
      <c r="F668" s="2" t="n">
        <v>5.5</v>
      </c>
      <c r="G668" t="inlineStr">
        <is>
          <t>a</t>
        </is>
      </c>
      <c r="I668" s="2" t="n"/>
      <c r="K668" s="3" t="n">
        <v>315</v>
      </c>
      <c r="L668" t="inlineStr">
        <is>
          <t>flat</t>
        </is>
      </c>
      <c r="M668" s="4" t="n"/>
      <c r="N668" s="4" t="n">
        <v>0.237</v>
      </c>
      <c r="O668" s="3" t="n"/>
      <c r="P668" t="inlineStr"/>
      <c r="Q668" s="3" t="n"/>
      <c r="R668" s="3" t="n"/>
      <c r="S668" s="3" t="n"/>
      <c r="T668" s="3" t="n"/>
      <c r="U668" s="4" t="n"/>
      <c r="V668" s="3">
        <f>IF(OR(N(T668)=0,N(U668)=0),0,1-POISSON(IFERROR(VLOOKUP($C668,Assumptions!$A$4:$G$7,7,FALSE),99)-1,N(T668)*N(U668)/90,TRUE))</f>
        <v/>
      </c>
      <c r="W668" s="3" t="n"/>
      <c r="X668" s="3" t="n"/>
      <c r="Y668" s="3">
        <f>IF(X668="",IFERROR(VLOOKUP($C668,Assumptions!$A$4:$G$7,6,FALSE),0),X668)</f>
        <v/>
      </c>
      <c r="Z668" s="3">
        <f>N(O668)*IFERROR(VLOOKUP($C668,Assumptions!$A$4:$G$7,2,FALSE),0)</f>
        <v/>
      </c>
      <c r="AA668" s="3">
        <f>N(S668)*IFERROR(VLOOKUP($C668,Assumptions!$A$4:$G$7,3,FALSE),0)*Assumptions!$B$11</f>
        <v/>
      </c>
      <c r="AB668" s="3">
        <f>N(N668)*IFERROR(VLOOKUP($C668,Assumptions!$A$4:$G$7,4,FALSE),0)</f>
        <v/>
      </c>
      <c r="AC668" s="3">
        <f>IF(N(U668)=0,0,V668*IFERROR(VLOOKUP($C668,Assumptions!$A$4:$G$7,5,FALSE),0)*90/N(U668))</f>
        <v/>
      </c>
      <c r="AD668" s="3">
        <f>N(W668)</f>
        <v/>
      </c>
      <c r="AE668" s="3">
        <f>SUM(Y668:AD668)</f>
        <v/>
      </c>
      <c r="AF668" s="3">
        <f>N(AE668)*N(M668)/90</f>
        <v/>
      </c>
      <c r="AG668" s="3">
        <f>IFERROR(AF668-VLOOKUP($C668,Assumptions!$A$29:$C$32,3,FALSE),"")</f>
        <v/>
      </c>
      <c r="AH668" s="3">
        <f>IFERROR(AG668/F668,"")</f>
        <v/>
      </c>
      <c r="AI668">
        <f>IF(AND($E668=TRUE,$C668="GKP"),AF668,"")</f>
        <v/>
      </c>
      <c r="AJ668">
        <f>IF(AND($E668=TRUE,$C668="DEF"),AF668,"")</f>
        <v/>
      </c>
      <c r="AK668">
        <f>IF(AND($E668=TRUE,$C668="MID"),AF668,"")</f>
        <v/>
      </c>
      <c r="AL668">
        <f>IF(AND($E668=TRUE,$C668="FWD"),AF668,"")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b">
        <v>1</v>
      </c>
      <c r="F669" s="2" t="n">
        <v>5.5</v>
      </c>
      <c r="G669" t="inlineStr">
        <is>
          <t>a</t>
        </is>
      </c>
      <c r="I669" s="2" t="n"/>
      <c r="K669" s="3" t="n">
        <v>2366</v>
      </c>
      <c r="L669" t="inlineStr">
        <is>
          <t>flat</t>
        </is>
      </c>
      <c r="M669" s="4" t="n"/>
      <c r="N669" s="4" t="n"/>
      <c r="O669" s="3" t="n"/>
      <c r="P669" t="inlineStr"/>
      <c r="Q669" s="3" t="n"/>
      <c r="R669" s="3" t="n"/>
      <c r="S669" s="3" t="n"/>
      <c r="T669" s="3" t="n"/>
      <c r="U669" s="4" t="n"/>
      <c r="V669" s="3">
        <f>IF(OR(N(T669)=0,N(U669)=0),0,1-POISSON(IFERROR(VLOOKUP($C669,Assumptions!$A$4:$G$7,7,FALSE),99)-1,N(T669)*N(U669)/90,TRUE))</f>
        <v/>
      </c>
      <c r="W669" s="3" t="n"/>
      <c r="X669" s="3" t="n"/>
      <c r="Y669" s="3">
        <f>IF(X669="",IFERROR(VLOOKUP($C669,Assumptions!$A$4:$G$7,6,FALSE),0),X669)</f>
        <v/>
      </c>
      <c r="Z669" s="3">
        <f>N(O669)*IFERROR(VLOOKUP($C669,Assumptions!$A$4:$G$7,2,FALSE),0)</f>
        <v/>
      </c>
      <c r="AA669" s="3">
        <f>N(S669)*IFERROR(VLOOKUP($C669,Assumptions!$A$4:$G$7,3,FALSE),0)*Assumptions!$B$11</f>
        <v/>
      </c>
      <c r="AB669" s="3">
        <f>N(N669)*IFERROR(VLOOKUP($C669,Assumptions!$A$4:$G$7,4,FALSE),0)</f>
        <v/>
      </c>
      <c r="AC669" s="3">
        <f>IF(N(U669)=0,0,V669*IFERROR(VLOOKUP($C669,Assumptions!$A$4:$G$7,5,FALSE),0)*90/N(U669))</f>
        <v/>
      </c>
      <c r="AD669" s="3">
        <f>N(W669)</f>
        <v/>
      </c>
      <c r="AE669" s="3">
        <f>SUM(Y669:AD669)</f>
        <v/>
      </c>
      <c r="AF669" s="3">
        <f>N(AE669)*N(M669)/90</f>
        <v/>
      </c>
      <c r="AG669" s="3">
        <f>IFERROR(AF669-VLOOKUP($C669,Assumptions!$A$29:$C$32,3,FALSE),"")</f>
        <v/>
      </c>
      <c r="AH669" s="3">
        <f>IFERROR(AG669/F669,"")</f>
        <v/>
      </c>
      <c r="AI669">
        <f>IF(AND($E669=TRUE,$C669="GKP"),AF669,"")</f>
        <v/>
      </c>
      <c r="AJ669">
        <f>IF(AND($E669=TRUE,$C669="DEF"),AF669,"")</f>
        <v/>
      </c>
      <c r="AK669">
        <f>IF(AND($E669=TRUE,$C669="MID"),AF669,"")</f>
        <v/>
      </c>
      <c r="AL669">
        <f>IF(AND($E669=TRUE,$C669="FWD"),AF669,"")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b">
        <v>1</v>
      </c>
      <c r="F670" s="2" t="n">
        <v>4.5</v>
      </c>
      <c r="G670" t="inlineStr">
        <is>
          <t>a</t>
        </is>
      </c>
      <c r="I670" s="2" t="n"/>
      <c r="K670" s="3" t="n">
        <v>35</v>
      </c>
      <c r="L670" t="inlineStr">
        <is>
          <t>flat</t>
        </is>
      </c>
      <c r="M670" s="4" t="n"/>
      <c r="N670" s="4" t="n"/>
      <c r="O670" s="3" t="n"/>
      <c r="P670" t="inlineStr"/>
      <c r="Q670" s="3" t="n"/>
      <c r="R670" s="3" t="n"/>
      <c r="S670" s="3" t="n"/>
      <c r="T670" s="3" t="n">
        <v>0</v>
      </c>
      <c r="U670" s="4" t="n"/>
      <c r="V670" s="3">
        <f>IF(OR(N(T670)=0,N(U670)=0),0,1-POISSON(IFERROR(VLOOKUP($C670,Assumptions!$A$4:$G$7,7,FALSE),99)-1,N(T670)*N(U670)/90,TRUE))</f>
        <v/>
      </c>
      <c r="W670" s="3" t="n"/>
      <c r="X670" s="3" t="n"/>
      <c r="Y670" s="3">
        <f>IF(X670="",IFERROR(VLOOKUP($C670,Assumptions!$A$4:$G$7,6,FALSE),0),X670)</f>
        <v/>
      </c>
      <c r="Z670" s="3">
        <f>N(O670)*IFERROR(VLOOKUP($C670,Assumptions!$A$4:$G$7,2,FALSE),0)</f>
        <v/>
      </c>
      <c r="AA670" s="3">
        <f>N(S670)*IFERROR(VLOOKUP($C670,Assumptions!$A$4:$G$7,3,FALSE),0)*Assumptions!$B$11</f>
        <v/>
      </c>
      <c r="AB670" s="3">
        <f>N(N670)*IFERROR(VLOOKUP($C670,Assumptions!$A$4:$G$7,4,FALSE),0)</f>
        <v/>
      </c>
      <c r="AC670" s="3">
        <f>IF(N(U670)=0,0,V670*IFERROR(VLOOKUP($C670,Assumptions!$A$4:$G$7,5,FALSE),0)*90/N(U670))</f>
        <v/>
      </c>
      <c r="AD670" s="3">
        <f>N(W670)</f>
        <v/>
      </c>
      <c r="AE670" s="3">
        <f>SUM(Y670:AD670)</f>
        <v/>
      </c>
      <c r="AF670" s="3">
        <f>N(AE670)*N(M670)/90</f>
        <v/>
      </c>
      <c r="AG670" s="3">
        <f>IFERROR(AF670-VLOOKUP($C670,Assumptions!$A$29:$C$32,3,FALSE),"")</f>
        <v/>
      </c>
      <c r="AH670" s="3">
        <f>IFERROR(AG670/F670,"")</f>
        <v/>
      </c>
      <c r="AI670">
        <f>IF(AND($E670=TRUE,$C670="GKP"),AF670,"")</f>
        <v/>
      </c>
      <c r="AJ670">
        <f>IF(AND($E670=TRUE,$C670="DEF"),AF670,"")</f>
        <v/>
      </c>
      <c r="AK670">
        <f>IF(AND($E670=TRUE,$C670="MID"),AF670,"")</f>
        <v/>
      </c>
      <c r="AL670">
        <f>IF(AND($E670=TRUE,$C670="FWD"),AF670,"")</f>
        <v/>
      </c>
    </row>
    <row r="671">
      <c r="A671" t="inlineStr">
        <is>
          <t>Lucas Pires</t>
        </is>
      </c>
      <c r="D671" t="inlineStr">
        <is>
          <t>DEF</t>
        </is>
      </c>
      <c r="E671" t="b">
        <v>0</v>
      </c>
      <c r="F671" s="2" t="n"/>
      <c r="I671" s="2" t="n">
        <v>1406</v>
      </c>
      <c r="K671" s="3" t="n"/>
      <c r="M671" s="4" t="n">
        <v>1406</v>
      </c>
      <c r="N671" s="4" t="n"/>
      <c r="O671" s="3" t="n">
        <v>0.0371</v>
      </c>
      <c r="P671" t="inlineStr">
        <is>
          <t>adjusted xGOT</t>
        </is>
      </c>
      <c r="Q671" s="3" t="n">
        <v>0.965</v>
      </c>
      <c r="R671" s="3" t="n">
        <v>0.6</v>
      </c>
      <c r="S671" s="3" t="n">
        <v>0.0973</v>
      </c>
      <c r="T671" s="3" t="n">
        <v>6.543</v>
      </c>
      <c r="U671" s="4" t="n">
        <v>93.7</v>
      </c>
      <c r="V671" s="3">
        <f>IF(OR(N(T671)=0,N(U671)=0),0,1-POISSON(IFERROR(VLOOKUP($C671,Assumptions!$A$4:$G$7,7,FALSE),99)-1,N(T671)*N(U671)/90,TRUE))</f>
        <v/>
      </c>
      <c r="W671" s="3" t="n">
        <v>0</v>
      </c>
      <c r="X671" s="3" t="n">
        <v>2.176</v>
      </c>
      <c r="Y671" s="3">
        <f>IF(X671="",IFERROR(VLOOKUP($C671,Assumptions!$A$4:$G$7,6,FALSE),0),X671)</f>
        <v/>
      </c>
      <c r="Z671" s="3">
        <f>N(O671)*IFERROR(VLOOKUP($C671,Assumptions!$A$4:$G$7,2,FALSE),0)</f>
        <v/>
      </c>
      <c r="AA671" s="3">
        <f>N(S671)*IFERROR(VLOOKUP($C671,Assumptions!$A$4:$G$7,3,FALSE),0)*Assumptions!$B$11</f>
        <v/>
      </c>
      <c r="AB671" s="3">
        <f>N(N671)*IFERROR(VLOOKUP($C671,Assumptions!$A$4:$G$7,4,FALSE),0)</f>
        <v/>
      </c>
      <c r="AC671" s="3">
        <f>IF(N(U671)=0,0,V671*IFERROR(VLOOKUP($C671,Assumptions!$A$4:$G$7,5,FALSE),0)*90/N(U671))</f>
        <v/>
      </c>
      <c r="AD671" s="3">
        <f>N(W671)</f>
        <v/>
      </c>
      <c r="AE671" s="3">
        <f>SUM(Y671:AD671)</f>
        <v/>
      </c>
      <c r="AF671" s="3">
        <f>N(AE671)*N(M671)/90</f>
        <v/>
      </c>
      <c r="AG671" s="3">
        <f>IFERROR(AF671-VLOOKUP($C671,Assumptions!$A$29:$C$32,3,FALSE),"")</f>
        <v/>
      </c>
      <c r="AH671" s="3">
        <f>IFERROR(AG671/F671,"")</f>
        <v/>
      </c>
      <c r="AI671">
        <f>IF(AND($E671=TRUE,$C671="GKP"),AF671,"")</f>
        <v/>
      </c>
      <c r="AJ671">
        <f>IF(AND($E671=TRUE,$C671="DEF"),AF671,"")</f>
        <v/>
      </c>
      <c r="AK671">
        <f>IF(AND($E671=TRUE,$C671="MID"),AF671,"")</f>
        <v/>
      </c>
      <c r="AL671">
        <f>IF(AND($E671=TRUE,$C671="FWD"),AF671,"")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b">
        <v>1</v>
      </c>
      <c r="F672" s="2" t="n">
        <v>4.5</v>
      </c>
      <c r="G672" t="inlineStr">
        <is>
          <t>u</t>
        </is>
      </c>
      <c r="H672" t="inlineStr">
        <is>
          <t>Has joined KVC Westerlo on loan for the rest of the season</t>
        </is>
      </c>
      <c r="I672" s="2" t="n"/>
      <c r="K672" s="3" t="n"/>
      <c r="M672" s="4" t="n"/>
      <c r="N672" s="4" t="n"/>
      <c r="O672" s="3" t="n"/>
      <c r="P672" t="inlineStr"/>
      <c r="Q672" s="3" t="n"/>
      <c r="R672" s="3" t="n"/>
      <c r="S672" s="3" t="n"/>
      <c r="T672" s="3" t="n"/>
      <c r="U672" s="4" t="n"/>
      <c r="V672" s="3">
        <f>IF(OR(N(T672)=0,N(U672)=0),0,1-POISSON(IFERROR(VLOOKUP($C672,Assumptions!$A$4:$G$7,7,FALSE),99)-1,N(T672)*N(U672)/90,TRUE))</f>
        <v/>
      </c>
      <c r="W672" s="3" t="n"/>
      <c r="X672" s="3" t="n"/>
      <c r="Y672" s="3">
        <f>IF(X672="",IFERROR(VLOOKUP($C672,Assumptions!$A$4:$G$7,6,FALSE),0),X672)</f>
        <v/>
      </c>
      <c r="Z672" s="3">
        <f>N(O672)*IFERROR(VLOOKUP($C672,Assumptions!$A$4:$G$7,2,FALSE),0)</f>
        <v/>
      </c>
      <c r="AA672" s="3">
        <f>N(S672)*IFERROR(VLOOKUP($C672,Assumptions!$A$4:$G$7,3,FALSE),0)*Assumptions!$B$11</f>
        <v/>
      </c>
      <c r="AB672" s="3">
        <f>N(N672)*IFERROR(VLOOKUP($C672,Assumptions!$A$4:$G$7,4,FALSE),0)</f>
        <v/>
      </c>
      <c r="AC672" s="3">
        <f>IF(N(U672)=0,0,V672*IFERROR(VLOOKUP($C672,Assumptions!$A$4:$G$7,5,FALSE),0)*90/N(U672))</f>
        <v/>
      </c>
      <c r="AD672" s="3">
        <f>N(W672)</f>
        <v/>
      </c>
      <c r="AE672" s="3">
        <f>SUM(Y672:AD672)</f>
        <v/>
      </c>
      <c r="AF672" s="3">
        <f>N(AE672)*N(M672)/90</f>
        <v/>
      </c>
      <c r="AG672" s="3">
        <f>IFERROR(AF672-VLOOKUP($C672,Assumptions!$A$29:$C$32,3,FALSE),"")</f>
        <v/>
      </c>
      <c r="AH672" s="3">
        <f>IFERROR(AG672/F672,"")</f>
        <v/>
      </c>
      <c r="AI672">
        <f>IF(AND($E672=TRUE,$C672="GKP"),AF672,"")</f>
        <v/>
      </c>
      <c r="AJ672">
        <f>IF(AND($E672=TRUE,$C672="DEF"),AF672,"")</f>
        <v/>
      </c>
      <c r="AK672">
        <f>IF(AND($E672=TRUE,$C672="MID"),AF672,"")</f>
        <v/>
      </c>
      <c r="AL672">
        <f>IF(AND($E672=TRUE,$C672="FWD"),AF672,"")</f>
        <v/>
      </c>
    </row>
    <row r="673">
      <c r="A673" t="inlineStr">
        <is>
          <t>Jaydon Banel</t>
        </is>
      </c>
      <c r="D673" t="inlineStr">
        <is>
          <t>MID</t>
        </is>
      </c>
      <c r="E673" t="b">
        <v>0</v>
      </c>
      <c r="F673" s="2" t="n"/>
      <c r="I673" s="2" t="n">
        <v>9</v>
      </c>
      <c r="K673" s="3" t="n"/>
      <c r="M673" s="4" t="n">
        <v>9</v>
      </c>
      <c r="N673" s="4" t="n"/>
      <c r="O673" s="3" t="n">
        <v>0</v>
      </c>
      <c r="P673" t="inlineStr">
        <is>
          <t>blended xG</t>
        </is>
      </c>
      <c r="Q673" s="3" t="n">
        <v>1</v>
      </c>
      <c r="R673" s="3" t="n">
        <v>0</v>
      </c>
      <c r="S673" s="3" t="n">
        <v>0</v>
      </c>
      <c r="T673" s="3" t="n">
        <v>8.471</v>
      </c>
      <c r="U673" s="4" t="n">
        <v>85</v>
      </c>
      <c r="V673" s="3">
        <f>IF(OR(N(T673)=0,N(U673)=0),0,1-POISSON(IFERROR(VLOOKUP($C673,Assumptions!$A$4:$G$7,7,FALSE),99)-1,N(T673)*N(U673)/90,TRUE))</f>
        <v/>
      </c>
      <c r="W673" s="3" t="n">
        <v>0</v>
      </c>
      <c r="X673" s="3" t="n">
        <v>10</v>
      </c>
      <c r="Y673" s="3">
        <f>IF(X673="",IFERROR(VLOOKUP($C673,Assumptions!$A$4:$G$7,6,FALSE),0),X673)</f>
        <v/>
      </c>
      <c r="Z673" s="3">
        <f>N(O673)*IFERROR(VLOOKUP($C673,Assumptions!$A$4:$G$7,2,FALSE),0)</f>
        <v/>
      </c>
      <c r="AA673" s="3">
        <f>N(S673)*IFERROR(VLOOKUP($C673,Assumptions!$A$4:$G$7,3,FALSE),0)*Assumptions!$B$11</f>
        <v/>
      </c>
      <c r="AB673" s="3">
        <f>N(N673)*IFERROR(VLOOKUP($C673,Assumptions!$A$4:$G$7,4,FALSE),0)</f>
        <v/>
      </c>
      <c r="AC673" s="3">
        <f>IF(N(U673)=0,0,V673*IFERROR(VLOOKUP($C673,Assumptions!$A$4:$G$7,5,FALSE),0)*90/N(U673))</f>
        <v/>
      </c>
      <c r="AD673" s="3">
        <f>N(W673)</f>
        <v/>
      </c>
      <c r="AE673" s="3">
        <f>SUM(Y673:AD673)</f>
        <v/>
      </c>
      <c r="AF673" s="3">
        <f>N(AE673)*N(M673)/90</f>
        <v/>
      </c>
      <c r="AG673" s="3">
        <f>IFERROR(AF673-VLOOKUP($C673,Assumptions!$A$29:$C$32,3,FALSE),"")</f>
        <v/>
      </c>
      <c r="AH673" s="3">
        <f>IFERROR(AG673/F673,"")</f>
        <v/>
      </c>
      <c r="AI673">
        <f>IF(AND($E673=TRUE,$C673="GKP"),AF673,"")</f>
        <v/>
      </c>
      <c r="AJ673">
        <f>IF(AND($E673=TRUE,$C673="DEF"),AF673,"")</f>
        <v/>
      </c>
      <c r="AK673">
        <f>IF(AND($E673=TRUE,$C673="MID"),AF673,"")</f>
        <v/>
      </c>
      <c r="AL673">
        <f>IF(AND($E673=TRUE,$C673="FWD"),AF673,"")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b">
        <v>1</v>
      </c>
      <c r="F674" s="2" t="n">
        <v>5</v>
      </c>
      <c r="G674" t="inlineStr">
        <is>
          <t>a</t>
        </is>
      </c>
      <c r="I674" s="2" t="n"/>
      <c r="K674" s="3" t="n">
        <v>0</v>
      </c>
      <c r="L674" t="inlineStr">
        <is>
          <t>flat</t>
        </is>
      </c>
      <c r="M674" s="4" t="n"/>
      <c r="N674" s="4" t="n"/>
      <c r="O674" s="3" t="n"/>
      <c r="P674" t="inlineStr"/>
      <c r="Q674" s="3" t="n"/>
      <c r="R674" s="3" t="n"/>
      <c r="S674" s="3" t="n"/>
      <c r="T674" s="3" t="n"/>
      <c r="U674" s="4" t="n"/>
      <c r="V674" s="3">
        <f>IF(OR(N(T674)=0,N(U674)=0),0,1-POISSON(IFERROR(VLOOKUP($C674,Assumptions!$A$4:$G$7,7,FALSE),99)-1,N(T674)*N(U674)/90,TRUE))</f>
        <v/>
      </c>
      <c r="W674" s="3" t="n"/>
      <c r="X674" s="3" t="n"/>
      <c r="Y674" s="3">
        <f>IF(X674="",IFERROR(VLOOKUP($C674,Assumptions!$A$4:$G$7,6,FALSE),0),X674)</f>
        <v/>
      </c>
      <c r="Z674" s="3">
        <f>N(O674)*IFERROR(VLOOKUP($C674,Assumptions!$A$4:$G$7,2,FALSE),0)</f>
        <v/>
      </c>
      <c r="AA674" s="3">
        <f>N(S674)*IFERROR(VLOOKUP($C674,Assumptions!$A$4:$G$7,3,FALSE),0)*Assumptions!$B$11</f>
        <v/>
      </c>
      <c r="AB674" s="3">
        <f>N(N674)*IFERROR(VLOOKUP($C674,Assumptions!$A$4:$G$7,4,FALSE),0)</f>
        <v/>
      </c>
      <c r="AC674" s="3">
        <f>IF(N(U674)=0,0,V674*IFERROR(VLOOKUP($C674,Assumptions!$A$4:$G$7,5,FALSE),0)*90/N(U674))</f>
        <v/>
      </c>
      <c r="AD674" s="3">
        <f>N(W674)</f>
        <v/>
      </c>
      <c r="AE674" s="3">
        <f>SUM(Y674:AD674)</f>
        <v/>
      </c>
      <c r="AF674" s="3">
        <f>N(AE674)*N(M674)/90</f>
        <v/>
      </c>
      <c r="AG674" s="3">
        <f>IFERROR(AF674-VLOOKUP($C674,Assumptions!$A$29:$C$32,3,FALSE),"")</f>
        <v/>
      </c>
      <c r="AH674" s="3">
        <f>IFERROR(AG674/F674,"")</f>
        <v/>
      </c>
      <c r="AI674">
        <f>IF(AND($E674=TRUE,$C674="GKP"),AF674,"")</f>
        <v/>
      </c>
      <c r="AJ674">
        <f>IF(AND($E674=TRUE,$C674="DEF"),AF674,"")</f>
        <v/>
      </c>
      <c r="AK674">
        <f>IF(AND($E674=TRUE,$C674="MID"),AF674,"")</f>
        <v/>
      </c>
      <c r="AL674">
        <f>IF(AND($E674=TRUE,$C674="FWD"),AF674,"")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b">
        <v>1</v>
      </c>
      <c r="F675" s="2" t="n">
        <v>6</v>
      </c>
      <c r="G675" t="inlineStr">
        <is>
          <t>a</t>
        </is>
      </c>
      <c r="I675" s="2" t="n"/>
      <c r="K675" s="3" t="n">
        <v>2696</v>
      </c>
      <c r="L675" t="inlineStr">
        <is>
          <t>flat</t>
        </is>
      </c>
      <c r="M675" s="4" t="n"/>
      <c r="N675" s="4" t="n">
        <v>0.237</v>
      </c>
      <c r="O675" s="3" t="n"/>
      <c r="P675" t="inlineStr"/>
      <c r="Q675" s="3" t="n"/>
      <c r="R675" s="3" t="n"/>
      <c r="S675" s="3" t="n"/>
      <c r="T675" s="3" t="n"/>
      <c r="U675" s="4" t="n"/>
      <c r="V675" s="3">
        <f>IF(OR(N(T675)=0,N(U675)=0),0,1-POISSON(IFERROR(VLOOKUP($C675,Assumptions!$A$4:$G$7,7,FALSE),99)-1,N(T675)*N(U675)/90,TRUE))</f>
        <v/>
      </c>
      <c r="W675" s="3" t="n"/>
      <c r="X675" s="3" t="n"/>
      <c r="Y675" s="3">
        <f>IF(X675="",IFERROR(VLOOKUP($C675,Assumptions!$A$4:$G$7,6,FALSE),0),X675)</f>
        <v/>
      </c>
      <c r="Z675" s="3">
        <f>N(O675)*IFERROR(VLOOKUP($C675,Assumptions!$A$4:$G$7,2,FALSE),0)</f>
        <v/>
      </c>
      <c r="AA675" s="3">
        <f>N(S675)*IFERROR(VLOOKUP($C675,Assumptions!$A$4:$G$7,3,FALSE),0)*Assumptions!$B$11</f>
        <v/>
      </c>
      <c r="AB675" s="3">
        <f>N(N675)*IFERROR(VLOOKUP($C675,Assumptions!$A$4:$G$7,4,FALSE),0)</f>
        <v/>
      </c>
      <c r="AC675" s="3">
        <f>IF(N(U675)=0,0,V675*IFERROR(VLOOKUP($C675,Assumptions!$A$4:$G$7,5,FALSE),0)*90/N(U675))</f>
        <v/>
      </c>
      <c r="AD675" s="3">
        <f>N(W675)</f>
        <v/>
      </c>
      <c r="AE675" s="3">
        <f>SUM(Y675:AD675)</f>
        <v/>
      </c>
      <c r="AF675" s="3">
        <f>N(AE675)*N(M675)/90</f>
        <v/>
      </c>
      <c r="AG675" s="3">
        <f>IFERROR(AF675-VLOOKUP($C675,Assumptions!$A$29:$C$32,3,FALSE),"")</f>
        <v/>
      </c>
      <c r="AH675" s="3">
        <f>IFERROR(AG675/F675,"")</f>
        <v/>
      </c>
      <c r="AI675">
        <f>IF(AND($E675=TRUE,$C675="GKP"),AF675,"")</f>
        <v/>
      </c>
      <c r="AJ675">
        <f>IF(AND($E675=TRUE,$C675="DEF"),AF675,"")</f>
        <v/>
      </c>
      <c r="AK675">
        <f>IF(AND($E675=TRUE,$C675="MID"),AF675,"")</f>
        <v/>
      </c>
      <c r="AL675">
        <f>IF(AND($E675=TRUE,$C675="FWD"),AF675,"")</f>
        <v/>
      </c>
    </row>
    <row r="676">
      <c r="A676" t="inlineStr">
        <is>
          <t>Álex Jiménez</t>
        </is>
      </c>
      <c r="D676" t="inlineStr">
        <is>
          <t>DEF</t>
        </is>
      </c>
      <c r="E676" t="b">
        <v>0</v>
      </c>
      <c r="F676" s="2" t="n"/>
      <c r="I676" s="2" t="n">
        <v>2323</v>
      </c>
      <c r="K676" s="3" t="n"/>
      <c r="M676" s="4" t="n">
        <v>2323</v>
      </c>
      <c r="N676" s="4" t="n"/>
      <c r="O676" s="3" t="n">
        <v>0.0423</v>
      </c>
      <c r="P676" t="inlineStr">
        <is>
          <t>adjusted xGOT</t>
        </is>
      </c>
      <c r="Q676" s="3" t="n">
        <v>1.001</v>
      </c>
      <c r="R676" s="3" t="n">
        <v>1.1</v>
      </c>
      <c r="S676" s="3" t="n">
        <v>0.066</v>
      </c>
      <c r="T676" s="3" t="n">
        <v>6.212</v>
      </c>
      <c r="U676" s="4" t="n">
        <v>89</v>
      </c>
      <c r="V676" s="3">
        <f>IF(OR(N(T676)=0,N(U676)=0),0,1-POISSON(IFERROR(VLOOKUP($C676,Assumptions!$A$4:$G$7,7,FALSE),99)-1,N(T676)*N(U676)/90,TRUE))</f>
        <v/>
      </c>
      <c r="W676" s="3" t="n">
        <v>0.1162</v>
      </c>
      <c r="X676" s="3" t="n">
        <v>2.17</v>
      </c>
      <c r="Y676" s="3">
        <f>IF(X676="",IFERROR(VLOOKUP($C676,Assumptions!$A$4:$G$7,6,FALSE),0),X676)</f>
        <v/>
      </c>
      <c r="Z676" s="3">
        <f>N(O676)*IFERROR(VLOOKUP($C676,Assumptions!$A$4:$G$7,2,FALSE),0)</f>
        <v/>
      </c>
      <c r="AA676" s="3">
        <f>N(S676)*IFERROR(VLOOKUP($C676,Assumptions!$A$4:$G$7,3,FALSE),0)*Assumptions!$B$11</f>
        <v/>
      </c>
      <c r="AB676" s="3">
        <f>N(N676)*IFERROR(VLOOKUP($C676,Assumptions!$A$4:$G$7,4,FALSE),0)</f>
        <v/>
      </c>
      <c r="AC676" s="3">
        <f>IF(N(U676)=0,0,V676*IFERROR(VLOOKUP($C676,Assumptions!$A$4:$G$7,5,FALSE),0)*90/N(U676))</f>
        <v/>
      </c>
      <c r="AD676" s="3">
        <f>N(W676)</f>
        <v/>
      </c>
      <c r="AE676" s="3">
        <f>SUM(Y676:AD676)</f>
        <v/>
      </c>
      <c r="AF676" s="3">
        <f>N(AE676)*N(M676)/90</f>
        <v/>
      </c>
      <c r="AG676" s="3">
        <f>IFERROR(AF676-VLOOKUP($C676,Assumptions!$A$29:$C$32,3,FALSE),"")</f>
        <v/>
      </c>
      <c r="AH676" s="3">
        <f>IFERROR(AG676/F676,"")</f>
        <v/>
      </c>
      <c r="AI676">
        <f>IF(AND($E676=TRUE,$C676="GKP"),AF676,"")</f>
        <v/>
      </c>
      <c r="AJ676">
        <f>IF(AND($E676=TRUE,$C676="DEF"),AF676,"")</f>
        <v/>
      </c>
      <c r="AK676">
        <f>IF(AND($E676=TRUE,$C676="MID"),AF676,"")</f>
        <v/>
      </c>
      <c r="AL676">
        <f>IF(AND($E676=TRUE,$C676="FWD"),AF676,"")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b">
        <v>1</v>
      </c>
      <c r="F677" s="2" t="n">
        <v>6.5</v>
      </c>
      <c r="G677" t="inlineStr">
        <is>
          <t>a</t>
        </is>
      </c>
      <c r="I677" s="2" t="n"/>
      <c r="K677" s="3" t="n">
        <v>796</v>
      </c>
      <c r="L677" t="inlineStr">
        <is>
          <t>flat</t>
        </is>
      </c>
      <c r="M677" s="4" t="n"/>
      <c r="N677" s="4" t="n">
        <v>0.263</v>
      </c>
      <c r="O677" s="3" t="n"/>
      <c r="P677" t="inlineStr"/>
      <c r="Q677" s="3" t="n"/>
      <c r="R677" s="3" t="n"/>
      <c r="S677" s="3" t="n"/>
      <c r="T677" s="3" t="n"/>
      <c r="U677" s="4" t="n"/>
      <c r="V677" s="3">
        <f>IF(OR(N(T677)=0,N(U677)=0),0,1-POISSON(IFERROR(VLOOKUP($C677,Assumptions!$A$4:$G$7,7,FALSE),99)-1,N(T677)*N(U677)/90,TRUE))</f>
        <v/>
      </c>
      <c r="W677" s="3" t="n"/>
      <c r="X677" s="3" t="n"/>
      <c r="Y677" s="3">
        <f>IF(X677="",IFERROR(VLOOKUP($C677,Assumptions!$A$4:$G$7,6,FALSE),0),X677)</f>
        <v/>
      </c>
      <c r="Z677" s="3">
        <f>N(O677)*IFERROR(VLOOKUP($C677,Assumptions!$A$4:$G$7,2,FALSE),0)</f>
        <v/>
      </c>
      <c r="AA677" s="3">
        <f>N(S677)*IFERROR(VLOOKUP($C677,Assumptions!$A$4:$G$7,3,FALSE),0)*Assumptions!$B$11</f>
        <v/>
      </c>
      <c r="AB677" s="3">
        <f>N(N677)*IFERROR(VLOOKUP($C677,Assumptions!$A$4:$G$7,4,FALSE),0)</f>
        <v/>
      </c>
      <c r="AC677" s="3">
        <f>IF(N(U677)=0,0,V677*IFERROR(VLOOKUP($C677,Assumptions!$A$4:$G$7,5,FALSE),0)*90/N(U677))</f>
        <v/>
      </c>
      <c r="AD677" s="3">
        <f>N(W677)</f>
        <v/>
      </c>
      <c r="AE677" s="3">
        <f>SUM(Y677:AD677)</f>
        <v/>
      </c>
      <c r="AF677" s="3">
        <f>N(AE677)*N(M677)/90</f>
        <v/>
      </c>
      <c r="AG677" s="3">
        <f>IFERROR(AF677-VLOOKUP($C677,Assumptions!$A$29:$C$32,3,FALSE),"")</f>
        <v/>
      </c>
      <c r="AH677" s="3">
        <f>IFERROR(AG677/F677,"")</f>
        <v/>
      </c>
      <c r="AI677">
        <f>IF(AND($E677=TRUE,$C677="GKP"),AF677,"")</f>
        <v/>
      </c>
      <c r="AJ677">
        <f>IF(AND($E677=TRUE,$C677="DEF"),AF677,"")</f>
        <v/>
      </c>
      <c r="AK677">
        <f>IF(AND($E677=TRUE,$C677="MID"),AF677,"")</f>
        <v/>
      </c>
      <c r="AL677">
        <f>IF(AND($E677=TRUE,$C677="FWD"),AF677,"")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b">
        <v>1</v>
      </c>
      <c r="F678" s="2" t="n">
        <v>5</v>
      </c>
      <c r="G678" t="inlineStr">
        <is>
          <t>a</t>
        </is>
      </c>
      <c r="I678" s="2" t="n"/>
      <c r="K678" s="3" t="n">
        <v>1750</v>
      </c>
      <c r="L678" t="inlineStr">
        <is>
          <t>flat</t>
        </is>
      </c>
      <c r="M678" s="4" t="n"/>
      <c r="N678" s="4" t="n"/>
      <c r="O678" s="3" t="n"/>
      <c r="P678" t="inlineStr"/>
      <c r="Q678" s="3" t="n"/>
      <c r="R678" s="3" t="n"/>
      <c r="S678" s="3" t="n"/>
      <c r="T678" s="3" t="n"/>
      <c r="U678" s="4" t="n"/>
      <c r="V678" s="3">
        <f>IF(OR(N(T678)=0,N(U678)=0),0,1-POISSON(IFERROR(VLOOKUP($C678,Assumptions!$A$4:$G$7,7,FALSE),99)-1,N(T678)*N(U678)/90,TRUE))</f>
        <v/>
      </c>
      <c r="W678" s="3" t="n"/>
      <c r="X678" s="3" t="n"/>
      <c r="Y678" s="3">
        <f>IF(X678="",IFERROR(VLOOKUP($C678,Assumptions!$A$4:$G$7,6,FALSE),0),X678)</f>
        <v/>
      </c>
      <c r="Z678" s="3">
        <f>N(O678)*IFERROR(VLOOKUP($C678,Assumptions!$A$4:$G$7,2,FALSE),0)</f>
        <v/>
      </c>
      <c r="AA678" s="3">
        <f>N(S678)*IFERROR(VLOOKUP($C678,Assumptions!$A$4:$G$7,3,FALSE),0)*Assumptions!$B$11</f>
        <v/>
      </c>
      <c r="AB678" s="3">
        <f>N(N678)*IFERROR(VLOOKUP($C678,Assumptions!$A$4:$G$7,4,FALSE),0)</f>
        <v/>
      </c>
      <c r="AC678" s="3">
        <f>IF(N(U678)=0,0,V678*IFERROR(VLOOKUP($C678,Assumptions!$A$4:$G$7,5,FALSE),0)*90/N(U678))</f>
        <v/>
      </c>
      <c r="AD678" s="3">
        <f>N(W678)</f>
        <v/>
      </c>
      <c r="AE678" s="3">
        <f>SUM(Y678:AD678)</f>
        <v/>
      </c>
      <c r="AF678" s="3">
        <f>N(AE678)*N(M678)/90</f>
        <v/>
      </c>
      <c r="AG678" s="3">
        <f>IFERROR(AF678-VLOOKUP($C678,Assumptions!$A$29:$C$32,3,FALSE),"")</f>
        <v/>
      </c>
      <c r="AH678" s="3">
        <f>IFERROR(AG678/F678,"")</f>
        <v/>
      </c>
      <c r="AI678">
        <f>IF(AND($E678=TRUE,$C678="GKP"),AF678,"")</f>
        <v/>
      </c>
      <c r="AJ678">
        <f>IF(AND($E678=TRUE,$C678="DEF"),AF678,"")</f>
        <v/>
      </c>
      <c r="AK678">
        <f>IF(AND($E678=TRUE,$C678="MID"),AF678,"")</f>
        <v/>
      </c>
      <c r="AL678">
        <f>IF(AND($E678=TRUE,$C678="FWD"),AF678,"")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b">
        <v>1</v>
      </c>
      <c r="F679" s="2" t="n">
        <v>4.5</v>
      </c>
      <c r="G679" t="inlineStr">
        <is>
          <t>i</t>
        </is>
      </c>
      <c r="H679" t="inlineStr">
        <is>
          <t>Thigh injury - Unknown return date</t>
        </is>
      </c>
      <c r="I679" s="2" t="n"/>
      <c r="K679" s="3" t="n">
        <v>88</v>
      </c>
      <c r="L679" t="inlineStr">
        <is>
          <t>flat</t>
        </is>
      </c>
      <c r="M679" s="4" t="n"/>
      <c r="N679" s="4" t="n"/>
      <c r="O679" s="3" t="n"/>
      <c r="P679" t="inlineStr"/>
      <c r="Q679" s="3" t="n"/>
      <c r="R679" s="3" t="n"/>
      <c r="S679" s="3" t="n"/>
      <c r="T679" s="3" t="n"/>
      <c r="U679" s="4" t="n"/>
      <c r="V679" s="3">
        <f>IF(OR(N(T679)=0,N(U679)=0),0,1-POISSON(IFERROR(VLOOKUP($C679,Assumptions!$A$4:$G$7,7,FALSE),99)-1,N(T679)*N(U679)/90,TRUE))</f>
        <v/>
      </c>
      <c r="W679" s="3" t="n"/>
      <c r="X679" s="3" t="n"/>
      <c r="Y679" s="3">
        <f>IF(X679="",IFERROR(VLOOKUP($C679,Assumptions!$A$4:$G$7,6,FALSE),0),X679)</f>
        <v/>
      </c>
      <c r="Z679" s="3">
        <f>N(O679)*IFERROR(VLOOKUP($C679,Assumptions!$A$4:$G$7,2,FALSE),0)</f>
        <v/>
      </c>
      <c r="AA679" s="3">
        <f>N(S679)*IFERROR(VLOOKUP($C679,Assumptions!$A$4:$G$7,3,FALSE),0)*Assumptions!$B$11</f>
        <v/>
      </c>
      <c r="AB679" s="3">
        <f>N(N679)*IFERROR(VLOOKUP($C679,Assumptions!$A$4:$G$7,4,FALSE),0)</f>
        <v/>
      </c>
      <c r="AC679" s="3">
        <f>IF(N(U679)=0,0,V679*IFERROR(VLOOKUP($C679,Assumptions!$A$4:$G$7,5,FALSE),0)*90/N(U679))</f>
        <v/>
      </c>
      <c r="AD679" s="3">
        <f>N(W679)</f>
        <v/>
      </c>
      <c r="AE679" s="3">
        <f>SUM(Y679:AD679)</f>
        <v/>
      </c>
      <c r="AF679" s="3">
        <f>N(AE679)*N(M679)/90</f>
        <v/>
      </c>
      <c r="AG679" s="3">
        <f>IFERROR(AF679-VLOOKUP($C679,Assumptions!$A$29:$C$32,3,FALSE),"")</f>
        <v/>
      </c>
      <c r="AH679" s="3">
        <f>IFERROR(AG679/F679,"")</f>
        <v/>
      </c>
      <c r="AI679">
        <f>IF(AND($E679=TRUE,$C679="GKP"),AF679,"")</f>
        <v/>
      </c>
      <c r="AJ679">
        <f>IF(AND($E679=TRUE,$C679="DEF"),AF679,"")</f>
        <v/>
      </c>
      <c r="AK679">
        <f>IF(AND($E679=TRUE,$C679="MID"),AF679,"")</f>
        <v/>
      </c>
      <c r="AL679">
        <f>IF(AND($E679=TRUE,$C679="FWD"),AF679,"")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b">
        <v>1</v>
      </c>
      <c r="F680" s="2" t="n">
        <v>4.5</v>
      </c>
      <c r="G680" t="inlineStr">
        <is>
          <t>a</t>
        </is>
      </c>
      <c r="I680" s="2" t="n"/>
      <c r="K680" s="3" t="n">
        <v>34</v>
      </c>
      <c r="L680" t="inlineStr">
        <is>
          <t>flat</t>
        </is>
      </c>
      <c r="M680" s="4" t="n"/>
      <c r="N680" s="4" t="n">
        <v>0.21</v>
      </c>
      <c r="O680" s="3" t="n"/>
      <c r="P680" t="inlineStr"/>
      <c r="Q680" s="3" t="n"/>
      <c r="R680" s="3" t="n"/>
      <c r="S680" s="3" t="n"/>
      <c r="T680" s="3" t="n">
        <v>0</v>
      </c>
      <c r="U680" s="4" t="n"/>
      <c r="V680" s="3">
        <f>IF(OR(N(T680)=0,N(U680)=0),0,1-POISSON(IFERROR(VLOOKUP($C680,Assumptions!$A$4:$G$7,7,FALSE),99)-1,N(T680)*N(U680)/90,TRUE))</f>
        <v/>
      </c>
      <c r="W680" s="3" t="n"/>
      <c r="X680" s="3" t="n"/>
      <c r="Y680" s="3">
        <f>IF(X680="",IFERROR(VLOOKUP($C680,Assumptions!$A$4:$G$7,6,FALSE),0),X680)</f>
        <v/>
      </c>
      <c r="Z680" s="3">
        <f>N(O680)*IFERROR(VLOOKUP($C680,Assumptions!$A$4:$G$7,2,FALSE),0)</f>
        <v/>
      </c>
      <c r="AA680" s="3">
        <f>N(S680)*IFERROR(VLOOKUP($C680,Assumptions!$A$4:$G$7,3,FALSE),0)*Assumptions!$B$11</f>
        <v/>
      </c>
      <c r="AB680" s="3">
        <f>N(N680)*IFERROR(VLOOKUP($C680,Assumptions!$A$4:$G$7,4,FALSE),0)</f>
        <v/>
      </c>
      <c r="AC680" s="3">
        <f>IF(N(U680)=0,0,V680*IFERROR(VLOOKUP($C680,Assumptions!$A$4:$G$7,5,FALSE),0)*90/N(U680))</f>
        <v/>
      </c>
      <c r="AD680" s="3">
        <f>N(W680)</f>
        <v/>
      </c>
      <c r="AE680" s="3">
        <f>SUM(Y680:AD680)</f>
        <v/>
      </c>
      <c r="AF680" s="3">
        <f>N(AE680)*N(M680)/90</f>
        <v/>
      </c>
      <c r="AG680" s="3">
        <f>IFERROR(AF680-VLOOKUP($C680,Assumptions!$A$29:$C$32,3,FALSE),"")</f>
        <v/>
      </c>
      <c r="AH680" s="3">
        <f>IFERROR(AG680/F680,"")</f>
        <v/>
      </c>
      <c r="AI680">
        <f>IF(AND($E680=TRUE,$C680="GKP"),AF680,"")</f>
        <v/>
      </c>
      <c r="AJ680">
        <f>IF(AND($E680=TRUE,$C680="DEF"),AF680,"")</f>
        <v/>
      </c>
      <c r="AK680">
        <f>IF(AND($E680=TRUE,$C680="MID"),AF680,"")</f>
        <v/>
      </c>
      <c r="AL680">
        <f>IF(AND($E680=TRUE,$C680="FWD"),AF680,"")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b">
        <v>1</v>
      </c>
      <c r="F681" s="2" t="n">
        <v>4.5</v>
      </c>
      <c r="G681" t="inlineStr">
        <is>
          <t>a</t>
        </is>
      </c>
      <c r="I681" s="2" t="n"/>
      <c r="K681" s="3" t="n">
        <v>616</v>
      </c>
      <c r="L681" t="inlineStr">
        <is>
          <t>flat</t>
        </is>
      </c>
      <c r="M681" s="4" t="n"/>
      <c r="N681" s="4" t="n"/>
      <c r="O681" s="3" t="n"/>
      <c r="P681" t="inlineStr"/>
      <c r="Q681" s="3" t="n"/>
      <c r="R681" s="3" t="n"/>
      <c r="S681" s="3" t="n"/>
      <c r="T681" s="3" t="n"/>
      <c r="U681" s="4" t="n"/>
      <c r="V681" s="3">
        <f>IF(OR(N(T681)=0,N(U681)=0),0,1-POISSON(IFERROR(VLOOKUP($C681,Assumptions!$A$4:$G$7,7,FALSE),99)-1,N(T681)*N(U681)/90,TRUE))</f>
        <v/>
      </c>
      <c r="W681" s="3" t="n"/>
      <c r="X681" s="3" t="n"/>
      <c r="Y681" s="3">
        <f>IF(X681="",IFERROR(VLOOKUP($C681,Assumptions!$A$4:$G$7,6,FALSE),0),X681)</f>
        <v/>
      </c>
      <c r="Z681" s="3">
        <f>N(O681)*IFERROR(VLOOKUP($C681,Assumptions!$A$4:$G$7,2,FALSE),0)</f>
        <v/>
      </c>
      <c r="AA681" s="3">
        <f>N(S681)*IFERROR(VLOOKUP($C681,Assumptions!$A$4:$G$7,3,FALSE),0)*Assumptions!$B$11</f>
        <v/>
      </c>
      <c r="AB681" s="3">
        <f>N(N681)*IFERROR(VLOOKUP($C681,Assumptions!$A$4:$G$7,4,FALSE),0)</f>
        <v/>
      </c>
      <c r="AC681" s="3">
        <f>IF(N(U681)=0,0,V681*IFERROR(VLOOKUP($C681,Assumptions!$A$4:$G$7,5,FALSE),0)*90/N(U681))</f>
        <v/>
      </c>
      <c r="AD681" s="3">
        <f>N(W681)</f>
        <v/>
      </c>
      <c r="AE681" s="3">
        <f>SUM(Y681:AD681)</f>
        <v/>
      </c>
      <c r="AF681" s="3">
        <f>N(AE681)*N(M681)/90</f>
        <v/>
      </c>
      <c r="AG681" s="3">
        <f>IFERROR(AF681-VLOOKUP($C681,Assumptions!$A$29:$C$32,3,FALSE),"")</f>
        <v/>
      </c>
      <c r="AH681" s="3">
        <f>IFERROR(AG681/F681,"")</f>
        <v/>
      </c>
      <c r="AI681">
        <f>IF(AND($E681=TRUE,$C681="GKP"),AF681,"")</f>
        <v/>
      </c>
      <c r="AJ681">
        <f>IF(AND($E681=TRUE,$C681="DEF"),AF681,"")</f>
        <v/>
      </c>
      <c r="AK681">
        <f>IF(AND($E681=TRUE,$C681="MID"),AF681,"")</f>
        <v/>
      </c>
      <c r="AL681">
        <f>IF(AND($E681=TRUE,$C681="FWD"),AF681,"")</f>
        <v/>
      </c>
    </row>
    <row r="682">
      <c r="A682" t="inlineStr">
        <is>
          <t>Jamaldeen Jimoh-Aloba</t>
        </is>
      </c>
      <c r="D682" t="inlineStr">
        <is>
          <t>MID</t>
        </is>
      </c>
      <c r="E682" t="b">
        <v>0</v>
      </c>
      <c r="F682" s="2" t="n"/>
      <c r="I682" s="2" t="n">
        <v>8</v>
      </c>
      <c r="K682" s="3" t="n"/>
      <c r="M682" s="4" t="n">
        <v>8</v>
      </c>
      <c r="N682" s="4" t="n"/>
      <c r="O682" s="3" t="n"/>
      <c r="P682" t="inlineStr"/>
      <c r="Q682" s="3" t="n">
        <v>1</v>
      </c>
      <c r="R682" s="3" t="n">
        <v>0</v>
      </c>
      <c r="S682" s="3" t="n"/>
      <c r="T682" s="3" t="n">
        <v>8.606</v>
      </c>
      <c r="U682" s="4" t="n">
        <v>85</v>
      </c>
      <c r="V682" s="3">
        <f>IF(OR(N(T682)=0,N(U682)=0),0,1-POISSON(IFERROR(VLOOKUP($C682,Assumptions!$A$4:$G$7,7,FALSE),99)-1,N(T682)*N(U682)/90,TRUE))</f>
        <v/>
      </c>
      <c r="W682" s="3" t="n">
        <v>0</v>
      </c>
      <c r="X682" s="3" t="n">
        <v>11.25</v>
      </c>
      <c r="Y682" s="3">
        <f>IF(X682="",IFERROR(VLOOKUP($C682,Assumptions!$A$4:$G$7,6,FALSE),0),X682)</f>
        <v/>
      </c>
      <c r="Z682" s="3">
        <f>N(O682)*IFERROR(VLOOKUP($C682,Assumptions!$A$4:$G$7,2,FALSE),0)</f>
        <v/>
      </c>
      <c r="AA682" s="3">
        <f>N(S682)*IFERROR(VLOOKUP($C682,Assumptions!$A$4:$G$7,3,FALSE),0)*Assumptions!$B$11</f>
        <v/>
      </c>
      <c r="AB682" s="3">
        <f>N(N682)*IFERROR(VLOOKUP($C682,Assumptions!$A$4:$G$7,4,FALSE),0)</f>
        <v/>
      </c>
      <c r="AC682" s="3">
        <f>IF(N(U682)=0,0,V682*IFERROR(VLOOKUP($C682,Assumptions!$A$4:$G$7,5,FALSE),0)*90/N(U682))</f>
        <v/>
      </c>
      <c r="AD682" s="3">
        <f>N(W682)</f>
        <v/>
      </c>
      <c r="AE682" s="3">
        <f>SUM(Y682:AD682)</f>
        <v/>
      </c>
      <c r="AF682" s="3">
        <f>N(AE682)*N(M682)/90</f>
        <v/>
      </c>
      <c r="AG682" s="3">
        <f>IFERROR(AF682-VLOOKUP($C682,Assumptions!$A$29:$C$32,3,FALSE),"")</f>
        <v/>
      </c>
      <c r="AH682" s="3">
        <f>IFERROR(AG682/F682,"")</f>
        <v/>
      </c>
      <c r="AI682">
        <f>IF(AND($E682=TRUE,$C682="GKP"),AF682,"")</f>
        <v/>
      </c>
      <c r="AJ682">
        <f>IF(AND($E682=TRUE,$C682="DEF"),AF682,"")</f>
        <v/>
      </c>
      <c r="AK682">
        <f>IF(AND($E682=TRUE,$C682="MID"),AF682,"")</f>
        <v/>
      </c>
      <c r="AL682">
        <f>IF(AND($E682=TRUE,$C682="FWD"),AF682,"")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b">
        <v>1</v>
      </c>
      <c r="F683" s="2" t="n">
        <v>6</v>
      </c>
      <c r="G683" t="inlineStr">
        <is>
          <t>a</t>
        </is>
      </c>
      <c r="I683" s="2" t="n"/>
      <c r="K683" s="3" t="n">
        <v>719</v>
      </c>
      <c r="L683" t="inlineStr">
        <is>
          <t>flat</t>
        </is>
      </c>
      <c r="M683" s="4" t="n"/>
      <c r="N683" s="4" t="n">
        <v>0.29</v>
      </c>
      <c r="O683" s="3" t="n"/>
      <c r="P683" t="inlineStr"/>
      <c r="Q683" s="3" t="n"/>
      <c r="R683" s="3" t="n"/>
      <c r="S683" s="3" t="n"/>
      <c r="T683" s="3" t="n"/>
      <c r="U683" s="4" t="n"/>
      <c r="V683" s="3">
        <f>IF(OR(N(T683)=0,N(U683)=0),0,1-POISSON(IFERROR(VLOOKUP($C683,Assumptions!$A$4:$G$7,7,FALSE),99)-1,N(T683)*N(U683)/90,TRUE))</f>
        <v/>
      </c>
      <c r="W683" s="3" t="n"/>
      <c r="X683" s="3" t="n"/>
      <c r="Y683" s="3">
        <f>IF(X683="",IFERROR(VLOOKUP($C683,Assumptions!$A$4:$G$7,6,FALSE),0),X683)</f>
        <v/>
      </c>
      <c r="Z683" s="3">
        <f>N(O683)*IFERROR(VLOOKUP($C683,Assumptions!$A$4:$G$7,2,FALSE),0)</f>
        <v/>
      </c>
      <c r="AA683" s="3">
        <f>N(S683)*IFERROR(VLOOKUP($C683,Assumptions!$A$4:$G$7,3,FALSE),0)*Assumptions!$B$11</f>
        <v/>
      </c>
      <c r="AB683" s="3">
        <f>N(N683)*IFERROR(VLOOKUP($C683,Assumptions!$A$4:$G$7,4,FALSE),0)</f>
        <v/>
      </c>
      <c r="AC683" s="3">
        <f>IF(N(U683)=0,0,V683*IFERROR(VLOOKUP($C683,Assumptions!$A$4:$G$7,5,FALSE),0)*90/N(U683))</f>
        <v/>
      </c>
      <c r="AD683" s="3">
        <f>N(W683)</f>
        <v/>
      </c>
      <c r="AE683" s="3">
        <f>SUM(Y683:AD683)</f>
        <v/>
      </c>
      <c r="AF683" s="3">
        <f>N(AE683)*N(M683)/90</f>
        <v/>
      </c>
      <c r="AG683" s="3">
        <f>IFERROR(AF683-VLOOKUP($C683,Assumptions!$A$29:$C$32,3,FALSE),"")</f>
        <v/>
      </c>
      <c r="AH683" s="3">
        <f>IFERROR(AG683/F683,"")</f>
        <v/>
      </c>
      <c r="AI683">
        <f>IF(AND($E683=TRUE,$C683="GKP"),AF683,"")</f>
        <v/>
      </c>
      <c r="AJ683">
        <f>IF(AND($E683=TRUE,$C683="DEF"),AF683,"")</f>
        <v/>
      </c>
      <c r="AK683">
        <f>IF(AND($E683=TRUE,$C683="MID"),AF683,"")</f>
        <v/>
      </c>
      <c r="AL683">
        <f>IF(AND($E683=TRUE,$C683="FWD"),AF683,"")</f>
        <v/>
      </c>
    </row>
    <row r="684">
      <c r="A684" t="inlineStr">
        <is>
          <t>Eliezer Mayenda</t>
        </is>
      </c>
      <c r="D684" t="inlineStr">
        <is>
          <t>FWD</t>
        </is>
      </c>
      <c r="E684" t="b">
        <v>0</v>
      </c>
      <c r="F684" s="2" t="n"/>
      <c r="I684" s="2" t="n">
        <v>756</v>
      </c>
      <c r="K684" s="3" t="n"/>
      <c r="M684" s="4" t="n">
        <v>756</v>
      </c>
      <c r="N684" s="4" t="n"/>
      <c r="O684" s="3" t="n">
        <v>0.2954</v>
      </c>
      <c r="P684" t="inlineStr">
        <is>
          <t>adjusted xGOT</t>
        </is>
      </c>
      <c r="Q684" s="3" t="n">
        <v>1.165</v>
      </c>
      <c r="R684" s="3" t="n">
        <v>2.1</v>
      </c>
      <c r="S684" s="3" t="n">
        <v>0.08840000000000001</v>
      </c>
      <c r="T684" s="3" t="n">
        <v>3.937</v>
      </c>
      <c r="U684" s="4" t="n">
        <v>93.90000000000001</v>
      </c>
      <c r="V684" s="3">
        <f>IF(OR(N(T684)=0,N(U684)=0),0,1-POISSON(IFERROR(VLOOKUP($C684,Assumptions!$A$4:$G$7,7,FALSE),99)-1,N(T684)*N(U684)/90,TRUE))</f>
        <v/>
      </c>
      <c r="W684" s="3" t="n">
        <v>0.5952</v>
      </c>
      <c r="X684" s="3" t="n">
        <v>3.214</v>
      </c>
      <c r="Y684" s="3">
        <f>IF(X684="",IFERROR(VLOOKUP($C684,Assumptions!$A$4:$G$7,6,FALSE),0),X684)</f>
        <v/>
      </c>
      <c r="Z684" s="3">
        <f>N(O684)*IFERROR(VLOOKUP($C684,Assumptions!$A$4:$G$7,2,FALSE),0)</f>
        <v/>
      </c>
      <c r="AA684" s="3">
        <f>N(S684)*IFERROR(VLOOKUP($C684,Assumptions!$A$4:$G$7,3,FALSE),0)*Assumptions!$B$11</f>
        <v/>
      </c>
      <c r="AB684" s="3">
        <f>N(N684)*IFERROR(VLOOKUP($C684,Assumptions!$A$4:$G$7,4,FALSE),0)</f>
        <v/>
      </c>
      <c r="AC684" s="3">
        <f>IF(N(U684)=0,0,V684*IFERROR(VLOOKUP($C684,Assumptions!$A$4:$G$7,5,FALSE),0)*90/N(U684))</f>
        <v/>
      </c>
      <c r="AD684" s="3">
        <f>N(W684)</f>
        <v/>
      </c>
      <c r="AE684" s="3">
        <f>SUM(Y684:AD684)</f>
        <v/>
      </c>
      <c r="AF684" s="3">
        <f>N(AE684)*N(M684)/90</f>
        <v/>
      </c>
      <c r="AG684" s="3">
        <f>IFERROR(AF684-VLOOKUP($C684,Assumptions!$A$29:$C$32,3,FALSE),"")</f>
        <v/>
      </c>
      <c r="AH684" s="3">
        <f>IFERROR(AG684/F684,"")</f>
        <v/>
      </c>
      <c r="AI684">
        <f>IF(AND($E684=TRUE,$C684="GKP"),AF684,"")</f>
        <v/>
      </c>
      <c r="AJ684">
        <f>IF(AND($E684=TRUE,$C684="DEF"),AF684,"")</f>
        <v/>
      </c>
      <c r="AK684">
        <f>IF(AND($E684=TRUE,$C684="MID"),AF684,"")</f>
        <v/>
      </c>
      <c r="AL684">
        <f>IF(AND($E684=TRUE,$C684="FWD"),AF684,"")</f>
        <v/>
      </c>
    </row>
    <row r="685">
      <c r="A685" t="inlineStr">
        <is>
          <t>Soungoutou Magassa</t>
        </is>
      </c>
      <c r="D685" t="inlineStr">
        <is>
          <t>MID</t>
        </is>
      </c>
      <c r="E685" t="b">
        <v>0</v>
      </c>
      <c r="F685" s="2" t="n"/>
      <c r="I685" s="2" t="n">
        <v>979</v>
      </c>
      <c r="K685" s="3" t="n"/>
      <c r="M685" s="4" t="n">
        <v>979</v>
      </c>
      <c r="N685" s="4" t="n"/>
      <c r="O685" s="3" t="n">
        <v>0.0431</v>
      </c>
      <c r="P685" t="inlineStr">
        <is>
          <t>adjusted xGOT</t>
        </is>
      </c>
      <c r="Q685" s="3" t="n">
        <v>1.066</v>
      </c>
      <c r="R685" s="3" t="n">
        <v>0.4</v>
      </c>
      <c r="S685" s="3" t="n">
        <v>0.06859999999999999</v>
      </c>
      <c r="T685" s="3" t="n">
        <v>10.411</v>
      </c>
      <c r="U685" s="4" t="n">
        <v>88.3</v>
      </c>
      <c r="V685" s="3">
        <f>IF(OR(N(T685)=0,N(U685)=0),0,1-POISSON(IFERROR(VLOOKUP($C685,Assumptions!$A$4:$G$7,7,FALSE),99)-1,N(T685)*N(U685)/90,TRUE))</f>
        <v/>
      </c>
      <c r="W685" s="3" t="n">
        <v>0.1839</v>
      </c>
      <c r="X685" s="3" t="n">
        <v>2.85</v>
      </c>
      <c r="Y685" s="3">
        <f>IF(X685="",IFERROR(VLOOKUP($C685,Assumptions!$A$4:$G$7,6,FALSE),0),X685)</f>
        <v/>
      </c>
      <c r="Z685" s="3">
        <f>N(O685)*IFERROR(VLOOKUP($C685,Assumptions!$A$4:$G$7,2,FALSE),0)</f>
        <v/>
      </c>
      <c r="AA685" s="3">
        <f>N(S685)*IFERROR(VLOOKUP($C685,Assumptions!$A$4:$G$7,3,FALSE),0)*Assumptions!$B$11</f>
        <v/>
      </c>
      <c r="AB685" s="3">
        <f>N(N685)*IFERROR(VLOOKUP($C685,Assumptions!$A$4:$G$7,4,FALSE),0)</f>
        <v/>
      </c>
      <c r="AC685" s="3">
        <f>IF(N(U685)=0,0,V685*IFERROR(VLOOKUP($C685,Assumptions!$A$4:$G$7,5,FALSE),0)*90/N(U685))</f>
        <v/>
      </c>
      <c r="AD685" s="3">
        <f>N(W685)</f>
        <v/>
      </c>
      <c r="AE685" s="3">
        <f>SUM(Y685:AD685)</f>
        <v/>
      </c>
      <c r="AF685" s="3">
        <f>N(AE685)*N(M685)/90</f>
        <v/>
      </c>
      <c r="AG685" s="3">
        <f>IFERROR(AF685-VLOOKUP($C685,Assumptions!$A$29:$C$32,3,FALSE),"")</f>
        <v/>
      </c>
      <c r="AH685" s="3">
        <f>IFERROR(AG685/F685,"")</f>
        <v/>
      </c>
      <c r="AI685">
        <f>IF(AND($E685=TRUE,$C685="GKP"),AF685,"")</f>
        <v/>
      </c>
      <c r="AJ685">
        <f>IF(AND($E685=TRUE,$C685="DEF"),AF685,"")</f>
        <v/>
      </c>
      <c r="AK685">
        <f>IF(AND($E685=TRUE,$C685="MID"),AF685,"")</f>
        <v/>
      </c>
      <c r="AL685">
        <f>IF(AND($E685=TRUE,$C685="FWD"),AF685,"")</f>
        <v/>
      </c>
    </row>
    <row r="686">
      <c r="A686" t="inlineStr">
        <is>
          <t>Callum Marshall</t>
        </is>
      </c>
      <c r="D686" t="inlineStr">
        <is>
          <t>FWD</t>
        </is>
      </c>
      <c r="E686" t="b">
        <v>0</v>
      </c>
      <c r="F686" s="2" t="n"/>
      <c r="I686" s="2" t="n">
        <v>58</v>
      </c>
      <c r="K686" s="3" t="n"/>
      <c r="M686" s="4" t="n">
        <v>58</v>
      </c>
      <c r="N686" s="4" t="n"/>
      <c r="O686" s="3" t="n">
        <v>0.1986</v>
      </c>
      <c r="P686" t="inlineStr">
        <is>
          <t>adjusted xGOT</t>
        </is>
      </c>
      <c r="Q686" s="3" t="n">
        <v>0.984</v>
      </c>
      <c r="R686" s="3" t="n">
        <v>0.1</v>
      </c>
      <c r="S686" s="3" t="n">
        <v>0</v>
      </c>
      <c r="T686" s="3" t="n">
        <v>4.783</v>
      </c>
      <c r="U686" s="4" t="n">
        <v>85</v>
      </c>
      <c r="V686" s="3">
        <f>IF(OR(N(T686)=0,N(U686)=0),0,1-POISSON(IFERROR(VLOOKUP($C686,Assumptions!$A$4:$G$7,7,FALSE),99)-1,N(T686)*N(U686)/90,TRUE))</f>
        <v/>
      </c>
      <c r="W686" s="3" t="n">
        <v>0</v>
      </c>
      <c r="X686" s="3" t="n">
        <v>3.103</v>
      </c>
      <c r="Y686" s="3">
        <f>IF(X686="",IFERROR(VLOOKUP($C686,Assumptions!$A$4:$G$7,6,FALSE),0),X686)</f>
        <v/>
      </c>
      <c r="Z686" s="3">
        <f>N(O686)*IFERROR(VLOOKUP($C686,Assumptions!$A$4:$G$7,2,FALSE),0)</f>
        <v/>
      </c>
      <c r="AA686" s="3">
        <f>N(S686)*IFERROR(VLOOKUP($C686,Assumptions!$A$4:$G$7,3,FALSE),0)*Assumptions!$B$11</f>
        <v/>
      </c>
      <c r="AB686" s="3">
        <f>N(N686)*IFERROR(VLOOKUP($C686,Assumptions!$A$4:$G$7,4,FALSE),0)</f>
        <v/>
      </c>
      <c r="AC686" s="3">
        <f>IF(N(U686)=0,0,V686*IFERROR(VLOOKUP($C686,Assumptions!$A$4:$G$7,5,FALSE),0)*90/N(U686))</f>
        <v/>
      </c>
      <c r="AD686" s="3">
        <f>N(W686)</f>
        <v/>
      </c>
      <c r="AE686" s="3">
        <f>SUM(Y686:AD686)</f>
        <v/>
      </c>
      <c r="AF686" s="3">
        <f>N(AE686)*N(M686)/90</f>
        <v/>
      </c>
      <c r="AG686" s="3">
        <f>IFERROR(AF686-VLOOKUP($C686,Assumptions!$A$29:$C$32,3,FALSE),"")</f>
        <v/>
      </c>
      <c r="AH686" s="3">
        <f>IFERROR(AG686/F686,"")</f>
        <v/>
      </c>
      <c r="AI686">
        <f>IF(AND($E686=TRUE,$C686="GKP"),AF686,"")</f>
        <v/>
      </c>
      <c r="AJ686">
        <f>IF(AND($E686=TRUE,$C686="DEF"),AF686,"")</f>
        <v/>
      </c>
      <c r="AK686">
        <f>IF(AND($E686=TRUE,$C686="MID"),AF686,"")</f>
        <v/>
      </c>
      <c r="AL686">
        <f>IF(AND($E686=TRUE,$C686="FWD"),AF686,"")</f>
        <v/>
      </c>
    </row>
    <row r="687">
      <c r="A687" t="inlineStr">
        <is>
          <t>Joe Knight</t>
        </is>
      </c>
      <c r="D687" t="inlineStr">
        <is>
          <t>MID</t>
        </is>
      </c>
      <c r="E687" t="b">
        <v>0</v>
      </c>
      <c r="F687" s="2" t="n"/>
      <c r="I687" s="2" t="n">
        <v>1</v>
      </c>
      <c r="K687" s="3" t="n"/>
      <c r="M687" s="4" t="n">
        <v>1</v>
      </c>
      <c r="N687" s="4" t="n"/>
      <c r="O687" s="3" t="n">
        <v>0</v>
      </c>
      <c r="P687" t="inlineStr">
        <is>
          <t>blended xG</t>
        </is>
      </c>
      <c r="Q687" s="3" t="n">
        <v>1</v>
      </c>
      <c r="R687" s="3" t="n">
        <v>0</v>
      </c>
      <c r="S687" s="3" t="n">
        <v>0</v>
      </c>
      <c r="T687" s="3" t="n">
        <v>8.565</v>
      </c>
      <c r="U687" s="4" t="n">
        <v>85</v>
      </c>
      <c r="V687" s="3">
        <f>IF(OR(N(T687)=0,N(U687)=0),0,1-POISSON(IFERROR(VLOOKUP($C687,Assumptions!$A$4:$G$7,7,FALSE),99)-1,N(T687)*N(U687)/90,TRUE))</f>
        <v/>
      </c>
      <c r="W687" s="3" t="n">
        <v>0</v>
      </c>
      <c r="X687" s="3" t="n">
        <v>90</v>
      </c>
      <c r="Y687" s="3">
        <f>IF(X687="",IFERROR(VLOOKUP($C687,Assumptions!$A$4:$G$7,6,FALSE),0),X687)</f>
        <v/>
      </c>
      <c r="Z687" s="3">
        <f>N(O687)*IFERROR(VLOOKUP($C687,Assumptions!$A$4:$G$7,2,FALSE),0)</f>
        <v/>
      </c>
      <c r="AA687" s="3">
        <f>N(S687)*IFERROR(VLOOKUP($C687,Assumptions!$A$4:$G$7,3,FALSE),0)*Assumptions!$B$11</f>
        <v/>
      </c>
      <c r="AB687" s="3">
        <f>N(N687)*IFERROR(VLOOKUP($C687,Assumptions!$A$4:$G$7,4,FALSE),0)</f>
        <v/>
      </c>
      <c r="AC687" s="3">
        <f>IF(N(U687)=0,0,V687*IFERROR(VLOOKUP($C687,Assumptions!$A$4:$G$7,5,FALSE),0)*90/N(U687))</f>
        <v/>
      </c>
      <c r="AD687" s="3">
        <f>N(W687)</f>
        <v/>
      </c>
      <c r="AE687" s="3">
        <f>SUM(Y687:AD687)</f>
        <v/>
      </c>
      <c r="AF687" s="3">
        <f>N(AE687)*N(M687)/90</f>
        <v/>
      </c>
      <c r="AG687" s="3">
        <f>IFERROR(AF687-VLOOKUP($C687,Assumptions!$A$29:$C$32,3,FALSE),"")</f>
        <v/>
      </c>
      <c r="AH687" s="3">
        <f>IFERROR(AG687/F687,"")</f>
        <v/>
      </c>
      <c r="AI687">
        <f>IF(AND($E687=TRUE,$C687="GKP"),AF687,"")</f>
        <v/>
      </c>
      <c r="AJ687">
        <f>IF(AND($E687=TRUE,$C687="DEF"),AF687,"")</f>
        <v/>
      </c>
      <c r="AK687">
        <f>IF(AND($E687=TRUE,$C687="MID"),AF687,"")</f>
        <v/>
      </c>
      <c r="AL687">
        <f>IF(AND($E687=TRUE,$C687="FWD"),AF687,"")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b">
        <v>1</v>
      </c>
      <c r="F688" s="2" t="n">
        <v>5.5</v>
      </c>
      <c r="G688" t="inlineStr">
        <is>
          <t>a</t>
        </is>
      </c>
      <c r="I688" s="2" t="n"/>
      <c r="K688" s="3" t="n">
        <v>2861</v>
      </c>
      <c r="L688" t="inlineStr">
        <is>
          <t>flat</t>
        </is>
      </c>
      <c r="M688" s="4" t="n"/>
      <c r="N688" s="4" t="n">
        <v>0.237</v>
      </c>
      <c r="O688" s="3" t="n"/>
      <c r="P688" t="inlineStr"/>
      <c r="Q688" s="3" t="n"/>
      <c r="R688" s="3" t="n"/>
      <c r="S688" s="3" t="n"/>
      <c r="T688" s="3" t="n"/>
      <c r="U688" s="4" t="n"/>
      <c r="V688" s="3">
        <f>IF(OR(N(T688)=0,N(U688)=0),0,1-POISSON(IFERROR(VLOOKUP($C688,Assumptions!$A$4:$G$7,7,FALSE),99)-1,N(T688)*N(U688)/90,TRUE))</f>
        <v/>
      </c>
      <c r="W688" s="3" t="n"/>
      <c r="X688" s="3" t="n"/>
      <c r="Y688" s="3">
        <f>IF(X688="",IFERROR(VLOOKUP($C688,Assumptions!$A$4:$G$7,6,FALSE),0),X688)</f>
        <v/>
      </c>
      <c r="Z688" s="3">
        <f>N(O688)*IFERROR(VLOOKUP($C688,Assumptions!$A$4:$G$7,2,FALSE),0)</f>
        <v/>
      </c>
      <c r="AA688" s="3">
        <f>N(S688)*IFERROR(VLOOKUP($C688,Assumptions!$A$4:$G$7,3,FALSE),0)*Assumptions!$B$11</f>
        <v/>
      </c>
      <c r="AB688" s="3">
        <f>N(N688)*IFERROR(VLOOKUP($C688,Assumptions!$A$4:$G$7,4,FALSE),0)</f>
        <v/>
      </c>
      <c r="AC688" s="3">
        <f>IF(N(U688)=0,0,V688*IFERROR(VLOOKUP($C688,Assumptions!$A$4:$G$7,5,FALSE),0)*90/N(U688))</f>
        <v/>
      </c>
      <c r="AD688" s="3">
        <f>N(W688)</f>
        <v/>
      </c>
      <c r="AE688" s="3">
        <f>SUM(Y688:AD688)</f>
        <v/>
      </c>
      <c r="AF688" s="3">
        <f>N(AE688)*N(M688)/90</f>
        <v/>
      </c>
      <c r="AG688" s="3">
        <f>IFERROR(AF688-VLOOKUP($C688,Assumptions!$A$29:$C$32,3,FALSE),"")</f>
        <v/>
      </c>
      <c r="AH688" s="3">
        <f>IFERROR(AG688/F688,"")</f>
        <v/>
      </c>
      <c r="AI688">
        <f>IF(AND($E688=TRUE,$C688="GKP"),AF688,"")</f>
        <v/>
      </c>
      <c r="AJ688">
        <f>IF(AND($E688=TRUE,$C688="DEF"),AF688,"")</f>
        <v/>
      </c>
      <c r="AK688">
        <f>IF(AND($E688=TRUE,$C688="MID"),AF688,"")</f>
        <v/>
      </c>
      <c r="AL688">
        <f>IF(AND($E688=TRUE,$C688="FWD"),AF688,"")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b">
        <v>1</v>
      </c>
      <c r="F689" s="2" t="n">
        <v>5.5</v>
      </c>
      <c r="G689" t="inlineStr">
        <is>
          <t>a</t>
        </is>
      </c>
      <c r="I689" s="2" t="n"/>
      <c r="K689" s="3" t="n">
        <v>1072</v>
      </c>
      <c r="L689" t="inlineStr">
        <is>
          <t>flat</t>
        </is>
      </c>
      <c r="M689" s="4" t="n"/>
      <c r="N689" s="4" t="n">
        <v>0.237</v>
      </c>
      <c r="O689" s="3" t="n"/>
      <c r="P689" t="inlineStr"/>
      <c r="Q689" s="3" t="n"/>
      <c r="R689" s="3" t="n"/>
      <c r="S689" s="3" t="n"/>
      <c r="T689" s="3" t="n"/>
      <c r="U689" s="4" t="n"/>
      <c r="V689" s="3">
        <f>IF(OR(N(T689)=0,N(U689)=0),0,1-POISSON(IFERROR(VLOOKUP($C689,Assumptions!$A$4:$G$7,7,FALSE),99)-1,N(T689)*N(U689)/90,TRUE))</f>
        <v/>
      </c>
      <c r="W689" s="3" t="n"/>
      <c r="X689" s="3" t="n"/>
      <c r="Y689" s="3">
        <f>IF(X689="",IFERROR(VLOOKUP($C689,Assumptions!$A$4:$G$7,6,FALSE),0),X689)</f>
        <v/>
      </c>
      <c r="Z689" s="3">
        <f>N(O689)*IFERROR(VLOOKUP($C689,Assumptions!$A$4:$G$7,2,FALSE),0)</f>
        <v/>
      </c>
      <c r="AA689" s="3">
        <f>N(S689)*IFERROR(VLOOKUP($C689,Assumptions!$A$4:$G$7,3,FALSE),0)*Assumptions!$B$11</f>
        <v/>
      </c>
      <c r="AB689" s="3">
        <f>N(N689)*IFERROR(VLOOKUP($C689,Assumptions!$A$4:$G$7,4,FALSE),0)</f>
        <v/>
      </c>
      <c r="AC689" s="3">
        <f>IF(N(U689)=0,0,V689*IFERROR(VLOOKUP($C689,Assumptions!$A$4:$G$7,5,FALSE),0)*90/N(U689))</f>
        <v/>
      </c>
      <c r="AD689" s="3">
        <f>N(W689)</f>
        <v/>
      </c>
      <c r="AE689" s="3">
        <f>SUM(Y689:AD689)</f>
        <v/>
      </c>
      <c r="AF689" s="3">
        <f>N(AE689)*N(M689)/90</f>
        <v/>
      </c>
      <c r="AG689" s="3">
        <f>IFERROR(AF689-VLOOKUP($C689,Assumptions!$A$29:$C$32,3,FALSE),"")</f>
        <v/>
      </c>
      <c r="AH689" s="3">
        <f>IFERROR(AG689/F689,"")</f>
        <v/>
      </c>
      <c r="AI689">
        <f>IF(AND($E689=TRUE,$C689="GKP"),AF689,"")</f>
        <v/>
      </c>
      <c r="AJ689">
        <f>IF(AND($E689=TRUE,$C689="DEF"),AF689,"")</f>
        <v/>
      </c>
      <c r="AK689">
        <f>IF(AND($E689=TRUE,$C689="MID"),AF689,"")</f>
        <v/>
      </c>
      <c r="AL689">
        <f>IF(AND($E689=TRUE,$C689="FWD"),AF689,"")</f>
        <v/>
      </c>
    </row>
    <row r="690">
      <c r="A690" t="inlineStr">
        <is>
          <t>Luis Guilherme</t>
        </is>
      </c>
      <c r="D690" t="inlineStr">
        <is>
          <t>MID</t>
        </is>
      </c>
      <c r="E690" t="b">
        <v>0</v>
      </c>
      <c r="F690" s="2" t="n"/>
      <c r="I690" s="2" t="n">
        <v>121</v>
      </c>
      <c r="K690" s="3" t="n"/>
      <c r="M690" s="4" t="n">
        <v>121</v>
      </c>
      <c r="N690" s="4" t="n"/>
      <c r="O690" s="3" t="n">
        <v>0.0498</v>
      </c>
      <c r="P690" t="inlineStr">
        <is>
          <t>adjusted xGOT</t>
        </is>
      </c>
      <c r="Q690" s="3" t="n">
        <v>0.954</v>
      </c>
      <c r="R690" s="3" t="n">
        <v>0.5</v>
      </c>
      <c r="S690" s="3" t="n">
        <v>0.0385</v>
      </c>
      <c r="T690" s="3" t="n">
        <v>8.52</v>
      </c>
      <c r="U690" s="4" t="n">
        <v>121</v>
      </c>
      <c r="V690" s="3">
        <f>IF(OR(N(T690)=0,N(U690)=0),0,1-POISSON(IFERROR(VLOOKUP($C690,Assumptions!$A$4:$G$7,7,FALSE),99)-1,N(T690)*N(U690)/90,TRUE))</f>
        <v/>
      </c>
      <c r="W690" s="3" t="n">
        <v>0</v>
      </c>
      <c r="X690" s="3" t="n">
        <v>3.719</v>
      </c>
      <c r="Y690" s="3">
        <f>IF(X690="",IFERROR(VLOOKUP($C690,Assumptions!$A$4:$G$7,6,FALSE),0),X690)</f>
        <v/>
      </c>
      <c r="Z690" s="3">
        <f>N(O690)*IFERROR(VLOOKUP($C690,Assumptions!$A$4:$G$7,2,FALSE),0)</f>
        <v/>
      </c>
      <c r="AA690" s="3">
        <f>N(S690)*IFERROR(VLOOKUP($C690,Assumptions!$A$4:$G$7,3,FALSE),0)*Assumptions!$B$11</f>
        <v/>
      </c>
      <c r="AB690" s="3">
        <f>N(N690)*IFERROR(VLOOKUP($C690,Assumptions!$A$4:$G$7,4,FALSE),0)</f>
        <v/>
      </c>
      <c r="AC690" s="3">
        <f>IF(N(U690)=0,0,V690*IFERROR(VLOOKUP($C690,Assumptions!$A$4:$G$7,5,FALSE),0)*90/N(U690))</f>
        <v/>
      </c>
      <c r="AD690" s="3">
        <f>N(W690)</f>
        <v/>
      </c>
      <c r="AE690" s="3">
        <f>SUM(Y690:AD690)</f>
        <v/>
      </c>
      <c r="AF690" s="3">
        <f>N(AE690)*N(M690)/90</f>
        <v/>
      </c>
      <c r="AG690" s="3">
        <f>IFERROR(AF690-VLOOKUP($C690,Assumptions!$A$29:$C$32,3,FALSE),"")</f>
        <v/>
      </c>
      <c r="AH690" s="3">
        <f>IFERROR(AG690/F690,"")</f>
        <v/>
      </c>
      <c r="AI690">
        <f>IF(AND($E690=TRUE,$C690="GKP"),AF690,"")</f>
        <v/>
      </c>
      <c r="AJ690">
        <f>IF(AND($E690=TRUE,$C690="DEF"),AF690,"")</f>
        <v/>
      </c>
      <c r="AK690">
        <f>IF(AND($E690=TRUE,$C690="MID"),AF690,"")</f>
        <v/>
      </c>
      <c r="AL690">
        <f>IF(AND($E690=TRUE,$C690="FWD"),AF690,"")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b">
        <v>1</v>
      </c>
      <c r="F691" s="2" t="n">
        <v>4</v>
      </c>
      <c r="G691" t="inlineStr">
        <is>
          <t>a</t>
        </is>
      </c>
      <c r="I691" s="2" t="n"/>
      <c r="K691" s="3" t="n">
        <v>0</v>
      </c>
      <c r="L691" t="inlineStr">
        <is>
          <t>flat</t>
        </is>
      </c>
      <c r="M691" s="4" t="n"/>
      <c r="N691" s="4" t="n"/>
      <c r="O691" s="3" t="n"/>
      <c r="P691" t="inlineStr"/>
      <c r="Q691" s="3" t="n"/>
      <c r="R691" s="3" t="n"/>
      <c r="S691" s="3" t="n"/>
      <c r="T691" s="3" t="n"/>
      <c r="U691" s="4" t="n"/>
      <c r="V691" s="3">
        <f>IF(OR(N(T691)=0,N(U691)=0),0,1-POISSON(IFERROR(VLOOKUP($C691,Assumptions!$A$4:$G$7,7,FALSE),99)-1,N(T691)*N(U691)/90,TRUE))</f>
        <v/>
      </c>
      <c r="W691" s="3" t="n"/>
      <c r="X691" s="3" t="n"/>
      <c r="Y691" s="3">
        <f>IF(X691="",IFERROR(VLOOKUP($C691,Assumptions!$A$4:$G$7,6,FALSE),0),X691)</f>
        <v/>
      </c>
      <c r="Z691" s="3">
        <f>N(O691)*IFERROR(VLOOKUP($C691,Assumptions!$A$4:$G$7,2,FALSE),0)</f>
        <v/>
      </c>
      <c r="AA691" s="3">
        <f>N(S691)*IFERROR(VLOOKUP($C691,Assumptions!$A$4:$G$7,3,FALSE),0)*Assumptions!$B$11</f>
        <v/>
      </c>
      <c r="AB691" s="3">
        <f>N(N691)*IFERROR(VLOOKUP($C691,Assumptions!$A$4:$G$7,4,FALSE),0)</f>
        <v/>
      </c>
      <c r="AC691" s="3">
        <f>IF(N(U691)=0,0,V691*IFERROR(VLOOKUP($C691,Assumptions!$A$4:$G$7,5,FALSE),0)*90/N(U691))</f>
        <v/>
      </c>
      <c r="AD691" s="3">
        <f>N(W691)</f>
        <v/>
      </c>
      <c r="AE691" s="3">
        <f>SUM(Y691:AD691)</f>
        <v/>
      </c>
      <c r="AF691" s="3">
        <f>N(AE691)*N(M691)/90</f>
        <v/>
      </c>
      <c r="AG691" s="3">
        <f>IFERROR(AF691-VLOOKUP($C691,Assumptions!$A$29:$C$32,3,FALSE),"")</f>
        <v/>
      </c>
      <c r="AH691" s="3">
        <f>IFERROR(AG691/F691,"")</f>
        <v/>
      </c>
      <c r="AI691">
        <f>IF(AND($E691=TRUE,$C691="GKP"),AF691,"")</f>
        <v/>
      </c>
      <c r="AJ691">
        <f>IF(AND($E691=TRUE,$C691="DEF"),AF691,"")</f>
        <v/>
      </c>
      <c r="AK691">
        <f>IF(AND($E691=TRUE,$C691="MID"),AF691,"")</f>
        <v/>
      </c>
      <c r="AL691">
        <f>IF(AND($E691=TRUE,$C691="FWD"),AF691,"")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b">
        <v>1</v>
      </c>
      <c r="F692" s="2" t="n">
        <v>4</v>
      </c>
      <c r="G692" t="inlineStr">
        <is>
          <t>a</t>
        </is>
      </c>
      <c r="I692" s="2" t="n"/>
      <c r="K692" s="3" t="n">
        <v>0</v>
      </c>
      <c r="L692" t="inlineStr">
        <is>
          <t>flat</t>
        </is>
      </c>
      <c r="M692" s="4" t="n"/>
      <c r="N692" s="4" t="n">
        <v>0.237</v>
      </c>
      <c r="O692" s="3" t="n"/>
      <c r="P692" t="inlineStr"/>
      <c r="Q692" s="3" t="n"/>
      <c r="R692" s="3" t="n"/>
      <c r="S692" s="3" t="n"/>
      <c r="T692" s="3" t="n"/>
      <c r="U692" s="4" t="n"/>
      <c r="V692" s="3">
        <f>IF(OR(N(T692)=0,N(U692)=0),0,1-POISSON(IFERROR(VLOOKUP($C692,Assumptions!$A$4:$G$7,7,FALSE),99)-1,N(T692)*N(U692)/90,TRUE))</f>
        <v/>
      </c>
      <c r="W692" s="3" t="n"/>
      <c r="X692" s="3" t="n"/>
      <c r="Y692" s="3">
        <f>IF(X692="",IFERROR(VLOOKUP($C692,Assumptions!$A$4:$G$7,6,FALSE),0),X692)</f>
        <v/>
      </c>
      <c r="Z692" s="3">
        <f>N(O692)*IFERROR(VLOOKUP($C692,Assumptions!$A$4:$G$7,2,FALSE),0)</f>
        <v/>
      </c>
      <c r="AA692" s="3">
        <f>N(S692)*IFERROR(VLOOKUP($C692,Assumptions!$A$4:$G$7,3,FALSE),0)*Assumptions!$B$11</f>
        <v/>
      </c>
      <c r="AB692" s="3">
        <f>N(N692)*IFERROR(VLOOKUP($C692,Assumptions!$A$4:$G$7,4,FALSE),0)</f>
        <v/>
      </c>
      <c r="AC692" s="3">
        <f>IF(N(U692)=0,0,V692*IFERROR(VLOOKUP($C692,Assumptions!$A$4:$G$7,5,FALSE),0)*90/N(U692))</f>
        <v/>
      </c>
      <c r="AD692" s="3">
        <f>N(W692)</f>
        <v/>
      </c>
      <c r="AE692" s="3">
        <f>SUM(Y692:AD692)</f>
        <v/>
      </c>
      <c r="AF692" s="3">
        <f>N(AE692)*N(M692)/90</f>
        <v/>
      </c>
      <c r="AG692" s="3">
        <f>IFERROR(AF692-VLOOKUP($C692,Assumptions!$A$29:$C$32,3,FALSE),"")</f>
        <v/>
      </c>
      <c r="AH692" s="3">
        <f>IFERROR(AG692/F692,"")</f>
        <v/>
      </c>
      <c r="AI692">
        <f>IF(AND($E692=TRUE,$C692="GKP"),AF692,"")</f>
        <v/>
      </c>
      <c r="AJ692">
        <f>IF(AND($E692=TRUE,$C692="DEF"),AF692,"")</f>
        <v/>
      </c>
      <c r="AK692">
        <f>IF(AND($E692=TRUE,$C692="MID"),AF692,"")</f>
        <v/>
      </c>
      <c r="AL692">
        <f>IF(AND($E692=TRUE,$C692="FWD"),AF692,"")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b">
        <v>1</v>
      </c>
      <c r="F693" s="2" t="n">
        <v>5.5</v>
      </c>
      <c r="G693" t="inlineStr">
        <is>
          <t>a</t>
        </is>
      </c>
      <c r="I693" s="2" t="n"/>
      <c r="K693" s="3" t="n">
        <v>866</v>
      </c>
      <c r="L693" t="inlineStr">
        <is>
          <t>flat</t>
        </is>
      </c>
      <c r="M693" s="4" t="n"/>
      <c r="N693" s="4" t="n">
        <v>0.237</v>
      </c>
      <c r="O693" s="3" t="n"/>
      <c r="P693" t="inlineStr"/>
      <c r="Q693" s="3" t="n"/>
      <c r="R693" s="3" t="n"/>
      <c r="S693" s="3" t="n"/>
      <c r="T693" s="3" t="n"/>
      <c r="U693" s="4" t="n"/>
      <c r="V693" s="3">
        <f>IF(OR(N(T693)=0,N(U693)=0),0,1-POISSON(IFERROR(VLOOKUP($C693,Assumptions!$A$4:$G$7,7,FALSE),99)-1,N(T693)*N(U693)/90,TRUE))</f>
        <v/>
      </c>
      <c r="W693" s="3" t="n"/>
      <c r="X693" s="3" t="n"/>
      <c r="Y693" s="3">
        <f>IF(X693="",IFERROR(VLOOKUP($C693,Assumptions!$A$4:$G$7,6,FALSE),0),X693)</f>
        <v/>
      </c>
      <c r="Z693" s="3">
        <f>N(O693)*IFERROR(VLOOKUP($C693,Assumptions!$A$4:$G$7,2,FALSE),0)</f>
        <v/>
      </c>
      <c r="AA693" s="3">
        <f>N(S693)*IFERROR(VLOOKUP($C693,Assumptions!$A$4:$G$7,3,FALSE),0)*Assumptions!$B$11</f>
        <v/>
      </c>
      <c r="AB693" s="3">
        <f>N(N693)*IFERROR(VLOOKUP($C693,Assumptions!$A$4:$G$7,4,FALSE),0)</f>
        <v/>
      </c>
      <c r="AC693" s="3">
        <f>IF(N(U693)=0,0,V693*IFERROR(VLOOKUP($C693,Assumptions!$A$4:$G$7,5,FALSE),0)*90/N(U693))</f>
        <v/>
      </c>
      <c r="AD693" s="3">
        <f>N(W693)</f>
        <v/>
      </c>
      <c r="AE693" s="3">
        <f>SUM(Y693:AD693)</f>
        <v/>
      </c>
      <c r="AF693" s="3">
        <f>N(AE693)*N(M693)/90</f>
        <v/>
      </c>
      <c r="AG693" s="3">
        <f>IFERROR(AF693-VLOOKUP($C693,Assumptions!$A$29:$C$32,3,FALSE),"")</f>
        <v/>
      </c>
      <c r="AH693" s="3">
        <f>IFERROR(AG693/F693,"")</f>
        <v/>
      </c>
      <c r="AI693">
        <f>IF(AND($E693=TRUE,$C693="GKP"),AF693,"")</f>
        <v/>
      </c>
      <c r="AJ693">
        <f>IF(AND($E693=TRUE,$C693="DEF"),AF693,"")</f>
        <v/>
      </c>
      <c r="AK693">
        <f>IF(AND($E693=TRUE,$C693="MID"),AF693,"")</f>
        <v/>
      </c>
      <c r="AL693">
        <f>IF(AND($E693=TRUE,$C693="FWD"),AF693,"")</f>
        <v/>
      </c>
    </row>
    <row r="694">
      <c r="A694" t="inlineStr">
        <is>
          <t>Tom Edozie</t>
        </is>
      </c>
      <c r="D694" t="inlineStr">
        <is>
          <t>MID</t>
        </is>
      </c>
      <c r="E694" t="b">
        <v>0</v>
      </c>
      <c r="F694" s="2" t="n"/>
      <c r="I694" s="2" t="n">
        <v>12</v>
      </c>
      <c r="K694" s="3" t="n"/>
      <c r="M694" s="4" t="n">
        <v>12</v>
      </c>
      <c r="N694" s="4" t="n"/>
      <c r="O694" s="3" t="n">
        <v>1.845</v>
      </c>
      <c r="P694" t="inlineStr">
        <is>
          <t>adjusted xGOT</t>
        </is>
      </c>
      <c r="Q694" s="3" t="n">
        <v>1.069</v>
      </c>
      <c r="R694" s="3" t="n">
        <v>0.2</v>
      </c>
      <c r="S694" s="3" t="n"/>
      <c r="T694" s="3" t="n">
        <v>8.558999999999999</v>
      </c>
      <c r="U694" s="4" t="n">
        <v>85</v>
      </c>
      <c r="V694" s="3">
        <f>IF(OR(N(T694)=0,N(U694)=0),0,1-POISSON(IFERROR(VLOOKUP($C694,Assumptions!$A$4:$G$7,7,FALSE),99)-1,N(T694)*N(U694)/90,TRUE))</f>
        <v/>
      </c>
      <c r="W694" s="3" t="n">
        <v>0</v>
      </c>
      <c r="X694" s="3" t="n">
        <v>22.5</v>
      </c>
      <c r="Y694" s="3">
        <f>IF(X694="",IFERROR(VLOOKUP($C694,Assumptions!$A$4:$G$7,6,FALSE),0),X694)</f>
        <v/>
      </c>
      <c r="Z694" s="3">
        <f>N(O694)*IFERROR(VLOOKUP($C694,Assumptions!$A$4:$G$7,2,FALSE),0)</f>
        <v/>
      </c>
      <c r="AA694" s="3">
        <f>N(S694)*IFERROR(VLOOKUP($C694,Assumptions!$A$4:$G$7,3,FALSE),0)*Assumptions!$B$11</f>
        <v/>
      </c>
      <c r="AB694" s="3">
        <f>N(N694)*IFERROR(VLOOKUP($C694,Assumptions!$A$4:$G$7,4,FALSE),0)</f>
        <v/>
      </c>
      <c r="AC694" s="3">
        <f>IF(N(U694)=0,0,V694*IFERROR(VLOOKUP($C694,Assumptions!$A$4:$G$7,5,FALSE),0)*90/N(U694))</f>
        <v/>
      </c>
      <c r="AD694" s="3">
        <f>N(W694)</f>
        <v/>
      </c>
      <c r="AE694" s="3">
        <f>SUM(Y694:AD694)</f>
        <v/>
      </c>
      <c r="AF694" s="3">
        <f>N(AE694)*N(M694)/90</f>
        <v/>
      </c>
      <c r="AG694" s="3">
        <f>IFERROR(AF694-VLOOKUP($C694,Assumptions!$A$29:$C$32,3,FALSE),"")</f>
        <v/>
      </c>
      <c r="AH694" s="3">
        <f>IFERROR(AG694/F694,"")</f>
        <v/>
      </c>
      <c r="AI694">
        <f>IF(AND($E694=TRUE,$C694="GKP"),AF694,"")</f>
        <v/>
      </c>
      <c r="AJ694">
        <f>IF(AND($E694=TRUE,$C694="DEF"),AF694,"")</f>
        <v/>
      </c>
      <c r="AK694">
        <f>IF(AND($E694=TRUE,$C694="MID"),AF694,"")</f>
        <v/>
      </c>
      <c r="AL694">
        <f>IF(AND($E694=TRUE,$C694="FWD"),AF694,"")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b">
        <v>1</v>
      </c>
      <c r="F695" s="2" t="n">
        <v>4</v>
      </c>
      <c r="G695" t="inlineStr">
        <is>
          <t>a</t>
        </is>
      </c>
      <c r="I695" s="2" t="n"/>
      <c r="K695" s="3" t="n">
        <v>0</v>
      </c>
      <c r="L695" t="inlineStr">
        <is>
          <t>flat</t>
        </is>
      </c>
      <c r="M695" s="4" t="n"/>
      <c r="N695" s="4" t="n"/>
      <c r="O695" s="3" t="n"/>
      <c r="P695" t="inlineStr"/>
      <c r="Q695" s="3" t="n"/>
      <c r="R695" s="3" t="n"/>
      <c r="S695" s="3" t="n"/>
      <c r="T695" s="3" t="n"/>
      <c r="U695" s="4" t="n"/>
      <c r="V695" s="3">
        <f>IF(OR(N(T695)=0,N(U695)=0),0,1-POISSON(IFERROR(VLOOKUP($C695,Assumptions!$A$4:$G$7,7,FALSE),99)-1,N(T695)*N(U695)/90,TRUE))</f>
        <v/>
      </c>
      <c r="W695" s="3" t="n"/>
      <c r="X695" s="3" t="n"/>
      <c r="Y695" s="3">
        <f>IF(X695="",IFERROR(VLOOKUP($C695,Assumptions!$A$4:$G$7,6,FALSE),0),X695)</f>
        <v/>
      </c>
      <c r="Z695" s="3">
        <f>N(O695)*IFERROR(VLOOKUP($C695,Assumptions!$A$4:$G$7,2,FALSE),0)</f>
        <v/>
      </c>
      <c r="AA695" s="3">
        <f>N(S695)*IFERROR(VLOOKUP($C695,Assumptions!$A$4:$G$7,3,FALSE),0)*Assumptions!$B$11</f>
        <v/>
      </c>
      <c r="AB695" s="3">
        <f>N(N695)*IFERROR(VLOOKUP($C695,Assumptions!$A$4:$G$7,4,FALSE),0)</f>
        <v/>
      </c>
      <c r="AC695" s="3">
        <f>IF(N(U695)=0,0,V695*IFERROR(VLOOKUP($C695,Assumptions!$A$4:$G$7,5,FALSE),0)*90/N(U695))</f>
        <v/>
      </c>
      <c r="AD695" s="3">
        <f>N(W695)</f>
        <v/>
      </c>
      <c r="AE695" s="3">
        <f>SUM(Y695:AD695)</f>
        <v/>
      </c>
      <c r="AF695" s="3">
        <f>N(AE695)*N(M695)/90</f>
        <v/>
      </c>
      <c r="AG695" s="3">
        <f>IFERROR(AF695-VLOOKUP($C695,Assumptions!$A$29:$C$32,3,FALSE),"")</f>
        <v/>
      </c>
      <c r="AH695" s="3">
        <f>IFERROR(AG695/F695,"")</f>
        <v/>
      </c>
      <c r="AI695">
        <f>IF(AND($E695=TRUE,$C695="GKP"),AF695,"")</f>
        <v/>
      </c>
      <c r="AJ695">
        <f>IF(AND($E695=TRUE,$C695="DEF"),AF695,"")</f>
        <v/>
      </c>
      <c r="AK695">
        <f>IF(AND($E695=TRUE,$C695="MID"),AF695,"")</f>
        <v/>
      </c>
      <c r="AL695">
        <f>IF(AND($E695=TRUE,$C695="FWD"),AF695,"")</f>
        <v/>
      </c>
    </row>
    <row r="696">
      <c r="A696" t="inlineStr">
        <is>
          <t>Ezra Mayers</t>
        </is>
      </c>
      <c r="D696" t="inlineStr">
        <is>
          <t>DEF</t>
        </is>
      </c>
      <c r="E696" t="b">
        <v>0</v>
      </c>
      <c r="F696" s="2" t="n"/>
      <c r="I696" s="2" t="n">
        <v>113</v>
      </c>
      <c r="K696" s="3" t="n"/>
      <c r="M696" s="4" t="n">
        <v>113</v>
      </c>
      <c r="N696" s="4" t="n"/>
      <c r="O696" s="3" t="n">
        <v>0.094</v>
      </c>
      <c r="P696" t="inlineStr">
        <is>
          <t>adjusted xGOT</t>
        </is>
      </c>
      <c r="Q696" s="3" t="n">
        <v>0.985</v>
      </c>
      <c r="R696" s="3" t="n">
        <v>0.1</v>
      </c>
      <c r="S696" s="3" t="n">
        <v>0.0927</v>
      </c>
      <c r="T696" s="3" t="n">
        <v>7.183</v>
      </c>
      <c r="U696" s="4" t="n">
        <v>85</v>
      </c>
      <c r="V696" s="3">
        <f>IF(OR(N(T696)=0,N(U696)=0),0,1-POISSON(IFERROR(VLOOKUP($C696,Assumptions!$A$4:$G$7,7,FALSE),99)-1,N(T696)*N(U696)/90,TRUE))</f>
        <v/>
      </c>
      <c r="W696" s="3" t="n">
        <v>0</v>
      </c>
      <c r="X696" s="3" t="n">
        <v>4.779</v>
      </c>
      <c r="Y696" s="3">
        <f>IF(X696="",IFERROR(VLOOKUP($C696,Assumptions!$A$4:$G$7,6,FALSE),0),X696)</f>
        <v/>
      </c>
      <c r="Z696" s="3">
        <f>N(O696)*IFERROR(VLOOKUP($C696,Assumptions!$A$4:$G$7,2,FALSE),0)</f>
        <v/>
      </c>
      <c r="AA696" s="3">
        <f>N(S696)*IFERROR(VLOOKUP($C696,Assumptions!$A$4:$G$7,3,FALSE),0)*Assumptions!$B$11</f>
        <v/>
      </c>
      <c r="AB696" s="3">
        <f>N(N696)*IFERROR(VLOOKUP($C696,Assumptions!$A$4:$G$7,4,FALSE),0)</f>
        <v/>
      </c>
      <c r="AC696" s="3">
        <f>IF(N(U696)=0,0,V696*IFERROR(VLOOKUP($C696,Assumptions!$A$4:$G$7,5,FALSE),0)*90/N(U696))</f>
        <v/>
      </c>
      <c r="AD696" s="3">
        <f>N(W696)</f>
        <v/>
      </c>
      <c r="AE696" s="3">
        <f>SUM(Y696:AD696)</f>
        <v/>
      </c>
      <c r="AF696" s="3">
        <f>N(AE696)*N(M696)/90</f>
        <v/>
      </c>
      <c r="AG696" s="3">
        <f>IFERROR(AF696-VLOOKUP($C696,Assumptions!$A$29:$C$32,3,FALSE),"")</f>
        <v/>
      </c>
      <c r="AH696" s="3">
        <f>IFERROR(AG696/F696,"")</f>
        <v/>
      </c>
      <c r="AI696">
        <f>IF(AND($E696=TRUE,$C696="GKP"),AF696,"")</f>
        <v/>
      </c>
      <c r="AJ696">
        <f>IF(AND($E696=TRUE,$C696="DEF"),AF696,"")</f>
        <v/>
      </c>
      <c r="AK696">
        <f>IF(AND($E696=TRUE,$C696="MID"),AF696,"")</f>
        <v/>
      </c>
      <c r="AL696">
        <f>IF(AND($E696=TRUE,$C696="FWD"),AF696,"")</f>
        <v/>
      </c>
    </row>
    <row r="697">
      <c r="A697" t="inlineStr">
        <is>
          <t>Romelle Donovan</t>
        </is>
      </c>
      <c r="D697" t="inlineStr">
        <is>
          <t>MID</t>
        </is>
      </c>
      <c r="E697" t="b">
        <v>0</v>
      </c>
      <c r="F697" s="2" t="n"/>
      <c r="I697" s="2" t="n">
        <v>38</v>
      </c>
      <c r="K697" s="3" t="n"/>
      <c r="M697" s="4" t="n">
        <v>38</v>
      </c>
      <c r="N697" s="4" t="n"/>
      <c r="O697" s="3" t="n">
        <v>0.2108</v>
      </c>
      <c r="P697" t="inlineStr">
        <is>
          <t>adjusted xGOT</t>
        </is>
      </c>
      <c r="Q697" s="3" t="n">
        <v>0.989</v>
      </c>
      <c r="R697" s="3" t="n">
        <v>0.1</v>
      </c>
      <c r="S697" s="3" t="n">
        <v>0.0759</v>
      </c>
      <c r="T697" s="3" t="n">
        <v>8.741</v>
      </c>
      <c r="U697" s="4" t="n">
        <v>85</v>
      </c>
      <c r="V697" s="3">
        <f>IF(OR(N(T697)=0,N(U697)=0),0,1-POISSON(IFERROR(VLOOKUP($C697,Assumptions!$A$4:$G$7,7,FALSE),99)-1,N(T697)*N(U697)/90,TRUE))</f>
        <v/>
      </c>
      <c r="W697" s="3" t="n">
        <v>0</v>
      </c>
      <c r="X697" s="3" t="n">
        <v>9.474</v>
      </c>
      <c r="Y697" s="3">
        <f>IF(X697="",IFERROR(VLOOKUP($C697,Assumptions!$A$4:$G$7,6,FALSE),0),X697)</f>
        <v/>
      </c>
      <c r="Z697" s="3">
        <f>N(O697)*IFERROR(VLOOKUP($C697,Assumptions!$A$4:$G$7,2,FALSE),0)</f>
        <v/>
      </c>
      <c r="AA697" s="3">
        <f>N(S697)*IFERROR(VLOOKUP($C697,Assumptions!$A$4:$G$7,3,FALSE),0)*Assumptions!$B$11</f>
        <v/>
      </c>
      <c r="AB697" s="3">
        <f>N(N697)*IFERROR(VLOOKUP($C697,Assumptions!$A$4:$G$7,4,FALSE),0)</f>
        <v/>
      </c>
      <c r="AC697" s="3">
        <f>IF(N(U697)=0,0,V697*IFERROR(VLOOKUP($C697,Assumptions!$A$4:$G$7,5,FALSE),0)*90/N(U697))</f>
        <v/>
      </c>
      <c r="AD697" s="3">
        <f>N(W697)</f>
        <v/>
      </c>
      <c r="AE697" s="3">
        <f>SUM(Y697:AD697)</f>
        <v/>
      </c>
      <c r="AF697" s="3">
        <f>N(AE697)*N(M697)/90</f>
        <v/>
      </c>
      <c r="AG697" s="3">
        <f>IFERROR(AF697-VLOOKUP($C697,Assumptions!$A$29:$C$32,3,FALSE),"")</f>
        <v/>
      </c>
      <c r="AH697" s="3">
        <f>IFERROR(AG697/F697,"")</f>
        <v/>
      </c>
      <c r="AI697">
        <f>IF(AND($E697=TRUE,$C697="GKP"),AF697,"")</f>
        <v/>
      </c>
      <c r="AJ697">
        <f>IF(AND($E697=TRUE,$C697="DEF"),AF697,"")</f>
        <v/>
      </c>
      <c r="AK697">
        <f>IF(AND($E697=TRUE,$C697="MID"),AF697,"")</f>
        <v/>
      </c>
      <c r="AL697">
        <f>IF(AND($E697=TRUE,$C697="FWD"),AF697,"")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b">
        <v>1</v>
      </c>
      <c r="F698" s="2" t="n">
        <v>5</v>
      </c>
      <c r="G698" t="inlineStr">
        <is>
          <t>a</t>
        </is>
      </c>
      <c r="I698" s="2" t="n"/>
      <c r="K698" s="3" t="n">
        <v>1442</v>
      </c>
      <c r="L698" t="inlineStr">
        <is>
          <t>flat</t>
        </is>
      </c>
      <c r="M698" s="4" t="n"/>
      <c r="N698" s="4" t="n">
        <v>0.263</v>
      </c>
      <c r="O698" s="3" t="n"/>
      <c r="P698" t="inlineStr"/>
      <c r="Q698" s="3" t="n"/>
      <c r="R698" s="3" t="n"/>
      <c r="S698" s="3" t="n"/>
      <c r="T698" s="3" t="n"/>
      <c r="U698" s="4" t="n"/>
      <c r="V698" s="3">
        <f>IF(OR(N(T698)=0,N(U698)=0),0,1-POISSON(IFERROR(VLOOKUP($C698,Assumptions!$A$4:$G$7,7,FALSE),99)-1,N(T698)*N(U698)/90,TRUE))</f>
        <v/>
      </c>
      <c r="W698" s="3" t="n"/>
      <c r="X698" s="3" t="n"/>
      <c r="Y698" s="3">
        <f>IF(X698="",IFERROR(VLOOKUP($C698,Assumptions!$A$4:$G$7,6,FALSE),0),X698)</f>
        <v/>
      </c>
      <c r="Z698" s="3">
        <f>N(O698)*IFERROR(VLOOKUP($C698,Assumptions!$A$4:$G$7,2,FALSE),0)</f>
        <v/>
      </c>
      <c r="AA698" s="3">
        <f>N(S698)*IFERROR(VLOOKUP($C698,Assumptions!$A$4:$G$7,3,FALSE),0)*Assumptions!$B$11</f>
        <v/>
      </c>
      <c r="AB698" s="3">
        <f>N(N698)*IFERROR(VLOOKUP($C698,Assumptions!$A$4:$G$7,4,FALSE),0)</f>
        <v/>
      </c>
      <c r="AC698" s="3">
        <f>IF(N(U698)=0,0,V698*IFERROR(VLOOKUP($C698,Assumptions!$A$4:$G$7,5,FALSE),0)*90/N(U698))</f>
        <v/>
      </c>
      <c r="AD698" s="3">
        <f>N(W698)</f>
        <v/>
      </c>
      <c r="AE698" s="3">
        <f>SUM(Y698:AD698)</f>
        <v/>
      </c>
      <c r="AF698" s="3">
        <f>N(AE698)*N(M698)/90</f>
        <v/>
      </c>
      <c r="AG698" s="3">
        <f>IFERROR(AF698-VLOOKUP($C698,Assumptions!$A$29:$C$32,3,FALSE),"")</f>
        <v/>
      </c>
      <c r="AH698" s="3">
        <f>IFERROR(AG698/F698,"")</f>
        <v/>
      </c>
      <c r="AI698">
        <f>IF(AND($E698=TRUE,$C698="GKP"),AF698,"")</f>
        <v/>
      </c>
      <c r="AJ698">
        <f>IF(AND($E698=TRUE,$C698="DEF"),AF698,"")</f>
        <v/>
      </c>
      <c r="AK698">
        <f>IF(AND($E698=TRUE,$C698="MID"),AF698,"")</f>
        <v/>
      </c>
      <c r="AL698">
        <f>IF(AND($E698=TRUE,$C698="FWD"),AF698,"")</f>
        <v/>
      </c>
    </row>
    <row r="699">
      <c r="A699" t="inlineStr">
        <is>
          <t>Ben Winterburn</t>
        </is>
      </c>
      <c r="D699" t="inlineStr">
        <is>
          <t>MID</t>
        </is>
      </c>
      <c r="E699" t="b">
        <v>0</v>
      </c>
      <c r="F699" s="2" t="n"/>
      <c r="I699" s="2" t="n">
        <v>6</v>
      </c>
      <c r="K699" s="3" t="n"/>
      <c r="M699" s="4" t="n">
        <v>6</v>
      </c>
      <c r="N699" s="4" t="n"/>
      <c r="O699" s="3" t="n"/>
      <c r="P699" t="inlineStr"/>
      <c r="Q699" s="3" t="n">
        <v>1</v>
      </c>
      <c r="R699" s="3" t="n">
        <v>0</v>
      </c>
      <c r="S699" s="3" t="n"/>
      <c r="T699" s="3" t="n">
        <v>8.506</v>
      </c>
      <c r="U699" s="4" t="n">
        <v>85</v>
      </c>
      <c r="V699" s="3">
        <f>IF(OR(N(T699)=0,N(U699)=0),0,1-POISSON(IFERROR(VLOOKUP($C699,Assumptions!$A$4:$G$7,7,FALSE),99)-1,N(T699)*N(U699)/90,TRUE))</f>
        <v/>
      </c>
      <c r="W699" s="3" t="n">
        <v>0</v>
      </c>
      <c r="X699" s="3" t="n">
        <v>15</v>
      </c>
      <c r="Y699" s="3">
        <f>IF(X699="",IFERROR(VLOOKUP($C699,Assumptions!$A$4:$G$7,6,FALSE),0),X699)</f>
        <v/>
      </c>
      <c r="Z699" s="3">
        <f>N(O699)*IFERROR(VLOOKUP($C699,Assumptions!$A$4:$G$7,2,FALSE),0)</f>
        <v/>
      </c>
      <c r="AA699" s="3">
        <f>N(S699)*IFERROR(VLOOKUP($C699,Assumptions!$A$4:$G$7,3,FALSE),0)*Assumptions!$B$11</f>
        <v/>
      </c>
      <c r="AB699" s="3">
        <f>N(N699)*IFERROR(VLOOKUP($C699,Assumptions!$A$4:$G$7,4,FALSE),0)</f>
        <v/>
      </c>
      <c r="AC699" s="3">
        <f>IF(N(U699)=0,0,V699*IFERROR(VLOOKUP($C699,Assumptions!$A$4:$G$7,5,FALSE),0)*90/N(U699))</f>
        <v/>
      </c>
      <c r="AD699" s="3">
        <f>N(W699)</f>
        <v/>
      </c>
      <c r="AE699" s="3">
        <f>SUM(Y699:AD699)</f>
        <v/>
      </c>
      <c r="AF699" s="3">
        <f>N(AE699)*N(M699)/90</f>
        <v/>
      </c>
      <c r="AG699" s="3">
        <f>IFERROR(AF699-VLOOKUP($C699,Assumptions!$A$29:$C$32,3,FALSE),"")</f>
        <v/>
      </c>
      <c r="AH699" s="3">
        <f>IFERROR(AG699/F699,"")</f>
        <v/>
      </c>
      <c r="AI699">
        <f>IF(AND($E699=TRUE,$C699="GKP"),AF699,"")</f>
        <v/>
      </c>
      <c r="AJ699">
        <f>IF(AND($E699=TRUE,$C699="DEF"),AF699,"")</f>
        <v/>
      </c>
      <c r="AK699">
        <f>IF(AND($E699=TRUE,$C699="MID"),AF699,"")</f>
        <v/>
      </c>
      <c r="AL699">
        <f>IF(AND($E699=TRUE,$C699="FWD"),AF699,"")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b">
        <v>1</v>
      </c>
      <c r="F700" s="2" t="n">
        <v>4</v>
      </c>
      <c r="G700" t="inlineStr">
        <is>
          <t>a</t>
        </is>
      </c>
      <c r="I700" s="2" t="n"/>
      <c r="K700" s="3" t="n">
        <v>0</v>
      </c>
      <c r="L700" t="inlineStr">
        <is>
          <t>flat</t>
        </is>
      </c>
      <c r="M700" s="4" t="n"/>
      <c r="N700" s="4" t="n"/>
      <c r="O700" s="3" t="n"/>
      <c r="P700" t="inlineStr"/>
      <c r="Q700" s="3" t="n"/>
      <c r="R700" s="3" t="n"/>
      <c r="S700" s="3" t="n"/>
      <c r="T700" s="3" t="n"/>
      <c r="U700" s="4" t="n"/>
      <c r="V700" s="3">
        <f>IF(OR(N(T700)=0,N(U700)=0),0,1-POISSON(IFERROR(VLOOKUP($C700,Assumptions!$A$4:$G$7,7,FALSE),99)-1,N(T700)*N(U700)/90,TRUE))</f>
        <v/>
      </c>
      <c r="W700" s="3" t="n"/>
      <c r="X700" s="3" t="n"/>
      <c r="Y700" s="3">
        <f>IF(X700="",IFERROR(VLOOKUP($C700,Assumptions!$A$4:$G$7,6,FALSE),0),X700)</f>
        <v/>
      </c>
      <c r="Z700" s="3">
        <f>N(O700)*IFERROR(VLOOKUP($C700,Assumptions!$A$4:$G$7,2,FALSE),0)</f>
        <v/>
      </c>
      <c r="AA700" s="3">
        <f>N(S700)*IFERROR(VLOOKUP($C700,Assumptions!$A$4:$G$7,3,FALSE),0)*Assumptions!$B$11</f>
        <v/>
      </c>
      <c r="AB700" s="3">
        <f>N(N700)*IFERROR(VLOOKUP($C700,Assumptions!$A$4:$G$7,4,FALSE),0)</f>
        <v/>
      </c>
      <c r="AC700" s="3">
        <f>IF(N(U700)=0,0,V700*IFERROR(VLOOKUP($C700,Assumptions!$A$4:$G$7,5,FALSE),0)*90/N(U700))</f>
        <v/>
      </c>
      <c r="AD700" s="3">
        <f>N(W700)</f>
        <v/>
      </c>
      <c r="AE700" s="3">
        <f>SUM(Y700:AD700)</f>
        <v/>
      </c>
      <c r="AF700" s="3">
        <f>N(AE700)*N(M700)/90</f>
        <v/>
      </c>
      <c r="AG700" s="3">
        <f>IFERROR(AF700-VLOOKUP($C700,Assumptions!$A$29:$C$32,3,FALSE),"")</f>
        <v/>
      </c>
      <c r="AH700" s="3">
        <f>IFERROR(AG700/F700,"")</f>
        <v/>
      </c>
      <c r="AI700">
        <f>IF(AND($E700=TRUE,$C700="GKP"),AF700,"")</f>
        <v/>
      </c>
      <c r="AJ700">
        <f>IF(AND($E700=TRUE,$C700="DEF"),AF700,"")</f>
        <v/>
      </c>
      <c r="AK700">
        <f>IF(AND($E700=TRUE,$C700="MID"),AF700,"")</f>
        <v/>
      </c>
      <c r="AL700">
        <f>IF(AND($E700=TRUE,$C700="FWD"),AF700,"")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b">
        <v>1</v>
      </c>
      <c r="F701" s="2" t="n">
        <v>5</v>
      </c>
      <c r="G701" t="inlineStr">
        <is>
          <t>a</t>
        </is>
      </c>
      <c r="I701" s="2" t="n"/>
      <c r="K701" s="3" t="n">
        <v>2554</v>
      </c>
      <c r="L701" t="inlineStr">
        <is>
          <t>flat</t>
        </is>
      </c>
      <c r="M701" s="4" t="n"/>
      <c r="N701" s="4" t="n"/>
      <c r="O701" s="3" t="n"/>
      <c r="P701" t="inlineStr"/>
      <c r="Q701" s="3" t="n"/>
      <c r="R701" s="3" t="n"/>
      <c r="S701" s="3" t="n"/>
      <c r="T701" s="3" t="n"/>
      <c r="U701" s="4" t="n"/>
      <c r="V701" s="3">
        <f>IF(OR(N(T701)=0,N(U701)=0),0,1-POISSON(IFERROR(VLOOKUP($C701,Assumptions!$A$4:$G$7,7,FALSE),99)-1,N(T701)*N(U701)/90,TRUE))</f>
        <v/>
      </c>
      <c r="W701" s="3" t="n"/>
      <c r="X701" s="3" t="n"/>
      <c r="Y701" s="3">
        <f>IF(X701="",IFERROR(VLOOKUP($C701,Assumptions!$A$4:$G$7,6,FALSE),0),X701)</f>
        <v/>
      </c>
      <c r="Z701" s="3">
        <f>N(O701)*IFERROR(VLOOKUP($C701,Assumptions!$A$4:$G$7,2,FALSE),0)</f>
        <v/>
      </c>
      <c r="AA701" s="3">
        <f>N(S701)*IFERROR(VLOOKUP($C701,Assumptions!$A$4:$G$7,3,FALSE),0)*Assumptions!$B$11</f>
        <v/>
      </c>
      <c r="AB701" s="3">
        <f>N(N701)*IFERROR(VLOOKUP($C701,Assumptions!$A$4:$G$7,4,FALSE),0)</f>
        <v/>
      </c>
      <c r="AC701" s="3">
        <f>IF(N(U701)=0,0,V701*IFERROR(VLOOKUP($C701,Assumptions!$A$4:$G$7,5,FALSE),0)*90/N(U701))</f>
        <v/>
      </c>
      <c r="AD701" s="3">
        <f>N(W701)</f>
        <v/>
      </c>
      <c r="AE701" s="3">
        <f>SUM(Y701:AD701)</f>
        <v/>
      </c>
      <c r="AF701" s="3">
        <f>N(AE701)*N(M701)/90</f>
        <v/>
      </c>
      <c r="AG701" s="3">
        <f>IFERROR(AF701-VLOOKUP($C701,Assumptions!$A$29:$C$32,3,FALSE),"")</f>
        <v/>
      </c>
      <c r="AH701" s="3">
        <f>IFERROR(AG701/F701,"")</f>
        <v/>
      </c>
      <c r="AI701">
        <f>IF(AND($E701=TRUE,$C701="GKP"),AF701,"")</f>
        <v/>
      </c>
      <c r="AJ701">
        <f>IF(AND($E701=TRUE,$C701="DEF"),AF701,"")</f>
        <v/>
      </c>
      <c r="AK701">
        <f>IF(AND($E701=TRUE,$C701="MID"),AF701,"")</f>
        <v/>
      </c>
      <c r="AL701">
        <f>IF(AND($E701=TRUE,$C701="FWD"),AF701,"")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b">
        <v>1</v>
      </c>
      <c r="F702" s="2" t="n">
        <v>6</v>
      </c>
      <c r="G702" t="inlineStr">
        <is>
          <t>a</t>
        </is>
      </c>
      <c r="I702" s="2" t="n"/>
      <c r="K702" s="3" t="n">
        <v>1197</v>
      </c>
      <c r="L702" t="inlineStr">
        <is>
          <t>flat</t>
        </is>
      </c>
      <c r="M702" s="4" t="n"/>
      <c r="N702" s="4" t="n">
        <v>0.21</v>
      </c>
      <c r="O702" s="3" t="n"/>
      <c r="P702" t="inlineStr"/>
      <c r="Q702" s="3" t="n"/>
      <c r="R702" s="3" t="n"/>
      <c r="S702" s="3" t="n"/>
      <c r="T702" s="3" t="n"/>
      <c r="U702" s="4" t="n"/>
      <c r="V702" s="3">
        <f>IF(OR(N(T702)=0,N(U702)=0),0,1-POISSON(IFERROR(VLOOKUP($C702,Assumptions!$A$4:$G$7,7,FALSE),99)-1,N(T702)*N(U702)/90,TRUE))</f>
        <v/>
      </c>
      <c r="W702" s="3" t="n"/>
      <c r="X702" s="3" t="n"/>
      <c r="Y702" s="3">
        <f>IF(X702="",IFERROR(VLOOKUP($C702,Assumptions!$A$4:$G$7,6,FALSE),0),X702)</f>
        <v/>
      </c>
      <c r="Z702" s="3">
        <f>N(O702)*IFERROR(VLOOKUP($C702,Assumptions!$A$4:$G$7,2,FALSE),0)</f>
        <v/>
      </c>
      <c r="AA702" s="3">
        <f>N(S702)*IFERROR(VLOOKUP($C702,Assumptions!$A$4:$G$7,3,FALSE),0)*Assumptions!$B$11</f>
        <v/>
      </c>
      <c r="AB702" s="3">
        <f>N(N702)*IFERROR(VLOOKUP($C702,Assumptions!$A$4:$G$7,4,FALSE),0)</f>
        <v/>
      </c>
      <c r="AC702" s="3">
        <f>IF(N(U702)=0,0,V702*IFERROR(VLOOKUP($C702,Assumptions!$A$4:$G$7,5,FALSE),0)*90/N(U702))</f>
        <v/>
      </c>
      <c r="AD702" s="3">
        <f>N(W702)</f>
        <v/>
      </c>
      <c r="AE702" s="3">
        <f>SUM(Y702:AD702)</f>
        <v/>
      </c>
      <c r="AF702" s="3">
        <f>N(AE702)*N(M702)/90</f>
        <v/>
      </c>
      <c r="AG702" s="3">
        <f>IFERROR(AF702-VLOOKUP($C702,Assumptions!$A$29:$C$32,3,FALSE),"")</f>
        <v/>
      </c>
      <c r="AH702" s="3">
        <f>IFERROR(AG702/F702,"")</f>
        <v/>
      </c>
      <c r="AI702">
        <f>IF(AND($E702=TRUE,$C702="GKP"),AF702,"")</f>
        <v/>
      </c>
      <c r="AJ702">
        <f>IF(AND($E702=TRUE,$C702="DEF"),AF702,"")</f>
        <v/>
      </c>
      <c r="AK702">
        <f>IF(AND($E702=TRUE,$C702="MID"),AF702,"")</f>
        <v/>
      </c>
      <c r="AL702">
        <f>IF(AND($E702=TRUE,$C702="FWD"),AF702,"")</f>
        <v/>
      </c>
    </row>
    <row r="703">
      <c r="A703" t="inlineStr">
        <is>
          <t>El Hadji Malick Diouf</t>
        </is>
      </c>
      <c r="D703" t="inlineStr">
        <is>
          <t>DEF</t>
        </is>
      </c>
      <c r="E703" t="b">
        <v>0</v>
      </c>
      <c r="F703" s="2" t="n"/>
      <c r="I703" s="2" t="n">
        <v>2711</v>
      </c>
      <c r="K703" s="3" t="n"/>
      <c r="M703" s="4" t="n">
        <v>2711</v>
      </c>
      <c r="N703" s="4" t="n"/>
      <c r="O703" s="3" t="n">
        <v>0.0179</v>
      </c>
      <c r="P703" t="inlineStr">
        <is>
          <t>adjusted xGOT</t>
        </is>
      </c>
      <c r="Q703" s="3" t="n">
        <v>0.945</v>
      </c>
      <c r="R703" s="3" t="n">
        <v>0.6</v>
      </c>
      <c r="S703" s="3" t="n">
        <v>0.108</v>
      </c>
      <c r="T703" s="3" t="n">
        <v>7</v>
      </c>
      <c r="U703" s="4" t="n">
        <v>90.2</v>
      </c>
      <c r="V703" s="3">
        <f>IF(OR(N(T703)=0,N(U703)=0),0,1-POISSON(IFERROR(VLOOKUP($C703,Assumptions!$A$4:$G$7,7,FALSE),99)-1,N(T703)*N(U703)/90,TRUE))</f>
        <v/>
      </c>
      <c r="W703" s="3" t="n">
        <v>0.09959999999999999</v>
      </c>
      <c r="X703" s="3" t="n">
        <v>2.058</v>
      </c>
      <c r="Y703" s="3">
        <f>IF(X703="",IFERROR(VLOOKUP($C703,Assumptions!$A$4:$G$7,6,FALSE),0),X703)</f>
        <v/>
      </c>
      <c r="Z703" s="3">
        <f>N(O703)*IFERROR(VLOOKUP($C703,Assumptions!$A$4:$G$7,2,FALSE),0)</f>
        <v/>
      </c>
      <c r="AA703" s="3">
        <f>N(S703)*IFERROR(VLOOKUP($C703,Assumptions!$A$4:$G$7,3,FALSE),0)*Assumptions!$B$11</f>
        <v/>
      </c>
      <c r="AB703" s="3">
        <f>N(N703)*IFERROR(VLOOKUP($C703,Assumptions!$A$4:$G$7,4,FALSE),0)</f>
        <v/>
      </c>
      <c r="AC703" s="3">
        <f>IF(N(U703)=0,0,V703*IFERROR(VLOOKUP($C703,Assumptions!$A$4:$G$7,5,FALSE),0)*90/N(U703))</f>
        <v/>
      </c>
      <c r="AD703" s="3">
        <f>N(W703)</f>
        <v/>
      </c>
      <c r="AE703" s="3">
        <f>SUM(Y703:AD703)</f>
        <v/>
      </c>
      <c r="AF703" s="3">
        <f>N(AE703)*N(M703)/90</f>
        <v/>
      </c>
      <c r="AG703" s="3">
        <f>IFERROR(AF703-VLOOKUP($C703,Assumptions!$A$29:$C$32,3,FALSE),"")</f>
        <v/>
      </c>
      <c r="AH703" s="3">
        <f>IFERROR(AG703/F703,"")</f>
        <v/>
      </c>
      <c r="AI703">
        <f>IF(AND($E703=TRUE,$C703="GKP"),AF703,"")</f>
        <v/>
      </c>
      <c r="AJ703">
        <f>IF(AND($E703=TRUE,$C703="DEF"),AF703,"")</f>
        <v/>
      </c>
      <c r="AK703">
        <f>IF(AND($E703=TRUE,$C703="MID"),AF703,"")</f>
        <v/>
      </c>
      <c r="AL703">
        <f>IF(AND($E703=TRUE,$C703="FWD"),AF703,"")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b">
        <v>1</v>
      </c>
      <c r="F704" s="2" t="n">
        <v>6</v>
      </c>
      <c r="G704" t="inlineStr">
        <is>
          <t>a</t>
        </is>
      </c>
      <c r="I704" s="2" t="n"/>
      <c r="K704" s="3" t="n">
        <v>2069</v>
      </c>
      <c r="L704" t="inlineStr">
        <is>
          <t>flat</t>
        </is>
      </c>
      <c r="M704" s="4" t="n"/>
      <c r="N704" s="4" t="n">
        <v>0.237</v>
      </c>
      <c r="O704" s="3" t="n"/>
      <c r="P704" t="inlineStr"/>
      <c r="Q704" s="3" t="n"/>
      <c r="R704" s="3" t="n"/>
      <c r="S704" s="3" t="n"/>
      <c r="T704" s="3" t="n"/>
      <c r="U704" s="4" t="n"/>
      <c r="V704" s="3">
        <f>IF(OR(N(T704)=0,N(U704)=0),0,1-POISSON(IFERROR(VLOOKUP($C704,Assumptions!$A$4:$G$7,7,FALSE),99)-1,N(T704)*N(U704)/90,TRUE))</f>
        <v/>
      </c>
      <c r="W704" s="3" t="n"/>
      <c r="X704" s="3" t="n"/>
      <c r="Y704" s="3">
        <f>IF(X704="",IFERROR(VLOOKUP($C704,Assumptions!$A$4:$G$7,6,FALSE),0),X704)</f>
        <v/>
      </c>
      <c r="Z704" s="3">
        <f>N(O704)*IFERROR(VLOOKUP($C704,Assumptions!$A$4:$G$7,2,FALSE),0)</f>
        <v/>
      </c>
      <c r="AA704" s="3">
        <f>N(S704)*IFERROR(VLOOKUP($C704,Assumptions!$A$4:$G$7,3,FALSE),0)*Assumptions!$B$11</f>
        <v/>
      </c>
      <c r="AB704" s="3">
        <f>N(N704)*IFERROR(VLOOKUP($C704,Assumptions!$A$4:$G$7,4,FALSE),0)</f>
        <v/>
      </c>
      <c r="AC704" s="3">
        <f>IF(N(U704)=0,0,V704*IFERROR(VLOOKUP($C704,Assumptions!$A$4:$G$7,5,FALSE),0)*90/N(U704))</f>
        <v/>
      </c>
      <c r="AD704" s="3">
        <f>N(W704)</f>
        <v/>
      </c>
      <c r="AE704" s="3">
        <f>SUM(Y704:AD704)</f>
        <v/>
      </c>
      <c r="AF704" s="3">
        <f>N(AE704)*N(M704)/90</f>
        <v/>
      </c>
      <c r="AG704" s="3">
        <f>IFERROR(AF704-VLOOKUP($C704,Assumptions!$A$29:$C$32,3,FALSE),"")</f>
        <v/>
      </c>
      <c r="AH704" s="3">
        <f>IFERROR(AG704/F704,"")</f>
        <v/>
      </c>
      <c r="AI704">
        <f>IF(AND($E704=TRUE,$C704="GKP"),AF704,"")</f>
        <v/>
      </c>
      <c r="AJ704">
        <f>IF(AND($E704=TRUE,$C704="DEF"),AF704,"")</f>
        <v/>
      </c>
      <c r="AK704">
        <f>IF(AND($E704=TRUE,$C704="MID"),AF704,"")</f>
        <v/>
      </c>
      <c r="AL704">
        <f>IF(AND($E704=TRUE,$C704="FWD"),AF704,"")</f>
        <v/>
      </c>
    </row>
    <row r="705">
      <c r="A705" t="inlineStr">
        <is>
          <t>Jesse Derry</t>
        </is>
      </c>
      <c r="D705" t="inlineStr">
        <is>
          <t>MID</t>
        </is>
      </c>
      <c r="E705" t="b">
        <v>0</v>
      </c>
      <c r="F705" s="2" t="n"/>
      <c r="I705" s="2" t="n">
        <v>44</v>
      </c>
      <c r="K705" s="3" t="n"/>
      <c r="M705" s="4" t="n">
        <v>44</v>
      </c>
      <c r="N705" s="4" t="n"/>
      <c r="O705" s="3" t="n">
        <v>0.2045</v>
      </c>
      <c r="P705" t="inlineStr">
        <is>
          <t>adjusted xGOT</t>
        </is>
      </c>
      <c r="Q705" s="3" t="n">
        <v>1</v>
      </c>
      <c r="R705" s="3" t="n">
        <v>0.1</v>
      </c>
      <c r="S705" s="3" t="n">
        <v>0</v>
      </c>
      <c r="T705" s="3" t="n">
        <v>8.425000000000001</v>
      </c>
      <c r="U705" s="4" t="n">
        <v>45</v>
      </c>
      <c r="V705" s="3">
        <f>IF(OR(N(T705)=0,N(U705)=0),0,1-POISSON(IFERROR(VLOOKUP($C705,Assumptions!$A$4:$G$7,7,FALSE),99)-1,N(T705)*N(U705)/90,TRUE))</f>
        <v/>
      </c>
      <c r="W705" s="3" t="n">
        <v>0</v>
      </c>
      <c r="X705" s="3" t="n">
        <v>2.045</v>
      </c>
      <c r="Y705" s="3">
        <f>IF(X705="",IFERROR(VLOOKUP($C705,Assumptions!$A$4:$G$7,6,FALSE),0),X705)</f>
        <v/>
      </c>
      <c r="Z705" s="3">
        <f>N(O705)*IFERROR(VLOOKUP($C705,Assumptions!$A$4:$G$7,2,FALSE),0)</f>
        <v/>
      </c>
      <c r="AA705" s="3">
        <f>N(S705)*IFERROR(VLOOKUP($C705,Assumptions!$A$4:$G$7,3,FALSE),0)*Assumptions!$B$11</f>
        <v/>
      </c>
      <c r="AB705" s="3">
        <f>N(N705)*IFERROR(VLOOKUP($C705,Assumptions!$A$4:$G$7,4,FALSE),0)</f>
        <v/>
      </c>
      <c r="AC705" s="3">
        <f>IF(N(U705)=0,0,V705*IFERROR(VLOOKUP($C705,Assumptions!$A$4:$G$7,5,FALSE),0)*90/N(U705))</f>
        <v/>
      </c>
      <c r="AD705" s="3">
        <f>N(W705)</f>
        <v/>
      </c>
      <c r="AE705" s="3">
        <f>SUM(Y705:AD705)</f>
        <v/>
      </c>
      <c r="AF705" s="3">
        <f>N(AE705)*N(M705)/90</f>
        <v/>
      </c>
      <c r="AG705" s="3">
        <f>IFERROR(AF705-VLOOKUP($C705,Assumptions!$A$29:$C$32,3,FALSE),"")</f>
        <v/>
      </c>
      <c r="AH705" s="3">
        <f>IFERROR(AG705/F705,"")</f>
        <v/>
      </c>
      <c r="AI705">
        <f>IF(AND($E705=TRUE,$C705="GKP"),AF705,"")</f>
        <v/>
      </c>
      <c r="AJ705">
        <f>IF(AND($E705=TRUE,$C705="DEF"),AF705,"")</f>
        <v/>
      </c>
      <c r="AK705">
        <f>IF(AND($E705=TRUE,$C705="MID"),AF705,"")</f>
        <v/>
      </c>
      <c r="AL705">
        <f>IF(AND($E705=TRUE,$C705="FWD"),AF705,"")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b">
        <v>1</v>
      </c>
      <c r="F706" s="2" t="n">
        <v>5.5</v>
      </c>
      <c r="G706" t="inlineStr">
        <is>
          <t>a</t>
        </is>
      </c>
      <c r="I706" s="2" t="n"/>
      <c r="K706" s="3" t="n">
        <v>2588</v>
      </c>
      <c r="L706" t="inlineStr">
        <is>
          <t>flat</t>
        </is>
      </c>
      <c r="M706" s="4" t="n"/>
      <c r="N706" s="4" t="n">
        <v>0.237</v>
      </c>
      <c r="O706" s="3" t="n"/>
      <c r="P706" t="inlineStr"/>
      <c r="Q706" s="3" t="n"/>
      <c r="R706" s="3" t="n"/>
      <c r="S706" s="3" t="n"/>
      <c r="T706" s="3" t="n"/>
      <c r="U706" s="4" t="n"/>
      <c r="V706" s="3">
        <f>IF(OR(N(T706)=0,N(U706)=0),0,1-POISSON(IFERROR(VLOOKUP($C706,Assumptions!$A$4:$G$7,7,FALSE),99)-1,N(T706)*N(U706)/90,TRUE))</f>
        <v/>
      </c>
      <c r="W706" s="3" t="n"/>
      <c r="X706" s="3" t="n"/>
      <c r="Y706" s="3">
        <f>IF(X706="",IFERROR(VLOOKUP($C706,Assumptions!$A$4:$G$7,6,FALSE),0),X706)</f>
        <v/>
      </c>
      <c r="Z706" s="3">
        <f>N(O706)*IFERROR(VLOOKUP($C706,Assumptions!$A$4:$G$7,2,FALSE),0)</f>
        <v/>
      </c>
      <c r="AA706" s="3">
        <f>N(S706)*IFERROR(VLOOKUP($C706,Assumptions!$A$4:$G$7,3,FALSE),0)*Assumptions!$B$11</f>
        <v/>
      </c>
      <c r="AB706" s="3">
        <f>N(N706)*IFERROR(VLOOKUP($C706,Assumptions!$A$4:$G$7,4,FALSE),0)</f>
        <v/>
      </c>
      <c r="AC706" s="3">
        <f>IF(N(U706)=0,0,V706*IFERROR(VLOOKUP($C706,Assumptions!$A$4:$G$7,5,FALSE),0)*90/N(U706))</f>
        <v/>
      </c>
      <c r="AD706" s="3">
        <f>N(W706)</f>
        <v/>
      </c>
      <c r="AE706" s="3">
        <f>SUM(Y706:AD706)</f>
        <v/>
      </c>
      <c r="AF706" s="3">
        <f>N(AE706)*N(M706)/90</f>
        <v/>
      </c>
      <c r="AG706" s="3">
        <f>IFERROR(AF706-VLOOKUP($C706,Assumptions!$A$29:$C$32,3,FALSE),"")</f>
        <v/>
      </c>
      <c r="AH706" s="3">
        <f>IFERROR(AG706/F706,"")</f>
        <v/>
      </c>
      <c r="AI706">
        <f>IF(AND($E706=TRUE,$C706="GKP"),AF706,"")</f>
        <v/>
      </c>
      <c r="AJ706">
        <f>IF(AND($E706=TRUE,$C706="DEF"),AF706,"")</f>
        <v/>
      </c>
      <c r="AK706">
        <f>IF(AND($E706=TRUE,$C706="MID"),AF706,"")</f>
        <v/>
      </c>
      <c r="AL706">
        <f>IF(AND($E706=TRUE,$C706="FWD"),AF706,"")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b">
        <v>1</v>
      </c>
      <c r="F707" s="2" t="n">
        <v>4.5</v>
      </c>
      <c r="G707" t="inlineStr">
        <is>
          <t>a</t>
        </is>
      </c>
      <c r="I707" s="2" t="n"/>
      <c r="K707" s="3" t="n">
        <v>0</v>
      </c>
      <c r="L707" t="inlineStr">
        <is>
          <t>flat</t>
        </is>
      </c>
      <c r="M707" s="4" t="n"/>
      <c r="N707" s="4" t="n"/>
      <c r="O707" s="3" t="n"/>
      <c r="P707" t="inlineStr"/>
      <c r="Q707" s="3" t="n"/>
      <c r="R707" s="3" t="n"/>
      <c r="S707" s="3" t="n"/>
      <c r="T707" s="3" t="n"/>
      <c r="U707" s="4" t="n"/>
      <c r="V707" s="3">
        <f>IF(OR(N(T707)=0,N(U707)=0),0,1-POISSON(IFERROR(VLOOKUP($C707,Assumptions!$A$4:$G$7,7,FALSE),99)-1,N(T707)*N(U707)/90,TRUE))</f>
        <v/>
      </c>
      <c r="W707" s="3" t="n"/>
      <c r="X707" s="3" t="n"/>
      <c r="Y707" s="3">
        <f>IF(X707="",IFERROR(VLOOKUP($C707,Assumptions!$A$4:$G$7,6,FALSE),0),X707)</f>
        <v/>
      </c>
      <c r="Z707" s="3">
        <f>N(O707)*IFERROR(VLOOKUP($C707,Assumptions!$A$4:$G$7,2,FALSE),0)</f>
        <v/>
      </c>
      <c r="AA707" s="3">
        <f>N(S707)*IFERROR(VLOOKUP($C707,Assumptions!$A$4:$G$7,3,FALSE),0)*Assumptions!$B$11</f>
        <v/>
      </c>
      <c r="AB707" s="3">
        <f>N(N707)*IFERROR(VLOOKUP($C707,Assumptions!$A$4:$G$7,4,FALSE),0)</f>
        <v/>
      </c>
      <c r="AC707" s="3">
        <f>IF(N(U707)=0,0,V707*IFERROR(VLOOKUP($C707,Assumptions!$A$4:$G$7,5,FALSE),0)*90/N(U707))</f>
        <v/>
      </c>
      <c r="AD707" s="3">
        <f>N(W707)</f>
        <v/>
      </c>
      <c r="AE707" s="3">
        <f>SUM(Y707:AD707)</f>
        <v/>
      </c>
      <c r="AF707" s="3">
        <f>N(AE707)*N(M707)/90</f>
        <v/>
      </c>
      <c r="AG707" s="3">
        <f>IFERROR(AF707-VLOOKUP($C707,Assumptions!$A$29:$C$32,3,FALSE),"")</f>
        <v/>
      </c>
      <c r="AH707" s="3">
        <f>IFERROR(AG707/F707,"")</f>
        <v/>
      </c>
      <c r="AI707">
        <f>IF(AND($E707=TRUE,$C707="GKP"),AF707,"")</f>
        <v/>
      </c>
      <c r="AJ707">
        <f>IF(AND($E707=TRUE,$C707="DEF"),AF707,"")</f>
        <v/>
      </c>
      <c r="AK707">
        <f>IF(AND($E707=TRUE,$C707="MID"),AF707,"")</f>
        <v/>
      </c>
      <c r="AL707">
        <f>IF(AND($E707=TRUE,$C707="FWD"),AF707,"")</f>
        <v/>
      </c>
    </row>
    <row r="708">
      <c r="A708" t="inlineStr">
        <is>
          <t>Mohamadou Kanté</t>
        </is>
      </c>
      <c r="D708" t="inlineStr">
        <is>
          <t>MID</t>
        </is>
      </c>
      <c r="E708" t="b">
        <v>0</v>
      </c>
      <c r="F708" s="2" t="n"/>
      <c r="I708" s="2" t="n">
        <v>67</v>
      </c>
      <c r="K708" s="3" t="n"/>
      <c r="M708" s="4" t="n">
        <v>67</v>
      </c>
      <c r="N708" s="4" t="n"/>
      <c r="O708" s="3" t="n">
        <v>0.0927</v>
      </c>
      <c r="P708" t="inlineStr">
        <is>
          <t>adjusted xGOT</t>
        </is>
      </c>
      <c r="Q708" s="3" t="n">
        <v>0.991</v>
      </c>
      <c r="R708" s="3" t="n">
        <v>0.1</v>
      </c>
      <c r="S708" s="3" t="n">
        <v>0.1476</v>
      </c>
      <c r="T708" s="3" t="n">
        <v>9.677</v>
      </c>
      <c r="U708" s="4" t="n">
        <v>85</v>
      </c>
      <c r="V708" s="3">
        <f>IF(OR(N(T708)=0,N(U708)=0),0,1-POISSON(IFERROR(VLOOKUP($C708,Assumptions!$A$4:$G$7,7,FALSE),99)-1,N(T708)*N(U708)/90,TRUE))</f>
        <v/>
      </c>
      <c r="W708" s="3" t="n">
        <v>0</v>
      </c>
      <c r="X708" s="3" t="n">
        <v>14.776</v>
      </c>
      <c r="Y708" s="3">
        <f>IF(X708="",IFERROR(VLOOKUP($C708,Assumptions!$A$4:$G$7,6,FALSE),0),X708)</f>
        <v/>
      </c>
      <c r="Z708" s="3">
        <f>N(O708)*IFERROR(VLOOKUP($C708,Assumptions!$A$4:$G$7,2,FALSE),0)</f>
        <v/>
      </c>
      <c r="AA708" s="3">
        <f>N(S708)*IFERROR(VLOOKUP($C708,Assumptions!$A$4:$G$7,3,FALSE),0)*Assumptions!$B$11</f>
        <v/>
      </c>
      <c r="AB708" s="3">
        <f>N(N708)*IFERROR(VLOOKUP($C708,Assumptions!$A$4:$G$7,4,FALSE),0)</f>
        <v/>
      </c>
      <c r="AC708" s="3">
        <f>IF(N(U708)=0,0,V708*IFERROR(VLOOKUP($C708,Assumptions!$A$4:$G$7,5,FALSE),0)*90/N(U708))</f>
        <v/>
      </c>
      <c r="AD708" s="3">
        <f>N(W708)</f>
        <v/>
      </c>
      <c r="AE708" s="3">
        <f>SUM(Y708:AD708)</f>
        <v/>
      </c>
      <c r="AF708" s="3">
        <f>N(AE708)*N(M708)/90</f>
        <v/>
      </c>
      <c r="AG708" s="3">
        <f>IFERROR(AF708-VLOOKUP($C708,Assumptions!$A$29:$C$32,3,FALSE),"")</f>
        <v/>
      </c>
      <c r="AH708" s="3">
        <f>IFERROR(AG708/F708,"")</f>
        <v/>
      </c>
      <c r="AI708">
        <f>IF(AND($E708=TRUE,$C708="GKP"),AF708,"")</f>
        <v/>
      </c>
      <c r="AJ708">
        <f>IF(AND($E708=TRUE,$C708="DEF"),AF708,"")</f>
        <v/>
      </c>
      <c r="AK708">
        <f>IF(AND($E708=TRUE,$C708="MID"),AF708,"")</f>
        <v/>
      </c>
      <c r="AL708">
        <f>IF(AND($E708=TRUE,$C708="FWD"),AF708,"")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b">
        <v>1</v>
      </c>
      <c r="F709" s="2" t="n">
        <v>5</v>
      </c>
      <c r="G709" t="inlineStr">
        <is>
          <t>a</t>
        </is>
      </c>
      <c r="I709" s="2" t="n"/>
      <c r="K709" s="3" t="n">
        <v>2018</v>
      </c>
      <c r="L709" t="inlineStr">
        <is>
          <t>flat</t>
        </is>
      </c>
      <c r="M709" s="4" t="n"/>
      <c r="N709" s="4" t="n">
        <v>0.21</v>
      </c>
      <c r="O709" s="3" t="n"/>
      <c r="P709" t="inlineStr"/>
      <c r="Q709" s="3" t="n"/>
      <c r="R709" s="3" t="n"/>
      <c r="S709" s="3" t="n"/>
      <c r="T709" s="3" t="n"/>
      <c r="U709" s="4" t="n"/>
      <c r="V709" s="3">
        <f>IF(OR(N(T709)=0,N(U709)=0),0,1-POISSON(IFERROR(VLOOKUP($C709,Assumptions!$A$4:$G$7,7,FALSE),99)-1,N(T709)*N(U709)/90,TRUE))</f>
        <v/>
      </c>
      <c r="W709" s="3" t="n"/>
      <c r="X709" s="3" t="n"/>
      <c r="Y709" s="3">
        <f>IF(X709="",IFERROR(VLOOKUP($C709,Assumptions!$A$4:$G$7,6,FALSE),0),X709)</f>
        <v/>
      </c>
      <c r="Z709" s="3">
        <f>N(O709)*IFERROR(VLOOKUP($C709,Assumptions!$A$4:$G$7,2,FALSE),0)</f>
        <v/>
      </c>
      <c r="AA709" s="3">
        <f>N(S709)*IFERROR(VLOOKUP($C709,Assumptions!$A$4:$G$7,3,FALSE),0)*Assumptions!$B$11</f>
        <v/>
      </c>
      <c r="AB709" s="3">
        <f>N(N709)*IFERROR(VLOOKUP($C709,Assumptions!$A$4:$G$7,4,FALSE),0)</f>
        <v/>
      </c>
      <c r="AC709" s="3">
        <f>IF(N(U709)=0,0,V709*IFERROR(VLOOKUP($C709,Assumptions!$A$4:$G$7,5,FALSE),0)*90/N(U709))</f>
        <v/>
      </c>
      <c r="AD709" s="3">
        <f>N(W709)</f>
        <v/>
      </c>
      <c r="AE709" s="3">
        <f>SUM(Y709:AD709)</f>
        <v/>
      </c>
      <c r="AF709" s="3">
        <f>N(AE709)*N(M709)/90</f>
        <v/>
      </c>
      <c r="AG709" s="3">
        <f>IFERROR(AF709-VLOOKUP($C709,Assumptions!$A$29:$C$32,3,FALSE),"")</f>
        <v/>
      </c>
      <c r="AH709" s="3">
        <f>IFERROR(AG709/F709,"")</f>
        <v/>
      </c>
      <c r="AI709">
        <f>IF(AND($E709=TRUE,$C709="GKP"),AF709,"")</f>
        <v/>
      </c>
      <c r="AJ709">
        <f>IF(AND($E709=TRUE,$C709="DEF"),AF709,"")</f>
        <v/>
      </c>
      <c r="AK709">
        <f>IF(AND($E709=TRUE,$C709="MID"),AF709,"")</f>
        <v/>
      </c>
      <c r="AL709">
        <f>IF(AND($E709=TRUE,$C709="FWD"),AF709,"")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b">
        <v>1</v>
      </c>
      <c r="F710" s="2" t="n">
        <v>5</v>
      </c>
      <c r="G710" t="inlineStr">
        <is>
          <t>a</t>
        </is>
      </c>
      <c r="I710" s="2" t="n"/>
      <c r="K710" s="3" t="n">
        <v>1379</v>
      </c>
      <c r="L710" t="inlineStr">
        <is>
          <t>flat</t>
        </is>
      </c>
      <c r="M710" s="4" t="n"/>
      <c r="N710" s="4" t="n">
        <v>0.21</v>
      </c>
      <c r="O710" s="3" t="n"/>
      <c r="P710" t="inlineStr"/>
      <c r="Q710" s="3" t="n"/>
      <c r="R710" s="3" t="n"/>
      <c r="S710" s="3" t="n"/>
      <c r="T710" s="3" t="n"/>
      <c r="U710" s="4" t="n"/>
      <c r="V710" s="3">
        <f>IF(OR(N(T710)=0,N(U710)=0),0,1-POISSON(IFERROR(VLOOKUP($C710,Assumptions!$A$4:$G$7,7,FALSE),99)-1,N(T710)*N(U710)/90,TRUE))</f>
        <v/>
      </c>
      <c r="W710" s="3" t="n"/>
      <c r="X710" s="3" t="n"/>
      <c r="Y710" s="3">
        <f>IF(X710="",IFERROR(VLOOKUP($C710,Assumptions!$A$4:$G$7,6,FALSE),0),X710)</f>
        <v/>
      </c>
      <c r="Z710" s="3">
        <f>N(O710)*IFERROR(VLOOKUP($C710,Assumptions!$A$4:$G$7,2,FALSE),0)</f>
        <v/>
      </c>
      <c r="AA710" s="3">
        <f>N(S710)*IFERROR(VLOOKUP($C710,Assumptions!$A$4:$G$7,3,FALSE),0)*Assumptions!$B$11</f>
        <v/>
      </c>
      <c r="AB710" s="3">
        <f>N(N710)*IFERROR(VLOOKUP($C710,Assumptions!$A$4:$G$7,4,FALSE),0)</f>
        <v/>
      </c>
      <c r="AC710" s="3">
        <f>IF(N(U710)=0,0,V710*IFERROR(VLOOKUP($C710,Assumptions!$A$4:$G$7,5,FALSE),0)*90/N(U710))</f>
        <v/>
      </c>
      <c r="AD710" s="3">
        <f>N(W710)</f>
        <v/>
      </c>
      <c r="AE710" s="3">
        <f>SUM(Y710:AD710)</f>
        <v/>
      </c>
      <c r="AF710" s="3">
        <f>N(AE710)*N(M710)/90</f>
        <v/>
      </c>
      <c r="AG710" s="3">
        <f>IFERROR(AF710-VLOOKUP($C710,Assumptions!$A$29:$C$32,3,FALSE),"")</f>
        <v/>
      </c>
      <c r="AH710" s="3">
        <f>IFERROR(AG710/F710,"")</f>
        <v/>
      </c>
      <c r="AI710">
        <f>IF(AND($E710=TRUE,$C710="GKP"),AF710,"")</f>
        <v/>
      </c>
      <c r="AJ710">
        <f>IF(AND($E710=TRUE,$C710="DEF"),AF710,"")</f>
        <v/>
      </c>
      <c r="AK710">
        <f>IF(AND($E710=TRUE,$C710="MID"),AF710,"")</f>
        <v/>
      </c>
      <c r="AL710">
        <f>IF(AND($E710=TRUE,$C710="FWD"),AF710,"")</f>
        <v/>
      </c>
    </row>
    <row r="711">
      <c r="A711" t="inlineStr">
        <is>
          <t>Pedro Lima</t>
        </is>
      </c>
      <c r="D711" t="inlineStr">
        <is>
          <t>DEF</t>
        </is>
      </c>
      <c r="E711" t="b">
        <v>0</v>
      </c>
      <c r="F711" s="2" t="n"/>
      <c r="I711" s="2" t="n">
        <v>259</v>
      </c>
      <c r="K711" s="3" t="n"/>
      <c r="M711" s="4" t="n">
        <v>259</v>
      </c>
      <c r="N711" s="4" t="n"/>
      <c r="O711" s="3" t="n">
        <v>0.1216</v>
      </c>
      <c r="P711" t="inlineStr">
        <is>
          <t>adjusted xGOT</t>
        </is>
      </c>
      <c r="Q711" s="3" t="n">
        <v>0.999</v>
      </c>
      <c r="R711" s="3" t="n">
        <v>0.4</v>
      </c>
      <c r="S711" s="3" t="n">
        <v>0.07530000000000001</v>
      </c>
      <c r="T711" s="3" t="n">
        <v>7.414</v>
      </c>
      <c r="U711" s="4" t="n">
        <v>85.7</v>
      </c>
      <c r="V711" s="3">
        <f>IF(OR(N(T711)=0,N(U711)=0),0,1-POISSON(IFERROR(VLOOKUP($C711,Assumptions!$A$4:$G$7,7,FALSE),99)-1,N(T711)*N(U711)/90,TRUE))</f>
        <v/>
      </c>
      <c r="W711" s="3" t="n">
        <v>0</v>
      </c>
      <c r="X711" s="3" t="n">
        <v>3.822</v>
      </c>
      <c r="Y711" s="3">
        <f>IF(X711="",IFERROR(VLOOKUP($C711,Assumptions!$A$4:$G$7,6,FALSE),0),X711)</f>
        <v/>
      </c>
      <c r="Z711" s="3">
        <f>N(O711)*IFERROR(VLOOKUP($C711,Assumptions!$A$4:$G$7,2,FALSE),0)</f>
        <v/>
      </c>
      <c r="AA711" s="3">
        <f>N(S711)*IFERROR(VLOOKUP($C711,Assumptions!$A$4:$G$7,3,FALSE),0)*Assumptions!$B$11</f>
        <v/>
      </c>
      <c r="AB711" s="3">
        <f>N(N711)*IFERROR(VLOOKUP($C711,Assumptions!$A$4:$G$7,4,FALSE),0)</f>
        <v/>
      </c>
      <c r="AC711" s="3">
        <f>IF(N(U711)=0,0,V711*IFERROR(VLOOKUP($C711,Assumptions!$A$4:$G$7,5,FALSE),0)*90/N(U711))</f>
        <v/>
      </c>
      <c r="AD711" s="3">
        <f>N(W711)</f>
        <v/>
      </c>
      <c r="AE711" s="3">
        <f>SUM(Y711:AD711)</f>
        <v/>
      </c>
      <c r="AF711" s="3">
        <f>N(AE711)*N(M711)/90</f>
        <v/>
      </c>
      <c r="AG711" s="3">
        <f>IFERROR(AF711-VLOOKUP($C711,Assumptions!$A$29:$C$32,3,FALSE),"")</f>
        <v/>
      </c>
      <c r="AH711" s="3">
        <f>IFERROR(AG711/F711,"")</f>
        <v/>
      </c>
      <c r="AI711">
        <f>IF(AND($E711=TRUE,$C711="GKP"),AF711,"")</f>
        <v/>
      </c>
      <c r="AJ711">
        <f>IF(AND($E711=TRUE,$C711="DEF"),AF711,"")</f>
        <v/>
      </c>
      <c r="AK711">
        <f>IF(AND($E711=TRUE,$C711="MID"),AF711,"")</f>
        <v/>
      </c>
      <c r="AL711">
        <f>IF(AND($E711=TRUE,$C711="FWD"),AF711,"")</f>
        <v/>
      </c>
    </row>
    <row r="712">
      <c r="A712" t="inlineStr">
        <is>
          <t>Fer López</t>
        </is>
      </c>
      <c r="D712" t="inlineStr">
        <is>
          <t>MID</t>
        </is>
      </c>
      <c r="E712" t="b">
        <v>0</v>
      </c>
      <c r="F712" s="2" t="n"/>
      <c r="I712" s="2" t="n">
        <v>229</v>
      </c>
      <c r="K712" s="3" t="n"/>
      <c r="M712" s="4" t="n">
        <v>229</v>
      </c>
      <c r="N712" s="4" t="n"/>
      <c r="O712" s="3" t="n">
        <v>0.0633</v>
      </c>
      <c r="P712" t="inlineStr">
        <is>
          <t>adjusted xGOT</t>
        </is>
      </c>
      <c r="Q712" s="3" t="n">
        <v>1.005</v>
      </c>
      <c r="R712" s="3" t="n">
        <v>0.2</v>
      </c>
      <c r="S712" s="3" t="n">
        <v>0.2012</v>
      </c>
      <c r="T712" s="3" t="n">
        <v>7.653</v>
      </c>
      <c r="U712" s="4" t="n">
        <v>114</v>
      </c>
      <c r="V712" s="3">
        <f>IF(OR(N(T712)=0,N(U712)=0),0,1-POISSON(IFERROR(VLOOKUP($C712,Assumptions!$A$4:$G$7,7,FALSE),99)-1,N(T712)*N(U712)/90,TRUE))</f>
        <v/>
      </c>
      <c r="W712" s="3" t="n">
        <v>0</v>
      </c>
      <c r="X712" s="3" t="n">
        <v>3.93</v>
      </c>
      <c r="Y712" s="3">
        <f>IF(X712="",IFERROR(VLOOKUP($C712,Assumptions!$A$4:$G$7,6,FALSE),0),X712)</f>
        <v/>
      </c>
      <c r="Z712" s="3">
        <f>N(O712)*IFERROR(VLOOKUP($C712,Assumptions!$A$4:$G$7,2,FALSE),0)</f>
        <v/>
      </c>
      <c r="AA712" s="3">
        <f>N(S712)*IFERROR(VLOOKUP($C712,Assumptions!$A$4:$G$7,3,FALSE),0)*Assumptions!$B$11</f>
        <v/>
      </c>
      <c r="AB712" s="3">
        <f>N(N712)*IFERROR(VLOOKUP($C712,Assumptions!$A$4:$G$7,4,FALSE),0)</f>
        <v/>
      </c>
      <c r="AC712" s="3">
        <f>IF(N(U712)=0,0,V712*IFERROR(VLOOKUP($C712,Assumptions!$A$4:$G$7,5,FALSE),0)*90/N(U712))</f>
        <v/>
      </c>
      <c r="AD712" s="3">
        <f>N(W712)</f>
        <v/>
      </c>
      <c r="AE712" s="3">
        <f>SUM(Y712:AD712)</f>
        <v/>
      </c>
      <c r="AF712" s="3">
        <f>N(AE712)*N(M712)/90</f>
        <v/>
      </c>
      <c r="AG712" s="3">
        <f>IFERROR(AF712-VLOOKUP($C712,Assumptions!$A$29:$C$32,3,FALSE),"")</f>
        <v/>
      </c>
      <c r="AH712" s="3">
        <f>IFERROR(AG712/F712,"")</f>
        <v/>
      </c>
      <c r="AI712">
        <f>IF(AND($E712=TRUE,$C712="GKP"),AF712,"")</f>
        <v/>
      </c>
      <c r="AJ712">
        <f>IF(AND($E712=TRUE,$C712="DEF"),AF712,"")</f>
        <v/>
      </c>
      <c r="AK712">
        <f>IF(AND($E712=TRUE,$C712="MID"),AF712,"")</f>
        <v/>
      </c>
      <c r="AL712">
        <f>IF(AND($E712=TRUE,$C712="FWD"),AF712,"")</f>
        <v/>
      </c>
    </row>
    <row r="713">
      <c r="A713" t="inlineStr">
        <is>
          <t>Mateus Mané</t>
        </is>
      </c>
      <c r="D713" t="inlineStr">
        <is>
          <t>FWD</t>
        </is>
      </c>
      <c r="E713" t="b">
        <v>0</v>
      </c>
      <c r="F713" s="2" t="n"/>
      <c r="I713" s="2" t="n">
        <v>1790</v>
      </c>
      <c r="K713" s="3" t="n"/>
      <c r="M713" s="4" t="n">
        <v>1790</v>
      </c>
      <c r="N713" s="4" t="n"/>
      <c r="O713" s="3" t="n">
        <v>0.1151</v>
      </c>
      <c r="P713" t="inlineStr">
        <is>
          <t>adjusted xGOT</t>
        </is>
      </c>
      <c r="Q713" s="3" t="n">
        <v>1.139</v>
      </c>
      <c r="R713" s="3" t="n">
        <v>2</v>
      </c>
      <c r="S713" s="3" t="n">
        <v>0.165</v>
      </c>
      <c r="T713" s="3" t="n">
        <v>6.295</v>
      </c>
      <c r="U713" s="4" t="n">
        <v>94.09999999999999</v>
      </c>
      <c r="V713" s="3">
        <f>IF(OR(N(T713)=0,N(U713)=0),0,1-POISSON(IFERROR(VLOOKUP($C713,Assumptions!$A$4:$G$7,7,FALSE),99)-1,N(T713)*N(U713)/90,TRUE))</f>
        <v/>
      </c>
      <c r="W713" s="3" t="n">
        <v>0.4525</v>
      </c>
      <c r="X713" s="3" t="n">
        <v>2.263</v>
      </c>
      <c r="Y713" s="3">
        <f>IF(X713="",IFERROR(VLOOKUP($C713,Assumptions!$A$4:$G$7,6,FALSE),0),X713)</f>
        <v/>
      </c>
      <c r="Z713" s="3">
        <f>N(O713)*IFERROR(VLOOKUP($C713,Assumptions!$A$4:$G$7,2,FALSE),0)</f>
        <v/>
      </c>
      <c r="AA713" s="3">
        <f>N(S713)*IFERROR(VLOOKUP($C713,Assumptions!$A$4:$G$7,3,FALSE),0)*Assumptions!$B$11</f>
        <v/>
      </c>
      <c r="AB713" s="3">
        <f>N(N713)*IFERROR(VLOOKUP($C713,Assumptions!$A$4:$G$7,4,FALSE),0)</f>
        <v/>
      </c>
      <c r="AC713" s="3">
        <f>IF(N(U713)=0,0,V713*IFERROR(VLOOKUP($C713,Assumptions!$A$4:$G$7,5,FALSE),0)*90/N(U713))</f>
        <v/>
      </c>
      <c r="AD713" s="3">
        <f>N(W713)</f>
        <v/>
      </c>
      <c r="AE713" s="3">
        <f>SUM(Y713:AD713)</f>
        <v/>
      </c>
      <c r="AF713" s="3">
        <f>N(AE713)*N(M713)/90</f>
        <v/>
      </c>
      <c r="AG713" s="3">
        <f>IFERROR(AF713-VLOOKUP($C713,Assumptions!$A$29:$C$32,3,FALSE),"")</f>
        <v/>
      </c>
      <c r="AH713" s="3">
        <f>IFERROR(AG713/F713,"")</f>
        <v/>
      </c>
      <c r="AI713">
        <f>IF(AND($E713=TRUE,$C713="GKP"),AF713,"")</f>
        <v/>
      </c>
      <c r="AJ713">
        <f>IF(AND($E713=TRUE,$C713="DEF"),AF713,"")</f>
        <v/>
      </c>
      <c r="AK713">
        <f>IF(AND($E713=TRUE,$C713="MID"),AF713,"")</f>
        <v/>
      </c>
      <c r="AL713">
        <f>IF(AND($E713=TRUE,$C713="FWD"),AF713,"")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b">
        <v>1</v>
      </c>
      <c r="F714" s="2" t="n">
        <v>5</v>
      </c>
      <c r="G714" t="inlineStr">
        <is>
          <t>a</t>
        </is>
      </c>
      <c r="I714" s="2" t="n"/>
      <c r="K714" s="3" t="n">
        <v>0</v>
      </c>
      <c r="L714" t="inlineStr">
        <is>
          <t>flat</t>
        </is>
      </c>
      <c r="M714" s="4" t="n"/>
      <c r="N714" s="4" t="n">
        <v>0.421</v>
      </c>
      <c r="O714" s="3" t="n"/>
      <c r="P714" t="inlineStr"/>
      <c r="Q714" s="3" t="n"/>
      <c r="R714" s="3" t="n"/>
      <c r="S714" s="3" t="n"/>
      <c r="T714" s="3" t="n"/>
      <c r="U714" s="4" t="n"/>
      <c r="V714" s="3">
        <f>IF(OR(N(T714)=0,N(U714)=0),0,1-POISSON(IFERROR(VLOOKUP($C714,Assumptions!$A$4:$G$7,7,FALSE),99)-1,N(T714)*N(U714)/90,TRUE))</f>
        <v/>
      </c>
      <c r="W714" s="3" t="n"/>
      <c r="X714" s="3" t="n"/>
      <c r="Y714" s="3">
        <f>IF(X714="",IFERROR(VLOOKUP($C714,Assumptions!$A$4:$G$7,6,FALSE),0),X714)</f>
        <v/>
      </c>
      <c r="Z714" s="3">
        <f>N(O714)*IFERROR(VLOOKUP($C714,Assumptions!$A$4:$G$7,2,FALSE),0)</f>
        <v/>
      </c>
      <c r="AA714" s="3">
        <f>N(S714)*IFERROR(VLOOKUP($C714,Assumptions!$A$4:$G$7,3,FALSE),0)*Assumptions!$B$11</f>
        <v/>
      </c>
      <c r="AB714" s="3">
        <f>N(N714)*IFERROR(VLOOKUP($C714,Assumptions!$A$4:$G$7,4,FALSE),0)</f>
        <v/>
      </c>
      <c r="AC714" s="3">
        <f>IF(N(U714)=0,0,V714*IFERROR(VLOOKUP($C714,Assumptions!$A$4:$G$7,5,FALSE),0)*90/N(U714))</f>
        <v/>
      </c>
      <c r="AD714" s="3">
        <f>N(W714)</f>
        <v/>
      </c>
      <c r="AE714" s="3">
        <f>SUM(Y714:AD714)</f>
        <v/>
      </c>
      <c r="AF714" s="3">
        <f>N(AE714)*N(M714)/90</f>
        <v/>
      </c>
      <c r="AG714" s="3">
        <f>IFERROR(AF714-VLOOKUP($C714,Assumptions!$A$29:$C$32,3,FALSE),"")</f>
        <v/>
      </c>
      <c r="AH714" s="3">
        <f>IFERROR(AG714/F714,"")</f>
        <v/>
      </c>
      <c r="AI714">
        <f>IF(AND($E714=TRUE,$C714="GKP"),AF714,"")</f>
        <v/>
      </c>
      <c r="AJ714">
        <f>IF(AND($E714=TRUE,$C714="DEF"),AF714,"")</f>
        <v/>
      </c>
      <c r="AK714">
        <f>IF(AND($E714=TRUE,$C714="MID"),AF714,"")</f>
        <v/>
      </c>
      <c r="AL714">
        <f>IF(AND($E714=TRUE,$C714="FWD"),AF714,"")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b">
        <v>1</v>
      </c>
      <c r="F715" s="2" t="n">
        <v>4</v>
      </c>
      <c r="G715" t="inlineStr">
        <is>
          <t>a</t>
        </is>
      </c>
      <c r="I715" s="2" t="n"/>
      <c r="K715" s="3" t="n">
        <v>10</v>
      </c>
      <c r="L715" t="inlineStr">
        <is>
          <t>flat</t>
        </is>
      </c>
      <c r="M715" s="4" t="n"/>
      <c r="N715" s="4" t="n"/>
      <c r="O715" s="3" t="n"/>
      <c r="P715" t="inlineStr"/>
      <c r="Q715" s="3" t="n"/>
      <c r="R715" s="3" t="n"/>
      <c r="S715" s="3" t="n"/>
      <c r="T715" s="3" t="n"/>
      <c r="U715" s="4" t="n"/>
      <c r="V715" s="3">
        <f>IF(OR(N(T715)=0,N(U715)=0),0,1-POISSON(IFERROR(VLOOKUP($C715,Assumptions!$A$4:$G$7,7,FALSE),99)-1,N(T715)*N(U715)/90,TRUE))</f>
        <v/>
      </c>
      <c r="W715" s="3" t="n"/>
      <c r="X715" s="3" t="n"/>
      <c r="Y715" s="3">
        <f>IF(X715="",IFERROR(VLOOKUP($C715,Assumptions!$A$4:$G$7,6,FALSE),0),X715)</f>
        <v/>
      </c>
      <c r="Z715" s="3">
        <f>N(O715)*IFERROR(VLOOKUP($C715,Assumptions!$A$4:$G$7,2,FALSE),0)</f>
        <v/>
      </c>
      <c r="AA715" s="3">
        <f>N(S715)*IFERROR(VLOOKUP($C715,Assumptions!$A$4:$G$7,3,FALSE),0)*Assumptions!$B$11</f>
        <v/>
      </c>
      <c r="AB715" s="3">
        <f>N(N715)*IFERROR(VLOOKUP($C715,Assumptions!$A$4:$G$7,4,FALSE),0)</f>
        <v/>
      </c>
      <c r="AC715" s="3">
        <f>IF(N(U715)=0,0,V715*IFERROR(VLOOKUP($C715,Assumptions!$A$4:$G$7,5,FALSE),0)*90/N(U715))</f>
        <v/>
      </c>
      <c r="AD715" s="3">
        <f>N(W715)</f>
        <v/>
      </c>
      <c r="AE715" s="3">
        <f>SUM(Y715:AD715)</f>
        <v/>
      </c>
      <c r="AF715" s="3">
        <f>N(AE715)*N(M715)/90</f>
        <v/>
      </c>
      <c r="AG715" s="3">
        <f>IFERROR(AF715-VLOOKUP($C715,Assumptions!$A$29:$C$32,3,FALSE),"")</f>
        <v/>
      </c>
      <c r="AH715" s="3">
        <f>IFERROR(AG715/F715,"")</f>
        <v/>
      </c>
      <c r="AI715">
        <f>IF(AND($E715=TRUE,$C715="GKP"),AF715,"")</f>
        <v/>
      </c>
      <c r="AJ715">
        <f>IF(AND($E715=TRUE,$C715="DEF"),AF715,"")</f>
        <v/>
      </c>
      <c r="AK715">
        <f>IF(AND($E715=TRUE,$C715="MID"),AF715,"")</f>
        <v/>
      </c>
      <c r="AL715">
        <f>IF(AND($E715=TRUE,$C715="FWD"),AF715,"")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b">
        <v>1</v>
      </c>
      <c r="F716" s="2" t="n">
        <v>5</v>
      </c>
      <c r="G716" t="inlineStr">
        <is>
          <t>a</t>
        </is>
      </c>
      <c r="I716" s="2" t="n"/>
      <c r="K716" s="3" t="n">
        <v>2696</v>
      </c>
      <c r="L716" t="inlineStr">
        <is>
          <t>flat</t>
        </is>
      </c>
      <c r="M716" s="4" t="n"/>
      <c r="N716" s="4" t="n"/>
      <c r="O716" s="3" t="n"/>
      <c r="P716" t="inlineStr"/>
      <c r="Q716" s="3" t="n"/>
      <c r="R716" s="3" t="n"/>
      <c r="S716" s="3" t="n"/>
      <c r="T716" s="3" t="n"/>
      <c r="U716" s="4" t="n"/>
      <c r="V716" s="3">
        <f>IF(OR(N(T716)=0,N(U716)=0),0,1-POISSON(IFERROR(VLOOKUP($C716,Assumptions!$A$4:$G$7,7,FALSE),99)-1,N(T716)*N(U716)/90,TRUE))</f>
        <v/>
      </c>
      <c r="W716" s="3" t="n"/>
      <c r="X716" s="3" t="n"/>
      <c r="Y716" s="3">
        <f>IF(X716="",IFERROR(VLOOKUP($C716,Assumptions!$A$4:$G$7,6,FALSE),0),X716)</f>
        <v/>
      </c>
      <c r="Z716" s="3">
        <f>N(O716)*IFERROR(VLOOKUP($C716,Assumptions!$A$4:$G$7,2,FALSE),0)</f>
        <v/>
      </c>
      <c r="AA716" s="3">
        <f>N(S716)*IFERROR(VLOOKUP($C716,Assumptions!$A$4:$G$7,3,FALSE),0)*Assumptions!$B$11</f>
        <v/>
      </c>
      <c r="AB716" s="3">
        <f>N(N716)*IFERROR(VLOOKUP($C716,Assumptions!$A$4:$G$7,4,FALSE),0)</f>
        <v/>
      </c>
      <c r="AC716" s="3">
        <f>IF(N(U716)=0,0,V716*IFERROR(VLOOKUP($C716,Assumptions!$A$4:$G$7,5,FALSE),0)*90/N(U716))</f>
        <v/>
      </c>
      <c r="AD716" s="3">
        <f>N(W716)</f>
        <v/>
      </c>
      <c r="AE716" s="3">
        <f>SUM(Y716:AD716)</f>
        <v/>
      </c>
      <c r="AF716" s="3">
        <f>N(AE716)*N(M716)/90</f>
        <v/>
      </c>
      <c r="AG716" s="3">
        <f>IFERROR(AF716-VLOOKUP($C716,Assumptions!$A$29:$C$32,3,FALSE),"")</f>
        <v/>
      </c>
      <c r="AH716" s="3">
        <f>IFERROR(AG716/F716,"")</f>
        <v/>
      </c>
      <c r="AI716">
        <f>IF(AND($E716=TRUE,$C716="GKP"),AF716,"")</f>
        <v/>
      </c>
      <c r="AJ716">
        <f>IF(AND($E716=TRUE,$C716="DEF"),AF716,"")</f>
        <v/>
      </c>
      <c r="AK716">
        <f>IF(AND($E716=TRUE,$C716="MID"),AF716,"")</f>
        <v/>
      </c>
      <c r="AL716">
        <f>IF(AND($E716=TRUE,$C716="FWD"),AF716,"")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b">
        <v>1</v>
      </c>
      <c r="F717" s="2" t="n">
        <v>4.5</v>
      </c>
      <c r="G717" t="inlineStr">
        <is>
          <t>a</t>
        </is>
      </c>
      <c r="I717" s="2" t="n"/>
      <c r="K717" s="3" t="n">
        <v>0</v>
      </c>
      <c r="L717" t="inlineStr">
        <is>
          <t>flat</t>
        </is>
      </c>
      <c r="M717" s="4" t="n"/>
      <c r="N717" s="4" t="n"/>
      <c r="O717" s="3" t="n"/>
      <c r="P717" t="inlineStr"/>
      <c r="Q717" s="3" t="n"/>
      <c r="R717" s="3" t="n"/>
      <c r="S717" s="3" t="n"/>
      <c r="T717" s="3" t="n"/>
      <c r="U717" s="4" t="n"/>
      <c r="V717" s="3">
        <f>IF(OR(N(T717)=0,N(U717)=0),0,1-POISSON(IFERROR(VLOOKUP($C717,Assumptions!$A$4:$G$7,7,FALSE),99)-1,N(T717)*N(U717)/90,TRUE))</f>
        <v/>
      </c>
      <c r="W717" s="3" t="n"/>
      <c r="X717" s="3" t="n"/>
      <c r="Y717" s="3">
        <f>IF(X717="",IFERROR(VLOOKUP($C717,Assumptions!$A$4:$G$7,6,FALSE),0),X717)</f>
        <v/>
      </c>
      <c r="Z717" s="3">
        <f>N(O717)*IFERROR(VLOOKUP($C717,Assumptions!$A$4:$G$7,2,FALSE),0)</f>
        <v/>
      </c>
      <c r="AA717" s="3">
        <f>N(S717)*IFERROR(VLOOKUP($C717,Assumptions!$A$4:$G$7,3,FALSE),0)*Assumptions!$B$11</f>
        <v/>
      </c>
      <c r="AB717" s="3">
        <f>N(N717)*IFERROR(VLOOKUP($C717,Assumptions!$A$4:$G$7,4,FALSE),0)</f>
        <v/>
      </c>
      <c r="AC717" s="3">
        <f>IF(N(U717)=0,0,V717*IFERROR(VLOOKUP($C717,Assumptions!$A$4:$G$7,5,FALSE),0)*90/N(U717))</f>
        <v/>
      </c>
      <c r="AD717" s="3">
        <f>N(W717)</f>
        <v/>
      </c>
      <c r="AE717" s="3">
        <f>SUM(Y717:AD717)</f>
        <v/>
      </c>
      <c r="AF717" s="3">
        <f>N(AE717)*N(M717)/90</f>
        <v/>
      </c>
      <c r="AG717" s="3">
        <f>IFERROR(AF717-VLOOKUP($C717,Assumptions!$A$29:$C$32,3,FALSE),"")</f>
        <v/>
      </c>
      <c r="AH717" s="3">
        <f>IFERROR(AG717/F717,"")</f>
        <v/>
      </c>
      <c r="AI717">
        <f>IF(AND($E717=TRUE,$C717="GKP"),AF717,"")</f>
        <v/>
      </c>
      <c r="AJ717">
        <f>IF(AND($E717=TRUE,$C717="DEF"),AF717,"")</f>
        <v/>
      </c>
      <c r="AK717">
        <f>IF(AND($E717=TRUE,$C717="MID"),AF717,"")</f>
        <v/>
      </c>
      <c r="AL717">
        <f>IF(AND($E717=TRUE,$C717="FWD"),AF717,"")</f>
        <v/>
      </c>
    </row>
    <row r="718">
      <c r="A718" t="inlineStr">
        <is>
          <t>Jerome Abbey</t>
        </is>
      </c>
      <c r="D718" t="inlineStr">
        <is>
          <t>MID</t>
        </is>
      </c>
      <c r="E718" t="b">
        <v>0</v>
      </c>
      <c r="F718" s="2" t="n"/>
      <c r="I718" s="2" t="n">
        <v>16</v>
      </c>
      <c r="K718" s="3" t="n"/>
      <c r="M718" s="4" t="n">
        <v>16</v>
      </c>
      <c r="N718" s="4" t="n"/>
      <c r="O718" s="3" t="n"/>
      <c r="P718" t="inlineStr"/>
      <c r="Q718" s="3" t="n">
        <v>1</v>
      </c>
      <c r="R718" s="3" t="n">
        <v>0</v>
      </c>
      <c r="S718" s="3" t="n"/>
      <c r="T718" s="3" t="n">
        <v>8.635</v>
      </c>
      <c r="U718" s="4" t="n">
        <v>85</v>
      </c>
      <c r="V718" s="3">
        <f>IF(OR(N(T718)=0,N(U718)=0),0,1-POISSON(IFERROR(VLOOKUP($C718,Assumptions!$A$4:$G$7,7,FALSE),99)-1,N(T718)*N(U718)/90,TRUE))</f>
        <v/>
      </c>
      <c r="W718" s="3" t="n">
        <v>0</v>
      </c>
      <c r="X718" s="3" t="n">
        <v>5.625</v>
      </c>
      <c r="Y718" s="3">
        <f>IF(X718="",IFERROR(VLOOKUP($C718,Assumptions!$A$4:$G$7,6,FALSE),0),X718)</f>
        <v/>
      </c>
      <c r="Z718" s="3">
        <f>N(O718)*IFERROR(VLOOKUP($C718,Assumptions!$A$4:$G$7,2,FALSE),0)</f>
        <v/>
      </c>
      <c r="AA718" s="3">
        <f>N(S718)*IFERROR(VLOOKUP($C718,Assumptions!$A$4:$G$7,3,FALSE),0)*Assumptions!$B$11</f>
        <v/>
      </c>
      <c r="AB718" s="3">
        <f>N(N718)*IFERROR(VLOOKUP($C718,Assumptions!$A$4:$G$7,4,FALSE),0)</f>
        <v/>
      </c>
      <c r="AC718" s="3">
        <f>IF(N(U718)=0,0,V718*IFERROR(VLOOKUP($C718,Assumptions!$A$4:$G$7,5,FALSE),0)*90/N(U718))</f>
        <v/>
      </c>
      <c r="AD718" s="3">
        <f>N(W718)</f>
        <v/>
      </c>
      <c r="AE718" s="3">
        <f>SUM(Y718:AD718)</f>
        <v/>
      </c>
      <c r="AF718" s="3">
        <f>N(AE718)*N(M718)/90</f>
        <v/>
      </c>
      <c r="AG718" s="3">
        <f>IFERROR(AF718-VLOOKUP($C718,Assumptions!$A$29:$C$32,3,FALSE),"")</f>
        <v/>
      </c>
      <c r="AH718" s="3">
        <f>IFERROR(AG718/F718,"")</f>
        <v/>
      </c>
      <c r="AI718">
        <f>IF(AND($E718=TRUE,$C718="GKP"),AF718,"")</f>
        <v/>
      </c>
      <c r="AJ718">
        <f>IF(AND($E718=TRUE,$C718="DEF"),AF718,"")</f>
        <v/>
      </c>
      <c r="AK718">
        <f>IF(AND($E718=TRUE,$C718="MID"),AF718,"")</f>
        <v/>
      </c>
      <c r="AL718">
        <f>IF(AND($E718=TRUE,$C718="FWD"),AF718,"")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b">
        <v>1</v>
      </c>
      <c r="F719" s="2" t="n">
        <v>5.5</v>
      </c>
      <c r="G719" t="inlineStr">
        <is>
          <t>a</t>
        </is>
      </c>
      <c r="I719" s="2" t="n"/>
      <c r="K719" s="3" t="n">
        <v>247</v>
      </c>
      <c r="L719" t="inlineStr">
        <is>
          <t>flat</t>
        </is>
      </c>
      <c r="M719" s="4" t="n"/>
      <c r="N719" s="4" t="n">
        <v>0.237</v>
      </c>
      <c r="O719" s="3" t="n"/>
      <c r="P719" t="inlineStr"/>
      <c r="Q719" s="3" t="n"/>
      <c r="R719" s="3" t="n"/>
      <c r="S719" s="3" t="n"/>
      <c r="T719" s="3" t="n"/>
      <c r="U719" s="4" t="n"/>
      <c r="V719" s="3">
        <f>IF(OR(N(T719)=0,N(U719)=0),0,1-POISSON(IFERROR(VLOOKUP($C719,Assumptions!$A$4:$G$7,7,FALSE),99)-1,N(T719)*N(U719)/90,TRUE))</f>
        <v/>
      </c>
      <c r="W719" s="3" t="n"/>
      <c r="X719" s="3" t="n"/>
      <c r="Y719" s="3">
        <f>IF(X719="",IFERROR(VLOOKUP($C719,Assumptions!$A$4:$G$7,6,FALSE),0),X719)</f>
        <v/>
      </c>
      <c r="Z719" s="3">
        <f>N(O719)*IFERROR(VLOOKUP($C719,Assumptions!$A$4:$G$7,2,FALSE),0)</f>
        <v/>
      </c>
      <c r="AA719" s="3">
        <f>N(S719)*IFERROR(VLOOKUP($C719,Assumptions!$A$4:$G$7,3,FALSE),0)*Assumptions!$B$11</f>
        <v/>
      </c>
      <c r="AB719" s="3">
        <f>N(N719)*IFERROR(VLOOKUP($C719,Assumptions!$A$4:$G$7,4,FALSE),0)</f>
        <v/>
      </c>
      <c r="AC719" s="3">
        <f>IF(N(U719)=0,0,V719*IFERROR(VLOOKUP($C719,Assumptions!$A$4:$G$7,5,FALSE),0)*90/N(U719))</f>
        <v/>
      </c>
      <c r="AD719" s="3">
        <f>N(W719)</f>
        <v/>
      </c>
      <c r="AE719" s="3">
        <f>SUM(Y719:AD719)</f>
        <v/>
      </c>
      <c r="AF719" s="3">
        <f>N(AE719)*N(M719)/90</f>
        <v/>
      </c>
      <c r="AG719" s="3">
        <f>IFERROR(AF719-VLOOKUP($C719,Assumptions!$A$29:$C$32,3,FALSE),"")</f>
        <v/>
      </c>
      <c r="AH719" s="3">
        <f>IFERROR(AG719/F719,"")</f>
        <v/>
      </c>
      <c r="AI719">
        <f>IF(AND($E719=TRUE,$C719="GKP"),AF719,"")</f>
        <v/>
      </c>
      <c r="AJ719">
        <f>IF(AND($E719=TRUE,$C719="DEF"),AF719,"")</f>
        <v/>
      </c>
      <c r="AK719">
        <f>IF(AND($E719=TRUE,$C719="MID"),AF719,"")</f>
        <v/>
      </c>
      <c r="AL719">
        <f>IF(AND($E719=TRUE,$C719="FWD"),AF719,"")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b">
        <v>1</v>
      </c>
      <c r="F720" s="2" t="n">
        <v>5</v>
      </c>
      <c r="G720" t="inlineStr">
        <is>
          <t>a</t>
        </is>
      </c>
      <c r="I720" s="2" t="n"/>
      <c r="K720" s="3" t="n">
        <v>162</v>
      </c>
      <c r="L720" t="inlineStr">
        <is>
          <t>flat</t>
        </is>
      </c>
      <c r="M720" s="4" t="n"/>
      <c r="N720" s="4" t="n">
        <v>0.263</v>
      </c>
      <c r="O720" s="3" t="n"/>
      <c r="P720" t="inlineStr"/>
      <c r="Q720" s="3" t="n"/>
      <c r="R720" s="3" t="n"/>
      <c r="S720" s="3" t="n"/>
      <c r="T720" s="3" t="n"/>
      <c r="U720" s="4" t="n"/>
      <c r="V720" s="3">
        <f>IF(OR(N(T720)=0,N(U720)=0),0,1-POISSON(IFERROR(VLOOKUP($C720,Assumptions!$A$4:$G$7,7,FALSE),99)-1,N(T720)*N(U720)/90,TRUE))</f>
        <v/>
      </c>
      <c r="W720" s="3" t="n"/>
      <c r="X720" s="3" t="n"/>
      <c r="Y720" s="3">
        <f>IF(X720="",IFERROR(VLOOKUP($C720,Assumptions!$A$4:$G$7,6,FALSE),0),X720)</f>
        <v/>
      </c>
      <c r="Z720" s="3">
        <f>N(O720)*IFERROR(VLOOKUP($C720,Assumptions!$A$4:$G$7,2,FALSE),0)</f>
        <v/>
      </c>
      <c r="AA720" s="3">
        <f>N(S720)*IFERROR(VLOOKUP($C720,Assumptions!$A$4:$G$7,3,FALSE),0)*Assumptions!$B$11</f>
        <v/>
      </c>
      <c r="AB720" s="3">
        <f>N(N720)*IFERROR(VLOOKUP($C720,Assumptions!$A$4:$G$7,4,FALSE),0)</f>
        <v/>
      </c>
      <c r="AC720" s="3">
        <f>IF(N(U720)=0,0,V720*IFERROR(VLOOKUP($C720,Assumptions!$A$4:$G$7,5,FALSE),0)*90/N(U720))</f>
        <v/>
      </c>
      <c r="AD720" s="3">
        <f>N(W720)</f>
        <v/>
      </c>
      <c r="AE720" s="3">
        <f>SUM(Y720:AD720)</f>
        <v/>
      </c>
      <c r="AF720" s="3">
        <f>N(AE720)*N(M720)/90</f>
        <v/>
      </c>
      <c r="AG720" s="3">
        <f>IFERROR(AF720-VLOOKUP($C720,Assumptions!$A$29:$C$32,3,FALSE),"")</f>
        <v/>
      </c>
      <c r="AH720" s="3">
        <f>IFERROR(AG720/F720,"")</f>
        <v/>
      </c>
      <c r="AI720">
        <f>IF(AND($E720=TRUE,$C720="GKP"),AF720,"")</f>
        <v/>
      </c>
      <c r="AJ720">
        <f>IF(AND($E720=TRUE,$C720="DEF"),AF720,"")</f>
        <v/>
      </c>
      <c r="AK720">
        <f>IF(AND($E720=TRUE,$C720="MID"),AF720,"")</f>
        <v/>
      </c>
      <c r="AL720">
        <f>IF(AND($E720=TRUE,$C720="FWD"),AF720,"")</f>
        <v/>
      </c>
    </row>
  </sheetData>
  <autoFilter ref="A1:AL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  <c r="G3" s="6" t="inlineStr">
        <is>
          <t>DefCon threshold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  <c r="G4" t="n">
        <v>99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  <c r="G5" t="n">
        <v>10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  <c r="G6" t="n">
        <v>12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  <c r="G7" t="n">
        <v>12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4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</t>
        </is>
      </c>
      <c r="B20" s="7" t="inlineStr">
        <is>
          <t>Not a frozen rate. 'DefCon actions/90' is the player's underlying rate of qualifying defensive actions, shrunk toward the position mean for thin samples. The sheet turns that into 'DefCon hit %' with a Poisson over 'Mins per start' against the threshold on the table above -- so if you change minutes per start, the hit rate moves with it, steeply. A defender on 10 actions/90 clears a threshold of 10 in 14% of 60-minute starts and 54% of 90-minute starts. Both minutes inputs matter: xMins sets how many starts he gets, mins per start sets how likely each one pays.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VORP</t>
        </is>
      </c>
      <c r="B22" s="7" t="inlineStr">
        <is>
          <t>xPts season minus the replacement level at that position — the best player still on the board once every team has filled its slots. Set the league size and slots below. Raw xPts asks who scores most; VORP asks who scores most above what you would get at that slot anyway.</t>
        </is>
      </c>
    </row>
    <row r="23" ht="46" customHeight="1">
      <c r="A23" s="5" t="inlineStr">
        <is>
          <t>VORP per £m</t>
        </is>
      </c>
      <c r="B23" s="7" t="inlineStr">
        <is>
          <t>VORP divided by price. Pure VORP measures scarcity alone; this measures scarcity against the £100m budget that still binds you in a normal FPL season.</t>
        </is>
      </c>
    </row>
    <row r="24" ht="46" customHeight="1">
      <c r="A24" s="5" t="inlineStr">
        <is>
          <t>Appearance</t>
        </is>
      </c>
      <c r="B24" s="7" t="inlineStr">
        <is>
          <t>2 points for 60+ minutes, 1 below. Modelled here as the player's actual 2025/26 appearance points per 90, which captures substitutes properly. Regular starters land near 2.</t>
        </is>
      </c>
    </row>
    <row r="25">
      <c r="A25" s="5" t="inlineStr">
        <is>
          <t>VORP settings</t>
        </is>
      </c>
    </row>
    <row r="26">
      <c r="A26" t="inlineStr">
        <is>
          <t>Teams in league</t>
        </is>
      </c>
      <c r="B26" s="4" t="n">
        <v>8</v>
      </c>
    </row>
    <row r="28">
      <c r="A28" s="6" t="inlineStr">
        <is>
          <t>Position</t>
        </is>
      </c>
      <c r="B28" s="6" t="inlineStr">
        <is>
          <t>Squad slots per team</t>
        </is>
      </c>
      <c r="C28" s="6" t="inlineStr">
        <is>
          <t>Replacement xPts</t>
        </is>
      </c>
    </row>
    <row r="29">
      <c r="A29" t="inlineStr">
        <is>
          <t>GKP</t>
        </is>
      </c>
      <c r="B29" s="4" t="n">
        <v>2</v>
      </c>
      <c r="C29" s="8">
        <f>IFERROR(LARGE('xPts model'!$AI$2:$AI$720,$B$26*B29+1),0)</f>
        <v/>
      </c>
    </row>
    <row r="30">
      <c r="A30" t="inlineStr">
        <is>
          <t>DEF</t>
        </is>
      </c>
      <c r="B30" s="4" t="n">
        <v>5</v>
      </c>
      <c r="C30" s="8">
        <f>IFERROR(LARGE('xPts model'!$AJ$2:$AJ$720,$B$26*B30+1),0)</f>
        <v/>
      </c>
    </row>
    <row r="31">
      <c r="A31" t="inlineStr">
        <is>
          <t>MID</t>
        </is>
      </c>
      <c r="B31" s="4" t="n">
        <v>5</v>
      </c>
      <c r="C31" s="8">
        <f>IFERROR(LARGE('xPts model'!$AK$2:$AK$720,$B$26*B31+1),0)</f>
        <v/>
      </c>
    </row>
    <row r="32">
      <c r="A32" t="inlineStr">
        <is>
          <t>FWD</t>
        </is>
      </c>
      <c r="B32" s="4" t="n">
        <v>3</v>
      </c>
      <c r="C32" s="8">
        <f>IFERROR(LARGE('xPts model'!$AL$2:$AL$720,$B$26*B32+1),0)</f>
        <v/>
      </c>
    </row>
    <row r="34" ht="46" customHeight="1">
      <c r="A34" s="7" t="inlineStr">
        <is>
          <t>Replacement level is the best player at that position still available once every team has filled its slots: the (teams x slots + 1)-th best. Only players registered for 2026/27 count toward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Solio season pts</t>
        </is>
      </c>
      <c r="B121" t="inlineStr">
        <is>
          <t>Solio's 19-GW projection extended to a full season, with the second half rebuilt at settled minutes</t>
        </is>
      </c>
      <c r="C121" t="inlineStr">
        <is>
          <t>Solio</t>
        </is>
      </c>
    </row>
    <row r="122">
      <c r="A122" t="inlineStr">
        <is>
          <t>Solio H1 pts (GW1-19)</t>
        </is>
      </c>
      <c r="B122" t="inlineStr">
        <is>
          <t>Solio's projection as published, first half only</t>
        </is>
      </c>
      <c r="C122" t="inlineStr">
        <is>
          <t>Solio</t>
        </is>
      </c>
    </row>
    <row r="123">
      <c r="A123" t="inlineStr">
        <is>
          <t>Solio naive x2</t>
        </is>
      </c>
      <c r="B123" t="inlineStr">
        <is>
          <t>What simply doubling GW1-19 would have given</t>
        </is>
      </c>
      <c r="C123" t="inlineStr">
        <is>
          <t>Solio</t>
        </is>
      </c>
    </row>
    <row r="124">
      <c r="A124" t="inlineStr">
        <is>
          <t>Solio correction</t>
        </is>
      </c>
      <c r="B124" t="inlineStr">
        <is>
          <t>Season points minus naive doubling. Positive = injury/World Cup return the doubling would have double-counted</t>
        </is>
      </c>
      <c r="C124" t="inlineStr">
        <is>
          <t>derived</t>
        </is>
      </c>
    </row>
    <row r="125">
      <c r="A125" t="inlineStr">
        <is>
          <t>Solio xMins (season)</t>
        </is>
      </c>
      <c r="B125" t="inlineStr">
        <is>
          <t>Settled minutes per match x 38 - a ready-made xMins forecast</t>
        </is>
      </c>
      <c r="C125" t="inlineStr">
        <is>
          <t>Solio</t>
        </is>
      </c>
    </row>
    <row r="126">
      <c r="A126" t="inlineStr">
        <is>
          <t>Solio xMins (settled)</t>
        </is>
      </c>
      <c r="B126" t="inlineStr">
        <is>
          <t>Solio's projected minutes per match by GW17-19, once the season has settled</t>
        </is>
      </c>
      <c r="C126" t="inlineStr">
        <is>
          <t>Solio</t>
        </is>
      </c>
    </row>
    <row r="127">
      <c r="A127" t="inlineStr">
        <is>
          <t>Solio xMins pattern</t>
        </is>
      </c>
      <c r="B127" t="inlineStr">
        <is>
          <t>flat, ramp-up (injury or late World Cup return), or fade (projected to lose his place)</t>
        </is>
      </c>
      <c r="C127" t="inlineStr">
        <is>
          <t>derived</t>
        </is>
      </c>
    </row>
    <row r="128">
      <c r="A128" t="inlineStr">
        <is>
          <t>ADP</t>
        </is>
      </c>
      <c r="B128" t="inlineStr">
        <is>
          <t>Average draft position in real FPL Draft leagues, human picks only, normalised to an 8-team board</t>
        </is>
      </c>
      <c r="C128" t="inlineStr">
        <is>
          <t>FPL Draft</t>
        </is>
      </c>
    </row>
    <row r="129">
      <c r="A129" t="inlineStr">
        <is>
          <t>ADP (8-team only)</t>
        </is>
      </c>
      <c r="B129" t="inlineStr">
        <is>
          <t>Same, using only 8-team leagues</t>
        </is>
      </c>
      <c r="C129" t="inlineStr">
        <is>
          <t>FPL Draft</t>
        </is>
      </c>
    </row>
    <row r="130">
      <c r="A130" t="inlineStr">
        <is>
          <t>ADP spread</t>
        </is>
      </c>
      <c r="B130" t="inlineStr">
        <is>
          <t>Standard deviation of draft position - high means the market disagrees about him</t>
        </is>
      </c>
      <c r="C130" t="inlineStr">
        <is>
          <t>FPL Draft</t>
        </is>
      </c>
    </row>
    <row r="131">
      <c r="A131" t="inlineStr">
        <is>
          <t>ADP earliest</t>
        </is>
      </c>
      <c r="B131" t="inlineStr">
        <is>
          <t>Earliest he was taken in any league</t>
        </is>
      </c>
      <c r="C131" t="inlineStr">
        <is>
          <t>FPL Draft</t>
        </is>
      </c>
    </row>
    <row r="132">
      <c r="A132" t="inlineStr">
        <is>
          <t>ADP latest</t>
        </is>
      </c>
      <c r="B132" t="inlineStr">
        <is>
          <t>Latest he was taken in any league</t>
        </is>
      </c>
      <c r="C132" t="inlineStr">
        <is>
          <t>FPL Draft</t>
        </is>
      </c>
    </row>
    <row r="133">
      <c r="A133" t="inlineStr">
        <is>
          <t>Times drafted</t>
        </is>
      </c>
      <c r="B133" t="inlineStr">
        <is>
          <t>Leagues in which a human drafted him. Low numbers make the ADP unreliable</t>
        </is>
      </c>
      <c r="C133" t="inlineStr">
        <is>
          <t>FPL Draft</t>
        </is>
      </c>
    </row>
    <row r="134">
      <c r="A134" t="inlineStr">
        <is>
          <t>Drafted %</t>
        </is>
      </c>
      <c r="B134" t="inlineStr">
        <is>
          <t>Share of leagues in which he was drafted at all</t>
        </is>
      </c>
      <c r="C134" t="inlineStr">
        <is>
          <t>FPL Draft</t>
        </is>
      </c>
    </row>
    <row r="135">
      <c r="A135" t="inlineStr">
        <is>
          <t>Auto-pick %</t>
        </is>
      </c>
      <c r="B135" t="inlineStr">
        <is>
          <t>Share of his picks made by the autodraft algorithm rather than a human</t>
        </is>
      </c>
      <c r="C135" t="inlineStr">
        <is>
          <t>FPL Draft</t>
        </is>
      </c>
    </row>
    <row r="136">
      <c r="A136" t="inlineStr">
        <is>
          <t>FPL draft rank</t>
        </is>
      </c>
      <c r="B136" t="inlineStr">
        <is>
          <t>The default ordering FPL's own autodraft uses</t>
        </is>
      </c>
      <c r="C136" t="inlineStr">
        <is>
          <t>FPL Draft</t>
        </is>
      </c>
    </row>
    <row r="137">
      <c r="A137" t="inlineStr">
        <is>
          <t>Mins per shot</t>
        </is>
      </c>
      <c r="B137" t="inlineStr">
        <is>
          <t>Minutes divided by pl_total_scoring_att; matches the 'mins per' convention used in last year's sheet</t>
        </is>
      </c>
      <c r="C137" t="inlineStr">
        <is>
          <t>derived</t>
        </is>
      </c>
    </row>
    <row r="138">
      <c r="A138" t="inlineStr">
        <is>
          <t>Mins per touch in box</t>
        </is>
      </c>
      <c r="B138" t="inlineStr">
        <is>
          <t>Minutes divided by pl_touches_in_opp_box; matches the 'mins per' convention used in last year's sheet</t>
        </is>
      </c>
      <c r="C138" t="inlineStr">
        <is>
          <t>derived</t>
        </is>
      </c>
    </row>
    <row r="139">
      <c r="A139" t="inlineStr">
        <is>
          <t>Mins per chance created</t>
        </is>
      </c>
      <c r="B139" t="inlineStr">
        <is>
          <t>Minutes divided by pl_total_att_assist; matches the 'mins per' convention used in last year's sheet</t>
        </is>
      </c>
      <c r="C139" t="inlineStr">
        <is>
          <t>derived</t>
        </is>
      </c>
    </row>
    <row r="140">
      <c r="A140" t="inlineStr">
        <is>
          <t>Mins per xG (blend)</t>
        </is>
      </c>
      <c r="B140" t="inlineStr">
        <is>
          <t>Minutes divided by xG_blend; matches the 'mins per' convention used in last year's sheet</t>
        </is>
      </c>
      <c r="C140" t="inlineStr">
        <is>
          <t>derived</t>
        </is>
      </c>
    </row>
    <row r="141">
      <c r="A141" t="inlineStr">
        <is>
          <t>Mins per xA (blend)</t>
        </is>
      </c>
      <c r="B141" t="inlineStr">
        <is>
          <t>Minutes divided by xA_blend; matches the 'mins per' convention used in last year's sheet</t>
        </is>
      </c>
      <c r="C141" t="inlineStr">
        <is>
          <t>derived</t>
        </is>
      </c>
    </row>
    <row r="142">
      <c r="A142" t="inlineStr">
        <is>
          <t>Mins per xGI (blend)</t>
        </is>
      </c>
      <c r="B142" t="inlineStr">
        <is>
          <t>Minutes divided by xGI_blend; matches the 'mins per' convention used in last year's sheet</t>
        </is>
      </c>
      <c r="C142" t="inlineStr">
        <is>
          <t>derived</t>
        </is>
      </c>
    </row>
    <row r="143">
      <c r="A143" t="inlineStr">
        <is>
          <t>Mins per point</t>
        </is>
      </c>
      <c r="B143" t="inlineStr">
        <is>
          <t>Minutes divided by fpl_total_points; matches the 'mins per' convention used in last year's sheet</t>
        </is>
      </c>
      <c r="C143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2026-08-15T12:36:38Z</dcterms:created>
  <dcterms:modified xsi:type="dcterms:W3CDTF">2026-08-15T12:38:56Z</dcterms:modified>
</cp:coreProperties>
</file>